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oulaymane Kachani\Downloads\HAP2\backend\storage\outputs\17feded2-1785-4807-8560-1716c7cfa34c\"/>
    </mc:Choice>
  </mc:AlternateContent>
  <xr:revisionPtr revIDLastSave="0" documentId="13_ncr:1_{8441921A-B80D-422F-9131-FC07FA83141E}" xr6:coauthVersionLast="47" xr6:coauthVersionMax="47" xr10:uidLastSave="{00000000-0000-0000-0000-000000000000}"/>
  <bookViews>
    <workbookView xWindow="8600" yWindow="3710" windowWidth="25800" windowHeight="9970" tabRatio="983" xr2:uid="{00000000-000D-0000-FFFF-FFFF00000000}"/>
  </bookViews>
  <sheets>
    <sheet name="Balance Sheet - Standardized" sheetId="1" r:id="rId1"/>
    <sheet name="BS%" sheetId="2" r:id="rId2"/>
    <sheet name="Income - GAAP" sheetId="3" r:id="rId3"/>
    <sheet name="IS%" sheetId="4" r:id="rId4"/>
    <sheet name="Cash Flow - Standardized" sheetId="5" r:id="rId5"/>
    <sheet name="CF%" sheetId="6" r:id="rId6"/>
    <sheet name="FCF" sheetId="7" r:id="rId7"/>
    <sheet name="Last Quarter BS Standardized" sheetId="8" r:id="rId8"/>
    <sheet name="Last Quarter IS Standardized" sheetId="9" r:id="rId9"/>
    <sheet name="Last Quarter CF Standardized" sheetId="10" r:id="rId10"/>
    <sheet name="Last Quarter BS As Reported" sheetId="11" r:id="rId11"/>
    <sheet name="Last Quarter IS As Reported" sheetId="12" r:id="rId12"/>
    <sheet name="Last Quarter CF As Reported" sheetId="13" r:id="rId13"/>
    <sheet name="DividendHelper" sheetId="14" r:id="rId14"/>
    <sheet name="Inputs" sheetId="15" r:id="rId15"/>
    <sheet name="IC &amp; NOPAT &amp; ROIC " sheetId="16" r:id="rId16"/>
    <sheet name="Tax" sheetId="17" r:id="rId17"/>
    <sheet name="Leases" sheetId="18" r:id="rId18"/>
    <sheet name="R&amp;D" sheetId="19" r:id="rId19"/>
    <sheet name="All Ratios" sheetId="20" r:id="rId20"/>
    <sheet name="Final Metrics" sheetId="21" r:id="rId21"/>
    <sheet name="Expected Returns &amp; Buybacks" sheetId="22" r:id="rId22"/>
    <sheet name="Enterprise Value" sheetId="23" r:id="rId23"/>
    <sheet name="Template Version" sheetId="24" r:id="rId2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plitsByYear">DividendHelper!$K$1:$M$12</definedName>
    <definedName name="SpreadsheetBuilder_1" localSheetId="19" hidden="1">#REF!</definedName>
    <definedName name="SpreadsheetBuilder_1" localSheetId="6" hidden="1">#REF!</definedName>
    <definedName name="SpreadsheetBuilder_1" localSheetId="20" hidden="1">#REF!</definedName>
    <definedName name="SpreadsheetBuilder_1" localSheetId="15" hidden="1">#REF!</definedName>
    <definedName name="SpreadsheetBuilder_1" localSheetId="14" hidden="1">#REF!</definedName>
    <definedName name="SpreadsheetBuilder_1" localSheetId="17" hidden="1">#REF!</definedName>
    <definedName name="SpreadsheetBuilder_1" localSheetId="18" hidden="1">#REF!</definedName>
    <definedName name="SpreadsheetBuilder_1" hidden="1">#REF!</definedName>
    <definedName name="SpreadsheetBuilder_10" hidden="1">'Income - GAAP'!$D$106:$E$114</definedName>
    <definedName name="SpreadsheetBuilder_2" localSheetId="19" hidden="1">#REF!</definedName>
    <definedName name="SpreadsheetBuilder_2" localSheetId="6" hidden="1">#REF!</definedName>
    <definedName name="SpreadsheetBuilder_2" localSheetId="20" hidden="1">#REF!</definedName>
    <definedName name="SpreadsheetBuilder_2" localSheetId="15" hidden="1">#REF!</definedName>
    <definedName name="SpreadsheetBuilder_2" localSheetId="14" hidden="1">#REF!</definedName>
    <definedName name="SpreadsheetBuilder_2" localSheetId="17" hidden="1">#REF!</definedName>
    <definedName name="SpreadsheetBuilder_2" localSheetId="18"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6" hidden="1">#REF!</definedName>
    <definedName name="SpreadsheetBuilder_7" hidden="1">'Last Quarter BS Standardized'!#REF!</definedName>
    <definedName name="SpreadsheetBuilder_8" hidden="1">'Last Quarter BS Standardized'!#REF!</definedName>
    <definedName name="SpreadsheetBuilder_9" hidden="1">'Income - GAAP'!$D$106:$E$108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23" l="1"/>
  <c r="B22" i="23"/>
  <c r="B17" i="23"/>
  <c r="B2" i="23"/>
  <c r="D30" i="22"/>
  <c r="C30" i="22"/>
  <c r="A8" i="22"/>
  <c r="B8" i="22" s="1"/>
  <c r="F2" i="22"/>
  <c r="B2" i="22"/>
  <c r="B63" i="21"/>
  <c r="B62" i="21"/>
  <c r="B61" i="21"/>
  <c r="B60" i="21"/>
  <c r="B59" i="21"/>
  <c r="B58" i="21"/>
  <c r="B57" i="21"/>
  <c r="B56" i="21"/>
  <c r="B55" i="21"/>
  <c r="B54" i="21"/>
  <c r="E2" i="22" s="1"/>
  <c r="B53" i="21"/>
  <c r="B52" i="21"/>
  <c r="C2" i="22" s="1"/>
  <c r="B51" i="21"/>
  <c r="A2" i="22" s="1"/>
  <c r="D29" i="21"/>
  <c r="L19" i="21"/>
  <c r="K19" i="21"/>
  <c r="J19" i="21"/>
  <c r="I19" i="21"/>
  <c r="H19" i="21"/>
  <c r="G19" i="21"/>
  <c r="F19" i="21"/>
  <c r="E19" i="21"/>
  <c r="D19" i="21"/>
  <c r="L18" i="21"/>
  <c r="K18" i="21"/>
  <c r="J18" i="21"/>
  <c r="I18" i="21"/>
  <c r="H18" i="21"/>
  <c r="G18" i="21"/>
  <c r="F18" i="21"/>
  <c r="E18" i="21"/>
  <c r="D18" i="21"/>
  <c r="C18" i="21"/>
  <c r="L17" i="21"/>
  <c r="K17" i="21"/>
  <c r="J17" i="21"/>
  <c r="I17" i="21"/>
  <c r="H17" i="21"/>
  <c r="G17" i="21"/>
  <c r="F17" i="21"/>
  <c r="E17" i="21"/>
  <c r="D17" i="21"/>
  <c r="C17" i="21"/>
  <c r="L16" i="21"/>
  <c r="K16" i="21"/>
  <c r="J16" i="21"/>
  <c r="I16" i="21"/>
  <c r="H16" i="21"/>
  <c r="G16" i="21"/>
  <c r="F16" i="21"/>
  <c r="E16" i="21"/>
  <c r="D16" i="21"/>
  <c r="C16" i="21"/>
  <c r="L15" i="21"/>
  <c r="K15" i="21"/>
  <c r="J15" i="21"/>
  <c r="I15" i="21"/>
  <c r="H15" i="21"/>
  <c r="G15" i="21"/>
  <c r="F15" i="21"/>
  <c r="E15" i="21"/>
  <c r="D15" i="21"/>
  <c r="C15" i="21"/>
  <c r="B15" i="21" s="1"/>
  <c r="L14" i="21"/>
  <c r="K14" i="21"/>
  <c r="J14" i="21"/>
  <c r="I14" i="21"/>
  <c r="H14" i="21"/>
  <c r="G14" i="21"/>
  <c r="F14" i="21"/>
  <c r="E14" i="21"/>
  <c r="D14" i="21"/>
  <c r="C14" i="21"/>
  <c r="B14" i="21" s="1"/>
  <c r="K11" i="18"/>
  <c r="J11" i="18"/>
  <c r="I11" i="18"/>
  <c r="H11" i="18"/>
  <c r="G11" i="18"/>
  <c r="F11" i="18"/>
  <c r="E11" i="18"/>
  <c r="D11" i="18"/>
  <c r="C11" i="18"/>
  <c r="B11" i="18"/>
  <c r="K3" i="18"/>
  <c r="L14" i="16" s="1"/>
  <c r="J3" i="18"/>
  <c r="I3" i="18"/>
  <c r="H3" i="18"/>
  <c r="G3" i="18"/>
  <c r="F3" i="18"/>
  <c r="G14" i="16" s="1"/>
  <c r="E3" i="18"/>
  <c r="F14" i="16" s="1"/>
  <c r="D3" i="18"/>
  <c r="C3" i="18"/>
  <c r="B3" i="18"/>
  <c r="K16" i="17"/>
  <c r="F16" i="17"/>
  <c r="F5" i="17" s="1"/>
  <c r="D16" i="17"/>
  <c r="D4" i="17" s="1"/>
  <c r="L15" i="17"/>
  <c r="K15" i="17"/>
  <c r="J15" i="17"/>
  <c r="I15" i="17"/>
  <c r="H15" i="17"/>
  <c r="G15" i="17"/>
  <c r="G6" i="7" s="1"/>
  <c r="B6" i="7" s="1"/>
  <c r="F15" i="17"/>
  <c r="E15" i="17"/>
  <c r="D15" i="17"/>
  <c r="C15" i="17"/>
  <c r="L14" i="17"/>
  <c r="K14" i="17"/>
  <c r="J14" i="17"/>
  <c r="I14" i="17"/>
  <c r="H14" i="17"/>
  <c r="G14" i="17"/>
  <c r="F14" i="17"/>
  <c r="E14" i="17"/>
  <c r="D14" i="17"/>
  <c r="C14" i="17"/>
  <c r="L13" i="17"/>
  <c r="K13" i="17"/>
  <c r="J13" i="17"/>
  <c r="I13" i="17"/>
  <c r="H13" i="17"/>
  <c r="G13" i="17"/>
  <c r="F13" i="17"/>
  <c r="F6" i="17" s="1"/>
  <c r="F24" i="17" s="1"/>
  <c r="E13" i="17"/>
  <c r="D13" i="17"/>
  <c r="C13" i="17"/>
  <c r="L12" i="17"/>
  <c r="L20" i="17" s="1"/>
  <c r="K12" i="17"/>
  <c r="K20" i="17" s="1"/>
  <c r="J12" i="17"/>
  <c r="J20" i="17" s="1"/>
  <c r="I12" i="17"/>
  <c r="I20" i="17" s="1"/>
  <c r="H12" i="17"/>
  <c r="H20" i="17" s="1"/>
  <c r="G12" i="17"/>
  <c r="G20" i="17" s="1"/>
  <c r="F12" i="17"/>
  <c r="F20" i="17" s="1"/>
  <c r="E12" i="17"/>
  <c r="E20" i="17" s="1"/>
  <c r="D12" i="17"/>
  <c r="D20" i="17" s="1"/>
  <c r="C12" i="17"/>
  <c r="C20" i="17" s="1"/>
  <c r="L11" i="17"/>
  <c r="K11" i="17"/>
  <c r="J11" i="17"/>
  <c r="I11" i="17"/>
  <c r="H11" i="17"/>
  <c r="H19" i="17" s="1"/>
  <c r="G11" i="17"/>
  <c r="F11" i="17"/>
  <c r="F19" i="17" s="1"/>
  <c r="E11" i="17"/>
  <c r="E19" i="17" s="1"/>
  <c r="D11" i="17"/>
  <c r="C11" i="17"/>
  <c r="L10" i="17"/>
  <c r="K10" i="17"/>
  <c r="J10" i="17"/>
  <c r="J19" i="17" s="1"/>
  <c r="I10" i="17"/>
  <c r="I19" i="17" s="1"/>
  <c r="H10" i="17"/>
  <c r="G10" i="17"/>
  <c r="F10" i="17"/>
  <c r="E10" i="17"/>
  <c r="D10" i="17"/>
  <c r="D19" i="17" s="1"/>
  <c r="C10" i="17"/>
  <c r="K14" i="16"/>
  <c r="I14" i="16"/>
  <c r="H14" i="16"/>
  <c r="E14" i="16"/>
  <c r="D14" i="16"/>
  <c r="E12" i="16"/>
  <c r="D12" i="16"/>
  <c r="J11" i="16"/>
  <c r="I118" i="15"/>
  <c r="I119" i="15" s="1"/>
  <c r="H118" i="15"/>
  <c r="H119" i="15" s="1"/>
  <c r="L117" i="15"/>
  <c r="L118" i="15" s="1"/>
  <c r="L119" i="15" s="1"/>
  <c r="K117" i="15"/>
  <c r="K118" i="15" s="1"/>
  <c r="K119" i="15" s="1"/>
  <c r="J117" i="15"/>
  <c r="J118" i="15" s="1"/>
  <c r="J119" i="15" s="1"/>
  <c r="I117" i="15"/>
  <c r="H117" i="15"/>
  <c r="G117" i="15"/>
  <c r="G118" i="15" s="1"/>
  <c r="G119" i="15" s="1"/>
  <c r="F117" i="15"/>
  <c r="F118" i="15" s="1"/>
  <c r="F119" i="15" s="1"/>
  <c r="E117" i="15"/>
  <c r="E118" i="15" s="1"/>
  <c r="E119" i="15" s="1"/>
  <c r="D117" i="15"/>
  <c r="D118" i="15" s="1"/>
  <c r="D119" i="15" s="1"/>
  <c r="B114" i="15"/>
  <c r="C117" i="15" s="1"/>
  <c r="L103" i="15"/>
  <c r="N2" i="19" s="1"/>
  <c r="K103" i="15"/>
  <c r="M2" i="19" s="1"/>
  <c r="J103" i="15"/>
  <c r="L2" i="19" s="1"/>
  <c r="I103" i="15"/>
  <c r="K2" i="19" s="1"/>
  <c r="I16" i="16" s="1"/>
  <c r="H103" i="15"/>
  <c r="J2" i="19" s="1"/>
  <c r="H16" i="16" s="1"/>
  <c r="G103" i="15"/>
  <c r="I2" i="19" s="1"/>
  <c r="F103" i="15"/>
  <c r="H2" i="19" s="1"/>
  <c r="F16" i="16" s="1"/>
  <c r="E103" i="15"/>
  <c r="G2" i="19" s="1"/>
  <c r="D103" i="15"/>
  <c r="F2" i="19" s="1"/>
  <c r="D16" i="16" s="1"/>
  <c r="C103" i="15"/>
  <c r="E2" i="19" s="1"/>
  <c r="C16" i="16" s="1"/>
  <c r="L100" i="15"/>
  <c r="K10" i="18" s="1"/>
  <c r="K100" i="15"/>
  <c r="J10" i="18" s="1"/>
  <c r="J100" i="15"/>
  <c r="I10" i="18" s="1"/>
  <c r="I100" i="15"/>
  <c r="H10" i="18" s="1"/>
  <c r="H100" i="15"/>
  <c r="G10" i="18" s="1"/>
  <c r="G100" i="15"/>
  <c r="F10" i="18" s="1"/>
  <c r="F100" i="15"/>
  <c r="E10" i="18" s="1"/>
  <c r="E100" i="15"/>
  <c r="D10" i="18" s="1"/>
  <c r="D100" i="15"/>
  <c r="C10" i="18" s="1"/>
  <c r="C100" i="15"/>
  <c r="B10" i="18" s="1"/>
  <c r="L99" i="15"/>
  <c r="K9" i="18" s="1"/>
  <c r="K99" i="15"/>
  <c r="J9" i="18" s="1"/>
  <c r="J99" i="15"/>
  <c r="I9" i="18" s="1"/>
  <c r="I99" i="15"/>
  <c r="H9" i="18" s="1"/>
  <c r="H99" i="15"/>
  <c r="G9" i="18" s="1"/>
  <c r="G99" i="15"/>
  <c r="F9" i="18" s="1"/>
  <c r="F99" i="15"/>
  <c r="E9" i="18" s="1"/>
  <c r="E99" i="15"/>
  <c r="D9" i="18" s="1"/>
  <c r="D99" i="15"/>
  <c r="C9" i="18" s="1"/>
  <c r="C99" i="15"/>
  <c r="B9" i="18" s="1"/>
  <c r="L98" i="15"/>
  <c r="K8" i="18" s="1"/>
  <c r="K98" i="15"/>
  <c r="J8" i="18" s="1"/>
  <c r="J98" i="15"/>
  <c r="I8" i="18" s="1"/>
  <c r="I98" i="15"/>
  <c r="H8" i="18" s="1"/>
  <c r="H98" i="15"/>
  <c r="G8" i="18" s="1"/>
  <c r="G98" i="15"/>
  <c r="F8" i="18" s="1"/>
  <c r="F98" i="15"/>
  <c r="E8" i="18" s="1"/>
  <c r="E98" i="15"/>
  <c r="D8" i="18" s="1"/>
  <c r="D98" i="15"/>
  <c r="C8" i="18" s="1"/>
  <c r="C98" i="15"/>
  <c r="B8" i="18" s="1"/>
  <c r="L97" i="15"/>
  <c r="K7" i="18" s="1"/>
  <c r="K97" i="15"/>
  <c r="J7" i="18" s="1"/>
  <c r="J97" i="15"/>
  <c r="I7" i="18" s="1"/>
  <c r="I97" i="15"/>
  <c r="H7" i="18" s="1"/>
  <c r="H97" i="15"/>
  <c r="G7" i="18" s="1"/>
  <c r="G97" i="15"/>
  <c r="F7" i="18" s="1"/>
  <c r="F97" i="15"/>
  <c r="E7" i="18" s="1"/>
  <c r="E97" i="15"/>
  <c r="D7" i="18" s="1"/>
  <c r="D97" i="15"/>
  <c r="C7" i="18" s="1"/>
  <c r="C97" i="15"/>
  <c r="B7" i="18" s="1"/>
  <c r="L96" i="15"/>
  <c r="K6" i="18" s="1"/>
  <c r="K96" i="15"/>
  <c r="J6" i="18" s="1"/>
  <c r="J96" i="15"/>
  <c r="I6" i="18" s="1"/>
  <c r="I96" i="15"/>
  <c r="H6" i="18" s="1"/>
  <c r="H96" i="15"/>
  <c r="G6" i="18" s="1"/>
  <c r="G96" i="15"/>
  <c r="F6" i="18" s="1"/>
  <c r="F96" i="15"/>
  <c r="E6" i="18" s="1"/>
  <c r="E96" i="15"/>
  <c r="D6" i="18" s="1"/>
  <c r="D96" i="15"/>
  <c r="C6" i="18" s="1"/>
  <c r="C96" i="15"/>
  <c r="B6" i="18" s="1"/>
  <c r="L95" i="15"/>
  <c r="K5" i="18" s="1"/>
  <c r="K95" i="15"/>
  <c r="J5" i="18" s="1"/>
  <c r="J95" i="15"/>
  <c r="I5" i="18" s="1"/>
  <c r="I95" i="15"/>
  <c r="H5" i="18" s="1"/>
  <c r="H95" i="15"/>
  <c r="G5" i="18" s="1"/>
  <c r="G95" i="15"/>
  <c r="F5" i="18" s="1"/>
  <c r="F95" i="15"/>
  <c r="E5" i="18" s="1"/>
  <c r="E95" i="15"/>
  <c r="D5" i="18" s="1"/>
  <c r="D95" i="15"/>
  <c r="C5" i="18" s="1"/>
  <c r="C95" i="15"/>
  <c r="B5" i="18" s="1"/>
  <c r="G89" i="15"/>
  <c r="G13" i="16" s="1"/>
  <c r="E89" i="15"/>
  <c r="E13" i="16" s="1"/>
  <c r="L88" i="15"/>
  <c r="L12" i="16" s="1"/>
  <c r="K88" i="15"/>
  <c r="K12" i="16" s="1"/>
  <c r="J88" i="15"/>
  <c r="J12" i="16" s="1"/>
  <c r="I88" i="15"/>
  <c r="I12" i="16" s="1"/>
  <c r="H88" i="15"/>
  <c r="H12" i="16" s="1"/>
  <c r="G88" i="15"/>
  <c r="G12" i="16" s="1"/>
  <c r="F88" i="15"/>
  <c r="F12" i="16" s="1"/>
  <c r="E88" i="15"/>
  <c r="D88" i="15"/>
  <c r="C88" i="15"/>
  <c r="C12" i="16" s="1"/>
  <c r="L87" i="15"/>
  <c r="L11" i="16" s="1"/>
  <c r="K87" i="15"/>
  <c r="K11" i="16" s="1"/>
  <c r="J87" i="15"/>
  <c r="J89" i="15" s="1"/>
  <c r="J13" i="16" s="1"/>
  <c r="I87" i="15"/>
  <c r="I11" i="16" s="1"/>
  <c r="H87" i="15"/>
  <c r="H11" i="16" s="1"/>
  <c r="G87" i="15"/>
  <c r="G11" i="16" s="1"/>
  <c r="F87" i="15"/>
  <c r="F89" i="15" s="1"/>
  <c r="F13" i="16" s="1"/>
  <c r="E87" i="15"/>
  <c r="E11" i="16" s="1"/>
  <c r="D87" i="15"/>
  <c r="D89" i="15" s="1"/>
  <c r="D13" i="16" s="1"/>
  <c r="C87" i="15"/>
  <c r="C11" i="16" s="1"/>
  <c r="L85" i="15"/>
  <c r="K85" i="15"/>
  <c r="J85" i="15"/>
  <c r="J83" i="15" s="1"/>
  <c r="J4" i="16" s="1"/>
  <c r="I85" i="15"/>
  <c r="H85" i="15"/>
  <c r="G85" i="15"/>
  <c r="F85" i="15"/>
  <c r="E85" i="15"/>
  <c r="D85" i="15"/>
  <c r="D83" i="15" s="1"/>
  <c r="D4" i="16" s="1"/>
  <c r="C85" i="15"/>
  <c r="L84" i="15"/>
  <c r="L83" i="15" s="1"/>
  <c r="L4" i="16" s="1"/>
  <c r="K84" i="15"/>
  <c r="J84" i="15"/>
  <c r="I84" i="15"/>
  <c r="H84" i="15"/>
  <c r="H83" i="15" s="1"/>
  <c r="H4" i="16" s="1"/>
  <c r="G84" i="15"/>
  <c r="G83" i="15" s="1"/>
  <c r="G4" i="16" s="1"/>
  <c r="F84" i="15"/>
  <c r="E84" i="15"/>
  <c r="D84" i="15"/>
  <c r="C84" i="15"/>
  <c r="C83" i="15" s="1"/>
  <c r="C4" i="16" s="1"/>
  <c r="F83" i="15"/>
  <c r="F4" i="16" s="1"/>
  <c r="E83" i="15"/>
  <c r="E4" i="16" s="1"/>
  <c r="L82" i="15"/>
  <c r="K82" i="15"/>
  <c r="K80" i="15" s="1"/>
  <c r="K3" i="16" s="1"/>
  <c r="J82" i="15"/>
  <c r="J80" i="15" s="1"/>
  <c r="J3" i="16" s="1"/>
  <c r="I82" i="15"/>
  <c r="H82" i="15"/>
  <c r="G82" i="15"/>
  <c r="F82" i="15"/>
  <c r="E82" i="15"/>
  <c r="D82" i="15"/>
  <c r="C82" i="15"/>
  <c r="L81" i="15"/>
  <c r="K81" i="15"/>
  <c r="J81" i="15"/>
  <c r="I81" i="15"/>
  <c r="I80" i="15" s="1"/>
  <c r="I3" i="16" s="1"/>
  <c r="H81" i="15"/>
  <c r="H80" i="15" s="1"/>
  <c r="H3" i="16" s="1"/>
  <c r="G81" i="15"/>
  <c r="G80" i="15" s="1"/>
  <c r="G3" i="16" s="1"/>
  <c r="F81" i="15"/>
  <c r="F80" i="15" s="1"/>
  <c r="F3" i="16" s="1"/>
  <c r="E81" i="15"/>
  <c r="D81" i="15"/>
  <c r="D80" i="15" s="1"/>
  <c r="D3" i="16" s="1"/>
  <c r="C81" i="15"/>
  <c r="C80" i="15" s="1"/>
  <c r="C3" i="16" s="1"/>
  <c r="L80" i="15"/>
  <c r="L3" i="16" s="1"/>
  <c r="O54" i="15"/>
  <c r="L54" i="15"/>
  <c r="L7" i="21" s="1"/>
  <c r="K54" i="15"/>
  <c r="K7" i="21" s="1"/>
  <c r="J54" i="15"/>
  <c r="J7" i="21" s="1"/>
  <c r="I54" i="15"/>
  <c r="I7" i="21" s="1"/>
  <c r="H54" i="15"/>
  <c r="H7" i="21" s="1"/>
  <c r="G54" i="15"/>
  <c r="G7" i="21" s="1"/>
  <c r="F54" i="15"/>
  <c r="F7" i="21" s="1"/>
  <c r="E54" i="15"/>
  <c r="E7" i="21" s="1"/>
  <c r="D54" i="15"/>
  <c r="D7" i="21" s="1"/>
  <c r="C54" i="15"/>
  <c r="C7" i="21" s="1"/>
  <c r="L53" i="15"/>
  <c r="L25" i="21" s="1"/>
  <c r="K53" i="15"/>
  <c r="K25" i="21" s="1"/>
  <c r="J53" i="15"/>
  <c r="J25" i="21" s="1"/>
  <c r="I53" i="15"/>
  <c r="I25" i="21" s="1"/>
  <c r="H53" i="15"/>
  <c r="H25" i="21" s="1"/>
  <c r="G53" i="15"/>
  <c r="G25" i="21" s="1"/>
  <c r="F53" i="15"/>
  <c r="F25" i="21" s="1"/>
  <c r="E53" i="15"/>
  <c r="E25" i="21" s="1"/>
  <c r="D53" i="15"/>
  <c r="D25" i="21" s="1"/>
  <c r="C53" i="15"/>
  <c r="C25" i="21" s="1"/>
  <c r="L52" i="15"/>
  <c r="L28" i="21" s="1"/>
  <c r="K52" i="15"/>
  <c r="J52" i="15"/>
  <c r="I52" i="15"/>
  <c r="H52" i="15"/>
  <c r="G52" i="15"/>
  <c r="F52" i="15"/>
  <c r="E52" i="15"/>
  <c r="D52" i="15"/>
  <c r="C52" i="15"/>
  <c r="L48" i="15"/>
  <c r="K48" i="15"/>
  <c r="J48" i="15"/>
  <c r="I48" i="15"/>
  <c r="H48" i="15"/>
  <c r="G48" i="15"/>
  <c r="F48" i="15"/>
  <c r="E48" i="15"/>
  <c r="D48" i="15"/>
  <c r="C48" i="15"/>
  <c r="L47" i="15"/>
  <c r="K47" i="15"/>
  <c r="J47" i="15"/>
  <c r="I47" i="15"/>
  <c r="I9" i="7" s="1"/>
  <c r="H47" i="15"/>
  <c r="G47" i="15"/>
  <c r="G9" i="7" s="1"/>
  <c r="F47" i="15"/>
  <c r="E47" i="15"/>
  <c r="D47" i="15"/>
  <c r="D9" i="7" s="1"/>
  <c r="C47" i="15"/>
  <c r="C9" i="7" s="1"/>
  <c r="L46" i="15"/>
  <c r="K46" i="15"/>
  <c r="J46" i="15"/>
  <c r="I46" i="15"/>
  <c r="H46" i="15"/>
  <c r="G46" i="15"/>
  <c r="F46" i="15"/>
  <c r="E46" i="15"/>
  <c r="E10" i="7" s="1"/>
  <c r="D46" i="15"/>
  <c r="C46" i="15"/>
  <c r="L44" i="15"/>
  <c r="L8" i="7" s="1"/>
  <c r="K44" i="15"/>
  <c r="K8" i="7" s="1"/>
  <c r="J44" i="15"/>
  <c r="I44" i="15"/>
  <c r="H44" i="15"/>
  <c r="G44" i="15"/>
  <c r="F44" i="15"/>
  <c r="F8" i="7" s="1"/>
  <c r="E44" i="15"/>
  <c r="E8" i="7" s="1"/>
  <c r="D44" i="15"/>
  <c r="C44" i="15"/>
  <c r="C8" i="7" s="1"/>
  <c r="L41" i="15"/>
  <c r="K41" i="15"/>
  <c r="J41" i="15"/>
  <c r="I41" i="15"/>
  <c r="H41" i="15"/>
  <c r="G41" i="15"/>
  <c r="F41" i="15"/>
  <c r="F29" i="21" s="1"/>
  <c r="E41" i="15"/>
  <c r="D41" i="15"/>
  <c r="D17" i="20" s="1"/>
  <c r="C41" i="15"/>
  <c r="L40" i="15"/>
  <c r="K40" i="15"/>
  <c r="J40" i="15"/>
  <c r="I40" i="15"/>
  <c r="H40" i="15"/>
  <c r="G40" i="15"/>
  <c r="F40" i="15"/>
  <c r="E40" i="15"/>
  <c r="D40" i="15"/>
  <c r="C40" i="15"/>
  <c r="L39" i="15"/>
  <c r="K39" i="15"/>
  <c r="J39" i="15"/>
  <c r="I39" i="15"/>
  <c r="H39" i="15"/>
  <c r="G39" i="15"/>
  <c r="F39" i="15"/>
  <c r="E39" i="15"/>
  <c r="D39" i="15"/>
  <c r="C39" i="15"/>
  <c r="L38" i="15"/>
  <c r="K38" i="15"/>
  <c r="J38" i="15"/>
  <c r="I38" i="15"/>
  <c r="H38" i="15"/>
  <c r="G38" i="15"/>
  <c r="F38" i="15"/>
  <c r="E38" i="15"/>
  <c r="E3" i="21" s="1"/>
  <c r="D38" i="15"/>
  <c r="C38" i="15"/>
  <c r="L37" i="15"/>
  <c r="L16" i="17" s="1"/>
  <c r="K37" i="15"/>
  <c r="J37" i="15"/>
  <c r="J16" i="17" s="1"/>
  <c r="I37" i="15"/>
  <c r="I16" i="17" s="1"/>
  <c r="H37" i="15"/>
  <c r="H16" i="17" s="1"/>
  <c r="G37" i="15"/>
  <c r="G16" i="17" s="1"/>
  <c r="F37" i="15"/>
  <c r="E37" i="15"/>
  <c r="E16" i="17" s="1"/>
  <c r="D37" i="15"/>
  <c r="C37" i="15"/>
  <c r="C16" i="17" s="1"/>
  <c r="L36" i="15"/>
  <c r="K36" i="15"/>
  <c r="J36" i="15"/>
  <c r="I36" i="15"/>
  <c r="H36" i="15"/>
  <c r="G36" i="15"/>
  <c r="F36" i="15"/>
  <c r="E36" i="15"/>
  <c r="D36" i="15"/>
  <c r="C36" i="15"/>
  <c r="L35" i="15"/>
  <c r="K35" i="15"/>
  <c r="J35" i="15"/>
  <c r="I35" i="15"/>
  <c r="H35" i="15"/>
  <c r="G35" i="15"/>
  <c r="F35" i="15"/>
  <c r="E35" i="15"/>
  <c r="D35" i="15"/>
  <c r="C35" i="15"/>
  <c r="L34" i="15"/>
  <c r="K34" i="15"/>
  <c r="J34" i="15"/>
  <c r="I34" i="15"/>
  <c r="H34" i="15"/>
  <c r="G34" i="15"/>
  <c r="F34" i="15"/>
  <c r="E34" i="15"/>
  <c r="D34" i="15"/>
  <c r="C34" i="15"/>
  <c r="K33" i="15"/>
  <c r="K13" i="20" s="1"/>
  <c r="L32" i="15"/>
  <c r="K32" i="15"/>
  <c r="J32" i="15"/>
  <c r="I32" i="15"/>
  <c r="I33" i="15" s="1"/>
  <c r="I13" i="20" s="1"/>
  <c r="H32" i="15"/>
  <c r="G32" i="15"/>
  <c r="F32" i="15"/>
  <c r="F33" i="15" s="1"/>
  <c r="F13" i="20" s="1"/>
  <c r="E32" i="15"/>
  <c r="D32" i="15"/>
  <c r="D33" i="15" s="1"/>
  <c r="D13" i="20" s="1"/>
  <c r="C32" i="15"/>
  <c r="L31" i="15"/>
  <c r="L4" i="20" s="1"/>
  <c r="K31" i="15"/>
  <c r="J31" i="15"/>
  <c r="I31" i="15"/>
  <c r="H31" i="15"/>
  <c r="H33" i="15" s="1"/>
  <c r="H13" i="20" s="1"/>
  <c r="G31" i="15"/>
  <c r="F31" i="15"/>
  <c r="E31" i="15"/>
  <c r="D31" i="15"/>
  <c r="C31" i="15"/>
  <c r="L30" i="15"/>
  <c r="K30" i="15"/>
  <c r="J30" i="15"/>
  <c r="I30" i="15"/>
  <c r="H30" i="15"/>
  <c r="G30" i="15"/>
  <c r="F30" i="15"/>
  <c r="E30" i="15"/>
  <c r="E29" i="20" s="1"/>
  <c r="D30" i="15"/>
  <c r="C30" i="15"/>
  <c r="L26" i="15"/>
  <c r="K26" i="15"/>
  <c r="J26" i="15"/>
  <c r="I26" i="15"/>
  <c r="H26" i="15"/>
  <c r="G26" i="15"/>
  <c r="F26" i="15"/>
  <c r="E26" i="15"/>
  <c r="D26" i="15"/>
  <c r="C26" i="15"/>
  <c r="L25" i="15"/>
  <c r="K25" i="15"/>
  <c r="J25" i="15"/>
  <c r="I25" i="15"/>
  <c r="H25" i="15"/>
  <c r="G25" i="15"/>
  <c r="F25" i="15"/>
  <c r="E25" i="15"/>
  <c r="D25" i="15"/>
  <c r="C25" i="15"/>
  <c r="L24" i="15"/>
  <c r="K24" i="15"/>
  <c r="J24" i="15"/>
  <c r="I24" i="15"/>
  <c r="H24" i="15"/>
  <c r="G24" i="15"/>
  <c r="F24" i="15"/>
  <c r="E24" i="15"/>
  <c r="D24" i="15"/>
  <c r="C24" i="15"/>
  <c r="L23" i="15"/>
  <c r="K23" i="15"/>
  <c r="J23" i="15"/>
  <c r="I23" i="15"/>
  <c r="H23" i="15"/>
  <c r="G23" i="15"/>
  <c r="F23" i="15"/>
  <c r="E23" i="15"/>
  <c r="D23" i="15"/>
  <c r="C23" i="15"/>
  <c r="L22" i="15"/>
  <c r="K22" i="15"/>
  <c r="J22" i="15"/>
  <c r="I22" i="15"/>
  <c r="H22" i="15"/>
  <c r="G22" i="15"/>
  <c r="F22" i="15"/>
  <c r="E22" i="15"/>
  <c r="D22" i="15"/>
  <c r="C22" i="15"/>
  <c r="C27" i="15" s="1"/>
  <c r="L21" i="15"/>
  <c r="K21" i="15"/>
  <c r="J21" i="15"/>
  <c r="I21" i="15"/>
  <c r="H21" i="15"/>
  <c r="G21" i="15"/>
  <c r="F21" i="15"/>
  <c r="E21" i="15"/>
  <c r="D21" i="15"/>
  <c r="C21" i="15"/>
  <c r="L20" i="15"/>
  <c r="K20" i="15"/>
  <c r="K38" i="20" s="1"/>
  <c r="K40" i="20" s="1"/>
  <c r="J20" i="15"/>
  <c r="J27" i="15" s="1"/>
  <c r="I20" i="15"/>
  <c r="H20" i="15"/>
  <c r="H38" i="20" s="1"/>
  <c r="G20" i="15"/>
  <c r="G38" i="20" s="1"/>
  <c r="F20" i="15"/>
  <c r="F38" i="20" s="1"/>
  <c r="F40" i="20" s="1"/>
  <c r="E20" i="15"/>
  <c r="E27" i="15" s="1"/>
  <c r="D20" i="15"/>
  <c r="C20" i="15"/>
  <c r="L19" i="15"/>
  <c r="K19" i="15"/>
  <c r="J19" i="15"/>
  <c r="I19" i="15"/>
  <c r="H19" i="15"/>
  <c r="G19" i="15"/>
  <c r="F19" i="15"/>
  <c r="E19" i="15"/>
  <c r="D19" i="15"/>
  <c r="C19" i="15"/>
  <c r="L18" i="15"/>
  <c r="K18" i="15"/>
  <c r="J18" i="15"/>
  <c r="I18" i="15"/>
  <c r="H18" i="15"/>
  <c r="G18" i="15"/>
  <c r="F18" i="15"/>
  <c r="E18" i="15"/>
  <c r="D18" i="15"/>
  <c r="C18" i="15"/>
  <c r="L17" i="15"/>
  <c r="K17" i="15"/>
  <c r="J17" i="15"/>
  <c r="I17" i="15"/>
  <c r="H17" i="15"/>
  <c r="G17" i="15"/>
  <c r="F17" i="15"/>
  <c r="E17" i="15"/>
  <c r="D17" i="15"/>
  <c r="C17" i="15"/>
  <c r="L16" i="15"/>
  <c r="K16" i="15"/>
  <c r="J16" i="15"/>
  <c r="I16" i="15"/>
  <c r="H16" i="15"/>
  <c r="G16" i="15"/>
  <c r="F16" i="15"/>
  <c r="E16" i="15"/>
  <c r="D16" i="15"/>
  <c r="C16" i="15"/>
  <c r="L15" i="15"/>
  <c r="K15" i="15"/>
  <c r="J15" i="15"/>
  <c r="J34" i="20" s="1"/>
  <c r="I15" i="15"/>
  <c r="H15" i="15"/>
  <c r="H34" i="20" s="1"/>
  <c r="G15" i="15"/>
  <c r="F15" i="15"/>
  <c r="E15" i="15"/>
  <c r="D15" i="15"/>
  <c r="C15" i="15"/>
  <c r="L14" i="15"/>
  <c r="K14" i="15"/>
  <c r="J14" i="15"/>
  <c r="I14" i="15"/>
  <c r="H14" i="15"/>
  <c r="G14" i="15"/>
  <c r="F14" i="15"/>
  <c r="E14" i="15"/>
  <c r="D14" i="15"/>
  <c r="C14" i="15"/>
  <c r="L13" i="15"/>
  <c r="K13" i="15"/>
  <c r="J13" i="15"/>
  <c r="I13" i="15"/>
  <c r="H13" i="15"/>
  <c r="G13" i="15"/>
  <c r="F13" i="15"/>
  <c r="E13" i="15"/>
  <c r="D13" i="15"/>
  <c r="C13" i="15"/>
  <c r="L12" i="15"/>
  <c r="K12" i="15"/>
  <c r="J12" i="15"/>
  <c r="I12" i="15"/>
  <c r="H12" i="15"/>
  <c r="G12" i="15"/>
  <c r="F12" i="15"/>
  <c r="E12" i="15"/>
  <c r="D12" i="15"/>
  <c r="C12" i="15"/>
  <c r="L11" i="15"/>
  <c r="K11" i="15"/>
  <c r="J11" i="15"/>
  <c r="I11" i="15"/>
  <c r="H11" i="15"/>
  <c r="G11" i="15"/>
  <c r="F11" i="15"/>
  <c r="E11" i="15"/>
  <c r="D11" i="15"/>
  <c r="C11" i="15"/>
  <c r="L10" i="15"/>
  <c r="L32" i="20" s="1"/>
  <c r="K10" i="15"/>
  <c r="K32" i="20" s="1"/>
  <c r="J10" i="15"/>
  <c r="I10" i="15"/>
  <c r="H10" i="15"/>
  <c r="G10" i="15"/>
  <c r="F10" i="15"/>
  <c r="F32" i="20" s="1"/>
  <c r="E10" i="15"/>
  <c r="E32" i="20" s="1"/>
  <c r="D10" i="15"/>
  <c r="D32" i="20" s="1"/>
  <c r="C10" i="15"/>
  <c r="C32" i="20" s="1"/>
  <c r="L9" i="15"/>
  <c r="K9" i="15"/>
  <c r="J9" i="15"/>
  <c r="I9" i="15"/>
  <c r="H9" i="15"/>
  <c r="G9" i="15"/>
  <c r="F9" i="15"/>
  <c r="E9" i="15"/>
  <c r="D9" i="15"/>
  <c r="C9" i="15"/>
  <c r="L8" i="15"/>
  <c r="K8" i="15"/>
  <c r="K27" i="20" s="1"/>
  <c r="J8" i="15"/>
  <c r="J27" i="20" s="1"/>
  <c r="I8" i="15"/>
  <c r="H8" i="15"/>
  <c r="G8" i="15"/>
  <c r="F8" i="15"/>
  <c r="E8" i="15"/>
  <c r="D8" i="15"/>
  <c r="C8" i="15"/>
  <c r="L7" i="15"/>
  <c r="K7" i="15"/>
  <c r="J7" i="15"/>
  <c r="I7" i="15"/>
  <c r="I28" i="20" s="1"/>
  <c r="H7" i="15"/>
  <c r="H28" i="20" s="1"/>
  <c r="G7" i="15"/>
  <c r="F7" i="15"/>
  <c r="E7" i="15"/>
  <c r="D7" i="15"/>
  <c r="C7" i="15"/>
  <c r="L6" i="15"/>
  <c r="K6" i="15"/>
  <c r="J6" i="15"/>
  <c r="I6" i="15"/>
  <c r="H6" i="15"/>
  <c r="G6" i="15"/>
  <c r="F6" i="15"/>
  <c r="E6" i="15"/>
  <c r="D6" i="15"/>
  <c r="C6" i="15"/>
  <c r="L5" i="15"/>
  <c r="L33" i="20" s="1"/>
  <c r="K5" i="15"/>
  <c r="K33" i="20" s="1"/>
  <c r="J5" i="15"/>
  <c r="I5" i="15"/>
  <c r="H5" i="15"/>
  <c r="G5" i="15"/>
  <c r="F5" i="15"/>
  <c r="E5" i="15"/>
  <c r="E33" i="20" s="1"/>
  <c r="D5" i="15"/>
  <c r="D33" i="20" s="1"/>
  <c r="C5" i="15"/>
  <c r="K12" i="14"/>
  <c r="L12" i="14" s="1"/>
  <c r="M12" i="14" s="1" a="1"/>
  <c r="M12" i="14" s="1"/>
  <c r="K11" i="14" a="1"/>
  <c r="K11" i="14" s="1"/>
  <c r="L11" i="14" s="1"/>
  <c r="M11" i="14" s="1" a="1"/>
  <c r="M11" i="14" s="1"/>
  <c r="K10" i="14" a="1"/>
  <c r="K10" i="14"/>
  <c r="L10" i="14" s="1"/>
  <c r="M10" i="14" s="1" a="1"/>
  <c r="M10" i="14" s="1"/>
  <c r="K9" i="14" a="1"/>
  <c r="K9" i="14" s="1"/>
  <c r="L9" i="14" s="1"/>
  <c r="M9" i="14" s="1" a="1"/>
  <c r="M9" i="14" s="1"/>
  <c r="K8" i="14" a="1"/>
  <c r="K8" i="14" s="1"/>
  <c r="L8" i="14" s="1"/>
  <c r="M8" i="14" s="1" a="1"/>
  <c r="M8" i="14" s="1"/>
  <c r="K7" i="14" a="1"/>
  <c r="K7" i="14" s="1"/>
  <c r="L7" i="14" s="1"/>
  <c r="M7" i="14" s="1" a="1"/>
  <c r="M7" i="14" s="1"/>
  <c r="K6" i="14" a="1"/>
  <c r="K6" i="14" s="1"/>
  <c r="L6" i="14" s="1"/>
  <c r="M6" i="14" s="1" a="1"/>
  <c r="M6" i="14" s="1"/>
  <c r="K5" i="14" a="1"/>
  <c r="K5" i="14" s="1"/>
  <c r="L5" i="14" s="1"/>
  <c r="M5" i="14" s="1" a="1"/>
  <c r="M5" i="14" s="1"/>
  <c r="K4" i="14" a="1"/>
  <c r="K4" i="14" s="1"/>
  <c r="L4" i="14" s="1"/>
  <c r="M4" i="14" s="1" a="1"/>
  <c r="M4" i="14" s="1"/>
  <c r="K3" i="14" a="1"/>
  <c r="K3" i="14" s="1"/>
  <c r="L3" i="14" s="1"/>
  <c r="M3" i="14" s="1" a="1"/>
  <c r="M3" i="14" s="1"/>
  <c r="K2" i="14" a="1"/>
  <c r="K2" i="14"/>
  <c r="L2" i="14" s="1"/>
  <c r="M2" i="14" s="1" a="1"/>
  <c r="M2" i="14" s="1"/>
  <c r="E68" i="10"/>
  <c r="E67" i="10"/>
  <c r="E66" i="10"/>
  <c r="D65" i="10"/>
  <c r="C65" i="10"/>
  <c r="E64" i="10"/>
  <c r="E63" i="10"/>
  <c r="E62" i="10"/>
  <c r="D61" i="10"/>
  <c r="C61" i="10"/>
  <c r="E60" i="10"/>
  <c r="E59" i="10"/>
  <c r="E58" i="10"/>
  <c r="D57" i="10"/>
  <c r="C57" i="10"/>
  <c r="E56" i="10"/>
  <c r="E55" i="10"/>
  <c r="E54" i="10"/>
  <c r="E53" i="10"/>
  <c r="E52" i="10"/>
  <c r="E51" i="10"/>
  <c r="D50" i="10"/>
  <c r="C50" i="10"/>
  <c r="E49" i="10"/>
  <c r="E48" i="10"/>
  <c r="E47" i="10"/>
  <c r="D46" i="10"/>
  <c r="C46" i="10"/>
  <c r="E45" i="10"/>
  <c r="E44" i="10"/>
  <c r="E43" i="10"/>
  <c r="E42" i="10"/>
  <c r="D41" i="10"/>
  <c r="C41" i="10"/>
  <c r="E40" i="10"/>
  <c r="E39" i="10"/>
  <c r="E38" i="10"/>
  <c r="D37" i="10"/>
  <c r="C37" i="10"/>
  <c r="E36" i="10"/>
  <c r="E35" i="10"/>
  <c r="E34" i="10"/>
  <c r="E33" i="10"/>
  <c r="E32" i="10"/>
  <c r="E31" i="10"/>
  <c r="E30" i="10"/>
  <c r="D28" i="10"/>
  <c r="C28" i="10"/>
  <c r="E27" i="10"/>
  <c r="E26" i="10"/>
  <c r="D25" i="10"/>
  <c r="C25" i="10"/>
  <c r="E24" i="10"/>
  <c r="E23" i="10"/>
  <c r="E22" i="10"/>
  <c r="E21" i="10"/>
  <c r="E20" i="10"/>
  <c r="D19" i="10"/>
  <c r="C19" i="10"/>
  <c r="E18" i="10"/>
  <c r="E17" i="10"/>
  <c r="E16" i="10"/>
  <c r="E15" i="10"/>
  <c r="E14" i="10"/>
  <c r="E13" i="10"/>
  <c r="E11" i="10"/>
  <c r="D9" i="10"/>
  <c r="C9" i="10"/>
  <c r="C1" i="10"/>
  <c r="A1" i="10"/>
  <c r="I75" i="9"/>
  <c r="E75" i="9"/>
  <c r="I74" i="9"/>
  <c r="E74" i="9"/>
  <c r="I73" i="9"/>
  <c r="E73" i="9"/>
  <c r="I72" i="9"/>
  <c r="E72" i="9"/>
  <c r="I71" i="9"/>
  <c r="E71" i="9"/>
  <c r="I70" i="9"/>
  <c r="E70" i="9"/>
  <c r="I69" i="9"/>
  <c r="E69" i="9"/>
  <c r="I68" i="9"/>
  <c r="E68" i="9"/>
  <c r="I67" i="9"/>
  <c r="E67" i="9"/>
  <c r="I66" i="9"/>
  <c r="E66" i="9"/>
  <c r="H65" i="9"/>
  <c r="G65" i="9"/>
  <c r="D65" i="9"/>
  <c r="C65" i="9"/>
  <c r="L64" i="9"/>
  <c r="K64" i="9"/>
  <c r="I64" i="9"/>
  <c r="E64" i="9"/>
  <c r="I63" i="9"/>
  <c r="E63" i="9"/>
  <c r="I62" i="9"/>
  <c r="E62" i="9"/>
  <c r="H61" i="9"/>
  <c r="G61" i="9"/>
  <c r="D61" i="9"/>
  <c r="C61" i="9"/>
  <c r="I60" i="9"/>
  <c r="E60" i="9"/>
  <c r="I59" i="9"/>
  <c r="E59" i="9"/>
  <c r="I58" i="9"/>
  <c r="E58" i="9"/>
  <c r="H57" i="9"/>
  <c r="G57" i="9"/>
  <c r="D57" i="9"/>
  <c r="C57" i="9"/>
  <c r="I56" i="9"/>
  <c r="E56" i="9"/>
  <c r="I55" i="9"/>
  <c r="E55" i="9"/>
  <c r="I54" i="9"/>
  <c r="E54" i="9"/>
  <c r="H53" i="9"/>
  <c r="G53" i="9"/>
  <c r="D53" i="9"/>
  <c r="C53" i="9"/>
  <c r="I52" i="9"/>
  <c r="E52" i="9"/>
  <c r="H51" i="9"/>
  <c r="G51" i="9"/>
  <c r="D51" i="9"/>
  <c r="C51" i="9"/>
  <c r="I50" i="9"/>
  <c r="E50" i="9"/>
  <c r="I49" i="9"/>
  <c r="E49" i="9"/>
  <c r="I48" i="9"/>
  <c r="E48" i="9"/>
  <c r="I47" i="9"/>
  <c r="E47" i="9"/>
  <c r="I46" i="9"/>
  <c r="E46" i="9"/>
  <c r="H45" i="9"/>
  <c r="G45" i="9"/>
  <c r="D45" i="9"/>
  <c r="C45" i="9"/>
  <c r="I44" i="9"/>
  <c r="E44" i="9"/>
  <c r="H43" i="9"/>
  <c r="G43" i="9"/>
  <c r="D43" i="9"/>
  <c r="C43" i="9"/>
  <c r="I42" i="9"/>
  <c r="E42" i="9"/>
  <c r="I41" i="9"/>
  <c r="E41" i="9"/>
  <c r="I40" i="9"/>
  <c r="E40" i="9"/>
  <c r="I39" i="9"/>
  <c r="E39" i="9"/>
  <c r="H38" i="9"/>
  <c r="G38" i="9"/>
  <c r="D38" i="9"/>
  <c r="C38" i="9"/>
  <c r="I37" i="9"/>
  <c r="E37" i="9"/>
  <c r="I36" i="9"/>
  <c r="E36" i="9"/>
  <c r="I35" i="9"/>
  <c r="E35" i="9"/>
  <c r="I34" i="9"/>
  <c r="E34" i="9"/>
  <c r="H33" i="9"/>
  <c r="G33" i="9"/>
  <c r="I33" i="9" s="1"/>
  <c r="D33" i="9"/>
  <c r="C33" i="9"/>
  <c r="L32" i="9"/>
  <c r="K32" i="9"/>
  <c r="I32" i="9"/>
  <c r="E32" i="9"/>
  <c r="H31" i="9"/>
  <c r="G31" i="9"/>
  <c r="D31" i="9"/>
  <c r="C31" i="9"/>
  <c r="I30" i="9"/>
  <c r="E30" i="9"/>
  <c r="I29" i="9"/>
  <c r="E29" i="9"/>
  <c r="I28" i="9"/>
  <c r="E28" i="9"/>
  <c r="I27" i="9"/>
  <c r="E27" i="9"/>
  <c r="I26" i="9"/>
  <c r="E26" i="9"/>
  <c r="I25" i="9"/>
  <c r="E25" i="9"/>
  <c r="I24" i="9"/>
  <c r="E24" i="9"/>
  <c r="I23" i="9"/>
  <c r="E23" i="9"/>
  <c r="H22" i="9"/>
  <c r="G22" i="9"/>
  <c r="D22" i="9"/>
  <c r="C22" i="9"/>
  <c r="L21" i="9"/>
  <c r="K21" i="9"/>
  <c r="I21" i="9"/>
  <c r="E21" i="9"/>
  <c r="H20" i="9"/>
  <c r="G20" i="9"/>
  <c r="D20" i="9"/>
  <c r="C20" i="9"/>
  <c r="I19" i="9"/>
  <c r="E19" i="9"/>
  <c r="I18" i="9"/>
  <c r="E18" i="9"/>
  <c r="I17" i="9"/>
  <c r="E17" i="9"/>
  <c r="I16" i="9"/>
  <c r="E16" i="9"/>
  <c r="H15" i="9"/>
  <c r="G15" i="9"/>
  <c r="D15" i="9"/>
  <c r="C15" i="9"/>
  <c r="I14" i="9"/>
  <c r="E14" i="9"/>
  <c r="I13" i="9"/>
  <c r="E13" i="9"/>
  <c r="I12" i="9"/>
  <c r="E12" i="9"/>
  <c r="I11" i="9"/>
  <c r="E11" i="9"/>
  <c r="D9" i="9"/>
  <c r="H9" i="9" s="1"/>
  <c r="L20" i="9" s="1"/>
  <c r="L31" i="9" s="1"/>
  <c r="L63" i="9" s="1"/>
  <c r="C9" i="9"/>
  <c r="G9" i="9" s="1"/>
  <c r="K20" i="9" s="1"/>
  <c r="K31" i="9" s="1"/>
  <c r="K63" i="9" s="1"/>
  <c r="D8" i="9"/>
  <c r="H8" i="9" s="1"/>
  <c r="C8" i="9"/>
  <c r="G8" i="9" s="1"/>
  <c r="B6" i="9"/>
  <c r="B6" i="10" s="1"/>
  <c r="B4" i="9"/>
  <c r="D1" i="9"/>
  <c r="C1" i="9"/>
  <c r="E124" i="8"/>
  <c r="E123" i="8"/>
  <c r="E122" i="8"/>
  <c r="D121" i="8"/>
  <c r="C121" i="8"/>
  <c r="E120" i="8"/>
  <c r="D119" i="8"/>
  <c r="C119" i="8"/>
  <c r="E118" i="8"/>
  <c r="E117" i="8"/>
  <c r="E116" i="8"/>
  <c r="E115" i="8"/>
  <c r="E114" i="8"/>
  <c r="E113" i="8"/>
  <c r="D112" i="8"/>
  <c r="C112" i="8"/>
  <c r="E111" i="8"/>
  <c r="E110" i="8"/>
  <c r="E109" i="8"/>
  <c r="E108" i="8"/>
  <c r="D107" i="8"/>
  <c r="C107" i="8"/>
  <c r="E106" i="8"/>
  <c r="D105" i="8"/>
  <c r="C105" i="8"/>
  <c r="E104" i="8"/>
  <c r="D103" i="8"/>
  <c r="C103" i="8"/>
  <c r="E102" i="8"/>
  <c r="E100" i="8"/>
  <c r="E99" i="8"/>
  <c r="E98" i="8"/>
  <c r="E97" i="8"/>
  <c r="E96" i="8"/>
  <c r="E95" i="8"/>
  <c r="E94" i="8"/>
  <c r="E93" i="8"/>
  <c r="E92" i="8"/>
  <c r="D91" i="8"/>
  <c r="C91" i="8"/>
  <c r="E90" i="8"/>
  <c r="E89" i="8"/>
  <c r="E88" i="8"/>
  <c r="E87" i="8"/>
  <c r="E86" i="8"/>
  <c r="D85" i="8"/>
  <c r="C85" i="8"/>
  <c r="E84" i="8"/>
  <c r="D83" i="8"/>
  <c r="C83" i="8"/>
  <c r="E82" i="8"/>
  <c r="E81" i="8"/>
  <c r="E80" i="8"/>
  <c r="E79" i="8"/>
  <c r="E78" i="8"/>
  <c r="E77" i="8"/>
  <c r="D76" i="8"/>
  <c r="C76" i="8"/>
  <c r="E75" i="8"/>
  <c r="E74" i="8"/>
  <c r="E73" i="8"/>
  <c r="E72" i="8"/>
  <c r="E71" i="8"/>
  <c r="E70" i="8"/>
  <c r="D69" i="8"/>
  <c r="C69" i="8"/>
  <c r="E68" i="8"/>
  <c r="E67" i="8"/>
  <c r="E66" i="8"/>
  <c r="E65" i="8"/>
  <c r="E64" i="8"/>
  <c r="E63" i="8"/>
  <c r="D62" i="8"/>
  <c r="C62" i="8"/>
  <c r="E61" i="8"/>
  <c r="D60" i="8"/>
  <c r="C60" i="8"/>
  <c r="E59" i="8"/>
  <c r="D58" i="8"/>
  <c r="C58" i="8"/>
  <c r="E57" i="8"/>
  <c r="E56" i="8"/>
  <c r="E55" i="8"/>
  <c r="E54" i="8"/>
  <c r="E53" i="8"/>
  <c r="E52" i="8"/>
  <c r="E51" i="8"/>
  <c r="E50" i="8"/>
  <c r="E49" i="8"/>
  <c r="E48" i="8"/>
  <c r="E47" i="8"/>
  <c r="D46" i="8"/>
  <c r="C46" i="8"/>
  <c r="E45" i="8"/>
  <c r="E44" i="8"/>
  <c r="E43" i="8"/>
  <c r="D42" i="8"/>
  <c r="C42" i="8"/>
  <c r="D41" i="8"/>
  <c r="C41" i="8"/>
  <c r="E41" i="8" s="1"/>
  <c r="E40" i="8"/>
  <c r="E39" i="8"/>
  <c r="E38" i="8"/>
  <c r="E37" i="8"/>
  <c r="D36" i="8"/>
  <c r="C36" i="8"/>
  <c r="E35" i="8"/>
  <c r="D34" i="8"/>
  <c r="C34" i="8"/>
  <c r="E33" i="8"/>
  <c r="H32" i="8"/>
  <c r="E32" i="8"/>
  <c r="H31" i="8"/>
  <c r="E31" i="8"/>
  <c r="H30" i="8"/>
  <c r="E30" i="8"/>
  <c r="H29" i="8"/>
  <c r="E29" i="8"/>
  <c r="H28" i="8"/>
  <c r="E28" i="8"/>
  <c r="H27" i="8"/>
  <c r="E27" i="8"/>
  <c r="H26" i="8"/>
  <c r="E26" i="8"/>
  <c r="D25" i="8"/>
  <c r="C25" i="8"/>
  <c r="E24" i="8"/>
  <c r="E23" i="8"/>
  <c r="E22" i="8"/>
  <c r="E21" i="8"/>
  <c r="H20" i="8"/>
  <c r="E20" i="8"/>
  <c r="E19" i="8"/>
  <c r="D18" i="8"/>
  <c r="C18" i="8"/>
  <c r="E17" i="8"/>
  <c r="E16" i="8"/>
  <c r="E15" i="8"/>
  <c r="I14" i="8"/>
  <c r="H14" i="8"/>
  <c r="D14" i="8"/>
  <c r="C14" i="8"/>
  <c r="E13" i="8"/>
  <c r="E12" i="8"/>
  <c r="I11" i="8"/>
  <c r="I12" i="8" s="1"/>
  <c r="H11" i="8"/>
  <c r="H12" i="8" s="1"/>
  <c r="E11" i="8"/>
  <c r="I10" i="8"/>
  <c r="H10" i="8"/>
  <c r="D8" i="8"/>
  <c r="C8" i="8"/>
  <c r="D1" i="8"/>
  <c r="D1" i="10" s="1"/>
  <c r="C1" i="8"/>
  <c r="L14" i="7"/>
  <c r="K14" i="7"/>
  <c r="J14" i="7"/>
  <c r="I14" i="7"/>
  <c r="H14" i="7"/>
  <c r="G14" i="7"/>
  <c r="F14" i="7"/>
  <c r="E14" i="7"/>
  <c r="D14" i="7"/>
  <c r="B14" i="7" s="1"/>
  <c r="C14" i="7"/>
  <c r="L10" i="7"/>
  <c r="K10" i="7"/>
  <c r="J10" i="7"/>
  <c r="I10" i="7"/>
  <c r="H10" i="7"/>
  <c r="G10" i="7"/>
  <c r="F10" i="7"/>
  <c r="D10" i="7"/>
  <c r="C10" i="7"/>
  <c r="L9" i="7"/>
  <c r="K9" i="7"/>
  <c r="J9" i="7"/>
  <c r="H9" i="7"/>
  <c r="F9" i="7"/>
  <c r="E9" i="7"/>
  <c r="J8" i="7"/>
  <c r="I8" i="7"/>
  <c r="H8" i="7"/>
  <c r="G8" i="7"/>
  <c r="D8" i="7"/>
  <c r="E7" i="7"/>
  <c r="C7" i="7"/>
  <c r="L6" i="7"/>
  <c r="K6" i="7"/>
  <c r="J6" i="7"/>
  <c r="I6" i="7"/>
  <c r="H6" i="7"/>
  <c r="F6" i="7"/>
  <c r="E6" i="7"/>
  <c r="D6" i="7"/>
  <c r="C6" i="7"/>
  <c r="L5" i="7"/>
  <c r="L7" i="7" s="1"/>
  <c r="L11" i="7" s="1"/>
  <c r="J5" i="7"/>
  <c r="I5" i="7"/>
  <c r="I7" i="7" s="1"/>
  <c r="I11" i="7" s="1"/>
  <c r="H5" i="7"/>
  <c r="H7" i="7" s="1"/>
  <c r="G5" i="7"/>
  <c r="F5" i="7"/>
  <c r="F7" i="7" s="1"/>
  <c r="E5" i="7"/>
  <c r="D5" i="7"/>
  <c r="C5" i="7"/>
  <c r="L61" i="6"/>
  <c r="K61" i="6"/>
  <c r="J61" i="6"/>
  <c r="I61" i="6"/>
  <c r="H61" i="6"/>
  <c r="G61" i="6"/>
  <c r="F61" i="6"/>
  <c r="E61" i="6"/>
  <c r="D61" i="6"/>
  <c r="C61" i="6"/>
  <c r="B61" i="6"/>
  <c r="A61" i="6"/>
  <c r="L60" i="6"/>
  <c r="K60" i="6"/>
  <c r="J60" i="6"/>
  <c r="I60" i="6"/>
  <c r="H60" i="6"/>
  <c r="G60" i="6"/>
  <c r="F60" i="6"/>
  <c r="E60" i="6"/>
  <c r="D60" i="6"/>
  <c r="C60" i="6"/>
  <c r="B60" i="6"/>
  <c r="A60" i="6"/>
  <c r="L59" i="6"/>
  <c r="K59" i="6"/>
  <c r="J59" i="6"/>
  <c r="I59" i="6"/>
  <c r="H59" i="6"/>
  <c r="G59" i="6"/>
  <c r="F59" i="6"/>
  <c r="E59" i="6"/>
  <c r="D59" i="6"/>
  <c r="C59" i="6"/>
  <c r="B59" i="6"/>
  <c r="A59" i="6"/>
  <c r="A58" i="6"/>
  <c r="L57" i="6"/>
  <c r="K57" i="6"/>
  <c r="J57" i="6"/>
  <c r="I57" i="6"/>
  <c r="H57" i="6"/>
  <c r="G57" i="6"/>
  <c r="F57" i="6"/>
  <c r="E57" i="6"/>
  <c r="D57" i="6"/>
  <c r="C57" i="6"/>
  <c r="B57" i="6"/>
  <c r="A57" i="6"/>
  <c r="L56" i="6"/>
  <c r="K56" i="6"/>
  <c r="J56" i="6"/>
  <c r="I56" i="6"/>
  <c r="H56" i="6"/>
  <c r="G56" i="6"/>
  <c r="F56" i="6"/>
  <c r="E56" i="6"/>
  <c r="D56" i="6"/>
  <c r="C56" i="6"/>
  <c r="B56" i="6"/>
  <c r="A56" i="6"/>
  <c r="L55" i="6"/>
  <c r="K55" i="6"/>
  <c r="J55" i="6"/>
  <c r="I55" i="6"/>
  <c r="H55" i="6"/>
  <c r="G55" i="6"/>
  <c r="F55" i="6"/>
  <c r="E55" i="6"/>
  <c r="D55" i="6"/>
  <c r="C55" i="6"/>
  <c r="B55" i="6"/>
  <c r="A55" i="6"/>
  <c r="A54" i="6"/>
  <c r="L53" i="6"/>
  <c r="K53" i="6"/>
  <c r="J53" i="6"/>
  <c r="I53" i="6"/>
  <c r="H53" i="6"/>
  <c r="G53" i="6"/>
  <c r="F53" i="6"/>
  <c r="E53" i="6"/>
  <c r="D53" i="6"/>
  <c r="C53" i="6"/>
  <c r="B53" i="6"/>
  <c r="A53" i="6"/>
  <c r="L52" i="6"/>
  <c r="K52" i="6"/>
  <c r="J52" i="6"/>
  <c r="I52" i="6"/>
  <c r="H52" i="6"/>
  <c r="G52" i="6"/>
  <c r="F52" i="6"/>
  <c r="E52" i="6"/>
  <c r="D52" i="6"/>
  <c r="C52" i="6"/>
  <c r="B52" i="6"/>
  <c r="A52" i="6"/>
  <c r="L51" i="6"/>
  <c r="K51" i="6"/>
  <c r="J51" i="6"/>
  <c r="I51" i="6"/>
  <c r="H51" i="6"/>
  <c r="G51" i="6"/>
  <c r="F51" i="6"/>
  <c r="E51" i="6"/>
  <c r="D51" i="6"/>
  <c r="C51" i="6"/>
  <c r="B51" i="6"/>
  <c r="A51" i="6"/>
  <c r="L50" i="6"/>
  <c r="K50" i="6"/>
  <c r="J50" i="6"/>
  <c r="I50" i="6"/>
  <c r="H50" i="6"/>
  <c r="G50" i="6"/>
  <c r="F50" i="6"/>
  <c r="E50" i="6"/>
  <c r="D50" i="6"/>
  <c r="C50" i="6"/>
  <c r="B50" i="6"/>
  <c r="A50" i="6"/>
  <c r="L49" i="6"/>
  <c r="K49" i="6"/>
  <c r="J49" i="6"/>
  <c r="I49" i="6"/>
  <c r="H49" i="6"/>
  <c r="G49" i="6"/>
  <c r="F49" i="6"/>
  <c r="E49" i="6"/>
  <c r="D49" i="6"/>
  <c r="C49" i="6"/>
  <c r="B49" i="6"/>
  <c r="A49" i="6"/>
  <c r="A48" i="6"/>
  <c r="A47" i="6"/>
  <c r="L46" i="6"/>
  <c r="K46" i="6"/>
  <c r="J46" i="6"/>
  <c r="I46" i="6"/>
  <c r="H46" i="6"/>
  <c r="G46" i="6"/>
  <c r="F46" i="6"/>
  <c r="E46" i="6"/>
  <c r="D46" i="6"/>
  <c r="C46" i="6"/>
  <c r="B46" i="6"/>
  <c r="A46" i="6"/>
  <c r="L45" i="6"/>
  <c r="K45" i="6"/>
  <c r="J45" i="6"/>
  <c r="I45" i="6"/>
  <c r="H45" i="6"/>
  <c r="G45" i="6"/>
  <c r="F45" i="6"/>
  <c r="E45" i="6"/>
  <c r="D45" i="6"/>
  <c r="C45" i="6"/>
  <c r="B45" i="6"/>
  <c r="A45" i="6"/>
  <c r="L44" i="6"/>
  <c r="K44" i="6"/>
  <c r="J44" i="6"/>
  <c r="I44" i="6"/>
  <c r="H44" i="6"/>
  <c r="G44" i="6"/>
  <c r="F44" i="6"/>
  <c r="E44" i="6"/>
  <c r="D44" i="6"/>
  <c r="C44" i="6"/>
  <c r="B44" i="6"/>
  <c r="A44" i="6"/>
  <c r="A43" i="6"/>
  <c r="L42" i="6"/>
  <c r="K42" i="6"/>
  <c r="J42" i="6"/>
  <c r="I42" i="6"/>
  <c r="H42" i="6"/>
  <c r="G42" i="6"/>
  <c r="F42" i="6"/>
  <c r="E42" i="6"/>
  <c r="D42" i="6"/>
  <c r="C42" i="6"/>
  <c r="B42" i="6"/>
  <c r="A42" i="6"/>
  <c r="L41" i="6"/>
  <c r="K41" i="6"/>
  <c r="J41" i="6"/>
  <c r="I41" i="6"/>
  <c r="H41" i="6"/>
  <c r="G41" i="6"/>
  <c r="F41" i="6"/>
  <c r="E41" i="6"/>
  <c r="D41" i="6"/>
  <c r="C41" i="6"/>
  <c r="B41" i="6"/>
  <c r="A41" i="6"/>
  <c r="L40" i="6"/>
  <c r="K40" i="6"/>
  <c r="J40" i="6"/>
  <c r="I40" i="6"/>
  <c r="H40" i="6"/>
  <c r="G40" i="6"/>
  <c r="F40" i="6"/>
  <c r="E40" i="6"/>
  <c r="D40" i="6"/>
  <c r="C40" i="6"/>
  <c r="B40" i="6"/>
  <c r="A40" i="6"/>
  <c r="L39" i="6"/>
  <c r="K39" i="6"/>
  <c r="J39" i="6"/>
  <c r="I39" i="6"/>
  <c r="H39" i="6"/>
  <c r="G39" i="6"/>
  <c r="F39" i="6"/>
  <c r="E39" i="6"/>
  <c r="D39" i="6"/>
  <c r="C39" i="6"/>
  <c r="B39" i="6"/>
  <c r="A39" i="6"/>
  <c r="A38" i="6"/>
  <c r="L37" i="6"/>
  <c r="K37" i="6"/>
  <c r="J37" i="6"/>
  <c r="I37" i="6"/>
  <c r="H37" i="6"/>
  <c r="G37" i="6"/>
  <c r="F37" i="6"/>
  <c r="E37" i="6"/>
  <c r="D37" i="6"/>
  <c r="C37" i="6"/>
  <c r="B37" i="6"/>
  <c r="A37" i="6"/>
  <c r="L36" i="6"/>
  <c r="K36" i="6"/>
  <c r="J36" i="6"/>
  <c r="I36" i="6"/>
  <c r="H36" i="6"/>
  <c r="G36" i="6"/>
  <c r="F36" i="6"/>
  <c r="E36" i="6"/>
  <c r="D36" i="6"/>
  <c r="C36" i="6"/>
  <c r="B36" i="6"/>
  <c r="A36" i="6"/>
  <c r="L35" i="6"/>
  <c r="K35" i="6"/>
  <c r="J35" i="6"/>
  <c r="I35" i="6"/>
  <c r="H35" i="6"/>
  <c r="G35" i="6"/>
  <c r="F35" i="6"/>
  <c r="E35" i="6"/>
  <c r="D35" i="6"/>
  <c r="C35" i="6"/>
  <c r="B35" i="6"/>
  <c r="A35" i="6"/>
  <c r="A34" i="6"/>
  <c r="L33" i="6"/>
  <c r="K33" i="6"/>
  <c r="J33" i="6"/>
  <c r="I33" i="6"/>
  <c r="H33" i="6"/>
  <c r="G33" i="6"/>
  <c r="F33" i="6"/>
  <c r="E33" i="6"/>
  <c r="D33" i="6"/>
  <c r="C33" i="6"/>
  <c r="B33" i="6"/>
  <c r="A33" i="6"/>
  <c r="L32" i="6"/>
  <c r="K32" i="6"/>
  <c r="J32" i="6"/>
  <c r="I32" i="6"/>
  <c r="H32" i="6"/>
  <c r="G32" i="6"/>
  <c r="F32" i="6"/>
  <c r="E32" i="6"/>
  <c r="D32" i="6"/>
  <c r="C32" i="6"/>
  <c r="B32" i="6"/>
  <c r="A32" i="6"/>
  <c r="L31" i="6"/>
  <c r="K31" i="6"/>
  <c r="J31" i="6"/>
  <c r="I31" i="6"/>
  <c r="H31" i="6"/>
  <c r="G31" i="6"/>
  <c r="F31" i="6"/>
  <c r="E31" i="6"/>
  <c r="D31" i="6"/>
  <c r="C31" i="6"/>
  <c r="B31" i="6"/>
  <c r="A31" i="6"/>
  <c r="L30" i="6"/>
  <c r="K30" i="6"/>
  <c r="J30" i="6"/>
  <c r="I30" i="6"/>
  <c r="H30" i="6"/>
  <c r="G30" i="6"/>
  <c r="F30" i="6"/>
  <c r="E30" i="6"/>
  <c r="D30" i="6"/>
  <c r="C30" i="6"/>
  <c r="B30" i="6"/>
  <c r="A30" i="6"/>
  <c r="L29" i="6"/>
  <c r="K29" i="6"/>
  <c r="J29" i="6"/>
  <c r="I29" i="6"/>
  <c r="H29" i="6"/>
  <c r="G29" i="6"/>
  <c r="F29" i="6"/>
  <c r="E29" i="6"/>
  <c r="D29" i="6"/>
  <c r="C29" i="6"/>
  <c r="B29" i="6"/>
  <c r="A29" i="6"/>
  <c r="L28" i="6"/>
  <c r="K28" i="6"/>
  <c r="J28" i="6"/>
  <c r="I28" i="6"/>
  <c r="H28" i="6"/>
  <c r="G28" i="6"/>
  <c r="F28" i="6"/>
  <c r="E28" i="6"/>
  <c r="D28" i="6"/>
  <c r="C28" i="6"/>
  <c r="B28" i="6"/>
  <c r="A28" i="6"/>
  <c r="L27" i="6"/>
  <c r="K27" i="6"/>
  <c r="J27" i="6"/>
  <c r="I27" i="6"/>
  <c r="H27" i="6"/>
  <c r="G27" i="6"/>
  <c r="F27" i="6"/>
  <c r="E27" i="6"/>
  <c r="D27" i="6"/>
  <c r="C27" i="6"/>
  <c r="B27" i="6"/>
  <c r="A27" i="6"/>
  <c r="A26" i="6"/>
  <c r="A25" i="6"/>
  <c r="L24" i="6"/>
  <c r="K24" i="6"/>
  <c r="J24" i="6"/>
  <c r="I24" i="6"/>
  <c r="H24" i="6"/>
  <c r="G24" i="6"/>
  <c r="F24" i="6"/>
  <c r="E24" i="6"/>
  <c r="D24" i="6"/>
  <c r="C24" i="6"/>
  <c r="B24" i="6"/>
  <c r="A24" i="6"/>
  <c r="L23" i="6"/>
  <c r="K23" i="6"/>
  <c r="J23" i="6"/>
  <c r="I23" i="6"/>
  <c r="H23" i="6"/>
  <c r="G23" i="6"/>
  <c r="F23" i="6"/>
  <c r="E23" i="6"/>
  <c r="D23" i="6"/>
  <c r="C23" i="6"/>
  <c r="B23" i="6"/>
  <c r="A23" i="6"/>
  <c r="A22" i="6"/>
  <c r="L21" i="6"/>
  <c r="K21" i="6"/>
  <c r="J21" i="6"/>
  <c r="I21" i="6"/>
  <c r="H21" i="6"/>
  <c r="G21" i="6"/>
  <c r="F21" i="6"/>
  <c r="E21" i="6"/>
  <c r="D21" i="6"/>
  <c r="C21" i="6"/>
  <c r="B21" i="6"/>
  <c r="A21" i="6"/>
  <c r="L20" i="6"/>
  <c r="K20" i="6"/>
  <c r="J20" i="6"/>
  <c r="I20" i="6"/>
  <c r="H20" i="6"/>
  <c r="G20" i="6"/>
  <c r="F20" i="6"/>
  <c r="E20" i="6"/>
  <c r="D20" i="6"/>
  <c r="C20" i="6"/>
  <c r="B20" i="6"/>
  <c r="A20" i="6"/>
  <c r="L19" i="6"/>
  <c r="K19" i="6"/>
  <c r="J19" i="6"/>
  <c r="I19" i="6"/>
  <c r="H19" i="6"/>
  <c r="G19" i="6"/>
  <c r="F19" i="6"/>
  <c r="E19" i="6"/>
  <c r="D19" i="6"/>
  <c r="C19" i="6"/>
  <c r="B19" i="6"/>
  <c r="A19" i="6"/>
  <c r="L18" i="6"/>
  <c r="K18" i="6"/>
  <c r="J18" i="6"/>
  <c r="I18" i="6"/>
  <c r="H18" i="6"/>
  <c r="G18" i="6"/>
  <c r="F18" i="6"/>
  <c r="E18" i="6"/>
  <c r="D18" i="6"/>
  <c r="C18" i="6"/>
  <c r="B18" i="6"/>
  <c r="A18" i="6"/>
  <c r="L17" i="6"/>
  <c r="K17" i="6"/>
  <c r="J17" i="6"/>
  <c r="I17" i="6"/>
  <c r="H17" i="6"/>
  <c r="G17" i="6"/>
  <c r="F17" i="6"/>
  <c r="E17" i="6"/>
  <c r="D17" i="6"/>
  <c r="C17" i="6"/>
  <c r="B17" i="6"/>
  <c r="A17" i="6"/>
  <c r="A16" i="6"/>
  <c r="L15" i="6"/>
  <c r="K15" i="6"/>
  <c r="J15" i="6"/>
  <c r="I15" i="6"/>
  <c r="H15" i="6"/>
  <c r="G15" i="6"/>
  <c r="F15" i="6"/>
  <c r="E15" i="6"/>
  <c r="D15" i="6"/>
  <c r="C15" i="6"/>
  <c r="B15" i="6"/>
  <c r="A15" i="6"/>
  <c r="L14" i="6"/>
  <c r="K14" i="6"/>
  <c r="J14" i="6"/>
  <c r="I14" i="6"/>
  <c r="H14" i="6"/>
  <c r="G14" i="6"/>
  <c r="F14" i="6"/>
  <c r="E14" i="6"/>
  <c r="D14" i="6"/>
  <c r="C14" i="6"/>
  <c r="B14" i="6"/>
  <c r="A14" i="6"/>
  <c r="L13" i="6"/>
  <c r="K13" i="6"/>
  <c r="J13" i="6"/>
  <c r="I13" i="6"/>
  <c r="H13" i="6"/>
  <c r="G13" i="6"/>
  <c r="F13" i="6"/>
  <c r="E13" i="6"/>
  <c r="D13" i="6"/>
  <c r="C13" i="6"/>
  <c r="B13" i="6"/>
  <c r="A13" i="6"/>
  <c r="L12" i="6"/>
  <c r="K12" i="6"/>
  <c r="J12" i="6"/>
  <c r="I12" i="6"/>
  <c r="H12" i="6"/>
  <c r="G12" i="6"/>
  <c r="F12" i="6"/>
  <c r="E12" i="6"/>
  <c r="D12" i="6"/>
  <c r="C12" i="6"/>
  <c r="B12" i="6"/>
  <c r="A12" i="6"/>
  <c r="L11" i="6"/>
  <c r="K11" i="6"/>
  <c r="J11" i="6"/>
  <c r="I11" i="6"/>
  <c r="H11" i="6"/>
  <c r="G11" i="6"/>
  <c r="F11" i="6"/>
  <c r="E11" i="6"/>
  <c r="D11" i="6"/>
  <c r="C11" i="6"/>
  <c r="B11" i="6"/>
  <c r="A11" i="6"/>
  <c r="L10" i="6"/>
  <c r="K10" i="6"/>
  <c r="J10" i="6"/>
  <c r="I10" i="6"/>
  <c r="H10" i="6"/>
  <c r="G10" i="6"/>
  <c r="F10" i="6"/>
  <c r="E10" i="6"/>
  <c r="D10" i="6"/>
  <c r="C10" i="6"/>
  <c r="B10" i="6"/>
  <c r="A10" i="6"/>
  <c r="A9" i="6"/>
  <c r="A8" i="6"/>
  <c r="A7" i="6"/>
  <c r="A3" i="6"/>
  <c r="A2" i="6"/>
  <c r="C1" i="6"/>
  <c r="A1" i="6"/>
  <c r="L68" i="5"/>
  <c r="K68" i="5"/>
  <c r="J68" i="5"/>
  <c r="I68" i="5"/>
  <c r="H68" i="5"/>
  <c r="G68" i="5"/>
  <c r="F68" i="5"/>
  <c r="E68" i="5"/>
  <c r="D68" i="5"/>
  <c r="C68" i="5"/>
  <c r="M65" i="5"/>
  <c r="L62" i="5"/>
  <c r="K62" i="5"/>
  <c r="J62" i="5"/>
  <c r="I62" i="5"/>
  <c r="H62" i="5"/>
  <c r="G62" i="5"/>
  <c r="F62" i="5"/>
  <c r="E62" i="5"/>
  <c r="D62" i="5"/>
  <c r="C62" i="5"/>
  <c r="M61" i="5"/>
  <c r="L58" i="5"/>
  <c r="K58" i="5"/>
  <c r="J58" i="5"/>
  <c r="I58" i="5"/>
  <c r="H58" i="5"/>
  <c r="G58" i="5"/>
  <c r="F58" i="5"/>
  <c r="E58" i="5"/>
  <c r="D58" i="5"/>
  <c r="C58" i="5"/>
  <c r="M55" i="5"/>
  <c r="L54" i="5"/>
  <c r="K54" i="5"/>
  <c r="J54" i="5"/>
  <c r="I54" i="5"/>
  <c r="H54" i="5"/>
  <c r="G54" i="5"/>
  <c r="F54" i="5"/>
  <c r="E54" i="5"/>
  <c r="D54" i="5"/>
  <c r="C54" i="5"/>
  <c r="M49" i="5"/>
  <c r="L47" i="5"/>
  <c r="K47" i="5"/>
  <c r="J47" i="5"/>
  <c r="I47" i="5"/>
  <c r="H47" i="5"/>
  <c r="G47" i="5"/>
  <c r="F47" i="5"/>
  <c r="E47" i="5"/>
  <c r="D47" i="5"/>
  <c r="C47" i="5"/>
  <c r="M46" i="5"/>
  <c r="L43" i="5"/>
  <c r="K43" i="5"/>
  <c r="J43" i="5"/>
  <c r="I43" i="5"/>
  <c r="H43" i="5"/>
  <c r="G43" i="5"/>
  <c r="F43" i="5"/>
  <c r="E43" i="5"/>
  <c r="D43" i="5"/>
  <c r="C43" i="5"/>
  <c r="L38" i="5"/>
  <c r="K38" i="5"/>
  <c r="J38" i="5"/>
  <c r="I38" i="5"/>
  <c r="H38" i="5"/>
  <c r="G38" i="5"/>
  <c r="F38" i="5"/>
  <c r="E38" i="5"/>
  <c r="D38" i="5"/>
  <c r="C38" i="5"/>
  <c r="L34" i="5"/>
  <c r="K34" i="5"/>
  <c r="J34" i="5"/>
  <c r="I34" i="5"/>
  <c r="H34" i="5"/>
  <c r="G34" i="5"/>
  <c r="F34" i="5"/>
  <c r="E34" i="5"/>
  <c r="D34" i="5"/>
  <c r="C34" i="5"/>
  <c r="L25" i="5"/>
  <c r="K25" i="5"/>
  <c r="J25" i="5"/>
  <c r="I25" i="5"/>
  <c r="H25" i="5"/>
  <c r="G25" i="5"/>
  <c r="F25" i="5"/>
  <c r="E25" i="5"/>
  <c r="D25" i="5"/>
  <c r="C25" i="5"/>
  <c r="M24" i="5"/>
  <c r="L22" i="5"/>
  <c r="K22" i="5"/>
  <c r="J22" i="5"/>
  <c r="I22" i="5"/>
  <c r="H22" i="5"/>
  <c r="G22" i="5"/>
  <c r="F22" i="5"/>
  <c r="E22" i="5"/>
  <c r="D22" i="5"/>
  <c r="C22" i="5"/>
  <c r="L16" i="5"/>
  <c r="K16" i="5"/>
  <c r="J16" i="5"/>
  <c r="I16" i="5"/>
  <c r="N1" i="5" s="1" a="1"/>
  <c r="N1" i="5" s="1"/>
  <c r="H16" i="5"/>
  <c r="G16" i="5"/>
  <c r="F16" i="5"/>
  <c r="E16" i="5"/>
  <c r="D16" i="5"/>
  <c r="C16" i="5"/>
  <c r="M9" i="5"/>
  <c r="H8" i="5"/>
  <c r="H8" i="6" s="1"/>
  <c r="F7" i="5"/>
  <c r="F7" i="6" s="1"/>
  <c r="D1" i="5"/>
  <c r="C1" i="5"/>
  <c r="L62" i="4"/>
  <c r="K62" i="4"/>
  <c r="J62" i="4"/>
  <c r="I62" i="4"/>
  <c r="H62" i="4"/>
  <c r="G62" i="4"/>
  <c r="F62" i="4"/>
  <c r="E62" i="4"/>
  <c r="D62" i="4"/>
  <c r="C62" i="4"/>
  <c r="B62" i="4"/>
  <c r="A62" i="4"/>
  <c r="L61" i="4"/>
  <c r="K61" i="4"/>
  <c r="J61" i="4"/>
  <c r="I61" i="4"/>
  <c r="H61" i="4"/>
  <c r="G61" i="4"/>
  <c r="F61" i="4"/>
  <c r="E61" i="4"/>
  <c r="D61" i="4"/>
  <c r="C61" i="4"/>
  <c r="B61" i="4"/>
  <c r="A61" i="4"/>
  <c r="L60" i="4"/>
  <c r="K60" i="4"/>
  <c r="J60" i="4"/>
  <c r="I60" i="4"/>
  <c r="H60" i="4"/>
  <c r="G60" i="4"/>
  <c r="F60" i="4"/>
  <c r="E60" i="4"/>
  <c r="D60" i="4"/>
  <c r="C60" i="4"/>
  <c r="B60" i="4"/>
  <c r="A60" i="4"/>
  <c r="A59" i="4"/>
  <c r="L58" i="4"/>
  <c r="K58" i="4"/>
  <c r="J58" i="4"/>
  <c r="I58" i="4"/>
  <c r="H58" i="4"/>
  <c r="G58" i="4"/>
  <c r="F58" i="4"/>
  <c r="E58" i="4"/>
  <c r="D58" i="4"/>
  <c r="C58" i="4"/>
  <c r="B58" i="4"/>
  <c r="A58" i="4"/>
  <c r="L57" i="4"/>
  <c r="K57" i="4"/>
  <c r="J57" i="4"/>
  <c r="I57" i="4"/>
  <c r="H57" i="4"/>
  <c r="G57" i="4"/>
  <c r="F57" i="4"/>
  <c r="E57" i="4"/>
  <c r="D57" i="4"/>
  <c r="C57" i="4"/>
  <c r="B57" i="4"/>
  <c r="A57" i="4"/>
  <c r="L56" i="4"/>
  <c r="K56" i="4"/>
  <c r="J56" i="4"/>
  <c r="I56" i="4"/>
  <c r="H56" i="4"/>
  <c r="G56" i="4"/>
  <c r="F56" i="4"/>
  <c r="E56" i="4"/>
  <c r="D56" i="4"/>
  <c r="C56" i="4"/>
  <c r="B56" i="4"/>
  <c r="A56" i="4"/>
  <c r="A55" i="4"/>
  <c r="L54" i="4"/>
  <c r="K54" i="4"/>
  <c r="J54" i="4"/>
  <c r="I54" i="4"/>
  <c r="H54" i="4"/>
  <c r="G54" i="4"/>
  <c r="F54" i="4"/>
  <c r="E54" i="4"/>
  <c r="D54" i="4"/>
  <c r="C54" i="4"/>
  <c r="B54" i="4"/>
  <c r="A54" i="4"/>
  <c r="L53" i="4"/>
  <c r="K53" i="4"/>
  <c r="J53" i="4"/>
  <c r="I53" i="4"/>
  <c r="H53" i="4"/>
  <c r="G53" i="4"/>
  <c r="F53" i="4"/>
  <c r="E53" i="4"/>
  <c r="D53" i="4"/>
  <c r="C53" i="4"/>
  <c r="B53" i="4"/>
  <c r="A53" i="4"/>
  <c r="L52" i="4"/>
  <c r="K52" i="4"/>
  <c r="J52" i="4"/>
  <c r="I52" i="4"/>
  <c r="H52" i="4"/>
  <c r="G52" i="4"/>
  <c r="F52" i="4"/>
  <c r="E52" i="4"/>
  <c r="D52" i="4"/>
  <c r="C52" i="4"/>
  <c r="B52" i="4"/>
  <c r="A52" i="4"/>
  <c r="A51" i="4"/>
  <c r="L50" i="4"/>
  <c r="K50" i="4"/>
  <c r="J50" i="4"/>
  <c r="I50" i="4"/>
  <c r="H50" i="4"/>
  <c r="G50" i="4"/>
  <c r="F50" i="4"/>
  <c r="E50" i="4"/>
  <c r="D50" i="4"/>
  <c r="C50" i="4"/>
  <c r="B50" i="4"/>
  <c r="A50" i="4"/>
  <c r="L48" i="4"/>
  <c r="K48" i="4"/>
  <c r="J48" i="4"/>
  <c r="I48" i="4"/>
  <c r="H48" i="4"/>
  <c r="G48" i="4"/>
  <c r="F48" i="4"/>
  <c r="E48" i="4"/>
  <c r="D48" i="4"/>
  <c r="C48" i="4"/>
  <c r="B48" i="4"/>
  <c r="A48" i="4"/>
  <c r="L47" i="4"/>
  <c r="K47" i="4"/>
  <c r="J47" i="4"/>
  <c r="I47" i="4"/>
  <c r="H47" i="4"/>
  <c r="G47" i="4"/>
  <c r="F47" i="4"/>
  <c r="E47" i="4"/>
  <c r="D47" i="4"/>
  <c r="C47" i="4"/>
  <c r="B47" i="4"/>
  <c r="A47" i="4"/>
  <c r="L46" i="4"/>
  <c r="K46" i="4"/>
  <c r="J46" i="4"/>
  <c r="I46" i="4"/>
  <c r="H46" i="4"/>
  <c r="G46" i="4"/>
  <c r="F46" i="4"/>
  <c r="E46" i="4"/>
  <c r="D46" i="4"/>
  <c r="C46" i="4"/>
  <c r="B46" i="4"/>
  <c r="A46" i="4"/>
  <c r="L45" i="4"/>
  <c r="K45" i="4"/>
  <c r="J45" i="4"/>
  <c r="I45" i="4"/>
  <c r="H45" i="4"/>
  <c r="G45" i="4"/>
  <c r="F45" i="4"/>
  <c r="E45" i="4"/>
  <c r="D45" i="4"/>
  <c r="C45" i="4"/>
  <c r="B45" i="4"/>
  <c r="A45" i="4"/>
  <c r="L44" i="4"/>
  <c r="K44" i="4"/>
  <c r="J44" i="4"/>
  <c r="I44" i="4"/>
  <c r="H44" i="4"/>
  <c r="G44" i="4"/>
  <c r="F44" i="4"/>
  <c r="E44" i="4"/>
  <c r="D44" i="4"/>
  <c r="C44" i="4"/>
  <c r="B44" i="4"/>
  <c r="A44" i="4"/>
  <c r="A43" i="4"/>
  <c r="L42" i="4"/>
  <c r="K42" i="4"/>
  <c r="J42" i="4"/>
  <c r="I42" i="4"/>
  <c r="H42" i="4"/>
  <c r="G42" i="4"/>
  <c r="F42" i="4"/>
  <c r="E42" i="4"/>
  <c r="D42" i="4"/>
  <c r="C42" i="4"/>
  <c r="B42" i="4"/>
  <c r="A42" i="4"/>
  <c r="A41" i="4"/>
  <c r="L40" i="4"/>
  <c r="K40" i="4"/>
  <c r="J40" i="4"/>
  <c r="I40" i="4"/>
  <c r="H40" i="4"/>
  <c r="G40" i="4"/>
  <c r="F40" i="4"/>
  <c r="E40" i="4"/>
  <c r="D40" i="4"/>
  <c r="C40" i="4"/>
  <c r="B40" i="4"/>
  <c r="A40" i="4"/>
  <c r="L39" i="4"/>
  <c r="K39" i="4"/>
  <c r="J39" i="4"/>
  <c r="I39" i="4"/>
  <c r="H39" i="4"/>
  <c r="G39" i="4"/>
  <c r="F39" i="4"/>
  <c r="E39" i="4"/>
  <c r="D39" i="4"/>
  <c r="C39" i="4"/>
  <c r="B39" i="4"/>
  <c r="A39" i="4"/>
  <c r="L38" i="4"/>
  <c r="K38" i="4"/>
  <c r="J38" i="4"/>
  <c r="I38" i="4"/>
  <c r="H38" i="4"/>
  <c r="G38" i="4"/>
  <c r="F38" i="4"/>
  <c r="E38" i="4"/>
  <c r="D38" i="4"/>
  <c r="C38" i="4"/>
  <c r="B38" i="4"/>
  <c r="A38" i="4"/>
  <c r="L37" i="4"/>
  <c r="K37" i="4"/>
  <c r="J37" i="4"/>
  <c r="I37" i="4"/>
  <c r="H37" i="4"/>
  <c r="G37" i="4"/>
  <c r="F37" i="4"/>
  <c r="E37" i="4"/>
  <c r="D37" i="4"/>
  <c r="C37" i="4"/>
  <c r="B37" i="4"/>
  <c r="A37" i="4"/>
  <c r="A36" i="4"/>
  <c r="L35" i="4"/>
  <c r="K35" i="4"/>
  <c r="J35" i="4"/>
  <c r="I35" i="4"/>
  <c r="H35" i="4"/>
  <c r="G35" i="4"/>
  <c r="F35" i="4"/>
  <c r="E35" i="4"/>
  <c r="D35" i="4"/>
  <c r="C35" i="4"/>
  <c r="B35" i="4"/>
  <c r="A35" i="4"/>
  <c r="L34" i="4"/>
  <c r="K34" i="4"/>
  <c r="J34" i="4"/>
  <c r="I34" i="4"/>
  <c r="H34" i="4"/>
  <c r="G34" i="4"/>
  <c r="F34" i="4"/>
  <c r="E34" i="4"/>
  <c r="D34" i="4"/>
  <c r="C34" i="4"/>
  <c r="B34" i="4"/>
  <c r="A34" i="4"/>
  <c r="L33" i="4"/>
  <c r="K33" i="4"/>
  <c r="J33" i="4"/>
  <c r="I33" i="4"/>
  <c r="H33" i="4"/>
  <c r="G33" i="4"/>
  <c r="F33" i="4"/>
  <c r="E33" i="4"/>
  <c r="D33" i="4"/>
  <c r="C33" i="4"/>
  <c r="B33" i="4"/>
  <c r="A33" i="4"/>
  <c r="L32" i="4"/>
  <c r="K32" i="4"/>
  <c r="J32" i="4"/>
  <c r="I32" i="4"/>
  <c r="H32" i="4"/>
  <c r="G32" i="4"/>
  <c r="F32" i="4"/>
  <c r="E32" i="4"/>
  <c r="D32" i="4"/>
  <c r="C32" i="4"/>
  <c r="B32" i="4"/>
  <c r="A32" i="4"/>
  <c r="A31" i="4"/>
  <c r="L30" i="4"/>
  <c r="K30" i="4"/>
  <c r="J30" i="4"/>
  <c r="I30" i="4"/>
  <c r="H30" i="4"/>
  <c r="G30" i="4"/>
  <c r="F30" i="4"/>
  <c r="E30" i="4"/>
  <c r="D30" i="4"/>
  <c r="C30" i="4"/>
  <c r="B30" i="4"/>
  <c r="A30" i="4"/>
  <c r="A29" i="4"/>
  <c r="L28" i="4"/>
  <c r="K28" i="4"/>
  <c r="J28" i="4"/>
  <c r="I28" i="4"/>
  <c r="H28" i="4"/>
  <c r="G28" i="4"/>
  <c r="F28" i="4"/>
  <c r="E28" i="4"/>
  <c r="D28" i="4"/>
  <c r="C28" i="4"/>
  <c r="B28" i="4"/>
  <c r="A28" i="4"/>
  <c r="L27" i="4"/>
  <c r="K27" i="4"/>
  <c r="J27" i="4"/>
  <c r="I27" i="4"/>
  <c r="H27" i="4"/>
  <c r="G27" i="4"/>
  <c r="F27" i="4"/>
  <c r="E27" i="4"/>
  <c r="D27" i="4"/>
  <c r="C27" i="4"/>
  <c r="B27" i="4"/>
  <c r="A27" i="4"/>
  <c r="L26" i="4"/>
  <c r="K26" i="4"/>
  <c r="J26" i="4"/>
  <c r="I26" i="4"/>
  <c r="H26" i="4"/>
  <c r="G26" i="4"/>
  <c r="F26" i="4"/>
  <c r="E26" i="4"/>
  <c r="D26" i="4"/>
  <c r="C26" i="4"/>
  <c r="B26" i="4"/>
  <c r="A26" i="4"/>
  <c r="L25" i="4"/>
  <c r="K25" i="4"/>
  <c r="J25" i="4"/>
  <c r="I25" i="4"/>
  <c r="H25" i="4"/>
  <c r="G25" i="4"/>
  <c r="F25" i="4"/>
  <c r="E25" i="4"/>
  <c r="D25" i="4"/>
  <c r="C25" i="4"/>
  <c r="B25" i="4"/>
  <c r="A25" i="4"/>
  <c r="L24" i="4"/>
  <c r="K24" i="4"/>
  <c r="J24" i="4"/>
  <c r="I24" i="4"/>
  <c r="H24" i="4"/>
  <c r="G24" i="4"/>
  <c r="F24" i="4"/>
  <c r="E24" i="4"/>
  <c r="D24" i="4"/>
  <c r="C24" i="4"/>
  <c r="B24" i="4"/>
  <c r="A24" i="4"/>
  <c r="L23" i="4"/>
  <c r="K23" i="4"/>
  <c r="J23" i="4"/>
  <c r="I23" i="4"/>
  <c r="H23" i="4"/>
  <c r="G23" i="4"/>
  <c r="F23" i="4"/>
  <c r="E23" i="4"/>
  <c r="D23" i="4"/>
  <c r="C23" i="4"/>
  <c r="B23" i="4"/>
  <c r="A23" i="4"/>
  <c r="L22" i="4"/>
  <c r="K22" i="4"/>
  <c r="J22" i="4"/>
  <c r="I22" i="4"/>
  <c r="H22" i="4"/>
  <c r="G22" i="4"/>
  <c r="F22" i="4"/>
  <c r="E22" i="4"/>
  <c r="D22" i="4"/>
  <c r="C22" i="4"/>
  <c r="B22" i="4"/>
  <c r="A22" i="4"/>
  <c r="L21" i="4"/>
  <c r="K21" i="4"/>
  <c r="J21" i="4"/>
  <c r="I21" i="4"/>
  <c r="H21" i="4"/>
  <c r="G21" i="4"/>
  <c r="F21" i="4"/>
  <c r="E21" i="4"/>
  <c r="D21" i="4"/>
  <c r="C21" i="4"/>
  <c r="B21" i="4"/>
  <c r="A21" i="4"/>
  <c r="A20" i="4"/>
  <c r="L19" i="4"/>
  <c r="K19" i="4"/>
  <c r="J19" i="4"/>
  <c r="I19" i="4"/>
  <c r="H19" i="4"/>
  <c r="G19" i="4"/>
  <c r="F19" i="4"/>
  <c r="E19" i="4"/>
  <c r="D19" i="4"/>
  <c r="C19" i="4"/>
  <c r="B19" i="4"/>
  <c r="A19" i="4"/>
  <c r="A18" i="4"/>
  <c r="L17" i="4"/>
  <c r="K17" i="4"/>
  <c r="J17" i="4"/>
  <c r="I17" i="4"/>
  <c r="H17" i="4"/>
  <c r="G17" i="4"/>
  <c r="F17" i="4"/>
  <c r="E17" i="4"/>
  <c r="D17" i="4"/>
  <c r="C17" i="4"/>
  <c r="B17" i="4"/>
  <c r="A17" i="4"/>
  <c r="L16" i="4"/>
  <c r="K16" i="4"/>
  <c r="J16" i="4"/>
  <c r="I16" i="4"/>
  <c r="H16" i="4"/>
  <c r="G16" i="4"/>
  <c r="F16" i="4"/>
  <c r="E16" i="4"/>
  <c r="D16" i="4"/>
  <c r="C16" i="4"/>
  <c r="B16" i="4"/>
  <c r="A16" i="4"/>
  <c r="L15" i="4"/>
  <c r="K15" i="4"/>
  <c r="J15" i="4"/>
  <c r="I15" i="4"/>
  <c r="H15" i="4"/>
  <c r="G15" i="4"/>
  <c r="F15" i="4"/>
  <c r="E15" i="4"/>
  <c r="D15" i="4"/>
  <c r="C15" i="4"/>
  <c r="B15" i="4"/>
  <c r="A15" i="4"/>
  <c r="L14" i="4"/>
  <c r="K14" i="4"/>
  <c r="J14" i="4"/>
  <c r="I14" i="4"/>
  <c r="H14" i="4"/>
  <c r="G14" i="4"/>
  <c r="F14" i="4"/>
  <c r="E14" i="4"/>
  <c r="D14" i="4"/>
  <c r="C14" i="4"/>
  <c r="B14" i="4"/>
  <c r="A14" i="4"/>
  <c r="A13" i="4"/>
  <c r="L12" i="4"/>
  <c r="K12" i="4"/>
  <c r="J12" i="4"/>
  <c r="I12" i="4"/>
  <c r="H12" i="4"/>
  <c r="G12" i="4"/>
  <c r="F12" i="4"/>
  <c r="E12" i="4"/>
  <c r="D12" i="4"/>
  <c r="C12" i="4"/>
  <c r="B12" i="4"/>
  <c r="A12" i="4"/>
  <c r="L11" i="4"/>
  <c r="K11" i="4"/>
  <c r="J11" i="4"/>
  <c r="I11" i="4"/>
  <c r="H11" i="4"/>
  <c r="G11" i="4"/>
  <c r="F11" i="4"/>
  <c r="E11" i="4"/>
  <c r="D11" i="4"/>
  <c r="C11" i="4"/>
  <c r="B11" i="4"/>
  <c r="A11" i="4"/>
  <c r="L10" i="4"/>
  <c r="K10" i="4"/>
  <c r="J10" i="4"/>
  <c r="I10" i="4"/>
  <c r="H10" i="4"/>
  <c r="G10" i="4"/>
  <c r="F10" i="4"/>
  <c r="E10" i="4"/>
  <c r="D10" i="4"/>
  <c r="C10" i="4"/>
  <c r="B10" i="4"/>
  <c r="A10" i="4"/>
  <c r="L9" i="4"/>
  <c r="K9" i="4"/>
  <c r="J9" i="4"/>
  <c r="I9" i="4"/>
  <c r="H9" i="4"/>
  <c r="G9" i="4"/>
  <c r="F9" i="4"/>
  <c r="E9" i="4"/>
  <c r="D9" i="4"/>
  <c r="C9" i="4"/>
  <c r="B9" i="4"/>
  <c r="A9" i="4"/>
  <c r="A8" i="4"/>
  <c r="A7" i="4"/>
  <c r="A3" i="4"/>
  <c r="A2" i="4"/>
  <c r="C1" i="4"/>
  <c r="A1" i="4"/>
  <c r="N88" i="3"/>
  <c r="M71" i="3"/>
  <c r="L63" i="3"/>
  <c r="K63" i="3"/>
  <c r="J63" i="3"/>
  <c r="I63" i="3"/>
  <c r="H63" i="3"/>
  <c r="G63" i="3"/>
  <c r="F63" i="3"/>
  <c r="E63" i="3"/>
  <c r="D63" i="3"/>
  <c r="C63" i="3"/>
  <c r="M62" i="3"/>
  <c r="L59" i="3"/>
  <c r="K59" i="3"/>
  <c r="J59" i="3"/>
  <c r="I59" i="3"/>
  <c r="H59" i="3"/>
  <c r="G59" i="3"/>
  <c r="F59" i="3"/>
  <c r="E59" i="3"/>
  <c r="D59" i="3"/>
  <c r="C59" i="3"/>
  <c r="M58" i="3"/>
  <c r="L55" i="3"/>
  <c r="K55" i="3"/>
  <c r="J55" i="3"/>
  <c r="I55" i="3"/>
  <c r="H55" i="3"/>
  <c r="G55" i="3"/>
  <c r="F55" i="3"/>
  <c r="E55" i="3"/>
  <c r="D55" i="3"/>
  <c r="C55" i="3"/>
  <c r="L51" i="3"/>
  <c r="K51" i="3"/>
  <c r="J51" i="3"/>
  <c r="I51" i="3"/>
  <c r="H51" i="3"/>
  <c r="G51" i="3"/>
  <c r="F51" i="3"/>
  <c r="E51" i="3"/>
  <c r="D51" i="3"/>
  <c r="C51" i="3"/>
  <c r="L49" i="3"/>
  <c r="K49" i="3"/>
  <c r="J49" i="3"/>
  <c r="I49" i="3"/>
  <c r="H49" i="3"/>
  <c r="G49" i="3"/>
  <c r="F49" i="3"/>
  <c r="E49" i="3"/>
  <c r="D49" i="3"/>
  <c r="C49" i="3"/>
  <c r="L43" i="3"/>
  <c r="K43" i="3"/>
  <c r="J43" i="3"/>
  <c r="I43" i="3"/>
  <c r="H43" i="3"/>
  <c r="G43" i="3"/>
  <c r="F43" i="3"/>
  <c r="E43" i="3"/>
  <c r="D43" i="3"/>
  <c r="C43" i="3"/>
  <c r="M42" i="3"/>
  <c r="L41" i="3"/>
  <c r="K41" i="3"/>
  <c r="J41" i="3"/>
  <c r="I41" i="3"/>
  <c r="H41" i="3"/>
  <c r="G41" i="3"/>
  <c r="F41" i="3"/>
  <c r="E41" i="3"/>
  <c r="D41" i="3"/>
  <c r="C41" i="3"/>
  <c r="L36" i="3"/>
  <c r="K36" i="3"/>
  <c r="J36" i="3"/>
  <c r="I36" i="3"/>
  <c r="H36" i="3"/>
  <c r="G36" i="3"/>
  <c r="F36" i="3"/>
  <c r="E36" i="3"/>
  <c r="D36" i="3"/>
  <c r="C36" i="3"/>
  <c r="L31" i="3"/>
  <c r="K31" i="3"/>
  <c r="J31" i="3"/>
  <c r="I31" i="3"/>
  <c r="H31" i="3"/>
  <c r="G31" i="3"/>
  <c r="F31" i="3"/>
  <c r="E31" i="3"/>
  <c r="D31" i="3"/>
  <c r="C31" i="3"/>
  <c r="M30" i="3"/>
  <c r="L29" i="3"/>
  <c r="K29" i="3"/>
  <c r="J29" i="3"/>
  <c r="I29" i="3"/>
  <c r="H29" i="3"/>
  <c r="G29" i="3"/>
  <c r="F29" i="3"/>
  <c r="E29" i="3"/>
  <c r="D29" i="3"/>
  <c r="C29" i="3"/>
  <c r="M22" i="3"/>
  <c r="L20" i="3"/>
  <c r="K20" i="3"/>
  <c r="J20" i="3"/>
  <c r="I20" i="3"/>
  <c r="H20" i="3"/>
  <c r="G20" i="3"/>
  <c r="F20" i="3"/>
  <c r="E20" i="3"/>
  <c r="D20" i="3"/>
  <c r="C20" i="3"/>
  <c r="M19" i="3"/>
  <c r="L18" i="3"/>
  <c r="K18" i="3"/>
  <c r="J18" i="3"/>
  <c r="I18" i="3"/>
  <c r="H18" i="3"/>
  <c r="G18" i="3"/>
  <c r="F18" i="3"/>
  <c r="E18" i="3"/>
  <c r="D18" i="3"/>
  <c r="C18" i="3"/>
  <c r="M14" i="3"/>
  <c r="L13" i="3"/>
  <c r="K13" i="3"/>
  <c r="J13" i="3"/>
  <c r="I13" i="3"/>
  <c r="H13" i="3"/>
  <c r="G13" i="3"/>
  <c r="F13" i="3"/>
  <c r="E13" i="3"/>
  <c r="D13" i="3"/>
  <c r="C13" i="3"/>
  <c r="M9" i="3"/>
  <c r="G7" i="3"/>
  <c r="F1" i="18" s="1"/>
  <c r="D1" i="3"/>
  <c r="C1" i="3"/>
  <c r="L116" i="2"/>
  <c r="K116" i="2"/>
  <c r="J116" i="2"/>
  <c r="I116" i="2"/>
  <c r="H116" i="2"/>
  <c r="G116" i="2"/>
  <c r="F116" i="2"/>
  <c r="E116" i="2"/>
  <c r="D116" i="2"/>
  <c r="C116" i="2"/>
  <c r="B116" i="2"/>
  <c r="A116" i="2"/>
  <c r="L115" i="2"/>
  <c r="K115" i="2"/>
  <c r="J115" i="2"/>
  <c r="I115" i="2"/>
  <c r="H115" i="2"/>
  <c r="G115" i="2"/>
  <c r="F115" i="2"/>
  <c r="E115" i="2"/>
  <c r="D115" i="2"/>
  <c r="C115" i="2"/>
  <c r="B115" i="2"/>
  <c r="A115" i="2"/>
  <c r="L114" i="2"/>
  <c r="K114" i="2"/>
  <c r="J114" i="2"/>
  <c r="I114" i="2"/>
  <c r="H114" i="2"/>
  <c r="G114" i="2"/>
  <c r="F114" i="2"/>
  <c r="E114" i="2"/>
  <c r="D114" i="2"/>
  <c r="C114" i="2"/>
  <c r="B114" i="2"/>
  <c r="A114" i="2"/>
  <c r="L113" i="2"/>
  <c r="K113" i="2"/>
  <c r="J113" i="2"/>
  <c r="I113" i="2"/>
  <c r="H113" i="2"/>
  <c r="G113" i="2"/>
  <c r="F113" i="2"/>
  <c r="E113" i="2"/>
  <c r="D113" i="2"/>
  <c r="C113" i="2"/>
  <c r="B113" i="2"/>
  <c r="A113" i="2"/>
  <c r="L112" i="2"/>
  <c r="K112" i="2"/>
  <c r="J112" i="2"/>
  <c r="I112" i="2"/>
  <c r="H112" i="2"/>
  <c r="G112" i="2"/>
  <c r="F112" i="2"/>
  <c r="E112" i="2"/>
  <c r="D112" i="2"/>
  <c r="C112" i="2"/>
  <c r="B112" i="2"/>
  <c r="A112" i="2"/>
  <c r="L111" i="2"/>
  <c r="K111" i="2"/>
  <c r="J111" i="2"/>
  <c r="I111" i="2"/>
  <c r="H111" i="2"/>
  <c r="G111" i="2"/>
  <c r="F111" i="2"/>
  <c r="E111" i="2"/>
  <c r="D111" i="2"/>
  <c r="C111" i="2"/>
  <c r="B111" i="2"/>
  <c r="A111" i="2"/>
  <c r="A110" i="2"/>
  <c r="L109" i="2"/>
  <c r="K109" i="2"/>
  <c r="J109" i="2"/>
  <c r="I109" i="2"/>
  <c r="H109" i="2"/>
  <c r="G109" i="2"/>
  <c r="F109" i="2"/>
  <c r="E109" i="2"/>
  <c r="D109" i="2"/>
  <c r="C109" i="2"/>
  <c r="B109" i="2"/>
  <c r="A109" i="2"/>
  <c r="L108" i="2"/>
  <c r="K108" i="2"/>
  <c r="J108" i="2"/>
  <c r="I108" i="2"/>
  <c r="H108" i="2"/>
  <c r="G108" i="2"/>
  <c r="F108" i="2"/>
  <c r="E108" i="2"/>
  <c r="D108" i="2"/>
  <c r="C108" i="2"/>
  <c r="B108" i="2"/>
  <c r="A108" i="2"/>
  <c r="L107" i="2"/>
  <c r="K107" i="2"/>
  <c r="J107" i="2"/>
  <c r="I107" i="2"/>
  <c r="H107" i="2"/>
  <c r="G107" i="2"/>
  <c r="F107" i="2"/>
  <c r="E107" i="2"/>
  <c r="D107" i="2"/>
  <c r="C107" i="2"/>
  <c r="B107" i="2"/>
  <c r="A107" i="2"/>
  <c r="L106" i="2"/>
  <c r="K106" i="2"/>
  <c r="J106" i="2"/>
  <c r="I106" i="2"/>
  <c r="H106" i="2"/>
  <c r="G106" i="2"/>
  <c r="F106" i="2"/>
  <c r="E106" i="2"/>
  <c r="D106" i="2"/>
  <c r="C106" i="2"/>
  <c r="B106" i="2"/>
  <c r="A106" i="2"/>
  <c r="A105" i="2"/>
  <c r="L104" i="2"/>
  <c r="K104" i="2"/>
  <c r="J104" i="2"/>
  <c r="I104" i="2"/>
  <c r="H104" i="2"/>
  <c r="G104" i="2"/>
  <c r="F104" i="2"/>
  <c r="E104" i="2"/>
  <c r="D104" i="2"/>
  <c r="C104" i="2"/>
  <c r="B104" i="2"/>
  <c r="A104" i="2"/>
  <c r="A103" i="2"/>
  <c r="L102" i="2"/>
  <c r="K102" i="2"/>
  <c r="J102" i="2"/>
  <c r="I102" i="2"/>
  <c r="H102" i="2"/>
  <c r="G102" i="2"/>
  <c r="F102" i="2"/>
  <c r="E102" i="2"/>
  <c r="D102" i="2"/>
  <c r="C102" i="2"/>
  <c r="B102" i="2"/>
  <c r="A102" i="2"/>
  <c r="A101" i="2"/>
  <c r="L100" i="2"/>
  <c r="K100" i="2"/>
  <c r="J100" i="2"/>
  <c r="I100" i="2"/>
  <c r="H100" i="2"/>
  <c r="G100" i="2"/>
  <c r="F100" i="2"/>
  <c r="E100" i="2"/>
  <c r="D100" i="2"/>
  <c r="C100" i="2"/>
  <c r="B100" i="2"/>
  <c r="A100" i="2"/>
  <c r="L99" i="2"/>
  <c r="K99" i="2"/>
  <c r="J99" i="2"/>
  <c r="I99" i="2"/>
  <c r="H99" i="2"/>
  <c r="G99" i="2"/>
  <c r="F99" i="2"/>
  <c r="E99" i="2"/>
  <c r="D99" i="2"/>
  <c r="C99" i="2"/>
  <c r="B99" i="2"/>
  <c r="A99" i="2"/>
  <c r="L98" i="2"/>
  <c r="K98" i="2"/>
  <c r="J98" i="2"/>
  <c r="I98" i="2"/>
  <c r="H98" i="2"/>
  <c r="G98" i="2"/>
  <c r="F98" i="2"/>
  <c r="E98" i="2"/>
  <c r="D98" i="2"/>
  <c r="C98" i="2"/>
  <c r="B98" i="2"/>
  <c r="A98" i="2"/>
  <c r="L97" i="2"/>
  <c r="K97" i="2"/>
  <c r="J97" i="2"/>
  <c r="I97" i="2"/>
  <c r="H97" i="2"/>
  <c r="G97" i="2"/>
  <c r="F97" i="2"/>
  <c r="E97" i="2"/>
  <c r="D97" i="2"/>
  <c r="C97" i="2"/>
  <c r="B97" i="2"/>
  <c r="A97" i="2"/>
  <c r="L96" i="2"/>
  <c r="K96" i="2"/>
  <c r="J96" i="2"/>
  <c r="I96" i="2"/>
  <c r="H96" i="2"/>
  <c r="G96" i="2"/>
  <c r="F96" i="2"/>
  <c r="E96" i="2"/>
  <c r="D96" i="2"/>
  <c r="C96" i="2"/>
  <c r="B96" i="2"/>
  <c r="A96" i="2"/>
  <c r="L95" i="2"/>
  <c r="K95" i="2"/>
  <c r="J95" i="2"/>
  <c r="I95" i="2"/>
  <c r="H95" i="2"/>
  <c r="G95" i="2"/>
  <c r="F95" i="2"/>
  <c r="E95" i="2"/>
  <c r="D95" i="2"/>
  <c r="C95" i="2"/>
  <c r="B95" i="2"/>
  <c r="A95" i="2"/>
  <c r="L94" i="2"/>
  <c r="K94" i="2"/>
  <c r="J94" i="2"/>
  <c r="I94" i="2"/>
  <c r="H94" i="2"/>
  <c r="G94" i="2"/>
  <c r="F94" i="2"/>
  <c r="E94" i="2"/>
  <c r="D94" i="2"/>
  <c r="C94" i="2"/>
  <c r="B94" i="2"/>
  <c r="A94" i="2"/>
  <c r="L93" i="2"/>
  <c r="K93" i="2"/>
  <c r="J93" i="2"/>
  <c r="I93" i="2"/>
  <c r="H93" i="2"/>
  <c r="G93" i="2"/>
  <c r="F93" i="2"/>
  <c r="E93" i="2"/>
  <c r="D93" i="2"/>
  <c r="C93" i="2"/>
  <c r="B93" i="2"/>
  <c r="A93" i="2"/>
  <c r="L92" i="2"/>
  <c r="K92" i="2"/>
  <c r="J92" i="2"/>
  <c r="I92" i="2"/>
  <c r="H92" i="2"/>
  <c r="G92" i="2"/>
  <c r="F92" i="2"/>
  <c r="E92" i="2"/>
  <c r="D92" i="2"/>
  <c r="C92" i="2"/>
  <c r="B92" i="2"/>
  <c r="A92" i="2"/>
  <c r="L91" i="2"/>
  <c r="K91" i="2"/>
  <c r="J91" i="2"/>
  <c r="I91" i="2"/>
  <c r="H91" i="2"/>
  <c r="G91" i="2"/>
  <c r="F91" i="2"/>
  <c r="E91" i="2"/>
  <c r="D91" i="2"/>
  <c r="C91" i="2"/>
  <c r="B91" i="2"/>
  <c r="A91" i="2"/>
  <c r="L90" i="2"/>
  <c r="K90" i="2"/>
  <c r="J90" i="2"/>
  <c r="I90" i="2"/>
  <c r="H90" i="2"/>
  <c r="G90" i="2"/>
  <c r="F90" i="2"/>
  <c r="E90" i="2"/>
  <c r="D90" i="2"/>
  <c r="C90" i="2"/>
  <c r="B90" i="2"/>
  <c r="A90" i="2"/>
  <c r="A89" i="2"/>
  <c r="L88" i="2"/>
  <c r="K88" i="2"/>
  <c r="J88" i="2"/>
  <c r="I88" i="2"/>
  <c r="H88" i="2"/>
  <c r="G88" i="2"/>
  <c r="F88" i="2"/>
  <c r="E88" i="2"/>
  <c r="D88" i="2"/>
  <c r="C88" i="2"/>
  <c r="B88" i="2"/>
  <c r="A88" i="2"/>
  <c r="L87" i="2"/>
  <c r="K87" i="2"/>
  <c r="J87" i="2"/>
  <c r="I87" i="2"/>
  <c r="H87" i="2"/>
  <c r="G87" i="2"/>
  <c r="F87" i="2"/>
  <c r="E87" i="2"/>
  <c r="D87" i="2"/>
  <c r="C87" i="2"/>
  <c r="B87" i="2"/>
  <c r="A87" i="2"/>
  <c r="L86" i="2"/>
  <c r="K86" i="2"/>
  <c r="J86" i="2"/>
  <c r="I86" i="2"/>
  <c r="H86" i="2"/>
  <c r="G86" i="2"/>
  <c r="F86" i="2"/>
  <c r="E86" i="2"/>
  <c r="D86" i="2"/>
  <c r="C86" i="2"/>
  <c r="B86" i="2"/>
  <c r="A86" i="2"/>
  <c r="L85" i="2"/>
  <c r="K85" i="2"/>
  <c r="J85" i="2"/>
  <c r="I85" i="2"/>
  <c r="H85" i="2"/>
  <c r="G85" i="2"/>
  <c r="F85" i="2"/>
  <c r="E85" i="2"/>
  <c r="D85" i="2"/>
  <c r="C85" i="2"/>
  <c r="B85" i="2"/>
  <c r="A85" i="2"/>
  <c r="L84" i="2"/>
  <c r="K84" i="2"/>
  <c r="J84" i="2"/>
  <c r="I84" i="2"/>
  <c r="H84" i="2"/>
  <c r="G84" i="2"/>
  <c r="F84" i="2"/>
  <c r="E84" i="2"/>
  <c r="D84" i="2"/>
  <c r="C84" i="2"/>
  <c r="B84" i="2"/>
  <c r="A84" i="2"/>
  <c r="A83" i="2"/>
  <c r="L82" i="2"/>
  <c r="K82" i="2"/>
  <c r="J82" i="2"/>
  <c r="I82" i="2"/>
  <c r="H82" i="2"/>
  <c r="G82" i="2"/>
  <c r="F82" i="2"/>
  <c r="E82" i="2"/>
  <c r="D82" i="2"/>
  <c r="C82" i="2"/>
  <c r="B82" i="2"/>
  <c r="A82" i="2"/>
  <c r="A81" i="2"/>
  <c r="L80" i="2"/>
  <c r="K80" i="2"/>
  <c r="J80" i="2"/>
  <c r="I80" i="2"/>
  <c r="H80" i="2"/>
  <c r="G80" i="2"/>
  <c r="F80" i="2"/>
  <c r="E80" i="2"/>
  <c r="D80" i="2"/>
  <c r="C80" i="2"/>
  <c r="B80" i="2"/>
  <c r="A80" i="2"/>
  <c r="L79" i="2"/>
  <c r="K79" i="2"/>
  <c r="J79" i="2"/>
  <c r="I79" i="2"/>
  <c r="H79" i="2"/>
  <c r="G79" i="2"/>
  <c r="F79" i="2"/>
  <c r="E79" i="2"/>
  <c r="D79" i="2"/>
  <c r="C79" i="2"/>
  <c r="B79" i="2"/>
  <c r="A79" i="2"/>
  <c r="L78" i="2"/>
  <c r="K78" i="2"/>
  <c r="J78" i="2"/>
  <c r="I78" i="2"/>
  <c r="H78" i="2"/>
  <c r="G78" i="2"/>
  <c r="F78" i="2"/>
  <c r="E78" i="2"/>
  <c r="D78" i="2"/>
  <c r="C78" i="2"/>
  <c r="B78" i="2"/>
  <c r="A78" i="2"/>
  <c r="L77" i="2"/>
  <c r="K77" i="2"/>
  <c r="J77" i="2"/>
  <c r="I77" i="2"/>
  <c r="H77" i="2"/>
  <c r="G77" i="2"/>
  <c r="F77" i="2"/>
  <c r="E77" i="2"/>
  <c r="D77" i="2"/>
  <c r="C77" i="2"/>
  <c r="B77" i="2"/>
  <c r="A77" i="2"/>
  <c r="L76" i="2"/>
  <c r="K76" i="2"/>
  <c r="J76" i="2"/>
  <c r="I76" i="2"/>
  <c r="H76" i="2"/>
  <c r="G76" i="2"/>
  <c r="F76" i="2"/>
  <c r="E76" i="2"/>
  <c r="D76" i="2"/>
  <c r="C76" i="2"/>
  <c r="B76" i="2"/>
  <c r="A76" i="2"/>
  <c r="L75" i="2"/>
  <c r="K75" i="2"/>
  <c r="J75" i="2"/>
  <c r="I75" i="2"/>
  <c r="H75" i="2"/>
  <c r="G75" i="2"/>
  <c r="F75" i="2"/>
  <c r="E75" i="2"/>
  <c r="D75" i="2"/>
  <c r="C75" i="2"/>
  <c r="B75" i="2"/>
  <c r="A75" i="2"/>
  <c r="A74" i="2"/>
  <c r="L73" i="2"/>
  <c r="K73" i="2"/>
  <c r="J73" i="2"/>
  <c r="I73" i="2"/>
  <c r="H73" i="2"/>
  <c r="G73" i="2"/>
  <c r="F73" i="2"/>
  <c r="E73" i="2"/>
  <c r="D73" i="2"/>
  <c r="C73" i="2"/>
  <c r="B73" i="2"/>
  <c r="A73" i="2"/>
  <c r="L72" i="2"/>
  <c r="K72" i="2"/>
  <c r="J72" i="2"/>
  <c r="I72" i="2"/>
  <c r="H72" i="2"/>
  <c r="G72" i="2"/>
  <c r="F72" i="2"/>
  <c r="E72" i="2"/>
  <c r="D72" i="2"/>
  <c r="C72" i="2"/>
  <c r="B72" i="2"/>
  <c r="A72" i="2"/>
  <c r="L71" i="2"/>
  <c r="K71" i="2"/>
  <c r="J71" i="2"/>
  <c r="I71" i="2"/>
  <c r="H71" i="2"/>
  <c r="G71" i="2"/>
  <c r="F71" i="2"/>
  <c r="E71" i="2"/>
  <c r="D71" i="2"/>
  <c r="C71" i="2"/>
  <c r="B71" i="2"/>
  <c r="A71" i="2"/>
  <c r="L70" i="2"/>
  <c r="K70" i="2"/>
  <c r="J70" i="2"/>
  <c r="I70" i="2"/>
  <c r="H70" i="2"/>
  <c r="G70" i="2"/>
  <c r="F70" i="2"/>
  <c r="E70" i="2"/>
  <c r="D70" i="2"/>
  <c r="C70" i="2"/>
  <c r="B70" i="2"/>
  <c r="A70" i="2"/>
  <c r="L69" i="2"/>
  <c r="K69" i="2"/>
  <c r="J69" i="2"/>
  <c r="I69" i="2"/>
  <c r="H69" i="2"/>
  <c r="G69" i="2"/>
  <c r="F69" i="2"/>
  <c r="E69" i="2"/>
  <c r="D69" i="2"/>
  <c r="C69" i="2"/>
  <c r="B69" i="2"/>
  <c r="A69" i="2"/>
  <c r="L68" i="2"/>
  <c r="K68" i="2"/>
  <c r="J68" i="2"/>
  <c r="I68" i="2"/>
  <c r="H68" i="2"/>
  <c r="G68" i="2"/>
  <c r="F68" i="2"/>
  <c r="E68" i="2"/>
  <c r="D68" i="2"/>
  <c r="C68" i="2"/>
  <c r="B68" i="2"/>
  <c r="A68" i="2"/>
  <c r="A67" i="2"/>
  <c r="L66" i="2"/>
  <c r="K66" i="2"/>
  <c r="J66" i="2"/>
  <c r="I66" i="2"/>
  <c r="H66" i="2"/>
  <c r="G66" i="2"/>
  <c r="F66" i="2"/>
  <c r="E66" i="2"/>
  <c r="D66" i="2"/>
  <c r="C66" i="2"/>
  <c r="B66" i="2"/>
  <c r="A66" i="2"/>
  <c r="L65" i="2"/>
  <c r="K65" i="2"/>
  <c r="J65" i="2"/>
  <c r="I65" i="2"/>
  <c r="H65" i="2"/>
  <c r="G65" i="2"/>
  <c r="F65" i="2"/>
  <c r="E65" i="2"/>
  <c r="D65" i="2"/>
  <c r="C65" i="2"/>
  <c r="B65" i="2"/>
  <c r="A65" i="2"/>
  <c r="L64" i="2"/>
  <c r="K64" i="2"/>
  <c r="J64" i="2"/>
  <c r="I64" i="2"/>
  <c r="H64" i="2"/>
  <c r="G64" i="2"/>
  <c r="F64" i="2"/>
  <c r="E64" i="2"/>
  <c r="D64" i="2"/>
  <c r="C64" i="2"/>
  <c r="B64" i="2"/>
  <c r="A64" i="2"/>
  <c r="L63" i="2"/>
  <c r="K63" i="2"/>
  <c r="J63" i="2"/>
  <c r="I63" i="2"/>
  <c r="H63" i="2"/>
  <c r="G63" i="2"/>
  <c r="F63" i="2"/>
  <c r="E63" i="2"/>
  <c r="D63" i="2"/>
  <c r="C63" i="2"/>
  <c r="B63" i="2"/>
  <c r="A63" i="2"/>
  <c r="L62" i="2"/>
  <c r="K62" i="2"/>
  <c r="J62" i="2"/>
  <c r="I62" i="2"/>
  <c r="H62" i="2"/>
  <c r="G62" i="2"/>
  <c r="F62" i="2"/>
  <c r="E62" i="2"/>
  <c r="D62" i="2"/>
  <c r="C62" i="2"/>
  <c r="B62" i="2"/>
  <c r="A62" i="2"/>
  <c r="A61" i="2"/>
  <c r="A60" i="2"/>
  <c r="L59" i="2"/>
  <c r="K59" i="2"/>
  <c r="J59" i="2"/>
  <c r="I59" i="2"/>
  <c r="H59" i="2"/>
  <c r="G59" i="2"/>
  <c r="F59" i="2"/>
  <c r="E59" i="2"/>
  <c r="D59" i="2"/>
  <c r="C59" i="2"/>
  <c r="B59" i="2"/>
  <c r="A59" i="2"/>
  <c r="A58" i="2"/>
  <c r="L57" i="2"/>
  <c r="K57" i="2"/>
  <c r="J57" i="2"/>
  <c r="I57" i="2"/>
  <c r="H57" i="2"/>
  <c r="G57" i="2"/>
  <c r="F57" i="2"/>
  <c r="E57" i="2"/>
  <c r="D57" i="2"/>
  <c r="C57" i="2"/>
  <c r="B57" i="2"/>
  <c r="A57" i="2"/>
  <c r="A56" i="2"/>
  <c r="L55" i="2"/>
  <c r="K55" i="2"/>
  <c r="J55" i="2"/>
  <c r="I55" i="2"/>
  <c r="H55" i="2"/>
  <c r="G55" i="2"/>
  <c r="F55" i="2"/>
  <c r="E55" i="2"/>
  <c r="D55" i="2"/>
  <c r="C55" i="2"/>
  <c r="B55" i="2"/>
  <c r="A55" i="2"/>
  <c r="L54" i="2"/>
  <c r="K54" i="2"/>
  <c r="J54" i="2"/>
  <c r="I54" i="2"/>
  <c r="H54" i="2"/>
  <c r="G54" i="2"/>
  <c r="F54" i="2"/>
  <c r="E54" i="2"/>
  <c r="D54" i="2"/>
  <c r="C54" i="2"/>
  <c r="B54" i="2"/>
  <c r="A54" i="2"/>
  <c r="L53" i="2"/>
  <c r="K53" i="2"/>
  <c r="J53" i="2"/>
  <c r="I53" i="2"/>
  <c r="H53" i="2"/>
  <c r="G53" i="2"/>
  <c r="F53" i="2"/>
  <c r="E53" i="2"/>
  <c r="D53" i="2"/>
  <c r="C53" i="2"/>
  <c r="B53" i="2"/>
  <c r="A53" i="2"/>
  <c r="L52" i="2"/>
  <c r="K52" i="2"/>
  <c r="J52" i="2"/>
  <c r="I52" i="2"/>
  <c r="H52" i="2"/>
  <c r="G52" i="2"/>
  <c r="F52" i="2"/>
  <c r="E52" i="2"/>
  <c r="D52" i="2"/>
  <c r="C52" i="2"/>
  <c r="B52" i="2"/>
  <c r="A52" i="2"/>
  <c r="L51" i="2"/>
  <c r="K51" i="2"/>
  <c r="J51" i="2"/>
  <c r="I51" i="2"/>
  <c r="H51" i="2"/>
  <c r="G51" i="2"/>
  <c r="F51" i="2"/>
  <c r="E51" i="2"/>
  <c r="D51" i="2"/>
  <c r="C51" i="2"/>
  <c r="B51" i="2"/>
  <c r="A51" i="2"/>
  <c r="L50" i="2"/>
  <c r="K50" i="2"/>
  <c r="J50" i="2"/>
  <c r="I50" i="2"/>
  <c r="H50" i="2"/>
  <c r="G50" i="2"/>
  <c r="F50" i="2"/>
  <c r="E50" i="2"/>
  <c r="D50" i="2"/>
  <c r="C50" i="2"/>
  <c r="B50" i="2"/>
  <c r="A50" i="2"/>
  <c r="L49" i="2"/>
  <c r="K49" i="2"/>
  <c r="J49" i="2"/>
  <c r="I49" i="2"/>
  <c r="H49" i="2"/>
  <c r="G49" i="2"/>
  <c r="F49" i="2"/>
  <c r="E49" i="2"/>
  <c r="D49" i="2"/>
  <c r="C49" i="2"/>
  <c r="B49" i="2"/>
  <c r="A49" i="2"/>
  <c r="L48" i="2"/>
  <c r="K48" i="2"/>
  <c r="J48" i="2"/>
  <c r="I48" i="2"/>
  <c r="H48" i="2"/>
  <c r="G48" i="2"/>
  <c r="F48" i="2"/>
  <c r="E48" i="2"/>
  <c r="D48" i="2"/>
  <c r="C48" i="2"/>
  <c r="B48" i="2"/>
  <c r="A48" i="2"/>
  <c r="L47" i="2"/>
  <c r="K47" i="2"/>
  <c r="J47" i="2"/>
  <c r="I47" i="2"/>
  <c r="H47" i="2"/>
  <c r="G47" i="2"/>
  <c r="F47" i="2"/>
  <c r="E47" i="2"/>
  <c r="D47" i="2"/>
  <c r="C47" i="2"/>
  <c r="B47" i="2"/>
  <c r="A47" i="2"/>
  <c r="L46" i="2"/>
  <c r="K46" i="2"/>
  <c r="J46" i="2"/>
  <c r="I46" i="2"/>
  <c r="H46" i="2"/>
  <c r="G46" i="2"/>
  <c r="F46" i="2"/>
  <c r="E46" i="2"/>
  <c r="D46" i="2"/>
  <c r="C46" i="2"/>
  <c r="B46" i="2"/>
  <c r="A46" i="2"/>
  <c r="L45" i="2"/>
  <c r="K45" i="2"/>
  <c r="J45" i="2"/>
  <c r="I45" i="2"/>
  <c r="H45" i="2"/>
  <c r="G45" i="2"/>
  <c r="F45" i="2"/>
  <c r="E45" i="2"/>
  <c r="D45" i="2"/>
  <c r="C45" i="2"/>
  <c r="B45" i="2"/>
  <c r="A45" i="2"/>
  <c r="A44" i="2"/>
  <c r="L43" i="2"/>
  <c r="K43" i="2"/>
  <c r="J43" i="2"/>
  <c r="I43" i="2"/>
  <c r="H43" i="2"/>
  <c r="G43" i="2"/>
  <c r="F43" i="2"/>
  <c r="E43" i="2"/>
  <c r="D43" i="2"/>
  <c r="C43" i="2"/>
  <c r="B43" i="2"/>
  <c r="A43" i="2"/>
  <c r="L42" i="2"/>
  <c r="K42" i="2"/>
  <c r="J42" i="2"/>
  <c r="I42" i="2"/>
  <c r="H42" i="2"/>
  <c r="G42" i="2"/>
  <c r="F42" i="2"/>
  <c r="E42" i="2"/>
  <c r="D42" i="2"/>
  <c r="C42" i="2"/>
  <c r="B42" i="2"/>
  <c r="A42" i="2"/>
  <c r="L41" i="2"/>
  <c r="K41" i="2"/>
  <c r="J41" i="2"/>
  <c r="I41" i="2"/>
  <c r="H41" i="2"/>
  <c r="G41" i="2"/>
  <c r="F41" i="2"/>
  <c r="E41" i="2"/>
  <c r="D41" i="2"/>
  <c r="C41" i="2"/>
  <c r="B41" i="2"/>
  <c r="A41" i="2"/>
  <c r="A40" i="2"/>
  <c r="H39" i="2"/>
  <c r="A39" i="2"/>
  <c r="L38" i="2"/>
  <c r="K38" i="2"/>
  <c r="J38" i="2"/>
  <c r="I38" i="2"/>
  <c r="H38" i="2"/>
  <c r="G38" i="2"/>
  <c r="F38" i="2"/>
  <c r="E38" i="2"/>
  <c r="D38" i="2"/>
  <c r="C38" i="2"/>
  <c r="B38" i="2"/>
  <c r="A38" i="2"/>
  <c r="L37" i="2"/>
  <c r="K37" i="2"/>
  <c r="J37" i="2"/>
  <c r="I37" i="2"/>
  <c r="H37" i="2"/>
  <c r="G37" i="2"/>
  <c r="F37" i="2"/>
  <c r="E37" i="2"/>
  <c r="D37" i="2"/>
  <c r="C37" i="2"/>
  <c r="B37" i="2"/>
  <c r="A37" i="2"/>
  <c r="L36" i="2"/>
  <c r="K36" i="2"/>
  <c r="J36" i="2"/>
  <c r="I36" i="2"/>
  <c r="H36" i="2"/>
  <c r="G36" i="2"/>
  <c r="F36" i="2"/>
  <c r="E36" i="2"/>
  <c r="D36" i="2"/>
  <c r="C36" i="2"/>
  <c r="B36" i="2"/>
  <c r="A36" i="2"/>
  <c r="L35" i="2"/>
  <c r="K35" i="2"/>
  <c r="J35" i="2"/>
  <c r="I35" i="2"/>
  <c r="H35" i="2"/>
  <c r="G35" i="2"/>
  <c r="F35" i="2"/>
  <c r="E35" i="2"/>
  <c r="D35" i="2"/>
  <c r="C35" i="2"/>
  <c r="B35" i="2"/>
  <c r="A35" i="2"/>
  <c r="A34" i="2"/>
  <c r="L33" i="2"/>
  <c r="K33" i="2"/>
  <c r="J33" i="2"/>
  <c r="I33" i="2"/>
  <c r="H33" i="2"/>
  <c r="G33" i="2"/>
  <c r="F33" i="2"/>
  <c r="E33" i="2"/>
  <c r="D33" i="2"/>
  <c r="C33" i="2"/>
  <c r="B33" i="2"/>
  <c r="A33" i="2"/>
  <c r="A32" i="2"/>
  <c r="L31" i="2"/>
  <c r="K31" i="2"/>
  <c r="J31" i="2"/>
  <c r="I31" i="2"/>
  <c r="H31" i="2"/>
  <c r="G31" i="2"/>
  <c r="F31" i="2"/>
  <c r="E31" i="2"/>
  <c r="D31" i="2"/>
  <c r="C31" i="2"/>
  <c r="B31" i="2"/>
  <c r="A31" i="2"/>
  <c r="L30" i="2"/>
  <c r="K30" i="2"/>
  <c r="J30" i="2"/>
  <c r="I30" i="2"/>
  <c r="H30" i="2"/>
  <c r="G30" i="2"/>
  <c r="F30" i="2"/>
  <c r="E30" i="2"/>
  <c r="D30" i="2"/>
  <c r="C30" i="2"/>
  <c r="B30" i="2"/>
  <c r="L29" i="2"/>
  <c r="K29" i="2"/>
  <c r="J29" i="2"/>
  <c r="I29" i="2"/>
  <c r="H29" i="2"/>
  <c r="G29" i="2"/>
  <c r="F29" i="2"/>
  <c r="E29" i="2"/>
  <c r="D29" i="2"/>
  <c r="C29" i="2"/>
  <c r="B29" i="2"/>
  <c r="A29" i="2"/>
  <c r="L28" i="2"/>
  <c r="K28" i="2"/>
  <c r="J28" i="2"/>
  <c r="I28" i="2"/>
  <c r="H28" i="2"/>
  <c r="G28" i="2"/>
  <c r="F28" i="2"/>
  <c r="E28" i="2"/>
  <c r="D28" i="2"/>
  <c r="C28" i="2"/>
  <c r="B28" i="2"/>
  <c r="A28" i="2"/>
  <c r="L27" i="2"/>
  <c r="K27" i="2"/>
  <c r="J27" i="2"/>
  <c r="I27" i="2"/>
  <c r="H27" i="2"/>
  <c r="G27" i="2"/>
  <c r="F27" i="2"/>
  <c r="E27" i="2"/>
  <c r="D27" i="2"/>
  <c r="C27" i="2"/>
  <c r="B27" i="2"/>
  <c r="A27" i="2"/>
  <c r="L26" i="2"/>
  <c r="K26" i="2"/>
  <c r="J26" i="2"/>
  <c r="I26" i="2"/>
  <c r="H26" i="2"/>
  <c r="G26" i="2"/>
  <c r="F26" i="2"/>
  <c r="E26" i="2"/>
  <c r="D26" i="2"/>
  <c r="C26" i="2"/>
  <c r="B26" i="2"/>
  <c r="A26" i="2"/>
  <c r="L25" i="2"/>
  <c r="K25" i="2"/>
  <c r="J25" i="2"/>
  <c r="I25" i="2"/>
  <c r="H25" i="2"/>
  <c r="G25" i="2"/>
  <c r="F25" i="2"/>
  <c r="E25" i="2"/>
  <c r="D25" i="2"/>
  <c r="C25" i="2"/>
  <c r="B25" i="2"/>
  <c r="A25" i="2"/>
  <c r="L24" i="2"/>
  <c r="K24" i="2"/>
  <c r="J24" i="2"/>
  <c r="I24" i="2"/>
  <c r="H24" i="2"/>
  <c r="G24" i="2"/>
  <c r="F24" i="2"/>
  <c r="E24" i="2"/>
  <c r="D24" i="2"/>
  <c r="C24" i="2"/>
  <c r="B24" i="2"/>
  <c r="A24" i="2"/>
  <c r="A23" i="2"/>
  <c r="L22" i="2"/>
  <c r="K22" i="2"/>
  <c r="J22" i="2"/>
  <c r="I22" i="2"/>
  <c r="H22" i="2"/>
  <c r="G22" i="2"/>
  <c r="F22" i="2"/>
  <c r="E22" i="2"/>
  <c r="D22" i="2"/>
  <c r="C22" i="2"/>
  <c r="B22" i="2"/>
  <c r="A22" i="2"/>
  <c r="L21" i="2"/>
  <c r="K21" i="2"/>
  <c r="J21" i="2"/>
  <c r="I21" i="2"/>
  <c r="H21" i="2"/>
  <c r="G21" i="2"/>
  <c r="F21" i="2"/>
  <c r="E21" i="2"/>
  <c r="D21" i="2"/>
  <c r="C21" i="2"/>
  <c r="B21" i="2"/>
  <c r="A21" i="2"/>
  <c r="L20" i="2"/>
  <c r="K20" i="2"/>
  <c r="J20" i="2"/>
  <c r="I20" i="2"/>
  <c r="H20" i="2"/>
  <c r="G20" i="2"/>
  <c r="F20" i="2"/>
  <c r="E20" i="2"/>
  <c r="D20" i="2"/>
  <c r="C20" i="2"/>
  <c r="B20" i="2"/>
  <c r="A20" i="2"/>
  <c r="L19" i="2"/>
  <c r="K19" i="2"/>
  <c r="J19" i="2"/>
  <c r="I19" i="2"/>
  <c r="H19" i="2"/>
  <c r="G19" i="2"/>
  <c r="F19" i="2"/>
  <c r="E19" i="2"/>
  <c r="D19" i="2"/>
  <c r="C19" i="2"/>
  <c r="B19" i="2"/>
  <c r="A19" i="2"/>
  <c r="L18" i="2"/>
  <c r="K18" i="2"/>
  <c r="J18" i="2"/>
  <c r="I18" i="2"/>
  <c r="H18" i="2"/>
  <c r="G18" i="2"/>
  <c r="F18" i="2"/>
  <c r="E18" i="2"/>
  <c r="D18" i="2"/>
  <c r="C18" i="2"/>
  <c r="B18" i="2"/>
  <c r="A18" i="2"/>
  <c r="A17" i="2"/>
  <c r="L16" i="2"/>
  <c r="K16" i="2"/>
  <c r="J16" i="2"/>
  <c r="I16" i="2"/>
  <c r="H16" i="2"/>
  <c r="G16" i="2"/>
  <c r="F16" i="2"/>
  <c r="E16" i="2"/>
  <c r="D16" i="2"/>
  <c r="C16" i="2"/>
  <c r="B16" i="2"/>
  <c r="A16" i="2"/>
  <c r="L15" i="2"/>
  <c r="K15" i="2"/>
  <c r="J15" i="2"/>
  <c r="I15" i="2"/>
  <c r="H15" i="2"/>
  <c r="G15" i="2"/>
  <c r="F15" i="2"/>
  <c r="E15" i="2"/>
  <c r="D15" i="2"/>
  <c r="C15" i="2"/>
  <c r="B15" i="2"/>
  <c r="A15" i="2"/>
  <c r="L14" i="2"/>
  <c r="K14" i="2"/>
  <c r="J14" i="2"/>
  <c r="I14" i="2"/>
  <c r="H14" i="2"/>
  <c r="G14" i="2"/>
  <c r="F14" i="2"/>
  <c r="E14" i="2"/>
  <c r="D14" i="2"/>
  <c r="C14" i="2"/>
  <c r="B14" i="2"/>
  <c r="A14" i="2"/>
  <c r="A13" i="2"/>
  <c r="L12" i="2"/>
  <c r="K12" i="2"/>
  <c r="J12" i="2"/>
  <c r="I12" i="2"/>
  <c r="H12" i="2"/>
  <c r="G12" i="2"/>
  <c r="F12" i="2"/>
  <c r="E12" i="2"/>
  <c r="D12" i="2"/>
  <c r="C12" i="2"/>
  <c r="B12" i="2"/>
  <c r="A12" i="2"/>
  <c r="L11" i="2"/>
  <c r="K11" i="2"/>
  <c r="J11" i="2"/>
  <c r="I11" i="2"/>
  <c r="H11" i="2"/>
  <c r="G11" i="2"/>
  <c r="F11" i="2"/>
  <c r="E11" i="2"/>
  <c r="D11" i="2"/>
  <c r="C11" i="2"/>
  <c r="B11" i="2"/>
  <c r="A11" i="2"/>
  <c r="L10" i="2"/>
  <c r="K10" i="2"/>
  <c r="J10" i="2"/>
  <c r="I10" i="2"/>
  <c r="H10" i="2"/>
  <c r="G10" i="2"/>
  <c r="F10" i="2"/>
  <c r="E10" i="2"/>
  <c r="D10" i="2"/>
  <c r="C10" i="2"/>
  <c r="B10" i="2"/>
  <c r="A10" i="2"/>
  <c r="A9" i="2"/>
  <c r="A8" i="2"/>
  <c r="F7" i="2"/>
  <c r="E7" i="2"/>
  <c r="A7" i="2"/>
  <c r="L5" i="2"/>
  <c r="K5" i="2"/>
  <c r="J5" i="2"/>
  <c r="I5" i="2"/>
  <c r="H5" i="2"/>
  <c r="G5" i="2"/>
  <c r="F5" i="2"/>
  <c r="E5" i="2"/>
  <c r="D5" i="2"/>
  <c r="C5" i="2"/>
  <c r="L4" i="2"/>
  <c r="K4" i="2"/>
  <c r="J4" i="2"/>
  <c r="I4" i="2"/>
  <c r="H4" i="2"/>
  <c r="G4" i="2"/>
  <c r="F4" i="2"/>
  <c r="E4" i="2"/>
  <c r="D4" i="2"/>
  <c r="C4" i="2"/>
  <c r="A3" i="2"/>
  <c r="A2" i="2"/>
  <c r="C1" i="2"/>
  <c r="A1" i="2"/>
  <c r="L122" i="1"/>
  <c r="K122" i="1"/>
  <c r="J122" i="1"/>
  <c r="I122" i="1"/>
  <c r="H122" i="1"/>
  <c r="G122" i="1"/>
  <c r="F122" i="1"/>
  <c r="E122" i="1"/>
  <c r="D122" i="1"/>
  <c r="C122" i="1"/>
  <c r="L121" i="1"/>
  <c r="K121" i="1"/>
  <c r="J121" i="1"/>
  <c r="I121" i="1"/>
  <c r="H121" i="1"/>
  <c r="G121" i="1"/>
  <c r="F121" i="1"/>
  <c r="E121" i="1"/>
  <c r="D121" i="1"/>
  <c r="C121" i="1"/>
  <c r="L119" i="1"/>
  <c r="K119" i="1"/>
  <c r="J119" i="1"/>
  <c r="I119" i="1"/>
  <c r="H119" i="1"/>
  <c r="G119" i="1"/>
  <c r="F119" i="1"/>
  <c r="E119" i="1"/>
  <c r="D119" i="1"/>
  <c r="C119" i="1"/>
  <c r="M118" i="1"/>
  <c r="M114" i="1"/>
  <c r="M113" i="1"/>
  <c r="L112" i="1"/>
  <c r="K112" i="1"/>
  <c r="J112" i="1"/>
  <c r="I112" i="1"/>
  <c r="H112" i="1"/>
  <c r="G112" i="1"/>
  <c r="F112" i="1"/>
  <c r="E112" i="1"/>
  <c r="D112" i="1"/>
  <c r="C112" i="1"/>
  <c r="M109" i="1"/>
  <c r="L107" i="1"/>
  <c r="K107" i="1"/>
  <c r="J107" i="1"/>
  <c r="I107" i="1"/>
  <c r="H107" i="1"/>
  <c r="G107" i="1"/>
  <c r="F107" i="1"/>
  <c r="E107" i="1"/>
  <c r="D107" i="1"/>
  <c r="C107" i="1"/>
  <c r="M106" i="1"/>
  <c r="L105" i="1"/>
  <c r="K105" i="1"/>
  <c r="J105" i="1"/>
  <c r="I105" i="1"/>
  <c r="H105" i="1"/>
  <c r="G105" i="1"/>
  <c r="F105" i="1"/>
  <c r="E105" i="1"/>
  <c r="D105" i="1"/>
  <c r="C105" i="1"/>
  <c r="M104" i="1"/>
  <c r="L103" i="1"/>
  <c r="K103" i="1"/>
  <c r="J103" i="1"/>
  <c r="I103" i="1"/>
  <c r="H103" i="1"/>
  <c r="G103" i="1"/>
  <c r="F103" i="1"/>
  <c r="E103" i="1"/>
  <c r="D103" i="1"/>
  <c r="C103" i="1"/>
  <c r="M92" i="1"/>
  <c r="L91" i="1"/>
  <c r="K91" i="1"/>
  <c r="J91" i="1"/>
  <c r="I91" i="1"/>
  <c r="H91" i="1"/>
  <c r="G91" i="1"/>
  <c r="F91" i="1"/>
  <c r="E91" i="1"/>
  <c r="D91" i="1"/>
  <c r="C91" i="1"/>
  <c r="M86" i="1"/>
  <c r="L85" i="1"/>
  <c r="K85" i="1"/>
  <c r="J85" i="1"/>
  <c r="I85" i="1"/>
  <c r="H85" i="1"/>
  <c r="G85" i="1"/>
  <c r="F85" i="1"/>
  <c r="E85" i="1"/>
  <c r="D85" i="1"/>
  <c r="C85" i="1"/>
  <c r="M84" i="1"/>
  <c r="L83" i="1"/>
  <c r="K83" i="1"/>
  <c r="J83" i="1"/>
  <c r="I83" i="1"/>
  <c r="H83" i="1"/>
  <c r="G83" i="1"/>
  <c r="F83" i="1"/>
  <c r="E83" i="1"/>
  <c r="D83" i="1"/>
  <c r="C83" i="1"/>
  <c r="M77" i="1"/>
  <c r="L76" i="1"/>
  <c r="K76" i="1"/>
  <c r="J76" i="1"/>
  <c r="I76" i="1"/>
  <c r="H76" i="1"/>
  <c r="G76" i="1"/>
  <c r="F76" i="1"/>
  <c r="E76" i="1"/>
  <c r="D76" i="1"/>
  <c r="C76" i="1"/>
  <c r="M70" i="1"/>
  <c r="L69" i="1"/>
  <c r="K69" i="1"/>
  <c r="J69" i="1"/>
  <c r="I69" i="1"/>
  <c r="H69" i="1"/>
  <c r="G69" i="1"/>
  <c r="F69" i="1"/>
  <c r="E69" i="1"/>
  <c r="D69" i="1"/>
  <c r="C69" i="1"/>
  <c r="M64" i="1"/>
  <c r="L62" i="1"/>
  <c r="K62" i="1"/>
  <c r="J62" i="1"/>
  <c r="I62" i="1"/>
  <c r="H62" i="1"/>
  <c r="G62" i="1"/>
  <c r="F62" i="1"/>
  <c r="E62" i="1"/>
  <c r="D62" i="1"/>
  <c r="C62" i="1"/>
  <c r="M61" i="1"/>
  <c r="L60" i="1"/>
  <c r="K60" i="1"/>
  <c r="J60" i="1"/>
  <c r="I60" i="1"/>
  <c r="H60" i="1"/>
  <c r="G60" i="1"/>
  <c r="F60" i="1"/>
  <c r="E60" i="1"/>
  <c r="D60" i="1"/>
  <c r="C60" i="1"/>
  <c r="M59" i="1"/>
  <c r="L58" i="1"/>
  <c r="K58" i="1"/>
  <c r="J58" i="1"/>
  <c r="I58" i="1"/>
  <c r="H58" i="1"/>
  <c r="G58" i="1"/>
  <c r="F58" i="1"/>
  <c r="E58" i="1"/>
  <c r="D58" i="1"/>
  <c r="C58" i="1"/>
  <c r="M47" i="1"/>
  <c r="L46" i="1"/>
  <c r="K46" i="1"/>
  <c r="J46" i="1"/>
  <c r="I46" i="1"/>
  <c r="H46" i="1"/>
  <c r="G46" i="1"/>
  <c r="F46" i="1"/>
  <c r="E46" i="1"/>
  <c r="D46" i="1"/>
  <c r="C46" i="1"/>
  <c r="M43" i="1"/>
  <c r="L42" i="1"/>
  <c r="K42" i="1"/>
  <c r="J42" i="1"/>
  <c r="I42" i="1"/>
  <c r="H42" i="1"/>
  <c r="G42" i="1"/>
  <c r="F42" i="1"/>
  <c r="E42" i="1"/>
  <c r="D42" i="1"/>
  <c r="C42" i="1"/>
  <c r="L41" i="1"/>
  <c r="K17" i="18" s="1"/>
  <c r="K41" i="1"/>
  <c r="J17" i="18" s="1"/>
  <c r="J41" i="1"/>
  <c r="I17" i="18" s="1"/>
  <c r="I41" i="1"/>
  <c r="H17" i="18" s="1"/>
  <c r="H41" i="1"/>
  <c r="G17" i="18" s="1"/>
  <c r="G41" i="1"/>
  <c r="F17" i="18" s="1"/>
  <c r="F41" i="1"/>
  <c r="E17" i="18" s="1"/>
  <c r="E41" i="1"/>
  <c r="E39" i="2" s="1"/>
  <c r="D41" i="1"/>
  <c r="C17" i="18" s="1"/>
  <c r="C41" i="1"/>
  <c r="B17" i="18" s="1"/>
  <c r="M37" i="1"/>
  <c r="L36" i="1"/>
  <c r="K36" i="1"/>
  <c r="J36" i="1"/>
  <c r="I36" i="1"/>
  <c r="H36" i="1"/>
  <c r="G36" i="1"/>
  <c r="F36" i="1"/>
  <c r="E36" i="1"/>
  <c r="D36" i="1"/>
  <c r="C36" i="1"/>
  <c r="M35" i="1"/>
  <c r="L34" i="1"/>
  <c r="K34" i="1"/>
  <c r="J34" i="1"/>
  <c r="I34" i="1"/>
  <c r="H34" i="1"/>
  <c r="G34" i="1"/>
  <c r="F34" i="1"/>
  <c r="E34" i="1"/>
  <c r="D34" i="1"/>
  <c r="C34" i="1"/>
  <c r="M26" i="1"/>
  <c r="L25" i="1"/>
  <c r="K25" i="1"/>
  <c r="J25" i="1"/>
  <c r="I25" i="1"/>
  <c r="H25" i="1"/>
  <c r="G25" i="1"/>
  <c r="F25" i="1"/>
  <c r="E25" i="1"/>
  <c r="D25" i="1"/>
  <c r="C25" i="1"/>
  <c r="M20" i="1"/>
  <c r="M19" i="1"/>
  <c r="L17" i="1"/>
  <c r="K17" i="1"/>
  <c r="J17" i="1"/>
  <c r="I17" i="1"/>
  <c r="H17" i="1"/>
  <c r="G17" i="1"/>
  <c r="F17" i="1"/>
  <c r="E17" i="1"/>
  <c r="D17" i="1"/>
  <c r="C17" i="1"/>
  <c r="M14" i="1"/>
  <c r="L13" i="1"/>
  <c r="K13" i="1"/>
  <c r="J13" i="1"/>
  <c r="I13" i="1"/>
  <c r="H13" i="1"/>
  <c r="G13" i="1"/>
  <c r="F13" i="1"/>
  <c r="E13" i="1"/>
  <c r="D13" i="1"/>
  <c r="C13" i="1"/>
  <c r="M10" i="1"/>
  <c r="L8" i="1"/>
  <c r="L2" i="20" s="1"/>
  <c r="K8" i="1"/>
  <c r="K2" i="20" s="1"/>
  <c r="J8" i="1"/>
  <c r="J2" i="20" s="1"/>
  <c r="I8" i="1"/>
  <c r="I2" i="20" s="1"/>
  <c r="H8" i="1"/>
  <c r="H2" i="20" s="1"/>
  <c r="G8" i="1"/>
  <c r="G2" i="20" s="1"/>
  <c r="F8" i="1"/>
  <c r="F2" i="20" s="1"/>
  <c r="E8" i="1"/>
  <c r="E2" i="20" s="1"/>
  <c r="D8" i="1"/>
  <c r="D2" i="20" s="1"/>
  <c r="C8" i="1"/>
  <c r="C2" i="20" s="1"/>
  <c r="L7" i="1"/>
  <c r="L7" i="2" s="1"/>
  <c r="K7" i="1"/>
  <c r="K1" i="20" s="1"/>
  <c r="J7" i="1"/>
  <c r="J1" i="20" s="1"/>
  <c r="I7" i="1"/>
  <c r="I1" i="20" s="1"/>
  <c r="H7" i="1"/>
  <c r="H1" i="20" s="1"/>
  <c r="G7" i="1"/>
  <c r="G1" i="20" s="1"/>
  <c r="F7" i="1"/>
  <c r="F1" i="20" s="1"/>
  <c r="E7" i="1"/>
  <c r="E1" i="20" s="1"/>
  <c r="D7" i="1"/>
  <c r="D1" i="20" s="1"/>
  <c r="C7" i="1"/>
  <c r="C1" i="20" s="1"/>
  <c r="C3" i="1"/>
  <c r="C3" i="5" s="1"/>
  <c r="J18" i="16" l="1"/>
  <c r="J21" i="17" s="1"/>
  <c r="J22" i="17" s="1"/>
  <c r="E28" i="20"/>
  <c r="G27" i="20"/>
  <c r="G40" i="20"/>
  <c r="I83" i="15"/>
  <c r="I4" i="16" s="1"/>
  <c r="H89" i="15"/>
  <c r="H13" i="16" s="1"/>
  <c r="E18" i="16"/>
  <c r="E21" i="17" s="1"/>
  <c r="K7" i="17"/>
  <c r="G7" i="7"/>
  <c r="G11" i="7" s="1"/>
  <c r="F27" i="20"/>
  <c r="C2" i="1"/>
  <c r="J7" i="7"/>
  <c r="J11" i="7" s="1"/>
  <c r="J12" i="7" s="1"/>
  <c r="B10" i="7"/>
  <c r="F28" i="20"/>
  <c r="H27" i="20"/>
  <c r="H40" i="20"/>
  <c r="L27" i="15"/>
  <c r="K18" i="18" s="1"/>
  <c r="J33" i="15"/>
  <c r="J13" i="20" s="1"/>
  <c r="F4" i="21"/>
  <c r="D2" i="22"/>
  <c r="N1" i="3" a="1"/>
  <c r="N1" i="3" s="1"/>
  <c r="H1" i="10" a="1"/>
  <c r="H1" i="10" s="1"/>
  <c r="C11" i="7"/>
  <c r="C12" i="7" s="1"/>
  <c r="I38" i="20"/>
  <c r="I40" i="20" s="1"/>
  <c r="K83" i="15"/>
  <c r="K4" i="16" s="1"/>
  <c r="G19" i="17"/>
  <c r="B19" i="21"/>
  <c r="L1" i="8" a="1"/>
  <c r="L1" i="8" s="1"/>
  <c r="H11" i="7"/>
  <c r="H12" i="7" s="1"/>
  <c r="I45" i="9"/>
  <c r="F3" i="17"/>
  <c r="K7" i="2"/>
  <c r="N1" i="1" a="1"/>
  <c r="N1" i="1" s="1"/>
  <c r="D53" i="21" s="1"/>
  <c r="G33" i="20"/>
  <c r="K28" i="20"/>
  <c r="I27" i="15"/>
  <c r="H18" i="18" s="1"/>
  <c r="C33" i="15"/>
  <c r="C13" i="20" s="1"/>
  <c r="K10" i="21"/>
  <c r="K11" i="21" s="1"/>
  <c r="K3" i="17"/>
  <c r="K19" i="17"/>
  <c r="D28" i="20"/>
  <c r="C8" i="3"/>
  <c r="C8" i="4" s="1"/>
  <c r="D7" i="7"/>
  <c r="D14" i="20"/>
  <c r="E80" i="15"/>
  <c r="E3" i="16" s="1"/>
  <c r="F4" i="17"/>
  <c r="L19" i="17"/>
  <c r="B18" i="21"/>
  <c r="D12" i="18"/>
  <c r="D3" i="17"/>
  <c r="E11" i="7"/>
  <c r="E12" i="7" s="1"/>
  <c r="E65" i="10"/>
  <c r="B8" i="7"/>
  <c r="L1" i="9" a="1"/>
  <c r="L1" i="9" s="1"/>
  <c r="I8" i="3"/>
  <c r="I8" i="4" s="1"/>
  <c r="G32" i="20"/>
  <c r="C23" i="20"/>
  <c r="C19" i="17"/>
  <c r="B16" i="21"/>
  <c r="F11" i="7"/>
  <c r="F12" i="7" s="1"/>
  <c r="B6" i="8"/>
  <c r="C2" i="9"/>
  <c r="D2" i="9" s="1"/>
  <c r="D27" i="20"/>
  <c r="D38" i="20"/>
  <c r="D40" i="20" s="1"/>
  <c r="I12" i="18"/>
  <c r="I13" i="18" s="1"/>
  <c r="K12" i="18"/>
  <c r="K8" i="17"/>
  <c r="F8" i="20"/>
  <c r="K18" i="16"/>
  <c r="K21" i="17" s="1"/>
  <c r="K22" i="17" s="1"/>
  <c r="C2" i="8"/>
  <c r="G43" i="20"/>
  <c r="G12" i="7"/>
  <c r="H43" i="20"/>
  <c r="L18" i="16"/>
  <c r="L21" i="17" s="1"/>
  <c r="N3" i="19"/>
  <c r="L6" i="16" s="1"/>
  <c r="N4" i="19"/>
  <c r="L17" i="16" s="1"/>
  <c r="L16" i="16"/>
  <c r="C3" i="17"/>
  <c r="C4" i="17"/>
  <c r="C5" i="17"/>
  <c r="C6" i="17"/>
  <c r="C24" i="17" s="1"/>
  <c r="C7" i="17"/>
  <c r="C8" i="17"/>
  <c r="E22" i="17"/>
  <c r="L27" i="21"/>
  <c r="K55" i="21"/>
  <c r="L55" i="21" s="1"/>
  <c r="E4" i="17"/>
  <c r="E5" i="17"/>
  <c r="E6" i="17"/>
  <c r="E24" i="17" s="1"/>
  <c r="E7" i="17"/>
  <c r="E8" i="17"/>
  <c r="E3" i="17"/>
  <c r="G5" i="17"/>
  <c r="G6" i="17"/>
  <c r="G24" i="17" s="1"/>
  <c r="G7" i="17"/>
  <c r="G8" i="17"/>
  <c r="G3" i="17"/>
  <c r="G4" i="17"/>
  <c r="G3" i="19"/>
  <c r="E6" i="16" s="1"/>
  <c r="G4" i="19"/>
  <c r="E17" i="16" s="1"/>
  <c r="E16" i="16"/>
  <c r="H6" i="17"/>
  <c r="H24" i="17" s="1"/>
  <c r="H7" i="17"/>
  <c r="H8" i="17"/>
  <c r="H3" i="17"/>
  <c r="H4" i="17"/>
  <c r="H5" i="17"/>
  <c r="I6" i="17"/>
  <c r="I24" i="17" s="1"/>
  <c r="I7" i="17"/>
  <c r="I8" i="17"/>
  <c r="I3" i="17"/>
  <c r="I4" i="17"/>
  <c r="I5" i="17"/>
  <c r="G18" i="16"/>
  <c r="G21" i="17" s="1"/>
  <c r="G22" i="17" s="1"/>
  <c r="G25" i="17" s="1"/>
  <c r="F12" i="18"/>
  <c r="I3" i="19"/>
  <c r="G6" i="16" s="1"/>
  <c r="J7" i="17"/>
  <c r="J8" i="17"/>
  <c r="J3" i="17"/>
  <c r="J4" i="17"/>
  <c r="J5" i="17"/>
  <c r="J6" i="17"/>
  <c r="J24" i="17" s="1"/>
  <c r="J25" i="17" s="1"/>
  <c r="C18" i="16"/>
  <c r="C21" i="17" s="1"/>
  <c r="C22" i="17" s="1"/>
  <c r="I12" i="7"/>
  <c r="L12" i="7"/>
  <c r="D11" i="7"/>
  <c r="I18" i="16"/>
  <c r="I21" i="17" s="1"/>
  <c r="I22" i="17" s="1"/>
  <c r="L8" i="17"/>
  <c r="L3" i="17"/>
  <c r="L4" i="17"/>
  <c r="L5" i="17"/>
  <c r="L6" i="17"/>
  <c r="L24" i="17" s="1"/>
  <c r="L7" i="17"/>
  <c r="C2" i="15"/>
  <c r="E4" i="20"/>
  <c r="E39" i="21"/>
  <c r="G24" i="20"/>
  <c r="G22" i="20"/>
  <c r="K40" i="21"/>
  <c r="K42" i="21"/>
  <c r="K14" i="20"/>
  <c r="G10" i="21"/>
  <c r="G11" i="21" s="1"/>
  <c r="G3" i="21"/>
  <c r="G15" i="20"/>
  <c r="G4" i="21"/>
  <c r="G8" i="20"/>
  <c r="G9" i="20" s="1"/>
  <c r="I41" i="21"/>
  <c r="I5" i="21"/>
  <c r="K28" i="21"/>
  <c r="K13" i="21"/>
  <c r="B7" i="21"/>
  <c r="L3" i="19"/>
  <c r="J6" i="16" s="1"/>
  <c r="L4" i="19"/>
  <c r="J17" i="16" s="1"/>
  <c r="D31" i="21"/>
  <c r="D32" i="21" s="1"/>
  <c r="D33" i="21" s="1"/>
  <c r="I39" i="2"/>
  <c r="C3" i="3"/>
  <c r="C3" i="4" s="1"/>
  <c r="D8" i="3"/>
  <c r="D8" i="4" s="1"/>
  <c r="G7" i="5"/>
  <c r="G7" i="6" s="1"/>
  <c r="I8" i="5"/>
  <c r="I8" i="6" s="1"/>
  <c r="K3" i="7"/>
  <c r="D2" i="15"/>
  <c r="F33" i="20"/>
  <c r="J28" i="20"/>
  <c r="L27" i="20"/>
  <c r="L38" i="20"/>
  <c r="L40" i="20" s="1"/>
  <c r="D23" i="20"/>
  <c r="D29" i="20"/>
  <c r="F4" i="20"/>
  <c r="F39" i="21"/>
  <c r="H24" i="20"/>
  <c r="L42" i="21"/>
  <c r="L14" i="20"/>
  <c r="L42" i="20"/>
  <c r="L40" i="21"/>
  <c r="H10" i="21"/>
  <c r="H11" i="21" s="1"/>
  <c r="H3" i="21"/>
  <c r="H15" i="20"/>
  <c r="H4" i="21"/>
  <c r="H8" i="20"/>
  <c r="J41" i="21"/>
  <c r="J5" i="21"/>
  <c r="I89" i="15"/>
  <c r="I13" i="16" s="1"/>
  <c r="J12" i="18"/>
  <c r="J13" i="18" s="1"/>
  <c r="M3" i="19"/>
  <c r="K6" i="16" s="1"/>
  <c r="M4" i="19"/>
  <c r="K17" i="16" s="1"/>
  <c r="D11" i="16"/>
  <c r="J14" i="16"/>
  <c r="K6" i="17"/>
  <c r="K24" i="17" s="1"/>
  <c r="J3" i="7"/>
  <c r="L1" i="20"/>
  <c r="D29" i="22"/>
  <c r="C29" i="22"/>
  <c r="J39" i="2"/>
  <c r="C7" i="3"/>
  <c r="E8" i="3"/>
  <c r="E8" i="4" s="1"/>
  <c r="H7" i="5"/>
  <c r="H7" i="6" s="1"/>
  <c r="J8" i="5"/>
  <c r="J8" i="6" s="1"/>
  <c r="L3" i="7"/>
  <c r="C1" i="15"/>
  <c r="E2" i="15"/>
  <c r="C34" i="20"/>
  <c r="C22" i="21"/>
  <c r="E23" i="20"/>
  <c r="G4" i="20"/>
  <c r="G5" i="20" s="1"/>
  <c r="G39" i="21"/>
  <c r="I22" i="20"/>
  <c r="I24" i="20"/>
  <c r="B18" i="18"/>
  <c r="I10" i="21"/>
  <c r="I11" i="21" s="1"/>
  <c r="I3" i="21"/>
  <c r="I15" i="20"/>
  <c r="I4" i="21"/>
  <c r="I8" i="20"/>
  <c r="C17" i="20"/>
  <c r="C29" i="21"/>
  <c r="D30" i="21" s="1"/>
  <c r="K41" i="21"/>
  <c r="K5" i="21"/>
  <c r="C26" i="21"/>
  <c r="B25" i="21"/>
  <c r="D8" i="17"/>
  <c r="C8" i="2"/>
  <c r="K39" i="2"/>
  <c r="D7" i="3"/>
  <c r="F8" i="3"/>
  <c r="F8" i="4" s="1"/>
  <c r="I7" i="5"/>
  <c r="I7" i="6" s="1"/>
  <c r="K8" i="5"/>
  <c r="K8" i="6" s="1"/>
  <c r="C4" i="7"/>
  <c r="D1" i="15"/>
  <c r="F2" i="15"/>
  <c r="H33" i="20"/>
  <c r="L28" i="20"/>
  <c r="D34" i="20"/>
  <c r="D22" i="21"/>
  <c r="D23" i="21" s="1"/>
  <c r="D27" i="15"/>
  <c r="C18" i="18" s="1"/>
  <c r="F23" i="20"/>
  <c r="F29" i="20"/>
  <c r="H39" i="21"/>
  <c r="H4" i="20"/>
  <c r="J22" i="20"/>
  <c r="L33" i="15"/>
  <c r="L13" i="20" s="1"/>
  <c r="J3" i="21"/>
  <c r="J15" i="20"/>
  <c r="J4" i="21"/>
  <c r="J8" i="20"/>
  <c r="J10" i="21"/>
  <c r="D18" i="20"/>
  <c r="L41" i="21"/>
  <c r="L5" i="21"/>
  <c r="D26" i="21"/>
  <c r="K89" i="15"/>
  <c r="K13" i="16" s="1"/>
  <c r="C118" i="15"/>
  <c r="C119" i="15" s="1"/>
  <c r="M119" i="15" s="1"/>
  <c r="F11" i="16"/>
  <c r="H18" i="16"/>
  <c r="H21" i="17" s="1"/>
  <c r="H22" i="17" s="1"/>
  <c r="K5" i="17"/>
  <c r="L4" i="7"/>
  <c r="C7" i="2"/>
  <c r="D8" i="2"/>
  <c r="L39" i="2"/>
  <c r="E7" i="3"/>
  <c r="G8" i="3"/>
  <c r="G8" i="4" s="1"/>
  <c r="J7" i="5"/>
  <c r="J7" i="6" s="1"/>
  <c r="L8" i="5"/>
  <c r="L8" i="6" s="1"/>
  <c r="D4" i="7"/>
  <c r="E1" i="15"/>
  <c r="G2" i="15"/>
  <c r="I33" i="20"/>
  <c r="E34" i="20"/>
  <c r="E22" i="21"/>
  <c r="E23" i="21" s="1"/>
  <c r="C38" i="20"/>
  <c r="G23" i="20"/>
  <c r="G29" i="20"/>
  <c r="I39" i="21"/>
  <c r="K22" i="20"/>
  <c r="K25" i="20" s="1"/>
  <c r="K24" i="20"/>
  <c r="C42" i="20"/>
  <c r="C40" i="21"/>
  <c r="C14" i="20"/>
  <c r="D18" i="18"/>
  <c r="K3" i="21"/>
  <c r="K15" i="20"/>
  <c r="K4" i="21"/>
  <c r="K8" i="20"/>
  <c r="E29" i="21"/>
  <c r="F30" i="21" s="1"/>
  <c r="E17" i="20"/>
  <c r="E18" i="20" s="1"/>
  <c r="C13" i="21"/>
  <c r="L89" i="15"/>
  <c r="L13" i="16" s="1"/>
  <c r="K13" i="18"/>
  <c r="B115" i="15"/>
  <c r="D7" i="17"/>
  <c r="F8" i="17"/>
  <c r="E15" i="20"/>
  <c r="D7" i="2"/>
  <c r="E8" i="2"/>
  <c r="F7" i="3"/>
  <c r="H8" i="3"/>
  <c r="H8" i="4" s="1"/>
  <c r="K7" i="5"/>
  <c r="K7" i="6" s="1"/>
  <c r="C3" i="7"/>
  <c r="E4" i="7"/>
  <c r="F1" i="15"/>
  <c r="H2" i="15"/>
  <c r="J33" i="20"/>
  <c r="H32" i="20"/>
  <c r="F34" i="20"/>
  <c r="F22" i="21"/>
  <c r="F23" i="21" s="1"/>
  <c r="F27" i="15"/>
  <c r="E18" i="18" s="1"/>
  <c r="H29" i="20"/>
  <c r="H23" i="20"/>
  <c r="J39" i="21"/>
  <c r="J4" i="20"/>
  <c r="L22" i="20"/>
  <c r="L24" i="20"/>
  <c r="D42" i="20"/>
  <c r="D40" i="21"/>
  <c r="D42" i="21"/>
  <c r="L3" i="21"/>
  <c r="L15" i="20"/>
  <c r="L4" i="21"/>
  <c r="L8" i="20"/>
  <c r="L10" i="21"/>
  <c r="F31" i="21"/>
  <c r="F32" i="21" s="1"/>
  <c r="F33" i="21" s="1"/>
  <c r="D13" i="21"/>
  <c r="D28" i="21"/>
  <c r="D27" i="21" s="1"/>
  <c r="F26" i="21"/>
  <c r="B12" i="18"/>
  <c r="B13" i="18" s="1"/>
  <c r="E3" i="19"/>
  <c r="C6" i="16" s="1"/>
  <c r="E4" i="19"/>
  <c r="C17" i="16" s="1"/>
  <c r="K4" i="17"/>
  <c r="F17" i="20"/>
  <c r="L13" i="21"/>
  <c r="L8" i="2"/>
  <c r="L7" i="5"/>
  <c r="L7" i="6" s="1"/>
  <c r="D3" i="7"/>
  <c r="F4" i="7"/>
  <c r="G1" i="15"/>
  <c r="I2" i="15"/>
  <c r="E27" i="20"/>
  <c r="I32" i="20"/>
  <c r="G22" i="21"/>
  <c r="G23" i="21" s="1"/>
  <c r="G34" i="20"/>
  <c r="E38" i="20"/>
  <c r="E40" i="20" s="1"/>
  <c r="G27" i="15"/>
  <c r="F18" i="18" s="1"/>
  <c r="I29" i="20"/>
  <c r="K4" i="20"/>
  <c r="L5" i="20" s="1"/>
  <c r="K39" i="21"/>
  <c r="E42" i="20"/>
  <c r="E40" i="21"/>
  <c r="E42" i="21"/>
  <c r="E14" i="20"/>
  <c r="G29" i="21"/>
  <c r="G17" i="20"/>
  <c r="C5" i="21"/>
  <c r="C41" i="21"/>
  <c r="E13" i="21"/>
  <c r="E28" i="21"/>
  <c r="E27" i="21" s="1"/>
  <c r="C12" i="18"/>
  <c r="C13" i="18" s="1"/>
  <c r="F3" i="19"/>
  <c r="D6" i="16" s="1"/>
  <c r="C14" i="16"/>
  <c r="G16" i="16"/>
  <c r="D6" i="17"/>
  <c r="D24" i="17" s="1"/>
  <c r="F7" i="17"/>
  <c r="K42" i="20"/>
  <c r="C39" i="2"/>
  <c r="H7" i="3"/>
  <c r="J8" i="3"/>
  <c r="J8" i="4" s="1"/>
  <c r="G92" i="3"/>
  <c r="C8" i="5"/>
  <c r="C8" i="6" s="1"/>
  <c r="E3" i="7"/>
  <c r="G4" i="7"/>
  <c r="B4" i="10"/>
  <c r="H1" i="15"/>
  <c r="J2" i="15"/>
  <c r="J32" i="20"/>
  <c r="H22" i="21"/>
  <c r="H23" i="21" s="1"/>
  <c r="H27" i="15"/>
  <c r="G18" i="18" s="1"/>
  <c r="J29" i="20"/>
  <c r="J23" i="20"/>
  <c r="K54" i="21"/>
  <c r="L54" i="21" s="1"/>
  <c r="F42" i="20"/>
  <c r="F40" i="21"/>
  <c r="F42" i="21"/>
  <c r="F14" i="20"/>
  <c r="H29" i="21"/>
  <c r="H17" i="20"/>
  <c r="D5" i="21"/>
  <c r="D41" i="21"/>
  <c r="F13" i="21"/>
  <c r="F28" i="21"/>
  <c r="F27" i="21" s="1"/>
  <c r="H27" i="21"/>
  <c r="C89" i="15"/>
  <c r="C13" i="16" s="1"/>
  <c r="D17" i="18"/>
  <c r="F4" i="19"/>
  <c r="D17" i="16" s="1"/>
  <c r="H22" i="20"/>
  <c r="J22" i="21"/>
  <c r="J23" i="21" s="1"/>
  <c r="L39" i="21"/>
  <c r="G8" i="2"/>
  <c r="G7" i="2"/>
  <c r="H8" i="2"/>
  <c r="D39" i="2"/>
  <c r="I7" i="3"/>
  <c r="K8" i="3"/>
  <c r="K8" i="4" s="1"/>
  <c r="D8" i="5"/>
  <c r="D8" i="6" s="1"/>
  <c r="F3" i="7"/>
  <c r="H4" i="7"/>
  <c r="I1" i="15"/>
  <c r="K2" i="15"/>
  <c r="I34" i="20"/>
  <c r="I22" i="21"/>
  <c r="I23" i="21" s="1"/>
  <c r="K29" i="20"/>
  <c r="K23" i="20"/>
  <c r="C22" i="20"/>
  <c r="C24" i="20"/>
  <c r="E33" i="15"/>
  <c r="E13" i="20" s="1"/>
  <c r="G42" i="20"/>
  <c r="G40" i="21"/>
  <c r="G42" i="21"/>
  <c r="G14" i="20"/>
  <c r="C3" i="21"/>
  <c r="C15" i="20"/>
  <c r="C4" i="21"/>
  <c r="C8" i="20"/>
  <c r="C10" i="21"/>
  <c r="I29" i="21"/>
  <c r="I17" i="20"/>
  <c r="E5" i="21"/>
  <c r="E41" i="21"/>
  <c r="G13" i="21"/>
  <c r="G28" i="21"/>
  <c r="G27" i="21" s="1"/>
  <c r="I26" i="21"/>
  <c r="E12" i="18"/>
  <c r="E13" i="18" s="1"/>
  <c r="H3" i="19"/>
  <c r="F6" i="16" s="1"/>
  <c r="H4" i="19"/>
  <c r="F17" i="16" s="1"/>
  <c r="D5" i="17"/>
  <c r="I23" i="20"/>
  <c r="F8" i="2"/>
  <c r="H7" i="2"/>
  <c r="I8" i="2"/>
  <c r="J7" i="3"/>
  <c r="L8" i="3"/>
  <c r="L8" i="4" s="1"/>
  <c r="C7" i="5"/>
  <c r="C7" i="6" s="1"/>
  <c r="E8" i="5"/>
  <c r="E8" i="6" s="1"/>
  <c r="G3" i="7"/>
  <c r="I4" i="7"/>
  <c r="B9" i="7"/>
  <c r="B4" i="8"/>
  <c r="D2" i="8" s="1"/>
  <c r="D9" i="8" s="1"/>
  <c r="J1" i="15"/>
  <c r="L2" i="15"/>
  <c r="L29" i="20"/>
  <c r="L23" i="20"/>
  <c r="D22" i="20"/>
  <c r="D25" i="20" s="1"/>
  <c r="D24" i="20"/>
  <c r="H42" i="20"/>
  <c r="H40" i="21"/>
  <c r="H42" i="21"/>
  <c r="H14" i="20"/>
  <c r="I18" i="18"/>
  <c r="D4" i="21"/>
  <c r="D8" i="20"/>
  <c r="D9" i="20" s="1"/>
  <c r="D10" i="21"/>
  <c r="D11" i="21" s="1"/>
  <c r="D3" i="21"/>
  <c r="D15" i="20"/>
  <c r="J29" i="21"/>
  <c r="J26" i="21" s="1"/>
  <c r="J17" i="20"/>
  <c r="F41" i="21"/>
  <c r="F5" i="21"/>
  <c r="H13" i="21"/>
  <c r="H28" i="21"/>
  <c r="D13" i="18"/>
  <c r="I4" i="19"/>
  <c r="G17" i="16" s="1"/>
  <c r="J16" i="16"/>
  <c r="J24" i="20"/>
  <c r="C42" i="21"/>
  <c r="I7" i="2"/>
  <c r="J8" i="2"/>
  <c r="F39" i="2"/>
  <c r="K7" i="3"/>
  <c r="D7" i="5"/>
  <c r="D7" i="6" s="1"/>
  <c r="F8" i="5"/>
  <c r="F8" i="6" s="1"/>
  <c r="H3" i="7"/>
  <c r="J4" i="7"/>
  <c r="K5" i="7"/>
  <c r="K7" i="7" s="1"/>
  <c r="K11" i="7" s="1"/>
  <c r="K1" i="15"/>
  <c r="C33" i="20"/>
  <c r="G28" i="20"/>
  <c r="I27" i="20"/>
  <c r="K34" i="20"/>
  <c r="K22" i="21"/>
  <c r="K23" i="21" s="1"/>
  <c r="K27" i="15"/>
  <c r="J18" i="18" s="1"/>
  <c r="C4" i="20"/>
  <c r="C39" i="21"/>
  <c r="E22" i="20"/>
  <c r="E24" i="20"/>
  <c r="G33" i="15"/>
  <c r="G13" i="20" s="1"/>
  <c r="I42" i="20"/>
  <c r="I40" i="21"/>
  <c r="I42" i="21"/>
  <c r="I14" i="20"/>
  <c r="E10" i="21"/>
  <c r="E11" i="21" s="1"/>
  <c r="E4" i="21"/>
  <c r="E8" i="20"/>
  <c r="K29" i="21"/>
  <c r="K17" i="20"/>
  <c r="G41" i="21"/>
  <c r="I13" i="21"/>
  <c r="I28" i="21"/>
  <c r="K26" i="21"/>
  <c r="K27" i="21"/>
  <c r="G12" i="18"/>
  <c r="G13" i="18" s="1"/>
  <c r="J3" i="19"/>
  <c r="H6" i="16" s="1"/>
  <c r="J4" i="19"/>
  <c r="H17" i="16" s="1"/>
  <c r="K16" i="16"/>
  <c r="I4" i="20"/>
  <c r="J7" i="2"/>
  <c r="K8" i="2"/>
  <c r="G39" i="2"/>
  <c r="L7" i="3"/>
  <c r="G7" i="4"/>
  <c r="E7" i="5"/>
  <c r="E7" i="6" s="1"/>
  <c r="G8" i="5"/>
  <c r="G8" i="6" s="1"/>
  <c r="I3" i="7"/>
  <c r="K4" i="7"/>
  <c r="L1" i="15"/>
  <c r="L34" i="20"/>
  <c r="L22" i="21"/>
  <c r="J38" i="20"/>
  <c r="J40" i="20" s="1"/>
  <c r="D4" i="20"/>
  <c r="D5" i="20" s="1"/>
  <c r="D39" i="21"/>
  <c r="F22" i="20"/>
  <c r="F25" i="20" s="1"/>
  <c r="F24" i="20"/>
  <c r="J40" i="21"/>
  <c r="J42" i="21"/>
  <c r="J14" i="20"/>
  <c r="J42" i="20"/>
  <c r="F10" i="21"/>
  <c r="F11" i="21" s="1"/>
  <c r="F3" i="21"/>
  <c r="F15" i="20"/>
  <c r="L29" i="21"/>
  <c r="L26" i="21" s="1"/>
  <c r="L17" i="20"/>
  <c r="L18" i="20" s="1"/>
  <c r="H41" i="21"/>
  <c r="H5" i="21"/>
  <c r="J13" i="21"/>
  <c r="J28" i="21"/>
  <c r="H12" i="18"/>
  <c r="H13" i="18" s="1"/>
  <c r="F13" i="18"/>
  <c r="K3" i="19"/>
  <c r="I6" i="16" s="1"/>
  <c r="K4" i="19"/>
  <c r="I17" i="16" s="1"/>
  <c r="G5" i="21"/>
  <c r="C28" i="21"/>
  <c r="E30" i="22"/>
  <c r="A5" i="22"/>
  <c r="B39" i="23"/>
  <c r="B23" i="23"/>
  <c r="B25" i="23" s="1"/>
  <c r="B49" i="21" s="1"/>
  <c r="B3" i="23"/>
  <c r="J64" i="21"/>
  <c r="I43" i="20" l="1"/>
  <c r="F43" i="20"/>
  <c r="C2" i="5"/>
  <c r="C2" i="6" s="1"/>
  <c r="C2" i="3"/>
  <c r="C2" i="4" s="1"/>
  <c r="H25" i="20"/>
  <c r="B23" i="20"/>
  <c r="B33" i="20"/>
  <c r="L22" i="17"/>
  <c r="L25" i="17" s="1"/>
  <c r="D36" i="21"/>
  <c r="B28" i="20"/>
  <c r="B13" i="20"/>
  <c r="B41" i="21"/>
  <c r="F18" i="20"/>
  <c r="C43" i="20"/>
  <c r="C2" i="2"/>
  <c r="K18" i="20"/>
  <c r="J27" i="21"/>
  <c r="B32" i="20"/>
  <c r="B28" i="21"/>
  <c r="B27" i="20"/>
  <c r="F9" i="20"/>
  <c r="H18" i="20"/>
  <c r="B19" i="20" s="1"/>
  <c r="H25" i="17"/>
  <c r="H26" i="17" s="1"/>
  <c r="F14" i="18"/>
  <c r="F15" i="18"/>
  <c r="J26" i="17"/>
  <c r="J19" i="16"/>
  <c r="E14" i="18"/>
  <c r="E15" i="18"/>
  <c r="C15" i="18"/>
  <c r="C14" i="18"/>
  <c r="C16" i="18" s="1"/>
  <c r="L5" i="22"/>
  <c r="C5" i="22"/>
  <c r="G14" i="18"/>
  <c r="G15" i="18"/>
  <c r="K43" i="20"/>
  <c r="K12" i="7"/>
  <c r="B5" i="21"/>
  <c r="L10" i="20"/>
  <c r="L9" i="20"/>
  <c r="E26" i="21"/>
  <c r="F2" i="21"/>
  <c r="F2" i="17"/>
  <c r="F1" i="16"/>
  <c r="C27" i="21"/>
  <c r="B14" i="18"/>
  <c r="B15" i="18"/>
  <c r="I25" i="17"/>
  <c r="J21" i="21"/>
  <c r="J15" i="7"/>
  <c r="J2" i="21"/>
  <c r="J2" i="17"/>
  <c r="J1" i="16"/>
  <c r="J43" i="20"/>
  <c r="G26" i="17"/>
  <c r="G19" i="16"/>
  <c r="F21" i="21"/>
  <c r="F15" i="7"/>
  <c r="F30" i="22"/>
  <c r="G30" i="22" s="1"/>
  <c r="H30" i="22" s="1"/>
  <c r="F1" i="19"/>
  <c r="D1" i="21"/>
  <c r="D1" i="17"/>
  <c r="L1" i="21"/>
  <c r="N1" i="19"/>
  <c r="L1" i="17"/>
  <c r="I5" i="20"/>
  <c r="I6" i="20"/>
  <c r="E25" i="20"/>
  <c r="J1" i="21"/>
  <c r="J1" i="17"/>
  <c r="L1" i="19"/>
  <c r="J1" i="19"/>
  <c r="H1" i="21"/>
  <c r="H1" i="17"/>
  <c r="G30" i="21"/>
  <c r="G31" i="21"/>
  <c r="G32" i="21" s="1"/>
  <c r="G33" i="21" s="1"/>
  <c r="E1" i="18"/>
  <c r="F7" i="4"/>
  <c r="F92" i="3"/>
  <c r="J25" i="20"/>
  <c r="I25" i="20"/>
  <c r="A105" i="3"/>
  <c r="A104" i="3"/>
  <c r="A100" i="3"/>
  <c r="A103" i="3"/>
  <c r="A102" i="3"/>
  <c r="B1" i="18"/>
  <c r="C7" i="4"/>
  <c r="A101" i="3"/>
  <c r="A99" i="3"/>
  <c r="A98" i="3"/>
  <c r="A97" i="3"/>
  <c r="C92" i="3"/>
  <c r="A96" i="3"/>
  <c r="B5" i="7"/>
  <c r="C25" i="17"/>
  <c r="I2" i="21"/>
  <c r="I2" i="17"/>
  <c r="I1" i="16"/>
  <c r="K10" i="20"/>
  <c r="K9" i="20"/>
  <c r="F36" i="21"/>
  <c r="B7" i="7"/>
  <c r="H30" i="21"/>
  <c r="H31" i="21"/>
  <c r="H32" i="21" s="1"/>
  <c r="H33" i="21" s="1"/>
  <c r="B42" i="20"/>
  <c r="C2" i="10"/>
  <c r="C9" i="8"/>
  <c r="G18" i="20"/>
  <c r="D2" i="21"/>
  <c r="D2" i="17"/>
  <c r="D1" i="16"/>
  <c r="B39" i="21"/>
  <c r="E9" i="20"/>
  <c r="I30" i="21"/>
  <c r="I31" i="21"/>
  <c r="I32" i="21" s="1"/>
  <c r="I33" i="21" s="1"/>
  <c r="I92" i="3"/>
  <c r="H1" i="18"/>
  <c r="I7" i="4"/>
  <c r="K92" i="3"/>
  <c r="K89" i="3" s="1"/>
  <c r="K90" i="3" s="1"/>
  <c r="K91" i="3" s="1"/>
  <c r="J1" i="18"/>
  <c r="K7" i="4"/>
  <c r="C11" i="21"/>
  <c r="B10" i="21"/>
  <c r="B22" i="20"/>
  <c r="C25" i="20"/>
  <c r="H26" i="21"/>
  <c r="I1" i="19"/>
  <c r="G1" i="21"/>
  <c r="G1" i="17"/>
  <c r="C40" i="20"/>
  <c r="B40" i="20" s="1"/>
  <c r="B38" i="20"/>
  <c r="B29" i="21"/>
  <c r="C30" i="21"/>
  <c r="C31" i="21"/>
  <c r="C32" i="21" s="1"/>
  <c r="C33" i="21" s="1"/>
  <c r="G25" i="20"/>
  <c r="E21" i="21"/>
  <c r="E15" i="7"/>
  <c r="K14" i="18"/>
  <c r="K15" i="18"/>
  <c r="C36" i="21"/>
  <c r="E31" i="21"/>
  <c r="E32" i="21" s="1"/>
  <c r="E33" i="21" s="1"/>
  <c r="E30" i="21"/>
  <c r="D43" i="20"/>
  <c r="D12" i="7"/>
  <c r="B11" i="7"/>
  <c r="C21" i="21"/>
  <c r="C15" i="7"/>
  <c r="B4" i="20"/>
  <c r="I15" i="18"/>
  <c r="I14" i="18"/>
  <c r="B24" i="20"/>
  <c r="B8" i="20"/>
  <c r="L6" i="20"/>
  <c r="C1" i="18"/>
  <c r="D7" i="4"/>
  <c r="D92" i="3"/>
  <c r="B17" i="20"/>
  <c r="C23" i="21"/>
  <c r="B22" i="21"/>
  <c r="F5" i="20"/>
  <c r="B5" i="20" s="1"/>
  <c r="E36" i="21"/>
  <c r="E43" i="20"/>
  <c r="E25" i="17"/>
  <c r="J56" i="21"/>
  <c r="L23" i="21"/>
  <c r="L2" i="21"/>
  <c r="L2" i="17"/>
  <c r="L1" i="16"/>
  <c r="D1" i="18"/>
  <c r="E7" i="4"/>
  <c r="E92" i="3"/>
  <c r="J15" i="18"/>
  <c r="J14" i="18"/>
  <c r="B4" i="21"/>
  <c r="L57" i="21"/>
  <c r="G89" i="3"/>
  <c r="G90" i="3" s="1"/>
  <c r="G91" i="3" s="1"/>
  <c r="M10" i="21"/>
  <c r="J11" i="21"/>
  <c r="I10" i="20"/>
  <c r="I9" i="20"/>
  <c r="B34" i="20"/>
  <c r="H10" i="20"/>
  <c r="H9" i="20"/>
  <c r="B29" i="20"/>
  <c r="L21" i="21"/>
  <c r="L15" i="7"/>
  <c r="H21" i="21"/>
  <c r="H15" i="7"/>
  <c r="K1" i="21"/>
  <c r="M1" i="19"/>
  <c r="K1" i="17"/>
  <c r="I1" i="21"/>
  <c r="K1" i="19"/>
  <c r="I1" i="17"/>
  <c r="D18" i="16"/>
  <c r="D21" i="17" s="1"/>
  <c r="D22" i="17" s="1"/>
  <c r="D25" i="17" s="1"/>
  <c r="B13" i="21"/>
  <c r="M86" i="3"/>
  <c r="K1" i="18"/>
  <c r="L7" i="4"/>
  <c r="M92" i="3"/>
  <c r="L92" i="3"/>
  <c r="B15" i="20"/>
  <c r="G26" i="21"/>
  <c r="K6" i="20"/>
  <c r="K5" i="20"/>
  <c r="H2" i="21"/>
  <c r="H2" i="17"/>
  <c r="H1" i="16"/>
  <c r="D14" i="18"/>
  <c r="D15" i="18"/>
  <c r="J10" i="20"/>
  <c r="J9" i="20"/>
  <c r="E2" i="21"/>
  <c r="E2" i="17"/>
  <c r="E1" i="16"/>
  <c r="E5" i="20"/>
  <c r="L43" i="20"/>
  <c r="K25" i="17"/>
  <c r="K57" i="21"/>
  <c r="L30" i="21"/>
  <c r="L31" i="21"/>
  <c r="B40" i="23"/>
  <c r="B6" i="23"/>
  <c r="U3" i="23"/>
  <c r="L11" i="21"/>
  <c r="C2" i="21"/>
  <c r="C2" i="17"/>
  <c r="C1" i="16"/>
  <c r="K30" i="21"/>
  <c r="K31" i="21"/>
  <c r="K32" i="21" s="1"/>
  <c r="K33" i="21" s="1"/>
  <c r="I18" i="20"/>
  <c r="H5" i="20"/>
  <c r="H6" i="20"/>
  <c r="B42" i="21"/>
  <c r="J18" i="20"/>
  <c r="B18" i="20" s="1"/>
  <c r="I27" i="21"/>
  <c r="B3" i="21"/>
  <c r="H92" i="3"/>
  <c r="H7" i="4"/>
  <c r="G1" i="18"/>
  <c r="L25" i="20"/>
  <c r="H1" i="19"/>
  <c r="F1" i="21"/>
  <c r="F1" i="17"/>
  <c r="B14" i="20"/>
  <c r="G2" i="21"/>
  <c r="G2" i="17"/>
  <c r="G1" i="16"/>
  <c r="C1" i="21"/>
  <c r="C1" i="17"/>
  <c r="E1" i="19"/>
  <c r="D1" i="19" s="1"/>
  <c r="C1" i="19" s="1"/>
  <c r="B1" i="19" s="1"/>
  <c r="I15" i="7"/>
  <c r="I21" i="21"/>
  <c r="G21" i="21"/>
  <c r="G15" i="7"/>
  <c r="J30" i="21"/>
  <c r="J31" i="21"/>
  <c r="J32" i="21" s="1"/>
  <c r="J33" i="21" s="1"/>
  <c r="J92" i="3"/>
  <c r="I1" i="18"/>
  <c r="J7" i="4"/>
  <c r="H14" i="18"/>
  <c r="H15" i="18"/>
  <c r="K2" i="21"/>
  <c r="K2" i="17"/>
  <c r="K1" i="16"/>
  <c r="J6" i="20"/>
  <c r="J5" i="20"/>
  <c r="B40" i="21"/>
  <c r="G1" i="19"/>
  <c r="E1" i="21"/>
  <c r="E1" i="17"/>
  <c r="F18" i="16"/>
  <c r="F21" i="17" s="1"/>
  <c r="F22" i="17" s="1"/>
  <c r="F25" i="17" s="1"/>
  <c r="J16" i="18" l="1"/>
  <c r="B27" i="21"/>
  <c r="B26" i="21"/>
  <c r="D5" i="22" s="1"/>
  <c r="H19" i="16"/>
  <c r="B11" i="21"/>
  <c r="B9" i="20"/>
  <c r="L89" i="3"/>
  <c r="L90" i="3" s="1"/>
  <c r="L91" i="3" s="1"/>
  <c r="J89" i="3"/>
  <c r="J90" i="3" s="1"/>
  <c r="J91" i="3" s="1"/>
  <c r="B43" i="20"/>
  <c r="L56" i="21"/>
  <c r="L6" i="22"/>
  <c r="A14" i="22"/>
  <c r="L4" i="22" s="1"/>
  <c r="C19" i="18"/>
  <c r="C20" i="18" s="1"/>
  <c r="D15" i="16" s="1"/>
  <c r="D5" i="16"/>
  <c r="D7" i="16" s="1"/>
  <c r="K58" i="21"/>
  <c r="K56" i="21"/>
  <c r="J19" i="18"/>
  <c r="J20" i="18" s="1"/>
  <c r="K15" i="16" s="1"/>
  <c r="K20" i="16" s="1"/>
  <c r="K5" i="16"/>
  <c r="K7" i="16" s="1"/>
  <c r="I22" i="8"/>
  <c r="H16" i="8"/>
  <c r="H22" i="8"/>
  <c r="I15" i="8"/>
  <c r="H15" i="8"/>
  <c r="I18" i="8"/>
  <c r="H18" i="8"/>
  <c r="C6" i="23"/>
  <c r="U4" i="23"/>
  <c r="K26" i="17"/>
  <c r="K19" i="16"/>
  <c r="D26" i="17"/>
  <c r="D19" i="16"/>
  <c r="I16" i="18"/>
  <c r="L26" i="17"/>
  <c r="L19" i="16"/>
  <c r="C10" i="10"/>
  <c r="D2" i="10"/>
  <c r="D10" i="10" s="1"/>
  <c r="C26" i="17"/>
  <c r="C19" i="16"/>
  <c r="E89" i="3"/>
  <c r="E90" i="3" s="1"/>
  <c r="E91" i="3" s="1"/>
  <c r="I89" i="3"/>
  <c r="I90" i="3" s="1"/>
  <c r="I91" i="3" s="1"/>
  <c r="H89" i="3"/>
  <c r="H90" i="3" s="1"/>
  <c r="H91" i="3" s="1"/>
  <c r="B10" i="20"/>
  <c r="B23" i="21"/>
  <c r="K16" i="18"/>
  <c r="E16" i="18"/>
  <c r="E26" i="17"/>
  <c r="E19" i="16"/>
  <c r="B6" i="20"/>
  <c r="C89" i="3"/>
  <c r="K21" i="21"/>
  <c r="K15" i="7"/>
  <c r="D89" i="3"/>
  <c r="D90" i="3" s="1"/>
  <c r="D91" i="3" s="1"/>
  <c r="B25" i="20"/>
  <c r="I26" i="17"/>
  <c r="I19" i="16"/>
  <c r="B5" i="22"/>
  <c r="B41" i="23"/>
  <c r="L3" i="22"/>
  <c r="L32" i="21"/>
  <c r="L33" i="21" s="1"/>
  <c r="B33" i="21" s="1"/>
  <c r="D16" i="18"/>
  <c r="F19" i="16"/>
  <c r="F26" i="17"/>
  <c r="H16" i="18"/>
  <c r="J53" i="21"/>
  <c r="K53" i="21" s="1"/>
  <c r="L53" i="21" s="1"/>
  <c r="A17" i="22"/>
  <c r="A18" i="22" s="1"/>
  <c r="A19" i="22" s="1"/>
  <c r="A20" i="22" s="1"/>
  <c r="A21" i="22" s="1"/>
  <c r="A22" i="22" s="1"/>
  <c r="A23" i="22" s="1"/>
  <c r="A24" i="22" s="1"/>
  <c r="A25" i="22" s="1"/>
  <c r="A26" i="22" s="1"/>
  <c r="B10" i="22" s="1"/>
  <c r="D21" i="21"/>
  <c r="B21" i="21" s="1"/>
  <c r="D15" i="7"/>
  <c r="B15" i="7" s="1"/>
  <c r="B12" i="7"/>
  <c r="F89" i="3"/>
  <c r="F90" i="3" s="1"/>
  <c r="F91" i="3" s="1"/>
  <c r="B16" i="18"/>
  <c r="G16" i="18"/>
  <c r="F16" i="18"/>
  <c r="K23" i="16" l="1"/>
  <c r="K6" i="21" s="1"/>
  <c r="K8" i="21" s="1"/>
  <c r="J63" i="21"/>
  <c r="J65" i="21" s="1"/>
  <c r="A11" i="22"/>
  <c r="B43" i="23"/>
  <c r="B45" i="23" s="1"/>
  <c r="B42" i="23"/>
  <c r="C90" i="3"/>
  <c r="C91" i="3" s="1"/>
  <c r="N89" i="3"/>
  <c r="N90" i="3" s="1"/>
  <c r="B30" i="22" s="1"/>
  <c r="I30" i="22" s="1"/>
  <c r="J30" i="22" s="1"/>
  <c r="T13" i="23"/>
  <c r="T14" i="23" s="1"/>
  <c r="U9" i="23"/>
  <c r="U10" i="23" s="1"/>
  <c r="B13" i="23"/>
  <c r="B14" i="23" s="1"/>
  <c r="S9" i="23"/>
  <c r="S10" i="23" s="1"/>
  <c r="H13" i="23"/>
  <c r="H14" i="23" s="1"/>
  <c r="I9" i="23"/>
  <c r="I10" i="23" s="1"/>
  <c r="R9" i="23"/>
  <c r="R10" i="23" s="1"/>
  <c r="U13" i="23"/>
  <c r="U14" i="23" s="1"/>
  <c r="L9" i="23"/>
  <c r="L10" i="23" s="1"/>
  <c r="P13" i="23"/>
  <c r="P14" i="23" s="1"/>
  <c r="F9" i="23"/>
  <c r="F10" i="23" s="1"/>
  <c r="I13" i="23"/>
  <c r="I14" i="23" s="1"/>
  <c r="G13" i="23"/>
  <c r="G14" i="23" s="1"/>
  <c r="J13" i="23"/>
  <c r="J14" i="23" s="1"/>
  <c r="F13" i="23"/>
  <c r="F14" i="23" s="1"/>
  <c r="S13" i="23"/>
  <c r="S14" i="23" s="1"/>
  <c r="D13" i="23"/>
  <c r="D14" i="23" s="1"/>
  <c r="M13" i="23"/>
  <c r="M14" i="23" s="1"/>
  <c r="M9" i="23"/>
  <c r="M10" i="23" s="1"/>
  <c r="T9" i="23"/>
  <c r="T10" i="23" s="1"/>
  <c r="K9" i="23"/>
  <c r="K10" i="23" s="1"/>
  <c r="N9" i="23"/>
  <c r="N10" i="23" s="1"/>
  <c r="J9" i="23"/>
  <c r="J10" i="23" s="1"/>
  <c r="C9" i="23"/>
  <c r="C10" i="23" s="1"/>
  <c r="Q9" i="23"/>
  <c r="Q10" i="23" s="1"/>
  <c r="E9" i="23"/>
  <c r="E10" i="23" s="1"/>
  <c r="O9" i="23"/>
  <c r="O10" i="23" s="1"/>
  <c r="E13" i="23"/>
  <c r="E14" i="23" s="1"/>
  <c r="H9" i="23"/>
  <c r="H10" i="23" s="1"/>
  <c r="G9" i="23"/>
  <c r="G10" i="23" s="1"/>
  <c r="O13" i="23"/>
  <c r="O14" i="23" s="1"/>
  <c r="L13" i="23"/>
  <c r="L14" i="23" s="1"/>
  <c r="B9" i="23"/>
  <c r="B10" i="23" s="1"/>
  <c r="Q13" i="23"/>
  <c r="Q14" i="23" s="1"/>
  <c r="N13" i="23"/>
  <c r="N14" i="23" s="1"/>
  <c r="R13" i="23"/>
  <c r="R14" i="23" s="1"/>
  <c r="C13" i="23"/>
  <c r="C14" i="23" s="1"/>
  <c r="P9" i="23"/>
  <c r="P10" i="23" s="1"/>
  <c r="D9" i="23"/>
  <c r="D10" i="23" s="1"/>
  <c r="K13" i="23"/>
  <c r="K14" i="23" s="1"/>
  <c r="B11" i="22"/>
  <c r="B14" i="22" s="1"/>
  <c r="C14" i="22" s="1"/>
  <c r="C26" i="22"/>
  <c r="D26" i="22" s="1"/>
  <c r="E26" i="22" s="1"/>
  <c r="C18" i="22"/>
  <c r="D18" i="22" s="1"/>
  <c r="E18" i="22" s="1"/>
  <c r="C23" i="22"/>
  <c r="D23" i="22" s="1"/>
  <c r="E23" i="22" s="1"/>
  <c r="C20" i="22"/>
  <c r="D20" i="22" s="1"/>
  <c r="E20" i="22" s="1"/>
  <c r="C22" i="22"/>
  <c r="D22" i="22" s="1"/>
  <c r="E22" i="22" s="1"/>
  <c r="C17" i="22"/>
  <c r="D17" i="22" s="1"/>
  <c r="E17" i="22" s="1"/>
  <c r="C25" i="22"/>
  <c r="D25" i="22" s="1"/>
  <c r="E25" i="22" s="1"/>
  <c r="C19" i="22"/>
  <c r="D19" i="22" s="1"/>
  <c r="E19" i="22" s="1"/>
  <c r="C24" i="22"/>
  <c r="D24" i="22" s="1"/>
  <c r="E24" i="22" s="1"/>
  <c r="C21" i="22"/>
  <c r="D21" i="22" s="1"/>
  <c r="E21" i="22" s="1"/>
  <c r="D20" i="16"/>
  <c r="D23" i="16" s="1"/>
  <c r="D6" i="21" s="1"/>
  <c r="D8" i="21" s="1"/>
  <c r="E19" i="18"/>
  <c r="E20" i="18" s="1"/>
  <c r="F15" i="16" s="1"/>
  <c r="F20" i="16" s="1"/>
  <c r="F5" i="16"/>
  <c r="F7" i="16" s="1"/>
  <c r="K19" i="18"/>
  <c r="K20" i="18" s="1"/>
  <c r="L15" i="16" s="1"/>
  <c r="L20" i="16" s="1"/>
  <c r="L5" i="16"/>
  <c r="L7" i="16" s="1"/>
  <c r="L58" i="21"/>
  <c r="H19" i="18"/>
  <c r="H20" i="18" s="1"/>
  <c r="I15" i="16" s="1"/>
  <c r="I20" i="16" s="1"/>
  <c r="I5" i="16"/>
  <c r="I7" i="16" s="1"/>
  <c r="F19" i="18"/>
  <c r="F20" i="18" s="1"/>
  <c r="G15" i="16" s="1"/>
  <c r="G20" i="16" s="1"/>
  <c r="G5" i="16"/>
  <c r="G7" i="16" s="1"/>
  <c r="G19" i="18"/>
  <c r="G20" i="18" s="1"/>
  <c r="H15" i="16" s="1"/>
  <c r="H20" i="16" s="1"/>
  <c r="H5" i="16"/>
  <c r="H7" i="16" s="1"/>
  <c r="D19" i="18"/>
  <c r="D20" i="18" s="1"/>
  <c r="E15" i="16" s="1"/>
  <c r="E20" i="16" s="1"/>
  <c r="E5" i="16"/>
  <c r="E7" i="16" s="1"/>
  <c r="B19" i="18"/>
  <c r="B20" i="18" s="1"/>
  <c r="C15" i="16" s="1"/>
  <c r="C20" i="16" s="1"/>
  <c r="C23" i="16" s="1"/>
  <c r="C5" i="16"/>
  <c r="C7" i="16" s="1"/>
  <c r="B44" i="23"/>
  <c r="B46" i="23" s="1"/>
  <c r="I19" i="18"/>
  <c r="I20" i="18" s="1"/>
  <c r="J15" i="16" s="1"/>
  <c r="J20" i="16" s="1"/>
  <c r="J5" i="16"/>
  <c r="J7" i="16" s="1"/>
  <c r="E23" i="16" l="1"/>
  <c r="E6" i="21" s="1"/>
  <c r="E8" i="21" s="1"/>
  <c r="H23" i="16"/>
  <c r="H6" i="21" s="1"/>
  <c r="H8" i="21" s="1"/>
  <c r="I23" i="16"/>
  <c r="I6" i="21" s="1"/>
  <c r="I8" i="21" s="1"/>
  <c r="G23" i="16"/>
  <c r="G6" i="21" s="1"/>
  <c r="G8" i="21" s="1"/>
  <c r="F23" i="16"/>
  <c r="F6" i="21" s="1"/>
  <c r="F8" i="21" s="1"/>
  <c r="E14" i="22"/>
  <c r="L7" i="22"/>
  <c r="L23" i="16"/>
  <c r="L6" i="21" s="1"/>
  <c r="L8" i="21" s="1"/>
  <c r="C6" i="21"/>
  <c r="C11" i="22"/>
  <c r="D14" i="22" s="1"/>
  <c r="F14" i="22" s="1"/>
  <c r="B48" i="23"/>
  <c r="B47" i="23"/>
  <c r="J23" i="16"/>
  <c r="J6" i="21" s="1"/>
  <c r="J8" i="21" s="1"/>
  <c r="B16" i="23"/>
  <c r="B19" i="23" s="1"/>
  <c r="D34" i="21"/>
  <c r="D35" i="21" s="1"/>
  <c r="L34" i="21"/>
  <c r="L35" i="21" s="1"/>
  <c r="E34" i="21"/>
  <c r="E35" i="21" s="1"/>
  <c r="F34" i="21"/>
  <c r="F35" i="21" s="1"/>
  <c r="K34" i="21"/>
  <c r="K35" i="21" s="1"/>
  <c r="J34" i="21"/>
  <c r="J35" i="21" s="1"/>
  <c r="I34" i="21"/>
  <c r="I35" i="21" s="1"/>
  <c r="C34" i="21"/>
  <c r="C35" i="21" s="1"/>
  <c r="G34" i="21"/>
  <c r="G35" i="21" s="1"/>
  <c r="H34" i="21"/>
  <c r="H35" i="21" s="1"/>
  <c r="B46" i="21" l="1"/>
  <c r="B31" i="23"/>
  <c r="U5" i="23"/>
  <c r="B27" i="23"/>
  <c r="C19" i="23"/>
  <c r="U6" i="23"/>
  <c r="B20" i="23"/>
  <c r="B23" i="16"/>
  <c r="B6" i="21"/>
  <c r="B64" i="21" s="1"/>
  <c r="C8" i="21"/>
  <c r="B8" i="21" s="1"/>
  <c r="C31" i="23" l="1"/>
  <c r="C27" i="23"/>
  <c r="C20" i="23"/>
  <c r="C32" i="23" s="1"/>
  <c r="B32" i="23"/>
  <c r="K4" i="23"/>
  <c r="B36" i="23"/>
  <c r="B47"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HAP</author>
  </authors>
  <commentList>
    <comment ref="L1" authorId="0" shapeId="0" xr:uid="{00000000-0006-0000-1100-000001000000}">
      <text>
        <r>
          <rPr>
            <sz val="11"/>
            <color theme="1"/>
            <rFont val="Calibri"/>
            <family val="2"/>
            <scheme val="minor"/>
          </rPr>
          <t>HAP ANALYSIS — not original analyst data.</t>
        </r>
      </text>
    </comment>
    <comment ref="L2" authorId="0" shapeId="0" xr:uid="{00000000-0006-0000-1100-000002000000}">
      <text>
        <r>
          <rPr>
            <sz val="11"/>
            <color theme="1"/>
            <rFont val="Calibri"/>
            <family val="2"/>
            <scheme val="minor"/>
          </rPr>
          <t>HAP ANALYSIS — not original analyst data.</t>
        </r>
      </text>
    </comment>
    <comment ref="M2" authorId="0" shapeId="0" xr:uid="{00000000-0006-0000-1100-000003000000}">
      <text>
        <r>
          <rPr>
            <sz val="11"/>
            <color theme="1"/>
            <rFont val="Calibri"/>
            <family val="2"/>
            <scheme val="minor"/>
          </rPr>
          <t>HAP ANALYSIS — not original analyst data.</t>
        </r>
      </text>
    </comment>
    <comment ref="L3" authorId="0" shapeId="0" xr:uid="{00000000-0006-0000-1100-000004000000}">
      <text>
        <r>
          <rPr>
            <sz val="11"/>
            <color theme="1"/>
            <rFont val="Calibri"/>
            <family val="2"/>
            <scheme val="minor"/>
          </rPr>
          <t>HAP ANALYSIS — not original analyst data.</t>
        </r>
      </text>
    </comment>
    <comment ref="M3" authorId="0" shapeId="0" xr:uid="{00000000-0006-0000-1100-000005000000}">
      <text>
        <r>
          <rPr>
            <sz val="11"/>
            <color theme="1"/>
            <rFont val="Calibri"/>
            <family val="2"/>
            <scheme val="minor"/>
          </rPr>
          <t>HAP ANALYSIS — not original analyst data.</t>
        </r>
      </text>
    </comment>
    <comment ref="L4" authorId="0" shapeId="0" xr:uid="{00000000-0006-0000-1100-000006000000}">
      <text>
        <r>
          <rPr>
            <sz val="11"/>
            <color theme="1"/>
            <rFont val="Calibri"/>
            <family val="2"/>
            <scheme val="minor"/>
          </rPr>
          <t>HAP ANALYSIS — not original analyst data.</t>
        </r>
      </text>
    </comment>
    <comment ref="M4" authorId="0" shapeId="0" xr:uid="{00000000-0006-0000-1100-000007000000}">
      <text>
        <r>
          <rPr>
            <sz val="11"/>
            <color theme="1"/>
            <rFont val="Calibri"/>
            <family val="2"/>
            <scheme val="minor"/>
          </rPr>
          <t>HAP ANALYSIS — not original analyst data.</t>
        </r>
      </text>
    </comment>
    <comment ref="L5" authorId="0" shapeId="0" xr:uid="{00000000-0006-0000-1100-000008000000}">
      <text>
        <r>
          <rPr>
            <sz val="11"/>
            <color theme="1"/>
            <rFont val="Calibri"/>
            <family val="2"/>
            <scheme val="minor"/>
          </rPr>
          <t>HAP ANALYSIS — not original analyst data.</t>
        </r>
      </text>
    </comment>
    <comment ref="M5" authorId="0" shapeId="0" xr:uid="{00000000-0006-0000-1100-000009000000}">
      <text>
        <r>
          <rPr>
            <sz val="11"/>
            <color theme="1"/>
            <rFont val="Calibri"/>
            <family val="2"/>
            <scheme val="minor"/>
          </rPr>
          <t>HAP ANALYSIS — not original analyst data.</t>
        </r>
      </text>
    </comment>
    <comment ref="L6" authorId="0" shapeId="0" xr:uid="{00000000-0006-0000-1100-00000A000000}">
      <text>
        <r>
          <rPr>
            <sz val="11"/>
            <color theme="1"/>
            <rFont val="Calibri"/>
            <family val="2"/>
            <scheme val="minor"/>
          </rPr>
          <t>HAP ANALYSIS — not original analyst data.</t>
        </r>
      </text>
    </comment>
    <comment ref="M6" authorId="0" shapeId="0" xr:uid="{00000000-0006-0000-1100-00000B000000}">
      <text>
        <r>
          <rPr>
            <sz val="11"/>
            <color theme="1"/>
            <rFont val="Calibri"/>
            <family val="2"/>
            <scheme val="minor"/>
          </rPr>
          <t>HAP ANALYSIS — not original analyst data.</t>
        </r>
      </text>
    </comment>
    <comment ref="L7" authorId="0" shapeId="0" xr:uid="{00000000-0006-0000-1100-00000C000000}">
      <text>
        <r>
          <rPr>
            <sz val="11"/>
            <color theme="1"/>
            <rFont val="Calibri"/>
            <family val="2"/>
            <scheme val="minor"/>
          </rPr>
          <t>HAP ANALYSIS — not original analyst data.</t>
        </r>
      </text>
    </comment>
    <comment ref="M7" authorId="0" shapeId="0" xr:uid="{00000000-0006-0000-1100-00000D000000}">
      <text>
        <r>
          <rPr>
            <sz val="11"/>
            <color theme="1"/>
            <rFont val="Calibri"/>
            <family val="2"/>
            <scheme val="minor"/>
          </rPr>
          <t>HAP ANALYSIS — not original analyst data.</t>
        </r>
      </text>
    </comment>
    <comment ref="L8" authorId="0" shapeId="0" xr:uid="{00000000-0006-0000-1100-00000E000000}">
      <text>
        <r>
          <rPr>
            <sz val="11"/>
            <color theme="1"/>
            <rFont val="Calibri"/>
            <family val="2"/>
            <scheme val="minor"/>
          </rPr>
          <t>HAP ANALYSIS — not original analyst data.</t>
        </r>
      </text>
    </comment>
    <comment ref="M8" authorId="0" shapeId="0" xr:uid="{00000000-0006-0000-1100-00000F000000}">
      <text>
        <r>
          <rPr>
            <sz val="11"/>
            <color theme="1"/>
            <rFont val="Calibri"/>
            <family val="2"/>
            <scheme val="minor"/>
          </rPr>
          <t>HAP ANALYSIS — not original analyst data.</t>
        </r>
      </text>
    </comment>
    <comment ref="L9" authorId="0" shapeId="0" xr:uid="{00000000-0006-0000-1100-000010000000}">
      <text>
        <r>
          <rPr>
            <sz val="11"/>
            <color theme="1"/>
            <rFont val="Calibri"/>
            <family val="2"/>
            <scheme val="minor"/>
          </rPr>
          <t>HAP ANALYSIS — not original analyst data.</t>
        </r>
      </text>
    </comment>
    <comment ref="M9" authorId="0" shapeId="0" xr:uid="{00000000-0006-0000-1100-000011000000}">
      <text>
        <r>
          <rPr>
            <sz val="11"/>
            <color theme="1"/>
            <rFont val="Calibri"/>
            <family val="2"/>
            <scheme val="minor"/>
          </rPr>
          <t>HAP ANALYSIS — not original analyst data.</t>
        </r>
      </text>
    </comment>
    <comment ref="L10" authorId="0" shapeId="0" xr:uid="{00000000-0006-0000-1100-000012000000}">
      <text>
        <r>
          <rPr>
            <sz val="11"/>
            <color theme="1"/>
            <rFont val="Calibri"/>
            <family val="2"/>
            <scheme val="minor"/>
          </rPr>
          <t>HAP ANALYSIS — not original analyst data.</t>
        </r>
      </text>
    </comment>
    <comment ref="M10" authorId="0" shapeId="0" xr:uid="{00000000-0006-0000-1100-000013000000}">
      <text>
        <r>
          <rPr>
            <sz val="11"/>
            <color theme="1"/>
            <rFont val="Calibri"/>
            <family val="2"/>
            <scheme val="minor"/>
          </rPr>
          <t>HAP ANALYSIS — not original analyst data.</t>
        </r>
      </text>
    </comment>
    <comment ref="L11" authorId="0" shapeId="0" xr:uid="{00000000-0006-0000-1100-000014000000}">
      <text>
        <r>
          <rPr>
            <sz val="11"/>
            <color theme="1"/>
            <rFont val="Calibri"/>
            <family val="2"/>
            <scheme val="minor"/>
          </rPr>
          <t>HAP ANALYSIS — not original analyst data.</t>
        </r>
      </text>
    </comment>
    <comment ref="M11" authorId="0" shapeId="0" xr:uid="{00000000-0006-0000-1100-000015000000}">
      <text>
        <r>
          <rPr>
            <sz val="11"/>
            <color theme="1"/>
            <rFont val="Calibri"/>
            <family val="2"/>
            <scheme val="minor"/>
          </rPr>
          <t>HAP ANALYSIS — not original analyst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HAP</author>
  </authors>
  <commentList>
    <comment ref="P1" authorId="0" shapeId="0" xr:uid="{00000000-0006-0000-1200-000001000000}">
      <text>
        <r>
          <rPr>
            <sz val="11"/>
            <color theme="1"/>
            <rFont val="Calibri"/>
            <family val="2"/>
            <scheme val="minor"/>
          </rPr>
          <t>HAP ANALYSIS — not original analyst data.</t>
        </r>
      </text>
    </comment>
    <comment ref="P2" authorId="0" shapeId="0" xr:uid="{00000000-0006-0000-1200-000002000000}">
      <text>
        <r>
          <rPr>
            <sz val="11"/>
            <color theme="1"/>
            <rFont val="Calibri"/>
            <family val="2"/>
            <scheme val="minor"/>
          </rPr>
          <t>HAP ANALYSIS — not original analyst data.</t>
        </r>
      </text>
    </comment>
    <comment ref="Q2" authorId="0" shapeId="0" xr:uid="{00000000-0006-0000-1200-000003000000}">
      <text>
        <r>
          <rPr>
            <sz val="11"/>
            <color theme="1"/>
            <rFont val="Calibri"/>
            <family val="2"/>
            <scheme val="minor"/>
          </rPr>
          <t>HAP ANALYSIS — not original analyst data.</t>
        </r>
      </text>
    </comment>
    <comment ref="P3" authorId="0" shapeId="0" xr:uid="{00000000-0006-0000-1200-000004000000}">
      <text>
        <r>
          <rPr>
            <sz val="11"/>
            <color theme="1"/>
            <rFont val="Calibri"/>
            <family val="2"/>
            <scheme val="minor"/>
          </rPr>
          <t>HAP ANALYSIS — not original analyst data.</t>
        </r>
      </text>
    </comment>
    <comment ref="Q3" authorId="0" shapeId="0" xr:uid="{00000000-0006-0000-1200-000005000000}">
      <text>
        <r>
          <rPr>
            <sz val="11"/>
            <color theme="1"/>
            <rFont val="Calibri"/>
            <family val="2"/>
            <scheme val="minor"/>
          </rPr>
          <t>HAP ANALYSIS — not original analyst data.</t>
        </r>
      </text>
    </comment>
    <comment ref="P4" authorId="0" shapeId="0" xr:uid="{00000000-0006-0000-1200-000006000000}">
      <text>
        <r>
          <rPr>
            <sz val="11"/>
            <color theme="1"/>
            <rFont val="Calibri"/>
            <family val="2"/>
            <scheme val="minor"/>
          </rPr>
          <t>HAP ANALYSIS — not original analyst data.</t>
        </r>
      </text>
    </comment>
    <comment ref="Q4" authorId="0" shapeId="0" xr:uid="{00000000-0006-0000-1200-000007000000}">
      <text>
        <r>
          <rPr>
            <sz val="11"/>
            <color theme="1"/>
            <rFont val="Calibri"/>
            <family val="2"/>
            <scheme val="minor"/>
          </rPr>
          <t>HAP ANALYSIS — not original analyst data.</t>
        </r>
      </text>
    </comment>
    <comment ref="P5" authorId="0" shapeId="0" xr:uid="{00000000-0006-0000-1200-000008000000}">
      <text>
        <r>
          <rPr>
            <sz val="11"/>
            <color theme="1"/>
            <rFont val="Calibri"/>
            <family val="2"/>
            <scheme val="minor"/>
          </rPr>
          <t>HAP ANALYSIS — not original analyst data.</t>
        </r>
      </text>
    </comment>
    <comment ref="Q5" authorId="0" shapeId="0" xr:uid="{00000000-0006-0000-1200-000009000000}">
      <text>
        <r>
          <rPr>
            <sz val="11"/>
            <color theme="1"/>
            <rFont val="Calibri"/>
            <family val="2"/>
            <scheme val="minor"/>
          </rPr>
          <t>HAP ANALYSIS — not original analyst data.</t>
        </r>
      </text>
    </comment>
    <comment ref="P6" authorId="0" shapeId="0" xr:uid="{00000000-0006-0000-1200-00000A000000}">
      <text>
        <r>
          <rPr>
            <sz val="11"/>
            <color theme="1"/>
            <rFont val="Calibri"/>
            <family val="2"/>
            <scheme val="minor"/>
          </rPr>
          <t>HAP ANALYSIS — not original analyst data.</t>
        </r>
      </text>
    </comment>
    <comment ref="Q6" authorId="0" shapeId="0" xr:uid="{00000000-0006-0000-1200-00000B000000}">
      <text>
        <r>
          <rPr>
            <sz val="11"/>
            <color theme="1"/>
            <rFont val="Calibri"/>
            <family val="2"/>
            <scheme val="minor"/>
          </rPr>
          <t>HAP ANALYSIS — not original analyst data.</t>
        </r>
      </text>
    </comment>
    <comment ref="P7" authorId="0" shapeId="0" xr:uid="{00000000-0006-0000-1200-00000C000000}">
      <text>
        <r>
          <rPr>
            <sz val="11"/>
            <color theme="1"/>
            <rFont val="Calibri"/>
            <family val="2"/>
            <scheme val="minor"/>
          </rPr>
          <t>HAP ANALYSIS — not original analyst data.</t>
        </r>
      </text>
    </comment>
    <comment ref="Q7" authorId="0" shapeId="0" xr:uid="{00000000-0006-0000-1200-00000D000000}">
      <text>
        <r>
          <rPr>
            <sz val="11"/>
            <color theme="1"/>
            <rFont val="Calibri"/>
            <family val="2"/>
            <scheme val="minor"/>
          </rPr>
          <t>HAP ANALYSIS — not original analyst data.</t>
        </r>
      </text>
    </comment>
    <comment ref="P8" authorId="0" shapeId="0" xr:uid="{00000000-0006-0000-1200-00000E000000}">
      <text>
        <r>
          <rPr>
            <sz val="11"/>
            <color theme="1"/>
            <rFont val="Calibri"/>
            <family val="2"/>
            <scheme val="minor"/>
          </rPr>
          <t>HAP ANALYSIS — not original analyst data.</t>
        </r>
      </text>
    </comment>
    <comment ref="Q8" authorId="0" shapeId="0" xr:uid="{00000000-0006-0000-1200-00000F000000}">
      <text>
        <r>
          <rPr>
            <sz val="11"/>
            <color theme="1"/>
            <rFont val="Calibri"/>
            <family val="2"/>
            <scheme val="minor"/>
          </rPr>
          <t>HAP ANALYSIS — not original analyst data.</t>
        </r>
      </text>
    </comment>
    <comment ref="P9" authorId="0" shapeId="0" xr:uid="{00000000-0006-0000-1200-000010000000}">
      <text>
        <r>
          <rPr>
            <sz val="11"/>
            <color theme="1"/>
            <rFont val="Calibri"/>
            <family val="2"/>
            <scheme val="minor"/>
          </rPr>
          <t>HAP ANALYSIS — not original analyst data.</t>
        </r>
      </text>
    </comment>
    <comment ref="Q9" authorId="0" shapeId="0" xr:uid="{00000000-0006-0000-1200-000011000000}">
      <text>
        <r>
          <rPr>
            <sz val="11"/>
            <color theme="1"/>
            <rFont val="Calibri"/>
            <family val="2"/>
            <scheme val="minor"/>
          </rPr>
          <t>HAP ANALYSIS — not original analyst data.</t>
        </r>
      </text>
    </comment>
    <comment ref="P10" authorId="0" shapeId="0" xr:uid="{00000000-0006-0000-1200-000012000000}">
      <text>
        <r>
          <rPr>
            <sz val="11"/>
            <color theme="1"/>
            <rFont val="Calibri"/>
            <family val="2"/>
            <scheme val="minor"/>
          </rPr>
          <t>HAP ANALYSIS — not original analyst data.</t>
        </r>
      </text>
    </comment>
    <comment ref="Q10" authorId="0" shapeId="0" xr:uid="{00000000-0006-0000-1200-000013000000}">
      <text>
        <r>
          <rPr>
            <sz val="11"/>
            <color theme="1"/>
            <rFont val="Calibri"/>
            <family val="2"/>
            <scheme val="minor"/>
          </rPr>
          <t>HAP ANALYSIS — not original analyst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HAP</author>
  </authors>
  <commentList>
    <comment ref="K1" authorId="0" shapeId="0" xr:uid="{00000000-0006-0000-1500-000001000000}">
      <text>
        <r>
          <rPr>
            <sz val="11"/>
            <color theme="1"/>
            <rFont val="Calibri"/>
            <family val="2"/>
            <scheme val="minor"/>
          </rPr>
          <t>HAP ANALYSIS — not original analyst data.</t>
        </r>
      </text>
    </comment>
    <comment ref="K2" authorId="0" shapeId="0" xr:uid="{00000000-0006-0000-1500-000002000000}">
      <text>
        <r>
          <rPr>
            <sz val="11"/>
            <color theme="1"/>
            <rFont val="Calibri"/>
            <family val="2"/>
            <scheme val="minor"/>
          </rPr>
          <t>HAP ANALYSIS — not original analyst data.</t>
        </r>
      </text>
    </comment>
    <comment ref="L2" authorId="0" shapeId="0" xr:uid="{00000000-0006-0000-1500-000003000000}">
      <text>
        <r>
          <rPr>
            <sz val="11"/>
            <color theme="1"/>
            <rFont val="Calibri"/>
            <family val="2"/>
            <scheme val="minor"/>
          </rPr>
          <t>HAP ANALYSIS — not original analyst data.</t>
        </r>
      </text>
    </comment>
    <comment ref="K3" authorId="0" shapeId="0" xr:uid="{00000000-0006-0000-1500-000004000000}">
      <text>
        <r>
          <rPr>
            <sz val="11"/>
            <color theme="1"/>
            <rFont val="Calibri"/>
            <family val="2"/>
            <scheme val="minor"/>
          </rPr>
          <t>HAP ANALYSIS — not original analyst data.</t>
        </r>
      </text>
    </comment>
    <comment ref="L3" authorId="0" shapeId="0" xr:uid="{00000000-0006-0000-1500-000005000000}">
      <text>
        <r>
          <rPr>
            <sz val="11"/>
            <color theme="1"/>
            <rFont val="Calibri"/>
            <family val="2"/>
            <scheme val="minor"/>
          </rPr>
          <t>HAP ANALYSIS — not original analyst data.</t>
        </r>
      </text>
    </comment>
    <comment ref="K4" authorId="0" shapeId="0" xr:uid="{00000000-0006-0000-1500-000006000000}">
      <text>
        <r>
          <rPr>
            <sz val="11"/>
            <color theme="1"/>
            <rFont val="Calibri"/>
            <family val="2"/>
            <scheme val="minor"/>
          </rPr>
          <t>HAP ANALYSIS — not original analyst data.</t>
        </r>
      </text>
    </comment>
    <comment ref="L4" authorId="0" shapeId="0" xr:uid="{00000000-0006-0000-1500-000007000000}">
      <text>
        <r>
          <rPr>
            <sz val="11"/>
            <color theme="1"/>
            <rFont val="Calibri"/>
            <family val="2"/>
            <scheme val="minor"/>
          </rPr>
          <t>HAP ANALYSIS — not original analyst data.</t>
        </r>
      </text>
    </comment>
    <comment ref="K5" authorId="0" shapeId="0" xr:uid="{00000000-0006-0000-1500-000008000000}">
      <text>
        <r>
          <rPr>
            <sz val="11"/>
            <color theme="1"/>
            <rFont val="Calibri"/>
            <family val="2"/>
            <scheme val="minor"/>
          </rPr>
          <t>HAP ANALYSIS — not original analyst data.</t>
        </r>
      </text>
    </comment>
    <comment ref="L5" authorId="0" shapeId="0" xr:uid="{00000000-0006-0000-1500-000009000000}">
      <text>
        <r>
          <rPr>
            <sz val="11"/>
            <color theme="1"/>
            <rFont val="Calibri"/>
            <family val="2"/>
            <scheme val="minor"/>
          </rPr>
          <t>HAP ANALYSIS — not original analyst data.</t>
        </r>
      </text>
    </comment>
    <comment ref="K6" authorId="0" shapeId="0" xr:uid="{00000000-0006-0000-1500-00000A000000}">
      <text>
        <r>
          <rPr>
            <sz val="11"/>
            <color theme="1"/>
            <rFont val="Calibri"/>
            <family val="2"/>
            <scheme val="minor"/>
          </rPr>
          <t>HAP ANALYSIS — not original analyst data.</t>
        </r>
      </text>
    </comment>
    <comment ref="L6" authorId="0" shapeId="0" xr:uid="{00000000-0006-0000-1500-00000B000000}">
      <text>
        <r>
          <rPr>
            <sz val="11"/>
            <color theme="1"/>
            <rFont val="Calibri"/>
            <family val="2"/>
            <scheme val="minor"/>
          </rPr>
          <t>HAP ANALYSIS — not original analyst data.</t>
        </r>
      </text>
    </comment>
    <comment ref="K7" authorId="0" shapeId="0" xr:uid="{00000000-0006-0000-1500-00000C000000}">
      <text>
        <r>
          <rPr>
            <sz val="11"/>
            <color theme="1"/>
            <rFont val="Calibri"/>
            <family val="2"/>
            <scheme val="minor"/>
          </rPr>
          <t>HAP ANALYSIS — not original analyst data.</t>
        </r>
      </text>
    </comment>
    <comment ref="L7" authorId="0" shapeId="0" xr:uid="{00000000-0006-0000-1500-00000D000000}">
      <text>
        <r>
          <rPr>
            <sz val="11"/>
            <color theme="1"/>
            <rFont val="Calibri"/>
            <family val="2"/>
            <scheme val="minor"/>
          </rPr>
          <t>HAP ANALYSIS — not original analyst data.</t>
        </r>
      </text>
    </comment>
    <comment ref="K8" authorId="0" shapeId="0" xr:uid="{00000000-0006-0000-1500-00000E000000}">
      <text>
        <r>
          <rPr>
            <sz val="11"/>
            <color theme="1"/>
            <rFont val="Calibri"/>
            <family val="2"/>
            <scheme val="minor"/>
          </rPr>
          <t>HAP ANALYSIS — not original analyst data.</t>
        </r>
      </text>
    </comment>
    <comment ref="L8" authorId="0" shapeId="0" xr:uid="{00000000-0006-0000-1500-00000F000000}">
      <text>
        <r>
          <rPr>
            <sz val="11"/>
            <color theme="1"/>
            <rFont val="Calibri"/>
            <family val="2"/>
            <scheme val="minor"/>
          </rPr>
          <t>HAP ANALYSIS — not original analyst data.</t>
        </r>
      </text>
    </comment>
    <comment ref="K9" authorId="0" shapeId="0" xr:uid="{00000000-0006-0000-1500-000010000000}">
      <text>
        <r>
          <rPr>
            <sz val="11"/>
            <color theme="1"/>
            <rFont val="Calibri"/>
            <family val="2"/>
            <scheme val="minor"/>
          </rPr>
          <t>HAP ANALYSIS — not original analyst data.</t>
        </r>
      </text>
    </comment>
    <comment ref="L9" authorId="0" shapeId="0" xr:uid="{00000000-0006-0000-1500-000011000000}">
      <text>
        <r>
          <rPr>
            <sz val="11"/>
            <color theme="1"/>
            <rFont val="Calibri"/>
            <family val="2"/>
            <scheme val="minor"/>
          </rPr>
          <t>HAP ANALYSIS — not original analyst data.</t>
        </r>
      </text>
    </comment>
    <comment ref="K10" authorId="0" shapeId="0" xr:uid="{00000000-0006-0000-1500-000012000000}">
      <text>
        <r>
          <rPr>
            <sz val="11"/>
            <color theme="1"/>
            <rFont val="Calibri"/>
            <family val="2"/>
            <scheme val="minor"/>
          </rPr>
          <t>HAP ANALYSIS — not original analyst data.</t>
        </r>
      </text>
    </comment>
    <comment ref="L10" authorId="0" shapeId="0" xr:uid="{00000000-0006-0000-1500-000013000000}">
      <text>
        <r>
          <rPr>
            <sz val="11"/>
            <color theme="1"/>
            <rFont val="Calibri"/>
            <family val="2"/>
            <scheme val="minor"/>
          </rPr>
          <t>HAP ANALYSIS — not original analyst data.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HAP</author>
  </authors>
  <commentList>
    <comment ref="J1" authorId="0" shapeId="0" xr:uid="{00000000-0006-0000-1600-000001000000}">
      <text>
        <r>
          <rPr>
            <sz val="11"/>
            <color theme="1"/>
            <rFont val="Calibri"/>
            <family val="2"/>
            <scheme val="minor"/>
          </rPr>
          <t>HAP ANALYSIS — not original analyst data.</t>
        </r>
      </text>
    </comment>
    <comment ref="T1" authorId="0" shapeId="0" xr:uid="{00000000-0006-0000-1600-000002000000}">
      <text>
        <r>
          <rPr>
            <sz val="11"/>
            <color theme="1"/>
            <rFont val="Calibri"/>
            <family val="2"/>
            <scheme val="minor"/>
          </rPr>
          <t>HAP ANALYSIS — not original analyst data.</t>
        </r>
      </text>
    </comment>
    <comment ref="J2" authorId="0" shapeId="0" xr:uid="{00000000-0006-0000-1600-000003000000}">
      <text>
        <r>
          <rPr>
            <sz val="11"/>
            <color theme="1"/>
            <rFont val="Calibri"/>
            <family val="2"/>
            <scheme val="minor"/>
          </rPr>
          <t>HAP ANALYSIS — not original analyst data.</t>
        </r>
      </text>
    </comment>
    <comment ref="K2" authorId="0" shapeId="0" xr:uid="{00000000-0006-0000-1600-000004000000}">
      <text>
        <r>
          <rPr>
            <sz val="11"/>
            <color theme="1"/>
            <rFont val="Calibri"/>
            <family val="2"/>
            <scheme val="minor"/>
          </rPr>
          <t>HAP ANALYSIS — not original analyst data.</t>
        </r>
      </text>
    </comment>
    <comment ref="T2" authorId="0" shapeId="0" xr:uid="{00000000-0006-0000-1600-000005000000}">
      <text>
        <r>
          <rPr>
            <sz val="11"/>
            <color theme="1"/>
            <rFont val="Calibri"/>
            <family val="2"/>
            <scheme val="minor"/>
          </rPr>
          <t>HAP ANALYSIS — not original analyst data.</t>
        </r>
      </text>
    </comment>
    <comment ref="U2" authorId="0" shapeId="0" xr:uid="{00000000-0006-0000-1600-000006000000}">
      <text>
        <r>
          <rPr>
            <sz val="11"/>
            <color theme="1"/>
            <rFont val="Calibri"/>
            <family val="2"/>
            <scheme val="minor"/>
          </rPr>
          <t>HAP ANALYSIS — not original analyst data.</t>
        </r>
      </text>
    </comment>
    <comment ref="J3" authorId="0" shapeId="0" xr:uid="{00000000-0006-0000-1600-000007000000}">
      <text>
        <r>
          <rPr>
            <sz val="11"/>
            <color theme="1"/>
            <rFont val="Calibri"/>
            <family val="2"/>
            <scheme val="minor"/>
          </rPr>
          <t>HAP ANALYSIS — not original analyst data.</t>
        </r>
      </text>
    </comment>
    <comment ref="K3" authorId="0" shapeId="0" xr:uid="{00000000-0006-0000-1600-000008000000}">
      <text>
        <r>
          <rPr>
            <sz val="11"/>
            <color theme="1"/>
            <rFont val="Calibri"/>
            <family val="2"/>
            <scheme val="minor"/>
          </rPr>
          <t>HAP ANALYSIS — not original analyst data.</t>
        </r>
      </text>
    </comment>
    <comment ref="T3" authorId="0" shapeId="0" xr:uid="{00000000-0006-0000-1600-000009000000}">
      <text>
        <r>
          <rPr>
            <sz val="11"/>
            <color theme="1"/>
            <rFont val="Calibri"/>
            <family val="2"/>
            <scheme val="minor"/>
          </rPr>
          <t>HAP ANALYSIS — not original analyst data.</t>
        </r>
      </text>
    </comment>
    <comment ref="U3" authorId="0" shapeId="0" xr:uid="{00000000-0006-0000-1600-00000A000000}">
      <text>
        <r>
          <rPr>
            <sz val="11"/>
            <color theme="1"/>
            <rFont val="Calibri"/>
            <family val="2"/>
            <scheme val="minor"/>
          </rPr>
          <t>HAP ANALYSIS — not original analyst data.</t>
        </r>
      </text>
    </comment>
    <comment ref="J4" authorId="0" shapeId="0" xr:uid="{00000000-0006-0000-1600-00000B000000}">
      <text>
        <r>
          <rPr>
            <sz val="11"/>
            <color theme="1"/>
            <rFont val="Calibri"/>
            <family val="2"/>
            <scheme val="minor"/>
          </rPr>
          <t>HAP ANALYSIS — not original analyst data.</t>
        </r>
      </text>
    </comment>
    <comment ref="K4" authorId="0" shapeId="0" xr:uid="{00000000-0006-0000-1600-00000C000000}">
      <text>
        <r>
          <rPr>
            <sz val="11"/>
            <color theme="1"/>
            <rFont val="Calibri"/>
            <family val="2"/>
            <scheme val="minor"/>
          </rPr>
          <t>HAP ANALYSIS — not original analyst data.</t>
        </r>
      </text>
    </comment>
    <comment ref="T4" authorId="0" shapeId="0" xr:uid="{00000000-0006-0000-1600-00000D000000}">
      <text>
        <r>
          <rPr>
            <sz val="11"/>
            <color theme="1"/>
            <rFont val="Calibri"/>
            <family val="2"/>
            <scheme val="minor"/>
          </rPr>
          <t>HAP ANALYSIS — not original analyst data.</t>
        </r>
      </text>
    </comment>
    <comment ref="U4" authorId="0" shapeId="0" xr:uid="{00000000-0006-0000-1600-00000E000000}">
      <text>
        <r>
          <rPr>
            <sz val="11"/>
            <color theme="1"/>
            <rFont val="Calibri"/>
            <family val="2"/>
            <scheme val="minor"/>
          </rPr>
          <t>HAP ANALYSIS — not original analyst data.</t>
        </r>
      </text>
    </comment>
    <comment ref="J5" authorId="0" shapeId="0" xr:uid="{00000000-0006-0000-1600-00000F000000}">
      <text>
        <r>
          <rPr>
            <sz val="11"/>
            <color theme="1"/>
            <rFont val="Calibri"/>
            <family val="2"/>
            <scheme val="minor"/>
          </rPr>
          <t>HAP ANALYSIS — not original analyst data.</t>
        </r>
      </text>
    </comment>
    <comment ref="K5" authorId="0" shapeId="0" xr:uid="{00000000-0006-0000-1600-000010000000}">
      <text>
        <r>
          <rPr>
            <sz val="11"/>
            <color theme="1"/>
            <rFont val="Calibri"/>
            <family val="2"/>
            <scheme val="minor"/>
          </rPr>
          <t>HAP ANALYSIS — not original analyst data.</t>
        </r>
      </text>
    </comment>
    <comment ref="T5" authorId="0" shapeId="0" xr:uid="{00000000-0006-0000-1600-000011000000}">
      <text>
        <r>
          <rPr>
            <sz val="11"/>
            <color theme="1"/>
            <rFont val="Calibri"/>
            <family val="2"/>
            <scheme val="minor"/>
          </rPr>
          <t>HAP ANALYSIS — not original analyst data.</t>
        </r>
      </text>
    </comment>
    <comment ref="U5" authorId="0" shapeId="0" xr:uid="{00000000-0006-0000-1600-000012000000}">
      <text>
        <r>
          <rPr>
            <sz val="11"/>
            <color theme="1"/>
            <rFont val="Calibri"/>
            <family val="2"/>
            <scheme val="minor"/>
          </rPr>
          <t>HAP ANALYSIS — not original analyst data.</t>
        </r>
      </text>
    </comment>
    <comment ref="J6" authorId="0" shapeId="0" xr:uid="{00000000-0006-0000-1600-000013000000}">
      <text>
        <r>
          <rPr>
            <sz val="11"/>
            <color theme="1"/>
            <rFont val="Calibri"/>
            <family val="2"/>
            <scheme val="minor"/>
          </rPr>
          <t>HAP ANALYSIS — not original analyst data.</t>
        </r>
      </text>
    </comment>
    <comment ref="K6" authorId="0" shapeId="0" xr:uid="{00000000-0006-0000-1600-000014000000}">
      <text>
        <r>
          <rPr>
            <sz val="11"/>
            <color theme="1"/>
            <rFont val="Calibri"/>
            <family val="2"/>
            <scheme val="minor"/>
          </rPr>
          <t>HAP ANALYSIS — not original analyst data.</t>
        </r>
      </text>
    </comment>
    <comment ref="T6" authorId="0" shapeId="0" xr:uid="{00000000-0006-0000-1600-000015000000}">
      <text>
        <r>
          <rPr>
            <sz val="11"/>
            <color theme="1"/>
            <rFont val="Calibri"/>
            <family val="2"/>
            <scheme val="minor"/>
          </rPr>
          <t>HAP ANALYSIS — not original analyst data.</t>
        </r>
      </text>
    </comment>
    <comment ref="U6" authorId="0" shapeId="0" xr:uid="{00000000-0006-0000-1600-000016000000}">
      <text>
        <r>
          <rPr>
            <sz val="11"/>
            <color theme="1"/>
            <rFont val="Calibri"/>
            <family val="2"/>
            <scheme val="minor"/>
          </rPr>
          <t>HAP ANALYSIS — not original analyst data.</t>
        </r>
      </text>
    </comment>
    <comment ref="J7" authorId="0" shapeId="0" xr:uid="{00000000-0006-0000-1600-000017000000}">
      <text>
        <r>
          <rPr>
            <sz val="11"/>
            <color theme="1"/>
            <rFont val="Calibri"/>
            <family val="2"/>
            <scheme val="minor"/>
          </rPr>
          <t>HAP ANALYSIS — not original analyst data.</t>
        </r>
      </text>
    </comment>
    <comment ref="K7" authorId="0" shapeId="0" xr:uid="{00000000-0006-0000-1600-000018000000}">
      <text>
        <r>
          <rPr>
            <sz val="11"/>
            <color theme="1"/>
            <rFont val="Calibri"/>
            <family val="2"/>
            <scheme val="minor"/>
          </rPr>
          <t>HAP ANALYSIS — not original analyst data.</t>
        </r>
      </text>
    </comment>
    <comment ref="T7" authorId="0" shapeId="0" xr:uid="{00000000-0006-0000-1600-000019000000}">
      <text>
        <r>
          <rPr>
            <sz val="11"/>
            <color theme="1"/>
            <rFont val="Calibri"/>
            <family val="2"/>
            <scheme val="minor"/>
          </rPr>
          <t>HAP ANALYSIS — not original analyst data.</t>
        </r>
      </text>
    </comment>
    <comment ref="U7" authorId="0" shapeId="0" xr:uid="{00000000-0006-0000-1600-00001A000000}">
      <text>
        <r>
          <rPr>
            <sz val="11"/>
            <color theme="1"/>
            <rFont val="Calibri"/>
            <family val="2"/>
            <scheme val="minor"/>
          </rPr>
          <t>HAP ANALYSIS — not original analyst data.</t>
        </r>
      </text>
    </comment>
    <comment ref="T11" authorId="0" shapeId="0" xr:uid="{00000000-0006-0000-1600-00001B000000}">
      <text>
        <r>
          <rPr>
            <sz val="11"/>
            <color theme="1"/>
            <rFont val="Calibri"/>
            <family val="2"/>
            <scheme val="minor"/>
          </rPr>
          <t>HAP ANALYSIS — not original analyst data.</t>
        </r>
      </text>
    </comment>
    <comment ref="U11" authorId="0" shapeId="0" xr:uid="{00000000-0006-0000-1600-00001C000000}">
      <text>
        <r>
          <rPr>
            <sz val="11"/>
            <color theme="1"/>
            <rFont val="Calibri"/>
            <family val="2"/>
            <scheme val="minor"/>
          </rPr>
          <t>HAP ANALYSIS — not original analyst data.</t>
        </r>
      </text>
    </comment>
    <comment ref="T15" authorId="0" shapeId="0" xr:uid="{00000000-0006-0000-1600-00001D000000}">
      <text>
        <r>
          <rPr>
            <sz val="11"/>
            <color theme="1"/>
            <rFont val="Calibri"/>
            <family val="2"/>
            <scheme val="minor"/>
          </rPr>
          <t>HAP ANALYSIS — not original analyst data.</t>
        </r>
      </text>
    </comment>
    <comment ref="U15" authorId="0" shapeId="0" xr:uid="{00000000-0006-0000-1600-00001E000000}">
      <text>
        <r>
          <rPr>
            <sz val="11"/>
            <color theme="1"/>
            <rFont val="Calibri"/>
            <family val="2"/>
            <scheme val="minor"/>
          </rPr>
          <t>HAP ANALYSIS — not original analyst data.</t>
        </r>
      </text>
    </comment>
    <comment ref="T16" authorId="0" shapeId="0" xr:uid="{00000000-0006-0000-1600-00001F000000}">
      <text>
        <r>
          <rPr>
            <sz val="11"/>
            <color theme="1"/>
            <rFont val="Calibri"/>
            <family val="2"/>
            <scheme val="minor"/>
          </rPr>
          <t>HAP ANALYSIS — not original analyst data.</t>
        </r>
      </text>
    </comment>
    <comment ref="U16" authorId="0" shapeId="0" xr:uid="{00000000-0006-0000-1600-000020000000}">
      <text>
        <r>
          <rPr>
            <sz val="11"/>
            <color theme="1"/>
            <rFont val="Calibri"/>
            <family val="2"/>
            <scheme val="minor"/>
          </rPr>
          <t>HAP ANALYSIS — not original analyst data.</t>
        </r>
      </text>
    </comment>
  </commentList>
</comments>
</file>

<file path=xl/sharedStrings.xml><?xml version="1.0" encoding="utf-8"?>
<sst xmlns="http://schemas.openxmlformats.org/spreadsheetml/2006/main" count="2614" uniqueCount="1316">
  <si>
    <t>Ticker</t>
  </si>
  <si>
    <t>LNN</t>
  </si>
  <si>
    <t>US</t>
  </si>
  <si>
    <t>Errors on check lines</t>
  </si>
  <si>
    <t>Start Year</t>
  </si>
  <si>
    <t>End Year</t>
  </si>
  <si>
    <t>EQY_RECENT_BS_QT</t>
  </si>
  <si>
    <t>EQY_RECENT_QT_END_QT</t>
  </si>
  <si>
    <t>2016 A</t>
  </si>
  <si>
    <t>2017 A</t>
  </si>
  <si>
    <t>2018 A</t>
  </si>
  <si>
    <t>2019 A</t>
  </si>
  <si>
    <t>2020 A</t>
  </si>
  <si>
    <t>2021 A</t>
  </si>
  <si>
    <t>2022 A</t>
  </si>
  <si>
    <t>2023 A</t>
  </si>
  <si>
    <t>2024 A</t>
  </si>
  <si>
    <t>2025 A</t>
  </si>
  <si>
    <t>2026 Q3</t>
  </si>
  <si>
    <t>Q3</t>
  </si>
  <si>
    <t>In Millions of USD except Per Share</t>
  </si>
  <si>
    <t>12 Months Ending</t>
  </si>
  <si>
    <t>Total Assets</t>
  </si>
  <si>
    <t xml:space="preserve">  + Cash, Cash Equivalents &amp; STI</t>
  </si>
  <si>
    <t>C&amp;CE_AND_STI_DETAILED</t>
  </si>
  <si>
    <t xml:space="preserve">    + Cash &amp; Cash Equivalents</t>
  </si>
  <si>
    <t>BS_CASH_NEAR_CASH_ITEM</t>
  </si>
  <si>
    <t xml:space="preserve">    + ST Investments</t>
  </si>
  <si>
    <t>BS_MKT_SEC_OTHER_ST_INVEST</t>
  </si>
  <si>
    <t>check</t>
  </si>
  <si>
    <t xml:space="preserve">  + Accounts &amp; Notes Receiv</t>
  </si>
  <si>
    <t>BS_ACCT_NOTE_RCV</t>
  </si>
  <si>
    <t xml:space="preserve">    + Accounts Receivable, Net</t>
  </si>
  <si>
    <t>BS_ACCTS_REC_EXCL_NOTES_REC</t>
  </si>
  <si>
    <t xml:space="preserve">    + Notes Receivable, Net</t>
  </si>
  <si>
    <t>NOTES_RECEIVABLE</t>
  </si>
  <si>
    <t xml:space="preserve">  + Unbilled Revenues</t>
  </si>
  <si>
    <t>BS_UNBILLED_REVENUES</t>
  </si>
  <si>
    <t xml:space="preserve">  + Inventories</t>
  </si>
  <si>
    <t>BS_INVENTORIES</t>
  </si>
  <si>
    <t xml:space="preserve">    + Raw Materials</t>
  </si>
  <si>
    <t>INVTRY_RAW_MATERIALS</t>
  </si>
  <si>
    <t xml:space="preserve">    + Work In Process</t>
  </si>
  <si>
    <t>INVTRY_IN_PROGRESS</t>
  </si>
  <si>
    <t xml:space="preserve">    + Finished Goods</t>
  </si>
  <si>
    <t>INVTRY_FINISHED_GOODS</t>
  </si>
  <si>
    <t xml:space="preserve">    + Other Inventory</t>
  </si>
  <si>
    <t>BS_OTHER_INV</t>
  </si>
  <si>
    <t xml:space="preserve">  + Other ST Assets</t>
  </si>
  <si>
    <t>OTHER_CURRENT_ASSETS_DETAILED</t>
  </si>
  <si>
    <t xml:space="preserve">    + Prepaid Expenses</t>
  </si>
  <si>
    <t>BS_PREPAY</t>
  </si>
  <si>
    <t xml:space="preserve">    + ST Derivative &amp; Hedging Assets</t>
  </si>
  <si>
    <t>BS_DERIV_&amp;_HEDGING_ASSETS_ST</t>
  </si>
  <si>
    <t xml:space="preserve">    + Assets Held-for-Sale</t>
  </si>
  <si>
    <t>BS_ASSETS_HELD_FOR_SALE_ST</t>
  </si>
  <si>
    <t xml:space="preserve">    + ST Deferred Tax Assets</t>
  </si>
  <si>
    <t>BS_DEFERRED_TAX_ASSETS_ST</t>
  </si>
  <si>
    <t xml:space="preserve">    + Taxes Receivable</t>
  </si>
  <si>
    <t>BS_TAXES_RECEIVABLE_SHORT_TERM</t>
  </si>
  <si>
    <t xml:space="preserve">    + Assets of Discontinued Operations ST</t>
  </si>
  <si>
    <t>BS_ASSETS_OF_DISCONTINUED_OPS_ST</t>
  </si>
  <si>
    <t xml:space="preserve">    + Misc ST Assets</t>
  </si>
  <si>
    <t>BS_OTHER_CUR_ASSET_LESS_PREPAY</t>
  </si>
  <si>
    <t>Total Current Assets</t>
  </si>
  <si>
    <t>BS_CUR_ASSET_REPORT</t>
  </si>
  <si>
    <t xml:space="preserve">  + Property, Plant &amp; Equip, Net (As Reported)</t>
  </si>
  <si>
    <t>ARD_PROPERTY_PLANT_EQUIP_NET</t>
  </si>
  <si>
    <t xml:space="preserve">  + Property, Plant &amp; Equip, Net (Standardized)</t>
  </si>
  <si>
    <t>BS_NET_FIX_ASSET</t>
  </si>
  <si>
    <t xml:space="preserve">    + Property, Plant &amp; Equip (Standardized)</t>
  </si>
  <si>
    <t>BS_GROSS_FIX_ASSET</t>
  </si>
  <si>
    <t xml:space="preserve">    - Accumulated Depreciation (Standardized)</t>
  </si>
  <si>
    <t>BS_ACCUM_DEPR</t>
  </si>
  <si>
    <t>Operating Leases</t>
  </si>
  <si>
    <t xml:space="preserve">  + LT Investments &amp; Receivables</t>
  </si>
  <si>
    <t>BS_LT_INVEST</t>
  </si>
  <si>
    <t xml:space="preserve">    + LT Investments</t>
  </si>
  <si>
    <t>BS_LONG_TERM_INVESTMENTS</t>
  </si>
  <si>
    <t xml:space="preserve">    + LT Marketable Securities</t>
  </si>
  <si>
    <t>BS_LT_MARKETABLE_SECURITIES</t>
  </si>
  <si>
    <t xml:space="preserve">  + Other LT Assets</t>
  </si>
  <si>
    <t>BS_OTHER_ASSETS_DEF_CHRG_OTHER</t>
  </si>
  <si>
    <t xml:space="preserve">    + Total Intangible Assets</t>
  </si>
  <si>
    <t>BS_DISCLOSED_INTANGIBLES</t>
  </si>
  <si>
    <t xml:space="preserve">        + Goodwill</t>
  </si>
  <si>
    <t>BS_GOODWILL</t>
  </si>
  <si>
    <t xml:space="preserve">        + Other Intangible Assets</t>
  </si>
  <si>
    <t>OTHER_INTANGIBLE_ASSETS_DETAILED</t>
  </si>
  <si>
    <t xml:space="preserve">    + Prepaid Expense</t>
  </si>
  <si>
    <t>BS_PREPAID_EXPENSE_LT</t>
  </si>
  <si>
    <t xml:space="preserve">    + LT Deferred Tax Assets</t>
  </si>
  <si>
    <t>BS_DEFERRED_TAX_ASSETS_LT</t>
  </si>
  <si>
    <t xml:space="preserve">    + LT Derivative &amp; Hedging Assets</t>
  </si>
  <si>
    <t>BS_DERIV_&amp;_HEDGING_ASSETS_LT</t>
  </si>
  <si>
    <t xml:space="preserve">    + Prepaid Pension Costs</t>
  </si>
  <si>
    <t>BS_PREPAID_PENSION_COSTS_LT</t>
  </si>
  <si>
    <t xml:space="preserve">    + Investments in Affiliates</t>
  </si>
  <si>
    <t>BS_INVEST_IN_ASSOC_CO</t>
  </si>
  <si>
    <t xml:space="preserve">    + Assets of Discontinued Operations LT</t>
  </si>
  <si>
    <t>BS_ASSETS_OF_DISCONTINUED_OPS_LT</t>
  </si>
  <si>
    <t xml:space="preserve">    + Misc LT Assets</t>
  </si>
  <si>
    <t>OTHER_NONCURRENT_ASSETS_DETAILED</t>
  </si>
  <si>
    <t>Total Noncurrent Assets</t>
  </si>
  <si>
    <t>BS_TOT_NON_CUR_ASSET</t>
  </si>
  <si>
    <t>BS_TOT_ASSET</t>
  </si>
  <si>
    <t>Liabilities &amp; Shareholders' Equity</t>
  </si>
  <si>
    <t xml:space="preserve">  + Payables &amp; Accruals</t>
  </si>
  <si>
    <t>ACCT_PAYABLE_&amp;_ACCRUALS_DETAILED</t>
  </si>
  <si>
    <t xml:space="preserve">    + Accounts Payable</t>
  </si>
  <si>
    <t>BS_ACCT_PAYABLE</t>
  </si>
  <si>
    <t xml:space="preserve">    + Accrued Taxes</t>
  </si>
  <si>
    <t>BS_TAXES_PAYABLE</t>
  </si>
  <si>
    <t xml:space="preserve">    + Interest &amp; Dividends Payable</t>
  </si>
  <si>
    <t>BS_INTEREST_&amp;_DIVIDENDS_PAYABLE</t>
  </si>
  <si>
    <t xml:space="preserve">    + Other Payables &amp; Accruals</t>
  </si>
  <si>
    <t>BS_ACCRUAL</t>
  </si>
  <si>
    <t xml:space="preserve">  + ST Debt</t>
  </si>
  <si>
    <t>BS_ST_BORROW</t>
  </si>
  <si>
    <t xml:space="preserve">    + ST Lease Liabilities</t>
  </si>
  <si>
    <t>ST_CAPITALIZED_LEASE_LIABILITIES</t>
  </si>
  <si>
    <t xml:space="preserve">        + ST Capital Leases</t>
  </si>
  <si>
    <t>ST_CAPITAL_LEASE_OBLIGATIONS</t>
  </si>
  <si>
    <t xml:space="preserve">        + ST Operating Leases</t>
  </si>
  <si>
    <t>BS_ST_OPERATING_LEASE_LIABS</t>
  </si>
  <si>
    <t xml:space="preserve">    + ST Borrowings</t>
  </si>
  <si>
    <t>SHORT_TERM_DEBT_DETAILED</t>
  </si>
  <si>
    <t xml:space="preserve">    + Current Portion of LT Debt</t>
  </si>
  <si>
    <t>BS_CURR_PORTION_LT_DEBT</t>
  </si>
  <si>
    <t xml:space="preserve">  + Other ST Liabilities</t>
  </si>
  <si>
    <t>OTHER_CURRENT_LIABS_SUB_DETAILED</t>
  </si>
  <si>
    <t xml:space="preserve">    + ST Deferred Revenue</t>
  </si>
  <si>
    <t>ST_DEFERRED_REVENUE</t>
  </si>
  <si>
    <t xml:space="preserve">    + ST Derivatives &amp; Hedging</t>
  </si>
  <si>
    <t>BS_DERIVATIVE_&amp;_HEDGING_LIABS_ST</t>
  </si>
  <si>
    <t xml:space="preserve">    + ST Deferred Tax Liabilities</t>
  </si>
  <si>
    <t>BS_DEFERRED_TAX_LIABS_ST</t>
  </si>
  <si>
    <t xml:space="preserve">    + Liabilities of Discontinued Operations ST</t>
  </si>
  <si>
    <t>BS_LIABS_OF_DISCONTINUED_OPS_ST</t>
  </si>
  <si>
    <t xml:space="preserve">    + Misc ST Liabilities</t>
  </si>
  <si>
    <t>OTHER_CURRENT_LIABS_DETAILED</t>
  </si>
  <si>
    <t>Total Current Liabilities</t>
  </si>
  <si>
    <t>BS_CUR_LIAB</t>
  </si>
  <si>
    <t xml:space="preserve">  + LT Debt</t>
  </si>
  <si>
    <t>BS_LT_BORROW</t>
  </si>
  <si>
    <t xml:space="preserve">    + LT Borrowings</t>
  </si>
  <si>
    <t>LONG_TERM_BORROWINGS_DETAILED</t>
  </si>
  <si>
    <t xml:space="preserve">    + LT Lease Liabilities</t>
  </si>
  <si>
    <t>LT_CAPITALIZED_LEASE_LIABILITIES</t>
  </si>
  <si>
    <t xml:space="preserve">        + LT Capital Leases</t>
  </si>
  <si>
    <t>LT_CAPITAL_LEASE_OBLIGATIONS</t>
  </si>
  <si>
    <t xml:space="preserve">        + LT Operating Leases</t>
  </si>
  <si>
    <t>BS_LT_OPERATING_LEASE_LIABS</t>
  </si>
  <si>
    <t xml:space="preserve">  + Other LT Liabilities</t>
  </si>
  <si>
    <t>OTHER_NONCUR_LIABS_SUB_DETAILED</t>
  </si>
  <si>
    <t xml:space="preserve">    + Accrued Liabilities</t>
  </si>
  <si>
    <t>BS_ACCRUED_LIABILITIES</t>
  </si>
  <si>
    <t xml:space="preserve">    + Pension Liabilities</t>
  </si>
  <si>
    <t>PENSION_LIABILITIES</t>
  </si>
  <si>
    <t xml:space="preserve">        + Pensions</t>
  </si>
  <si>
    <t>BS_PENSIONS_LT_LIABS</t>
  </si>
  <si>
    <t xml:space="preserve">        + Other Post-Ret Benefits</t>
  </si>
  <si>
    <t>BS_OPRB_LT_LIABS</t>
  </si>
  <si>
    <t xml:space="preserve">    + Deferred Compensation</t>
  </si>
  <si>
    <t>BS_DEFERRED_COMP_LT_LIABS</t>
  </si>
  <si>
    <t xml:space="preserve">    + LT Deferred Revenue</t>
  </si>
  <si>
    <t>LT_DEFERRED_REVENUE</t>
  </si>
  <si>
    <t xml:space="preserve">    + LT Deferred Tax Liabilities</t>
  </si>
  <si>
    <t>BS_DEFERRED_TAX_LIABILITIES_LT</t>
  </si>
  <si>
    <t xml:space="preserve">    + LT Derivatives &amp; Hedging</t>
  </si>
  <si>
    <t>BS_DERIVATIVE_&amp;_HEDGING_LIABS_LT</t>
  </si>
  <si>
    <t xml:space="preserve">    + Liabilities of Discontinued Operations LT</t>
  </si>
  <si>
    <t>BS_LIABS_OF_DISCONTINUED_OPS_LT</t>
  </si>
  <si>
    <t xml:space="preserve">    + Misc LT Liabilities</t>
  </si>
  <si>
    <t>OTHER_NONCURRENT_LIABS_DETAILED</t>
  </si>
  <si>
    <t>Total Noncurrent Liabilities</t>
  </si>
  <si>
    <t>NON_CUR_LIAB</t>
  </si>
  <si>
    <t>Total Liabilities</t>
  </si>
  <si>
    <t>BS_TOT_LIAB2</t>
  </si>
  <si>
    <t xml:space="preserve">  + Preferred Equity and Hybrid Capital</t>
  </si>
  <si>
    <t>BS_PFD_EQTY_&amp;_HYBRID_CPTL</t>
  </si>
  <si>
    <t xml:space="preserve">  + Share Capital &amp; APIC</t>
  </si>
  <si>
    <t>BS_SH_CAP_AND_APIC</t>
  </si>
  <si>
    <t xml:space="preserve">    + Common Stock</t>
  </si>
  <si>
    <t>BS_COMMON_STOCK</t>
  </si>
  <si>
    <t xml:space="preserve">    + Additional Paid in Capital</t>
  </si>
  <si>
    <t>BS_ADD_PAID_IN_CAP</t>
  </si>
  <si>
    <t xml:space="preserve">  - Treasury Stock</t>
  </si>
  <si>
    <t>BS_AMT_OF_TSY_STOCK</t>
  </si>
  <si>
    <t xml:space="preserve">  + Retained Earnings</t>
  </si>
  <si>
    <t>BS_PURE_RETAINED_EARNINGS</t>
  </si>
  <si>
    <t xml:space="preserve">  + Other Equity</t>
  </si>
  <si>
    <t>OTHER_INS_RES_TO_SHRHLDR_EQY</t>
  </si>
  <si>
    <t>Equity Before Minority Interest</t>
  </si>
  <si>
    <t>EQTY_BEF_MINORITY_INT_DETAILED</t>
  </si>
  <si>
    <t xml:space="preserve">  + Minority/Non Controlling Interest</t>
  </si>
  <si>
    <t>MINORITY_NONCONTROLLING_INTEREST</t>
  </si>
  <si>
    <t>Total Equity</t>
  </si>
  <si>
    <t>TOTAL_EQUITY</t>
  </si>
  <si>
    <t>Total Liabilities &amp; Equity</t>
  </si>
  <si>
    <t>TOT_LIAB_AND_EQY</t>
  </si>
  <si>
    <t>Additional information</t>
  </si>
  <si>
    <t>Cost of Debt</t>
  </si>
  <si>
    <t>WACC_COST_DEBT</t>
  </si>
  <si>
    <t>Closing Stock Price</t>
  </si>
  <si>
    <t>PX_LAST</t>
  </si>
  <si>
    <t xml:space="preserve">WACC Fiscal </t>
  </si>
  <si>
    <t>WACC</t>
  </si>
  <si>
    <t>Rental Expense - Year 1</t>
  </si>
  <si>
    <t>ARDR_RENTAL_EXP_YR1</t>
  </si>
  <si>
    <t>Rental Expense - Year 2</t>
  </si>
  <si>
    <t>ARDR_RENTAL_EXP_YR2</t>
  </si>
  <si>
    <t>Rental Expense - Year 3</t>
  </si>
  <si>
    <t>ARDR_RENTAL_EXP_YR3</t>
  </si>
  <si>
    <t>Rental Expense - Year 4</t>
  </si>
  <si>
    <t>ARDR_RENTAL_EXP_YR4</t>
  </si>
  <si>
    <t>Rental Expense - Year 5</t>
  </si>
  <si>
    <t>ARDR_RENTAL_EXP_YR5</t>
  </si>
  <si>
    <t>Rental Expense - Beyond Year 5</t>
  </si>
  <si>
    <t>ARDR_RENTAL_EXP_BEYOND_YR5</t>
  </si>
  <si>
    <t>Revenue</t>
  </si>
  <si>
    <t>SALES_REV_TURN</t>
  </si>
  <si>
    <t xml:space="preserve">    + Sales &amp; Services Revenue</t>
  </si>
  <si>
    <t>IS_SALES_AND_SERVICES_REVENUES</t>
  </si>
  <si>
    <t xml:space="preserve">    + Financing Revenue</t>
  </si>
  <si>
    <t>IS_FINANCING_REVENUE</t>
  </si>
  <si>
    <t xml:space="preserve">    + Other Revenue</t>
  </si>
  <si>
    <t>IS_OTHER_REVENUE</t>
  </si>
  <si>
    <t xml:space="preserve">  - Cost of Revenue</t>
  </si>
  <si>
    <t>IS_COGS_TO_FE_AND_PP_AND_G</t>
  </si>
  <si>
    <t xml:space="preserve">    + Cost of Goods &amp; Services</t>
  </si>
  <si>
    <t>IS_COG_AND_SERVICES_SOLD</t>
  </si>
  <si>
    <t xml:space="preserve">    + Depreciation &amp; Amortization - COGS</t>
  </si>
  <si>
    <t>IS_DA_COST_OF_REVENUE_GAAP</t>
  </si>
  <si>
    <t xml:space="preserve">    + Cost of Financing Revenue</t>
  </si>
  <si>
    <t>IS_COST_OF_FINANCING_REVENUE</t>
  </si>
  <si>
    <t>Gross Profit</t>
  </si>
  <si>
    <t>GROSS_PROFIT</t>
  </si>
  <si>
    <t xml:space="preserve">  + Other Operating Income</t>
  </si>
  <si>
    <t>IS_OTHER_OPER_INC</t>
  </si>
  <si>
    <t xml:space="preserve">  - Operating Expenses</t>
  </si>
  <si>
    <t>IS_OPERATING_EXPN</t>
  </si>
  <si>
    <t xml:space="preserve">    + Selling, General &amp; Admin</t>
  </si>
  <si>
    <t>IS_SG&amp;A_EXPENSE</t>
  </si>
  <si>
    <t xml:space="preserve">        + Selling &amp; Marketing</t>
  </si>
  <si>
    <t>IS_SELLING_EXPENSES</t>
  </si>
  <si>
    <t xml:space="preserve">        + General &amp; Administrative</t>
  </si>
  <si>
    <t>IS_GENERAL_AND_ADMINISTRATIVE</t>
  </si>
  <si>
    <t xml:space="preserve">    + Research &amp; Development</t>
  </si>
  <si>
    <t>IS_OPERATING_EXPENSES_R&amp;D</t>
  </si>
  <si>
    <t xml:space="preserve">    + IS Depreciation &amp; Amortization</t>
  </si>
  <si>
    <t>IS_DEPRECIATION_AND_AMORTIZATION</t>
  </si>
  <si>
    <t xml:space="preserve">    + Other Operating Expense</t>
  </si>
  <si>
    <t>OTHER_OPERATING_EXPENSES_RATIO</t>
  </si>
  <si>
    <t>Operating Income (Loss)</t>
  </si>
  <si>
    <t>IS_OPER_INC</t>
  </si>
  <si>
    <t xml:space="preserve">  - Non-Operating (Income) Loss</t>
  </si>
  <si>
    <t>NONOP_INCOME_LOSS</t>
  </si>
  <si>
    <t xml:space="preserve">    + Interest Expense, Net</t>
  </si>
  <si>
    <t>IS_NET_INTEREST_EXPENSE</t>
  </si>
  <si>
    <t xml:space="preserve">       + Interest Expense</t>
  </si>
  <si>
    <t>IS_INT_EXPENSE</t>
  </si>
  <si>
    <t xml:space="preserve">       - Interest Income</t>
  </si>
  <si>
    <t>IS_INT_INC</t>
  </si>
  <si>
    <t xml:space="preserve">    + Other Investment (Inc) Loss</t>
  </si>
  <si>
    <t>IS_OTHER_INVESTMENT_INCOME_LOSS</t>
  </si>
  <si>
    <t xml:space="preserve">    + Foreign Exch (Gain) Loss</t>
  </si>
  <si>
    <t>IS_FOREIGN_EXCH_LOSS</t>
  </si>
  <si>
    <t xml:space="preserve">    + (Income) Loss from Affiliates</t>
  </si>
  <si>
    <t>INCOME_LOSS_FROM_AFFILIATES</t>
  </si>
  <si>
    <t xml:space="preserve">    + Other Non-Op (Income) Loss</t>
  </si>
  <si>
    <t>OTHER_NONOP_INCOME_LOSS</t>
  </si>
  <si>
    <t>Pretax Income</t>
  </si>
  <si>
    <t>PRETAX_INC</t>
  </si>
  <si>
    <t xml:space="preserve">  - Income Tax Expense (Benefit)</t>
  </si>
  <si>
    <t>IS_INC_TAX_EXP</t>
  </si>
  <si>
    <t xml:space="preserve">    + Current Income Tax</t>
  </si>
  <si>
    <t>IS_CURRENT_INCOME_TAX_BENEFIT</t>
  </si>
  <si>
    <t xml:space="preserve">    + Deferred Income Tax</t>
  </si>
  <si>
    <t>IS_DEFERRED_INCOME_TAX_BENEFIT</t>
  </si>
  <si>
    <t xml:space="preserve">    + Tax Allowance/Credit</t>
  </si>
  <si>
    <t>IS_TAX_VALN_ALLOWNCE_CREDITS</t>
  </si>
  <si>
    <t xml:space="preserve">  - (Income) Loss from Affiliates</t>
  </si>
  <si>
    <t>IS_SH_PRO_EQY_MT_INV_NET_OF_TAX</t>
  </si>
  <si>
    <t>Income (Loss) from Cont Ops</t>
  </si>
  <si>
    <t>IS_INC_BEF_XO_ITEM</t>
  </si>
  <si>
    <t xml:space="preserve">  - Net Extraordinary Losses (Gains)</t>
  </si>
  <si>
    <t>XO_GL_NET_OF_TAX</t>
  </si>
  <si>
    <t xml:space="preserve">    + Discontinued Operations</t>
  </si>
  <si>
    <t>IS_DISCONTINUED_OPERATIONS</t>
  </si>
  <si>
    <t xml:space="preserve">    + XO &amp; Accounting Changes</t>
  </si>
  <si>
    <t>IS_EXTRAORD_ITEMS_&amp;_ACCTG_CHNG</t>
  </si>
  <si>
    <t>Income (Loss) Incl. MI</t>
  </si>
  <si>
    <t>NI_INCLUDING_MINORITY_INT_RATIO</t>
  </si>
  <si>
    <t xml:space="preserve">  - Minority Interest</t>
  </si>
  <si>
    <t>MIN_NONCONTROL_INTEREST_CREDITS</t>
  </si>
  <si>
    <t>Net Income, GAAP</t>
  </si>
  <si>
    <t>NET_INCOME</t>
  </si>
  <si>
    <t xml:space="preserve">  - Preferred Dividends</t>
  </si>
  <si>
    <t>IS_TOT_CASH_PFD_DVD</t>
  </si>
  <si>
    <t xml:space="preserve">  - Other Adjustments</t>
  </si>
  <si>
    <t>OTHER_ADJUSTMENTS</t>
  </si>
  <si>
    <t>Net Income Avail to Common, GAAP</t>
  </si>
  <si>
    <t>EARN_FOR_COMMON</t>
  </si>
  <si>
    <t>Basic Weighted Avg Shares</t>
  </si>
  <si>
    <t>IS_AVG_NUM_SH_FOR_EPS</t>
  </si>
  <si>
    <t>Basic EPS, GAAP</t>
  </si>
  <si>
    <t>IS_EPS</t>
  </si>
  <si>
    <t>Basic EPS from Cont Ops</t>
  </si>
  <si>
    <t>IS_EARN_BEF_XO_ITEMS_PER_SH</t>
  </si>
  <si>
    <t>Basic EPS from Cont Ops, Adjusted</t>
  </si>
  <si>
    <t>IS_BASIC_EPS_CONT_OPS</t>
  </si>
  <si>
    <t>Diluted Weighted Avg Shares</t>
  </si>
  <si>
    <t>IS_SH_FOR_DILUTED_EPS</t>
  </si>
  <si>
    <t>Diluted EPS, GAAP</t>
  </si>
  <si>
    <t>IS_DILUTED_EPS</t>
  </si>
  <si>
    <t>Diluted EPS from Cont Ops</t>
  </si>
  <si>
    <t>IS_DIL_EPS_BEF_XO</t>
  </si>
  <si>
    <t>Diluted EPS from Cont Ops, Adjusted</t>
  </si>
  <si>
    <t>IS_DIL_EPS_CONT_OPS</t>
  </si>
  <si>
    <t>Reference Items</t>
  </si>
  <si>
    <t>EBITDA</t>
  </si>
  <si>
    <t>EBITA</t>
  </si>
  <si>
    <t>EBIT</t>
  </si>
  <si>
    <t>Gross Margin</t>
  </si>
  <si>
    <t>GROSS_MARGIN</t>
  </si>
  <si>
    <t>Operating Margin</t>
  </si>
  <si>
    <t>OPER_MARGIN</t>
  </si>
  <si>
    <t>Profit Margin</t>
  </si>
  <si>
    <t>PROF_MARGIN</t>
  </si>
  <si>
    <t>Dividends per Share</t>
  </si>
  <si>
    <t>EQY_DPS</t>
  </si>
  <si>
    <t>Depreciation Expense</t>
  </si>
  <si>
    <t>IS_DEPR_EXP</t>
  </si>
  <si>
    <t>Rental Expense</t>
  </si>
  <si>
    <t>BS_CURR_RENTAL_EXPENSE</t>
  </si>
  <si>
    <t>10-k Total Shares Buybacks (Millions)</t>
  </si>
  <si>
    <t xml:space="preserve">BS_TOTAL_#_OF_SHARES_REPURCHASED
</t>
  </si>
  <si>
    <t>$ Paid for Shares (Millions)</t>
  </si>
  <si>
    <t>BS_TOT_VAL_OF_SHARES_REPURCHASED</t>
  </si>
  <si>
    <t>Total Shares Buybacks with Adjustment</t>
  </si>
  <si>
    <t>Paid per Share</t>
  </si>
  <si>
    <t>Purchase PE</t>
  </si>
  <si>
    <t>Split Ratio</t>
  </si>
  <si>
    <t>Closing Price (Sanity check with Buyback Price)</t>
  </si>
  <si>
    <t>Extra Data Pulled from Bloomberg</t>
  </si>
  <si>
    <t>Current 10 Year Treasury Rate</t>
  </si>
  <si>
    <t>Cash from Operating Activities</t>
  </si>
  <si>
    <t xml:space="preserve">  + Net Income</t>
  </si>
  <si>
    <t>CF_NET_INC</t>
  </si>
  <si>
    <t xml:space="preserve">  + CF Depreciation &amp; Amortization</t>
  </si>
  <si>
    <t>CF_DEPR_AMORT</t>
  </si>
  <si>
    <t xml:space="preserve">  + Non-Cash Items</t>
  </si>
  <si>
    <t>NON_CASH_ITEMS_DETAILED</t>
  </si>
  <si>
    <t xml:space="preserve">    + Stock-Based Compensation</t>
  </si>
  <si>
    <t>CF_STOCK_BASED_COMPENSATION</t>
  </si>
  <si>
    <t xml:space="preserve">    + Deferred Income Taxes</t>
  </si>
  <si>
    <t>CF_DEF_INC_TAX</t>
  </si>
  <si>
    <t xml:space="preserve">    + Other Non-Cash Adj</t>
  </si>
  <si>
    <t>OTHER_NON_CASH_ADJ_LESS_DETAILED</t>
  </si>
  <si>
    <t xml:space="preserve">  + Chg in Non-Cash Work Cap</t>
  </si>
  <si>
    <t>CF_CHNG_NON_CASH_WORK_CAP</t>
  </si>
  <si>
    <t xml:space="preserve">    + (Inc) Dec in Accts Receiv</t>
  </si>
  <si>
    <t>CF_ACCT_RCV_UNBILLED_REV</t>
  </si>
  <si>
    <t xml:space="preserve">    + (Inc) Dec in Inventories</t>
  </si>
  <si>
    <t>CF_CHANGE_IN_INVENTORIES</t>
  </si>
  <si>
    <t xml:space="preserve">    + Inc (Dec) in Accts Payable</t>
  </si>
  <si>
    <t>CF_CHANGE_IN_ACCOUNTS_PAYABLE</t>
  </si>
  <si>
    <t xml:space="preserve">    + Inc (Dec) in Other</t>
  </si>
  <si>
    <t>INC_DEC_IN_OT_OP_AST_LIAB_DETAIL</t>
  </si>
  <si>
    <t xml:space="preserve">  + Net Operating Cash From Disc Ops</t>
  </si>
  <si>
    <t>CF_NET_CASH_DISCONT_OPS_OPER</t>
  </si>
  <si>
    <t>CF_CASH_FROM_OPER</t>
  </si>
  <si>
    <t>Cash from Investing Activities</t>
  </si>
  <si>
    <t xml:space="preserve">  + Change in Fixed &amp; Intang</t>
  </si>
  <si>
    <t>CHG_IN_FXD_&amp;_INTANG_AST_DETAILED</t>
  </si>
  <si>
    <t xml:space="preserve">    + Disp in Fixed &amp; Intang</t>
  </si>
  <si>
    <t>DISP_FXD_&amp;_INTANGIBLES_DETAILED</t>
  </si>
  <si>
    <t xml:space="preserve">        + Disp of Fixed Prod Assets</t>
  </si>
  <si>
    <t>CF_DISPOSAL_OF_FIXED_PROD_ASSETS</t>
  </si>
  <si>
    <t xml:space="preserve">        + Disp of Intangible Assets</t>
  </si>
  <si>
    <t>CF_DISPOSAL_OF_INTANGIBLE_ASSETS</t>
  </si>
  <si>
    <t xml:space="preserve">    + Acq of Fixed &amp; Intang</t>
  </si>
  <si>
    <t>ACQUIS_FXD_&amp;_INTANG_DETAILED</t>
  </si>
  <si>
    <t xml:space="preserve">        + Acq of Fixed Prod Assets</t>
  </si>
  <si>
    <t>CF_PURCHASE_OF_FIXED_PROD_ASSETS</t>
  </si>
  <si>
    <t xml:space="preserve">        + Acq of Intangible Assets</t>
  </si>
  <si>
    <t>CF_ACQUISITION_OF_INTANG_ASSETS</t>
  </si>
  <si>
    <t xml:space="preserve">  + Net Change in LT Investment</t>
  </si>
  <si>
    <t>NET_CHG_IN_LT_INVEST_DETAILED</t>
  </si>
  <si>
    <t xml:space="preserve">    + Dec in LT Investment</t>
  </si>
  <si>
    <t>CF_DECR_INVEST</t>
  </si>
  <si>
    <t xml:space="preserve">    + Inc in LT Investment</t>
  </si>
  <si>
    <t>CF_INCR_INVEST</t>
  </si>
  <si>
    <t xml:space="preserve">  + Net Cash From Acq &amp; Div</t>
  </si>
  <si>
    <t>CF_NT_CSH_RCVD_PD_FOR_ACQUIS_DIV</t>
  </si>
  <si>
    <t xml:space="preserve">    + Cash from Divestitures</t>
  </si>
  <si>
    <t>CF_CASH_FOR_DIVESTITURES</t>
  </si>
  <si>
    <t xml:space="preserve">    + Cash for Acq of Subs</t>
  </si>
  <si>
    <t>CF_CASH_FOR_ACQUIS_SUBSIDIARIES</t>
  </si>
  <si>
    <t xml:space="preserve">    + Cash for JVs</t>
  </si>
  <si>
    <t>CF_CASH_FOR_JOINT_VENTURES_ASSOC</t>
  </si>
  <si>
    <t xml:space="preserve">  + Other Investing Activities</t>
  </si>
  <si>
    <t>OTHER_INVESTING_ACT_DETAILED</t>
  </si>
  <si>
    <t xml:space="preserve">  + Net Investing Cash From Disc Ops</t>
  </si>
  <si>
    <t>CF_NET_CASH_DISCONTINUED_OPS_INV</t>
  </si>
  <si>
    <t>CF_CASH_FROM_INV_ACT</t>
  </si>
  <si>
    <t>Cash from Financing Activities</t>
  </si>
  <si>
    <t xml:space="preserve">  + Dividends Paid</t>
  </si>
  <si>
    <t>CF_DVD_PAID</t>
  </si>
  <si>
    <t xml:space="preserve">  + Cash From (Repayment) Debt</t>
  </si>
  <si>
    <t>PROC_FR_REPAYMNTS_BOR_DETAILED</t>
  </si>
  <si>
    <t xml:space="preserve">    + Cash From (Repay) ST Debt</t>
  </si>
  <si>
    <t>CF_NET_CHG_IN_ST_DBT_&amp;_CPTL_LEAS</t>
  </si>
  <si>
    <t xml:space="preserve">    + Cash From LT Debt</t>
  </si>
  <si>
    <t>CF_PROC_LT_DEBT_&amp;_CAPITAL_LEASE</t>
  </si>
  <si>
    <t xml:space="preserve">    + Repayments of LT Debt</t>
  </si>
  <si>
    <t>CF_PYMT_LT_DEBT_&amp;_CAPITAL_LEASE</t>
  </si>
  <si>
    <t xml:space="preserve">  + Cash (Repurchase) of Equity</t>
  </si>
  <si>
    <t>PROC_FR_REPURCH_EQTY_DETAILED</t>
  </si>
  <si>
    <t xml:space="preserve">    + Increase in Capital Stock</t>
  </si>
  <si>
    <t>CF_INCR_CAP_STOCK</t>
  </si>
  <si>
    <t xml:space="preserve">    + Decrease in Capital Stock</t>
  </si>
  <si>
    <t>CF_DECR_CAP_STOCK</t>
  </si>
  <si>
    <t xml:space="preserve">  + Other Financing Activities</t>
  </si>
  <si>
    <t>CF_OTHER_FINANCING_ACT_EXCL_FX</t>
  </si>
  <si>
    <t xml:space="preserve">  + Net Financing Cash From Disc Ops</t>
  </si>
  <si>
    <t>CF_NET_CASH_DISCONTINUED_OPS_FIN</t>
  </si>
  <si>
    <t>CFF_ACTIVITIES_DETAILED</t>
  </si>
  <si>
    <t xml:space="preserve">  Effect of Foreign Exchange Rates</t>
  </si>
  <si>
    <t>CF_EFFECT_FOREIGN_EXCHANGES</t>
  </si>
  <si>
    <t>Net Changes in Cash</t>
  </si>
  <si>
    <t>CF_NET_CHNG_CASH</t>
  </si>
  <si>
    <t>Cash Beginning Balance</t>
  </si>
  <si>
    <t>CF_CASH_&amp;_CASH_EQUIV_BEG_BAL</t>
  </si>
  <si>
    <t>Cash Ending Balance</t>
  </si>
  <si>
    <t>CF_CASH_&amp;_CASH_EQUIV_END_BAL</t>
  </si>
  <si>
    <t>Cash Paid for Taxes</t>
  </si>
  <si>
    <t>CF_CASH_PAID_FOR_TAX</t>
  </si>
  <si>
    <t>Cash Paid for Interest</t>
  </si>
  <si>
    <t>CF_ACT_CASH_PAID_FOR_INT_DEBT</t>
  </si>
  <si>
    <t>Free Cash Flow</t>
  </si>
  <si>
    <t>CF_FREE_CASH_FLOW</t>
  </si>
  <si>
    <t>Free Cash Flow to Firm</t>
  </si>
  <si>
    <t>CF_FREE_CASH_FLOW_FIRM</t>
  </si>
  <si>
    <t>Free Cash Flow to Equity</t>
  </si>
  <si>
    <t>FREE_CASH_FLOW_EQUITY</t>
  </si>
  <si>
    <t>Free Cash Flow per Basic Share</t>
  </si>
  <si>
    <t>FREE_CASH_FLOW_PER_SH</t>
  </si>
  <si>
    <t>Price to Free Cash Flow</t>
  </si>
  <si>
    <t>PX_TO_FREE_CASH_FLOW</t>
  </si>
  <si>
    <t>FCF = EBIT(1-Tax Rate) - Changes in WC - Capital Expenditure</t>
  </si>
  <si>
    <t>Average</t>
  </si>
  <si>
    <t>Effective Tax Rate</t>
  </si>
  <si>
    <t>EBIT*(1-Tax Rate)</t>
  </si>
  <si>
    <t xml:space="preserve">+ Depreciation &amp; Amortization </t>
  </si>
  <si>
    <t>+ Change in Operating Working Capital</t>
  </si>
  <si>
    <t>+ Capital Expenditures</t>
  </si>
  <si>
    <t>FCF per share</t>
  </si>
  <si>
    <t>Revenues per Share</t>
  </si>
  <si>
    <t>FCF/Revenues</t>
  </si>
  <si>
    <t>2026 Q2</t>
  </si>
  <si>
    <t>CONDENSED CONSOLIDATED BALANCE SHEETS (Unaudited) - USD ($)</t>
  </si>
  <si>
    <t>QOQ</t>
  </si>
  <si>
    <t xml:space="preserve">% Change </t>
  </si>
  <si>
    <t>Last Quarter</t>
  </si>
  <si>
    <t>Prevous Quarter</t>
  </si>
  <si>
    <t>A/L</t>
  </si>
  <si>
    <t>TBV per Share</t>
  </si>
  <si>
    <t>TBV/P</t>
  </si>
  <si>
    <t xml:space="preserve">Price </t>
  </si>
  <si>
    <t>Debt to Assets</t>
  </si>
  <si>
    <t>Interest Coverage Ratio</t>
  </si>
  <si>
    <t>Cumulative</t>
  </si>
  <si>
    <t>Cumulative, previous FY</t>
  </si>
  <si>
    <t>EPS</t>
  </si>
  <si>
    <t>Previous FY (Actual)</t>
  </si>
  <si>
    <t>ROE FWD</t>
  </si>
  <si>
    <t>Current Price</t>
  </si>
  <si>
    <t>Max Current Price to Buy</t>
  </si>
  <si>
    <t>Current 3 year EPS 10 years Av Growth</t>
  </si>
  <si>
    <t>Current 3 year EPS 10 years Av Growth Direction</t>
  </si>
  <si>
    <t>Current 3 year Revenue 10 years Av Growth</t>
  </si>
  <si>
    <t>Expected Return Price Plus Dividends - Given Current Price</t>
  </si>
  <si>
    <t>Expected Return Price Plus Dividends - Given Max Entry Price</t>
  </si>
  <si>
    <t>Operating leases</t>
  </si>
  <si>
    <t>2025 Q3</t>
  </si>
  <si>
    <t>CONDENSED CONSOLIDATED STATEMENTS OF OPERATIONS -Unaudited) - USD -$)</t>
  </si>
  <si>
    <t>3 Months Ended</t>
  </si>
  <si>
    <t>FQ versus FQ</t>
  </si>
  <si>
    <t xml:space="preserve">YTD versus YTD </t>
  </si>
  <si>
    <t>% Change</t>
  </si>
  <si>
    <t xml:space="preserve">        + Interest Expense</t>
  </si>
  <si>
    <t xml:space="preserve">        - Interest Income</t>
  </si>
  <si>
    <t>Net Margin</t>
  </si>
  <si>
    <t>CONSOLIDATED STATEMENTS OF CASH FLOWS</t>
  </si>
  <si>
    <t xml:space="preserve">       + Disp of Fixed Prod Assets</t>
  </si>
  <si>
    <t xml:space="preserve">       + Disp of Intangible Assets</t>
  </si>
  <si>
    <t xml:space="preserve">       + Acq of Fixed Prod Assets</t>
  </si>
  <si>
    <t xml:space="preserve">       + Acq of Intangible Assets</t>
  </si>
  <si>
    <t>Lindsay Corp (LNN US) - As Reported</t>
  </si>
  <si>
    <t>In Millions of BRL except Per Share</t>
  </si>
  <si>
    <t>Q4 2024</t>
  </si>
  <si>
    <t>Q1 2025</t>
  </si>
  <si>
    <t>Q2 2025</t>
  </si>
  <si>
    <t>Q3 2025</t>
  </si>
  <si>
    <t>Q4 2025</t>
  </si>
  <si>
    <t>Q1 2026</t>
  </si>
  <si>
    <t>Q2 2026</t>
  </si>
  <si>
    <t>Q3 2026</t>
  </si>
  <si>
    <t>3 Months Ending</t>
  </si>
  <si>
    <t>08/31/2024</t>
  </si>
  <si>
    <t>11/30/2024</t>
  </si>
  <si>
    <t>02/28/2025</t>
  </si>
  <si>
    <t>05/31/2025</t>
  </si>
  <si>
    <t>08/31/2025</t>
  </si>
  <si>
    <t>11/30/2025</t>
  </si>
  <si>
    <t>02/28/2026</t>
  </si>
  <si>
    <t>05/31/2026</t>
  </si>
  <si>
    <t>Balance Sheet</t>
  </si>
  <si>
    <t xml:space="preserve">  Current Assets</t>
  </si>
  <si>
    <t>Cash and Equivalents</t>
  </si>
  <si>
    <t>ARD_CASH_AND_EQUIVALENTS</t>
  </si>
  <si>
    <t>Marketable Securities</t>
  </si>
  <si>
    <t>ARD_MARKETABLE_SECURITIES</t>
  </si>
  <si>
    <t>—</t>
  </si>
  <si>
    <t>Accounts Receivable - Trade</t>
  </si>
  <si>
    <t>ARD_ACCTS_RECEIVABLE_TRADE</t>
  </si>
  <si>
    <t>Inventories</t>
  </si>
  <si>
    <t>ARD_INVENTORY</t>
  </si>
  <si>
    <t>Other Current Assets</t>
  </si>
  <si>
    <t>ARD_OTHER_CURRENT_ASSETS</t>
  </si>
  <si>
    <t>Allowance For Doubtful Accounts</t>
  </si>
  <si>
    <t>ARD_ALLOW_FOR_DOUBTFUL_ACCTS</t>
  </si>
  <si>
    <t>ARD_TOTAL_CUR_ASSETS</t>
  </si>
  <si>
    <t xml:space="preserve">  Noncurrent Assets</t>
  </si>
  <si>
    <t>Non-Current Marketable Securities</t>
  </si>
  <si>
    <t>ARD_NON_CUR_MKT_SEC</t>
  </si>
  <si>
    <t>Property Plant &amp; Equipment - Gross</t>
  </si>
  <si>
    <t>ARD_PROPERTY_PLANT_EQUIP_GROSS</t>
  </si>
  <si>
    <t>Accumulated Depreciation</t>
  </si>
  <si>
    <t>ARD_ACCUMULATED_DEPREC</t>
  </si>
  <si>
    <t>Property Plant &amp; Equipment - Net</t>
  </si>
  <si>
    <t>Deferred Income Tax Asset (Long-Term)</t>
  </si>
  <si>
    <t>ARD_DEFERRED_INC_TAX_ASSET_LT</t>
  </si>
  <si>
    <t>Total Intangible Assets - Net</t>
  </si>
  <si>
    <t>ARD_TOTAL_INTANGIBLE_ASSET_NET</t>
  </si>
  <si>
    <t>Other Intangible Assets</t>
  </si>
  <si>
    <t>ARD_OTHER_INTANGIBLE_ASSET</t>
  </si>
  <si>
    <t>Goodwill</t>
  </si>
  <si>
    <t>ARD_GOODWLL</t>
  </si>
  <si>
    <t>Other Noncurrent Assets</t>
  </si>
  <si>
    <t>ARD_OTHER_NONCURRENT_ASSET</t>
  </si>
  <si>
    <t>Total Non-Current Assets</t>
  </si>
  <si>
    <t>ARD_TOTAL_NONCURRENT_ASSETS</t>
  </si>
  <si>
    <t>ARD_TOT_ASSETS</t>
  </si>
  <si>
    <t xml:space="preserve">  Current Liabilities</t>
  </si>
  <si>
    <t>Accounts Payable - Trade</t>
  </si>
  <si>
    <t>ARD_ACCOUNTS_PAYABLE_TRADE</t>
  </si>
  <si>
    <t>Current Portion of Long-Term Debt</t>
  </si>
  <si>
    <t>ARD_CURRENT_PORTION_OF_LT_DEBT</t>
  </si>
  <si>
    <t>Other Current Liabilities</t>
  </si>
  <si>
    <t>ARD_OTHER_CURRENT_LIABILITIES</t>
  </si>
  <si>
    <t>ARD_TOTAL_CURRENT_LIABILITIES</t>
  </si>
  <si>
    <t xml:space="preserve">  Non Current Liabilities</t>
  </si>
  <si>
    <t>ARD_TOT_NONCURRENT_LIABILITIES</t>
  </si>
  <si>
    <t>Long Term Debt</t>
  </si>
  <si>
    <t>ARD_LT_DEBT</t>
  </si>
  <si>
    <t>Deferred Income Taxes (Liabilities)</t>
  </si>
  <si>
    <t>ARD_DEFERRED_INCOME_TAXES_LIAB</t>
  </si>
  <si>
    <t>Pension/Postretirement Liabilities</t>
  </si>
  <si>
    <t>ARD_PENSION_POSTRETIREMNT_LIAB</t>
  </si>
  <si>
    <t>Other Noncurrent Liabilities</t>
  </si>
  <si>
    <t>ARD_OTH_NONCURRENT_LIABILITIES</t>
  </si>
  <si>
    <t>Long Term Operating Lease Liabilities</t>
  </si>
  <si>
    <t>ARD_LT_OPERATING_LEASE_LIABS</t>
  </si>
  <si>
    <t>ARD_TOT_LIABILITIES</t>
  </si>
  <si>
    <t xml:space="preserve">  Stockholder Equity</t>
  </si>
  <si>
    <t>Preferred Stock</t>
  </si>
  <si>
    <t>ARD_PREFERRED_STOCK</t>
  </si>
  <si>
    <t>Common Stock</t>
  </si>
  <si>
    <t>ARD_COMMON_STOCK</t>
  </si>
  <si>
    <t>Additional Paid In Capital</t>
  </si>
  <si>
    <t>ARD_ADDITIONAL_PAID_IN_CAPITAL</t>
  </si>
  <si>
    <t>Treasury Stock (Amount)</t>
  </si>
  <si>
    <t>ARD_TREASURY_STOCK_AMOUNT</t>
  </si>
  <si>
    <t>Accumulated Other Comprehensive Income</t>
  </si>
  <si>
    <t>ARD_ACC_OTH_COMPREHENSIVE_INC</t>
  </si>
  <si>
    <t>Retained Earnings (Accumulated Deficit)</t>
  </si>
  <si>
    <t>ARD_RETAINED_EARN_ACC_DEFICIT</t>
  </si>
  <si>
    <t>Shares Outstanding</t>
  </si>
  <si>
    <t>ARD_SHARES_OUTSTANDING</t>
  </si>
  <si>
    <t>Par Value</t>
  </si>
  <si>
    <t>ARD_PAR_VALUE</t>
  </si>
  <si>
    <t>Treasury Shares (Number)</t>
  </si>
  <si>
    <t>ARD_TREASURY_SHARES_NUM</t>
  </si>
  <si>
    <t>Shares Issued</t>
  </si>
  <si>
    <t>ARD_SHARES_ISSUED</t>
  </si>
  <si>
    <t>Total Shareholders Equity</t>
  </si>
  <si>
    <t>ARD_TOTAL_SHAREHOLDERS_EQUITY</t>
  </si>
  <si>
    <t>Shares Authorized</t>
  </si>
  <si>
    <t>ARD_SHARES_AUTHORIZED</t>
  </si>
  <si>
    <t>Preferred Stock Shares Outstanding</t>
  </si>
  <si>
    <t>ARD_PREFERRED_STOCK_SHARES_OUT</t>
  </si>
  <si>
    <t>Total Shareholders Equity Excluding Minority</t>
  </si>
  <si>
    <t>ARD_TOT_SHARE_EQY_EXCL_MINORITY</t>
  </si>
  <si>
    <t>Total Liabilities and Shareholders Equity</t>
  </si>
  <si>
    <t>ARD_TOT_LIAB_AND_SHAREHOLDER_EQY</t>
  </si>
  <si>
    <t xml:space="preserve">  Reference Items</t>
  </si>
  <si>
    <t>ARDR_INVENTORY</t>
  </si>
  <si>
    <t>Land</t>
  </si>
  <si>
    <t>ARDR_LAND</t>
  </si>
  <si>
    <t>Buildings</t>
  </si>
  <si>
    <t>ARDR_BUILDING</t>
  </si>
  <si>
    <t>Construction In Progress</t>
  </si>
  <si>
    <t>ARDR_CONSTRUCTION_IN_PROGRESS</t>
  </si>
  <si>
    <t>Furniture/Machinery/Equipment</t>
  </si>
  <si>
    <t>ARDR_FURNITURE_MACHINERY_EQUIP</t>
  </si>
  <si>
    <t>ARDR_PROPERTY_PLANT_EQUIP_GROSS</t>
  </si>
  <si>
    <t>ARDR_ACCUMULATED_DEPREC</t>
  </si>
  <si>
    <t>ARDR_PROPERTY_PLANT_EQUIP_NET</t>
  </si>
  <si>
    <t>Deferred Income Tax Asset (LT)</t>
  </si>
  <si>
    <t>ARDR_DEFERRED_INC_TAX_ASSET_LT</t>
  </si>
  <si>
    <t>ARDR_OTHER_INTANGIBLE_ASSET</t>
  </si>
  <si>
    <t>ARDR_GOODWLL</t>
  </si>
  <si>
    <t>ARDR_CURRENT_PORTION_OF_LT_DEBT</t>
  </si>
  <si>
    <t>Deferred/Unearned Revenue (ST)</t>
  </si>
  <si>
    <t>ARDR_DEFERRED_UNEARNED_REV_ST</t>
  </si>
  <si>
    <t>ARDR_DEFERRED_INCOME_TAXES_LIAB</t>
  </si>
  <si>
    <t>ARDR_COMMON_STOCK</t>
  </si>
  <si>
    <t>ARDR_ADDITIONAL_PAID_IN_CAPITAL</t>
  </si>
  <si>
    <t>ARDR_TREASURY_STOCK_AMOUNT</t>
  </si>
  <si>
    <t>ARDR_ACC_OTH_COMPREHENSIVE_INC</t>
  </si>
  <si>
    <t>ARDR_RETAINED_EARN_ACC_DEFICIT</t>
  </si>
  <si>
    <t>ARDR_SHARES_OUTSTANDING</t>
  </si>
  <si>
    <t>ARDR_PAR_VALUE</t>
  </si>
  <si>
    <t>ARDR_TREASURY_SHARES_NUM</t>
  </si>
  <si>
    <t>Raw Materials</t>
  </si>
  <si>
    <t>ARDR_RAW_MATERIAL</t>
  </si>
  <si>
    <t>Work In Progress</t>
  </si>
  <si>
    <t>ARDR_WORK_IN_PROGRESS</t>
  </si>
  <si>
    <t>Finished Goods</t>
  </si>
  <si>
    <t>ARDR_FINISHED_GOOD</t>
  </si>
  <si>
    <t>Income Taxes Accrued/Payable</t>
  </si>
  <si>
    <t>ARDR_INCOME_TAX_ACCRUED_PAYABLE</t>
  </si>
  <si>
    <t>ARDR_SHARES_ISSUED</t>
  </si>
  <si>
    <t>Other Gross Fixed Assets</t>
  </si>
  <si>
    <t>ARDR_OTHER_GROSS_FIXED_ASSETS</t>
  </si>
  <si>
    <t>LIFO Reserve</t>
  </si>
  <si>
    <t>ARDR_LIFO_RESERVE</t>
  </si>
  <si>
    <t>Total Line of Credit</t>
  </si>
  <si>
    <t>ARDR_TOTAL_LINE_OF_CREDIT</t>
  </si>
  <si>
    <t>Total Available Line of Credit</t>
  </si>
  <si>
    <t>ARDR_TOTAL_AVAIL_LINE_OF_CREDIT</t>
  </si>
  <si>
    <t>Future Minimum Operating Lease Obligations</t>
  </si>
  <si>
    <t>ARDR_FUT_MIN_OPER_LEASE_OBLIG</t>
  </si>
  <si>
    <t>ARDR_ALLOW_FOR_DOUBTFUL_ACCTS</t>
  </si>
  <si>
    <t>ARDR_TOTAL_SHAREHOLDERS_EQUITY</t>
  </si>
  <si>
    <t>Capitalized Software - Gross</t>
  </si>
  <si>
    <t>ARDR_CAPITALIZED_SOFTWARE_GROSS</t>
  </si>
  <si>
    <t>Number of Employees</t>
  </si>
  <si>
    <t>ARDR_NUMBER_EMPLOYEES</t>
  </si>
  <si>
    <t>Shares Outstanding From The Front Cover</t>
  </si>
  <si>
    <t>ARDR_SHARE_OUT_FROM_FRONT_COVER</t>
  </si>
  <si>
    <t>Options Granted During Period</t>
  </si>
  <si>
    <t>ARDR_OPTIONS_GRANTED_DURING_PER</t>
  </si>
  <si>
    <t>Options Outstanding End Period</t>
  </si>
  <si>
    <t>ARDR_OPTIONS_OUTSTANDING_END_PER</t>
  </si>
  <si>
    <t>Total Shareholder Equity Excludes Minority</t>
  </si>
  <si>
    <t>ARDR_TOT_SHARE_EQY_EXCL_MINORITY</t>
  </si>
  <si>
    <t>Options Exercised During the Period</t>
  </si>
  <si>
    <t>ARDR_OPTIONS_EXERCISED_DUR_PER</t>
  </si>
  <si>
    <t>Total Credit Utilized</t>
  </si>
  <si>
    <t>ARDR_TOTAL_CREDIT_UTILIZED</t>
  </si>
  <si>
    <t>Cash Equivalents</t>
  </si>
  <si>
    <t>ARDR_CASH_EQUIVS</t>
  </si>
  <si>
    <t>Debt Schedule In Yr 1</t>
  </si>
  <si>
    <t>ARDR_DEBT_SCHEDULE_IN_YR1</t>
  </si>
  <si>
    <t>Debt Schedule In Yr 2</t>
  </si>
  <si>
    <t>ARDR_DEBT_SCHEDULE_IN_YR2</t>
  </si>
  <si>
    <t>Debt Schedule In Yr 3</t>
  </si>
  <si>
    <t>ARDR_DEBT_SCHEDULE_IN_YR3</t>
  </si>
  <si>
    <t>Debt Schedule In Yr 4</t>
  </si>
  <si>
    <t>ARDR_DEBT_SCHEDULE_IN_YR4</t>
  </si>
  <si>
    <t>Debt Schedule Thereafter</t>
  </si>
  <si>
    <t>ARDR_DEBT_SCHEDULE_THEREAFTER</t>
  </si>
  <si>
    <t>Debt Schedule - Total Debt</t>
  </si>
  <si>
    <t>ARDR_DEBT_SCHEDULE_TOTAL_DEBT</t>
  </si>
  <si>
    <t>Debt Schedule - Total Long Term Debt</t>
  </si>
  <si>
    <t>ARDR_DEBT_SCHEDULE_TOTAL_LT_DEBT</t>
  </si>
  <si>
    <t>Number of Common Shares Repurchased</t>
  </si>
  <si>
    <t>ARDR_COMMON_SHARES_REPURCHASED</t>
  </si>
  <si>
    <t>ARDR Total Operating Liabilities</t>
  </si>
  <si>
    <t>ARDR_TOTAL_OPERATING_LIABILITIES</t>
  </si>
  <si>
    <t>Fair Value Assets Recur - Level 1</t>
  </si>
  <si>
    <t>ARDR_FV_ASSETS_REC_LEVEL_1</t>
  </si>
  <si>
    <t>Fair Value Assets Recur - Level 2</t>
  </si>
  <si>
    <t>ARDR_FV_ASSETS_REC_LEVEL_2</t>
  </si>
  <si>
    <t>Fair Value Assets Recur - Level 3</t>
  </si>
  <si>
    <t>ARDR_FV_ASSETS_REC_LEVEL_3</t>
  </si>
  <si>
    <t>Fair Value Assets Recur - Total</t>
  </si>
  <si>
    <t>ARDR_FV_ASSETS_REC_TOTAL</t>
  </si>
  <si>
    <t>Fair Value Liab Recur - Level 1</t>
  </si>
  <si>
    <t>ARDR_FV_LIAB_REC_LEVEL_1</t>
  </si>
  <si>
    <t>Fair Value Liab Recur - Level 2</t>
  </si>
  <si>
    <t>ARDR_FV_LIAB_REC_LEVEL_2</t>
  </si>
  <si>
    <t>Fair Value Liab Recur - Level 3</t>
  </si>
  <si>
    <t>ARDR_FV_LIAB_REC_LEVEL_3</t>
  </si>
  <si>
    <t>Fair Value Liab Recur - Total</t>
  </si>
  <si>
    <t>ARDR_FV_LIAB_REC_TOTAL</t>
  </si>
  <si>
    <t>ARDR Options Cancelled or Forfeited</t>
  </si>
  <si>
    <t>ARDR_OPTIONS_CANCELLED_FORFEITED</t>
  </si>
  <si>
    <t>PV of Future Min Op Lease Obligations</t>
  </si>
  <si>
    <t>ARDR_PV_FUTURE_MIN_OP_LEASE_OBL</t>
  </si>
  <si>
    <t>Debt Schedule - Years 2 - 3</t>
  </si>
  <si>
    <t>ARDR_DEBT_SCHEDULE_YR_2_3</t>
  </si>
  <si>
    <t>Stock Opt Valuation - Risk Free Rate (%)</t>
  </si>
  <si>
    <t>ARDR_STOCK_OPTION_VAL_RFR</t>
  </si>
  <si>
    <t>Stock Opt Valuation - Expected Life (Yrs)</t>
  </si>
  <si>
    <t>ARDR_STOCK_OPTION_VAL_EXP_LIFE</t>
  </si>
  <si>
    <t>Stock Opt Valuation - Expected Volatil (%)</t>
  </si>
  <si>
    <t>ARDR_STOCK_OPTION_VAL_EXP_VOL</t>
  </si>
  <si>
    <t>Stock Opt Valuation - Dividend Yield (%)</t>
  </si>
  <si>
    <t>ARDR_STOCK_OPTION_VAL_DVD_YLD</t>
  </si>
  <si>
    <t>Avg Exercise Price (Options Exercisable)</t>
  </si>
  <si>
    <t>ARDR_AVG_EXER_PX_OPT_EXERCISABLE</t>
  </si>
  <si>
    <t>Avg Exercise Price (Options Outstanding)</t>
  </si>
  <si>
    <t>ARDR_AVG_EXER_PX_OPT_OUTSTANDING</t>
  </si>
  <si>
    <t>Options Exercisable End of Period</t>
  </si>
  <si>
    <t>ARDR_OPTIONS_EXERCISABLE</t>
  </si>
  <si>
    <t>Debt Schedule - Other Adjustment</t>
  </si>
  <si>
    <t>ARDR_DEBT_SCHEDULE_OTHER_ADJ</t>
  </si>
  <si>
    <t>Deferred Tax Asset - Valuation Allowance</t>
  </si>
  <si>
    <t>ARDR_DEFERRED_TAX_ALLOWANCE</t>
  </si>
  <si>
    <t>Shares Authorized for Repurchase Amount</t>
  </si>
  <si>
    <t>ARDR_SHARES_AUTH_REPURCH_AMOUNT</t>
  </si>
  <si>
    <t>Remaining Shares Auth for Repurchase Amt</t>
  </si>
  <si>
    <t>ARDR_REMAINING_SH_AUTH_REP_AMT</t>
  </si>
  <si>
    <t>FV Assets Rec L1: Cash and Securities</t>
  </si>
  <si>
    <t>ARDR_FV_ASSETS_REC_L1_CASH_SECS</t>
  </si>
  <si>
    <t>FV Assets Rec L1: Trading Other</t>
  </si>
  <si>
    <t>ARDR_FV_ASSETS_REC_L1_TRAD_OTHER</t>
  </si>
  <si>
    <t>FV Assets Rec L1: AFS Treasuries</t>
  </si>
  <si>
    <t>ARDR_FV_ASSETS_REC_L1_AFS_TREAS</t>
  </si>
  <si>
    <t>FV Assets Rec L1: Derivatives</t>
  </si>
  <si>
    <t>ARDR_FV_ASTS_REC_L1_DERIVATIVES</t>
  </si>
  <si>
    <t>FV Assets Rec L2: Cash and Securities</t>
  </si>
  <si>
    <t>ARDR_FV_ASTS_REC_L2_CASH_SECS</t>
  </si>
  <si>
    <t>FV Assets Rec L2: Trading Other</t>
  </si>
  <si>
    <t>ARDR_FV_ASSETS_REC_L2_TRAD_OTHER</t>
  </si>
  <si>
    <t>FV Assets Rec L2: AFS Treasuries</t>
  </si>
  <si>
    <t>ARDR_FV_ASSETS_REC_L2_AFS_TREAS</t>
  </si>
  <si>
    <t>FV Assets Rec L2: Derivatives</t>
  </si>
  <si>
    <t>ARDR_FV_ASTS_REC_L2_DERIVATIVES</t>
  </si>
  <si>
    <t>FV Assets Rec L3: Cash and Sec</t>
  </si>
  <si>
    <t>ARDR_FV_ASTS_REC_L3_CASH_SECS</t>
  </si>
  <si>
    <t>FV Assets Rec L3: Trading Other</t>
  </si>
  <si>
    <t>ARDR_FV_ASTS_REC_L3_TRAD_OTHER</t>
  </si>
  <si>
    <t>FV Assets Rec L3: AFS Treasuries</t>
  </si>
  <si>
    <t>ARDR_FV_ASSETS_REC_L3_AFS_TREAS</t>
  </si>
  <si>
    <t>FV Assets Rec L3: Derivatives</t>
  </si>
  <si>
    <t>ARDR_FV_ASTS_REC_L3_DERIVATIVES</t>
  </si>
  <si>
    <t>FV Assets Rec Total: Cash Securities</t>
  </si>
  <si>
    <t>ARDR_FV_ASSETS_REC_TOT_CASH_SECS</t>
  </si>
  <si>
    <t>FV Assets Rec Total: Trading Account</t>
  </si>
  <si>
    <t>ARDR_FV_ASTS_REC_TOT_TRADING_ACC</t>
  </si>
  <si>
    <t>FV Assets Rec Total: AFS</t>
  </si>
  <si>
    <t>ARDR_FV_ASSETS_REC_TOT_AFS</t>
  </si>
  <si>
    <t>FV Assets Rec Total: Derivatives</t>
  </si>
  <si>
    <t>ARDR_FV_ASTS_REC_TOT_DERIVATIVES</t>
  </si>
  <si>
    <t>FV Assets Rec Total: Other</t>
  </si>
  <si>
    <t>ARDR_FV_ASSETS_REC_TOT_OTHER</t>
  </si>
  <si>
    <t>FV Liabs Rec L1: Derivatives</t>
  </si>
  <si>
    <t>ARDR_FV_LIABS_REC_L1_DERIVATIVES</t>
  </si>
  <si>
    <t>FV Liabs Rec L2: Derivatives</t>
  </si>
  <si>
    <t>ARDR_FV_LIABS_REC_L2_DERIVATIVES</t>
  </si>
  <si>
    <t>FV Liabs Rec L3: Derivatives</t>
  </si>
  <si>
    <t>ARDR_FV_LIABS_REC_L3_DERIVATIVES</t>
  </si>
  <si>
    <t>FV Liabs Rec Total: Derivatives</t>
  </si>
  <si>
    <t>ARDR_FV_LIABS_REC_TOT_DERV</t>
  </si>
  <si>
    <t>Performance Rights Outstand End of Period</t>
  </si>
  <si>
    <t>ARDR_PERFORM_RIGHTS_OUTSTANDING</t>
  </si>
  <si>
    <t>DTA - Net Operating Loss Carryforward</t>
  </si>
  <si>
    <t>ARDR_DTA_NOL_CARRYFORWARD</t>
  </si>
  <si>
    <t>Options at Beginning of Period</t>
  </si>
  <si>
    <t>ARDR_OPTIONS_BEGINNING_OF_PERIOD</t>
  </si>
  <si>
    <t>Options Adjustment</t>
  </si>
  <si>
    <t>ARDR_OPTIONS_ADJUSTMENT</t>
  </si>
  <si>
    <t>Average Price per Share Repurchased</t>
  </si>
  <si>
    <t>ARDR_AVG_PRICE_PER_SHARE_REPURCH</t>
  </si>
  <si>
    <t>Deferred Tax Assets/Liabs on Intangibles</t>
  </si>
  <si>
    <t>ARDR_DEFER_TAX_ASSET_LIAB_INTANG</t>
  </si>
  <si>
    <t>As Reported Data Reference Restricted Stock Units</t>
  </si>
  <si>
    <t>ARDR_RESTRICTED_STOCK_UNITS</t>
  </si>
  <si>
    <t>ARDR Restricted Stock Unit WAvg FV PS</t>
  </si>
  <si>
    <t>ARDR_RSTR_STK_UNIT_WAVG_FV_PS</t>
  </si>
  <si>
    <t>ARDR Number Shares Repurchased Repurchase Program</t>
  </si>
  <si>
    <t>ARDR_#_SHS_REPURCH_FR_REP_PROG</t>
  </si>
  <si>
    <t>Source: Bloomberg</t>
  </si>
  <si>
    <t>Right click to show data transparency (not supported for all values)</t>
  </si>
  <si>
    <t>Income Statement</t>
  </si>
  <si>
    <t xml:space="preserve">  Revenues</t>
  </si>
  <si>
    <t>Revenues</t>
  </si>
  <si>
    <t>ARD_REVENUES</t>
  </si>
  <si>
    <t>Total Revenue</t>
  </si>
  <si>
    <t>ARD_TOTAL_REVENUES</t>
  </si>
  <si>
    <t xml:space="preserve">  Operating Expenses</t>
  </si>
  <si>
    <t>Total Operating Expenses</t>
  </si>
  <si>
    <t>ARD_TOTAL_OPERATING_EXPENSES</t>
  </si>
  <si>
    <t>Cost of Goods Sold</t>
  </si>
  <si>
    <t>ARD_COST_OF_GOODS_SOLD</t>
  </si>
  <si>
    <t>R &amp; D Expenditures</t>
  </si>
  <si>
    <t>ARD_R&amp;D_EXPENDITURES</t>
  </si>
  <si>
    <t>Sales/Marketing/Advertising Expenses</t>
  </si>
  <si>
    <t>ARD_SALES_MKT_ADVERTISING_EXP</t>
  </si>
  <si>
    <t>General and Administrative Expenses</t>
  </si>
  <si>
    <t>ARD_GENERAL_ADMINISTRATIVE_EXP</t>
  </si>
  <si>
    <t>ARD_GROSS_PROFITS</t>
  </si>
  <si>
    <t>Operating Income</t>
  </si>
  <si>
    <t>ARD_OPERATING_INCOME</t>
  </si>
  <si>
    <t xml:space="preserve">  Non-Operating Expenses</t>
  </si>
  <si>
    <t>Interest Expense</t>
  </si>
  <si>
    <t>ARD_INT_EXP</t>
  </si>
  <si>
    <t>Interest Income</t>
  </si>
  <si>
    <t>ARD_INT_INCOME</t>
  </si>
  <si>
    <t>Interest Income - Net</t>
  </si>
  <si>
    <t>ARD_INTEREST_INCOME_NET</t>
  </si>
  <si>
    <t>Income Tax Expense (Benefit)</t>
  </si>
  <si>
    <t>ARD_INCOME_TAX_EXP_BENEFIT</t>
  </si>
  <si>
    <t>Income Before Income Taxes</t>
  </si>
  <si>
    <t>ARD_INCOME_BEFORE_INCOME_TAXES</t>
  </si>
  <si>
    <t>Other Non-Operating (Income)/Expense - Net</t>
  </si>
  <si>
    <t>ARD_OTH_NON_OPER_INC_EXP_NET</t>
  </si>
  <si>
    <t xml:space="preserve">  Earnings</t>
  </si>
  <si>
    <t>Dividends Per Share</t>
  </si>
  <si>
    <t>ARD_DVD_PER_SH</t>
  </si>
  <si>
    <t>Basic EPS</t>
  </si>
  <si>
    <t>ARD_BASIC_EPS</t>
  </si>
  <si>
    <t>Weighted Avg. Shares - Basic</t>
  </si>
  <si>
    <t>ARD_WEIGHTED_AVG_SHARES_BASIC</t>
  </si>
  <si>
    <t>Diluted EPS</t>
  </si>
  <si>
    <t>ARD_DILUTED_EPS</t>
  </si>
  <si>
    <t>Weighted Avg. Shares - Diluted</t>
  </si>
  <si>
    <t>ARD_WEIGHTED_AVG_SHARE_DILUTED</t>
  </si>
  <si>
    <t>Net Income Available For Common Shareholders</t>
  </si>
  <si>
    <t>ARD_NET_INC_AVAIL_COM_SHRHLDR</t>
  </si>
  <si>
    <t>Profit After Taxation Before Minority</t>
  </si>
  <si>
    <t>ARD_PROF_AFTER_TAX_BEF_MINORITY</t>
  </si>
  <si>
    <t>Cumulative Net Income</t>
  </si>
  <si>
    <t>ARD_CUMULATIVE_NET_INCOME</t>
  </si>
  <si>
    <t>Net Income</t>
  </si>
  <si>
    <t>ARD_NET_INC</t>
  </si>
  <si>
    <t xml:space="preserve">  Comprehensive Income</t>
  </si>
  <si>
    <t>Net Income - Comprehensive Income</t>
  </si>
  <si>
    <t>ARDR_COMPR_INCOME_NET_INC</t>
  </si>
  <si>
    <t xml:space="preserve">  Others</t>
  </si>
  <si>
    <t>Depreciation and Amortization</t>
  </si>
  <si>
    <t>ARDR_DEPRECIATION_AMORTIZATION</t>
  </si>
  <si>
    <t>ARDR_INCOME_TAX_EXP_BENEFIT</t>
  </si>
  <si>
    <t>Foreign Currency Translation Adjustments</t>
  </si>
  <si>
    <t>ARDR_FOR_CRNCY_TRANSLATION_ADJ</t>
  </si>
  <si>
    <t>Unrealized Gain (Loss) On Securities</t>
  </si>
  <si>
    <t>ARDR_UNREALIZED_GL_ON_SECS</t>
  </si>
  <si>
    <t>ARDR Pension Related Adjustments</t>
  </si>
  <si>
    <t>ARDR_PENSION_RELATED_ADJUSTMENTS</t>
  </si>
  <si>
    <t>Projected Benefit Obligation</t>
  </si>
  <si>
    <t>ARDR_PROJECTED_BENEFIT_OBLIG</t>
  </si>
  <si>
    <t>ARDR_DVD_PER_SH</t>
  </si>
  <si>
    <t>ARDR_BASIC_EPS</t>
  </si>
  <si>
    <t>ARDR_WEIGHTED_AVG_SHARES_BASIC</t>
  </si>
  <si>
    <t>ARDR_DILUTED_EPS</t>
  </si>
  <si>
    <t>ARDR_WEIGHTED_AVG_SHARE_DILUTED</t>
  </si>
  <si>
    <t>Overfunded (Underfunded) Pension</t>
  </si>
  <si>
    <t>ARDR_OVER_UNDERFUNDED_PENSION</t>
  </si>
  <si>
    <t>Discount Rate Used On Plan Liabs-Pension %</t>
  </si>
  <si>
    <t>ARDR_DISC_RATE_USED_LIAB_PENS</t>
  </si>
  <si>
    <t>Stock Based Compensation Expense</t>
  </si>
  <si>
    <t>ARDR_STK_BASED_COMPENSATION_EXP</t>
  </si>
  <si>
    <t>Total Comprehensive Income</t>
  </si>
  <si>
    <t>ARDR_TOTAL_COMPREHENSIVE_INCOME</t>
  </si>
  <si>
    <t>ARDR_TOTAL_REVENUES</t>
  </si>
  <si>
    <t>Net Inc Available For Common Shareholders</t>
  </si>
  <si>
    <t>ARDR_NET_INC_AVAIL_COM_SHRHLDR</t>
  </si>
  <si>
    <t>Effective Tax Rate - %</t>
  </si>
  <si>
    <t>ARDR_EFFECTIVE_TAX_RATE_PCT</t>
  </si>
  <si>
    <t>Backlog</t>
  </si>
  <si>
    <t>ARDR_BACKLOG</t>
  </si>
  <si>
    <t>Expected Pension Benefit Payments - Year 1</t>
  </si>
  <si>
    <t>ARDR_EXPCTD_PEN_BEN_PYMTS_YR_1</t>
  </si>
  <si>
    <t>Expected Pension Benefit Payments - Year 2</t>
  </si>
  <si>
    <t>ARDR_EXPCTD_PEN_BEN_PYMTS_YR_2</t>
  </si>
  <si>
    <t>Expected Pension Benefit Payments - Year 3</t>
  </si>
  <si>
    <t>ARDR_EXPCTD_PEN_BEN_PYMTS_YR_3</t>
  </si>
  <si>
    <t>Expected Pension Benefit Payments - Year 4</t>
  </si>
  <si>
    <t>ARDR_EXPCTD_PEN_BEN_PYMTS_YR_4</t>
  </si>
  <si>
    <t>Expected Pension Benefit Payments - Year 5</t>
  </si>
  <si>
    <t>ARDR_EXPCTD_PEN_BEN_PYMTS_YR_5</t>
  </si>
  <si>
    <t>Expected Pension Benefit Pmts Beyond Yr 5</t>
  </si>
  <si>
    <t>ARDR_EXP_PEN_BFIT_PYMTS_BYND_YR5</t>
  </si>
  <si>
    <t>ARDR EBIT Margin</t>
  </si>
  <si>
    <t>ARDR_EBIT_MARGIN</t>
  </si>
  <si>
    <t>ARDR Gross Margin</t>
  </si>
  <si>
    <t>ARDR_GROSS_MARGIN</t>
  </si>
  <si>
    <t>ARDR Revenue Growth</t>
  </si>
  <si>
    <t>ARDR_REVENUE_GROWTH</t>
  </si>
  <si>
    <t>Capital Expenditures As Reported</t>
  </si>
  <si>
    <t>ARDR_CAPEX_AS_REPORTED</t>
  </si>
  <si>
    <t>ARDR Stock Based Compensation CF Pre Tax</t>
  </si>
  <si>
    <t>ARDR_STK_BSD_CMPNSTN_CF_PRE_TAX</t>
  </si>
  <si>
    <t>Cash Flow</t>
  </si>
  <si>
    <t xml:space="preserve">  Cash From Operating Activities</t>
  </si>
  <si>
    <t>Net Income - CF</t>
  </si>
  <si>
    <t>ARD_NET_INCOME_CF</t>
  </si>
  <si>
    <t>Depreciation And Amortization - CF</t>
  </si>
  <si>
    <t>ARD_DEPRECIATION_AND_AMORT_CF</t>
  </si>
  <si>
    <t>Deferred Income Taxes - CF</t>
  </si>
  <si>
    <t>ARD_DEFERRED_INCOME_TAXES_CF</t>
  </si>
  <si>
    <t>Provision For Doubtful Accounts - CF</t>
  </si>
  <si>
    <t>ARD_PROVISION_DOUBTFUL_ACCT_CF</t>
  </si>
  <si>
    <t>Stock Based Compensation</t>
  </si>
  <si>
    <t>ARD_STOCK_BASED_COMPENSATION</t>
  </si>
  <si>
    <t>Other Non-Cash Items</t>
  </si>
  <si>
    <t>ARD_OTHER_NON_CASH_ITEMS</t>
  </si>
  <si>
    <t>Change in Inventories</t>
  </si>
  <si>
    <t>ARD_CHANGE_IN_INVENTORIES</t>
  </si>
  <si>
    <t>Change in Accounts Payable</t>
  </si>
  <si>
    <t>ARD_CHANGE_IN_ACCOUNTS_PAYABLE</t>
  </si>
  <si>
    <t>Change in Accounts Receivable</t>
  </si>
  <si>
    <t>ARD_CHG_IN_ACCOUNTS_RECEIVABLE</t>
  </si>
  <si>
    <t>Change in Other Current Assets</t>
  </si>
  <si>
    <t>ARD_CHANGE_IN_OTHER_CUR_ASSETS</t>
  </si>
  <si>
    <t>Change in Other Current Liabilities</t>
  </si>
  <si>
    <t>ARD_CHG_IN_OTHER_CURRENT_LIAB</t>
  </si>
  <si>
    <t>Total Cash Flows From Operations</t>
  </si>
  <si>
    <t>ARD_TOT_CASH_FLOWS_FROM_OPS</t>
  </si>
  <si>
    <t>Change In Other Assets And Liabilities</t>
  </si>
  <si>
    <t>ARD_CHG_OTH_ASSETS_LIAB</t>
  </si>
  <si>
    <t>Foreign Exchange Gains/Losses</t>
  </si>
  <si>
    <t>ARD_FOREIGN_EXCHANGE_GAIN_LOSS</t>
  </si>
  <si>
    <t xml:space="preserve">  Cash From Investing Activities</t>
  </si>
  <si>
    <t>Capital Expenditures</t>
  </si>
  <si>
    <t>ARD_CAPITAL_EXPENDITURES</t>
  </si>
  <si>
    <t>Purchases of Long-Term Investments</t>
  </si>
  <si>
    <t>ARD_PURCHASES_OF_LT_INVEST</t>
  </si>
  <si>
    <t>Acquisition of Business</t>
  </si>
  <si>
    <t>ARD_ACQUISITION_OF_BUSINESS</t>
  </si>
  <si>
    <t>Other Investing Activities</t>
  </si>
  <si>
    <t>ARD_OTHER_INVESTING_ACTIVITIES</t>
  </si>
  <si>
    <t>Proceeds From Long-Term Marketable Securities</t>
  </si>
  <si>
    <t>ARD_PROCEEDS_FROM_LT_MKT_SEC</t>
  </si>
  <si>
    <t>Proceeds From Short-Term Marketable Securities</t>
  </si>
  <si>
    <t>ARD_PROCEEDS_FROM_ST_MKT_SEC</t>
  </si>
  <si>
    <t>Purchases of Long-Term Marketable Securities</t>
  </si>
  <si>
    <t>ARD_PURCHASES_OF_LT_MKT_SEC</t>
  </si>
  <si>
    <t>Purchases of Short-Term Marketable Securities</t>
  </si>
  <si>
    <t>ARD_PURCHASES_OF_ST_MKT_SEC</t>
  </si>
  <si>
    <t>Total Cash Flows From Investing</t>
  </si>
  <si>
    <t>ARD_TOT_CASHFLOWS_FROM_INVESTING</t>
  </si>
  <si>
    <t xml:space="preserve">  Cash from Financing Activities</t>
  </si>
  <si>
    <t>Dividends Paid</t>
  </si>
  <si>
    <t>ARD_DIVIDEND_PD</t>
  </si>
  <si>
    <t>Increase In Long-Term Borrowings</t>
  </si>
  <si>
    <t>ARD_INCR_IN_LT_BORROW</t>
  </si>
  <si>
    <t>Repurchase of Common Stock</t>
  </si>
  <si>
    <t>ARD_REPURCHASE_OF_COMMON_STOCK</t>
  </si>
  <si>
    <t>Effect of Exchange Rates On Cash</t>
  </si>
  <si>
    <t>ARD_EFF_OF_EXCH_RATES_ON_CASH</t>
  </si>
  <si>
    <t>Other Financing Activities</t>
  </si>
  <si>
    <t>ARD_OTHER_FINANCING_ACTIVITIES</t>
  </si>
  <si>
    <t>Cash Paid For Taxes</t>
  </si>
  <si>
    <t>ARD_CASH_PAID_FOR_TAXES</t>
  </si>
  <si>
    <t>Cash Paid For Interest</t>
  </si>
  <si>
    <t>ARD_CASH_PAID_FOR_INTEREST</t>
  </si>
  <si>
    <t>Exercise of Stock Options</t>
  </si>
  <si>
    <t>ARD_EXERCISE_OF_STOCK_OPTIONS</t>
  </si>
  <si>
    <t>Net Change In Cash</t>
  </si>
  <si>
    <t>ARD_NET_CHANGE_IN_CASH</t>
  </si>
  <si>
    <t>Cash and Cash Equivalents (End of Period)</t>
  </si>
  <si>
    <t>ARD_CASH_CASH_EQUIV_END_OF_PER</t>
  </si>
  <si>
    <t>Cash and Cash Equivalents (Beg of Period)</t>
  </si>
  <si>
    <t>ARD_CASH_CASH_EQUIV_BEG_OF_PER</t>
  </si>
  <si>
    <t>Total Cash Flows From Financing</t>
  </si>
  <si>
    <t>ARD_TOT_CASHFLOWS_FROM_FINANCING</t>
  </si>
  <si>
    <t>ARDR_CASH_PAID_FOR_TAXES</t>
  </si>
  <si>
    <t>ARDR_CASH_PAID_FOR_INTEREST</t>
  </si>
  <si>
    <t>Declared Date</t>
  </si>
  <si>
    <t>Ex-Date</t>
  </si>
  <si>
    <t>Record Date</t>
  </si>
  <si>
    <t>Payable Date</t>
  </si>
  <si>
    <t>Dividend Amount</t>
  </si>
  <si>
    <t>Dividend Frequency</t>
  </si>
  <si>
    <t>Dividend Type</t>
  </si>
  <si>
    <t>Year</t>
  </si>
  <si>
    <t>Fiscal Year End Date</t>
  </si>
  <si>
    <t>Quarter</t>
  </si>
  <si>
    <t>Regular Cash</t>
  </si>
  <si>
    <t>From Bloomberg FA</t>
  </si>
  <si>
    <t>BS</t>
  </si>
  <si>
    <t>Cash and Cash Equivalents</t>
  </si>
  <si>
    <t>Short Term Investments</t>
  </si>
  <si>
    <t>Accounts Receivable, Net</t>
  </si>
  <si>
    <t>Inventories, Net</t>
  </si>
  <si>
    <t>Prepaid Expenses</t>
  </si>
  <si>
    <t>Net Plant and Equipment</t>
  </si>
  <si>
    <t>Long-Term Investments</t>
  </si>
  <si>
    <t>Total Intangible Assets, including Goodwill</t>
  </si>
  <si>
    <t>TOTAL ASSETS</t>
  </si>
  <si>
    <t>Accounts Payable</t>
  </si>
  <si>
    <t>Accrued Expenses</t>
  </si>
  <si>
    <t>Current Deferred Revenue</t>
  </si>
  <si>
    <t>Current Income Taxes Payable</t>
  </si>
  <si>
    <t>Short-Term Borrowings (including Current LT Debt)</t>
  </si>
  <si>
    <t>Long-Term Debt</t>
  </si>
  <si>
    <t>Non-current Deferred Revenues</t>
  </si>
  <si>
    <t>TOTAL LIABILITIES</t>
  </si>
  <si>
    <t>Total Debt</t>
  </si>
  <si>
    <t>IS</t>
  </si>
  <si>
    <t>Sales</t>
  </si>
  <si>
    <t>Cost of Sales</t>
  </si>
  <si>
    <t>Operating Income Before Interest &amp; Tax (EBIT)</t>
  </si>
  <si>
    <t>Operating Income Before Tax (EBT)</t>
  </si>
  <si>
    <t>Consolidated Net Income</t>
  </si>
  <si>
    <t>Net Income Attributed to Shareholders</t>
  </si>
  <si>
    <t>Shares Outstanding, Weighted Average, Diluted</t>
  </si>
  <si>
    <t>Earnings per Share Diluted to Common Shareholders</t>
  </si>
  <si>
    <t>CF</t>
  </si>
  <si>
    <t>Depreciation &amp; Amortization</t>
  </si>
  <si>
    <t>Amortization of Acquired Intangible Assets</t>
  </si>
  <si>
    <t>Change in Working Capital (sum of the total changes in the CF statement in the operating cash flow part)</t>
  </si>
  <si>
    <t>Net Cash Provided by Operating Activities</t>
  </si>
  <si>
    <t>From Filter Results</t>
  </si>
  <si>
    <t>Stock Price</t>
  </si>
  <si>
    <t>Dividend</t>
  </si>
  <si>
    <t>WACC Fiscal Year</t>
  </si>
  <si>
    <t>After Tax Cost of Debt</t>
  </si>
  <si>
    <t>PE10</t>
  </si>
  <si>
    <t>E10</t>
  </si>
  <si>
    <t>EPS 10-Year Growth</t>
  </si>
  <si>
    <t>EPS 10-Year Direction</t>
  </si>
  <si>
    <t>Revenue 10-Year Growth</t>
  </si>
  <si>
    <t>Current E10</t>
  </si>
  <si>
    <t>Current PE10</t>
  </si>
  <si>
    <t>Current Max PE10 to Enter (Lowest PE10 or 7PE10)</t>
  </si>
  <si>
    <t>1st Exit Price (45th Percentile of PE10 or 7PE10)</t>
  </si>
  <si>
    <t>Expected Return @ Current Price</t>
  </si>
  <si>
    <t>Current PE10 Percentile</t>
  </si>
  <si>
    <t>P</t>
  </si>
  <si>
    <t>From Analyst</t>
  </si>
  <si>
    <t>Invested Capital</t>
  </si>
  <si>
    <t>Operating Assets</t>
  </si>
  <si>
    <t xml:space="preserve">  Current</t>
  </si>
  <si>
    <t xml:space="preserve">  Non-current</t>
  </si>
  <si>
    <t>Operating Liabilities</t>
  </si>
  <si>
    <t>Inputs for NOPAT</t>
  </si>
  <si>
    <t>Revenue from Operations</t>
  </si>
  <si>
    <t>Operating Expenses</t>
  </si>
  <si>
    <t>From 10-K</t>
  </si>
  <si>
    <t>Leases Table</t>
  </si>
  <si>
    <t>In thousands(0) or millions(1)?</t>
  </si>
  <si>
    <t>Rental Expense (Total)</t>
  </si>
  <si>
    <t>Lease Commitments:</t>
  </si>
  <si>
    <t>t+1</t>
  </si>
  <si>
    <t>t+2</t>
  </si>
  <si>
    <t>t+3</t>
  </si>
  <si>
    <t>t+4</t>
  </si>
  <si>
    <t>t+5</t>
  </si>
  <si>
    <t>after</t>
  </si>
  <si>
    <t>Total</t>
  </si>
  <si>
    <t>R&amp;D Table</t>
  </si>
  <si>
    <t>R&amp;D Expense</t>
  </si>
  <si>
    <t>Previous Year R&amp;D</t>
  </si>
  <si>
    <t>Tax Table</t>
  </si>
  <si>
    <t>In millions(0) or percentage(1)?</t>
  </si>
  <si>
    <t>Federal Tax</t>
  </si>
  <si>
    <t>State Taxes</t>
  </si>
  <si>
    <t>Foreign Taxes</t>
  </si>
  <si>
    <t>R&amp;D Tax Credits</t>
  </si>
  <si>
    <t>All Other Items</t>
  </si>
  <si>
    <t>Income Tax Expense</t>
  </si>
  <si>
    <t>Extra Data for Retained Earnings 10 Years Ago</t>
  </si>
  <si>
    <t>EPS 10 years ago (Diluted EPS, GAAP)</t>
  </si>
  <si>
    <t>Change in Retained Earnings</t>
  </si>
  <si>
    <t>Change in Retained Earnings per Share</t>
  </si>
  <si>
    <t xml:space="preserve">Average </t>
  </si>
  <si>
    <t>Change in Retained Earnings per Share/EPS</t>
  </si>
  <si>
    <t>Capitalized Leases</t>
  </si>
  <si>
    <t>Capitalized R&amp;D</t>
  </si>
  <si>
    <t xml:space="preserve">Invested Capital </t>
  </si>
  <si>
    <t>NOPAT</t>
  </si>
  <si>
    <t>Lease Expense</t>
  </si>
  <si>
    <t>Lease Depreciation</t>
  </si>
  <si>
    <t>R&amp;D Amortization</t>
  </si>
  <si>
    <t>Adjusted EBITA</t>
  </si>
  <si>
    <t>Operating Taxes</t>
  </si>
  <si>
    <t>New Method:</t>
  </si>
  <si>
    <t xml:space="preserve">ROIC in </t>
  </si>
  <si>
    <t>Federal</t>
  </si>
  <si>
    <t>State</t>
  </si>
  <si>
    <t>Foreign</t>
  </si>
  <si>
    <t>Other</t>
  </si>
  <si>
    <t>Total Effective Tax Rate</t>
  </si>
  <si>
    <t>EBT</t>
  </si>
  <si>
    <t>Combined method:</t>
  </si>
  <si>
    <t>Federal and State Tax %</t>
  </si>
  <si>
    <t>Foregin Tax %</t>
  </si>
  <si>
    <t>Federal, State and Foreign Tax  $</t>
  </si>
  <si>
    <t>Add:</t>
  </si>
  <si>
    <t>Total Operating Taxes</t>
  </si>
  <si>
    <t xml:space="preserve">Effective Tax Rate </t>
  </si>
  <si>
    <t>HAP ANALYSIS — not original analyst data.</t>
  </si>
  <si>
    <t>Lease discount rate (selected)</t>
  </si>
  <si>
    <t>4.00%</t>
  </si>
  <si>
    <t>Classification</t>
  </si>
  <si>
    <t>disclosed</t>
  </si>
  <si>
    <t>Lease Commitments</t>
  </si>
  <si>
    <t>Decision class</t>
  </si>
  <si>
    <t>AUTONOMOUS_AGENT_DECISION</t>
  </si>
  <si>
    <t>Source filing / period</t>
  </si>
  <si>
    <t>10-K FY2025 0001193125-25-248751</t>
  </si>
  <si>
    <t>Disclosure / methodology</t>
  </si>
  <si>
    <t>reported_weighted_average_discount_rate</t>
  </si>
  <si>
    <t>ASC 842 WtdAvg vs model long-term rate</t>
  </si>
  <si>
    <t>Selected 4.00% is the company-disclosed weighted-average operating-lease discount rate (ASC 842). The Industrial Template's Estimated Long-Term Rate on Leases row 18 is Interest Expense / Total Debt and is what NPV/PV capitalization uses when those cells are formulas.</t>
  </si>
  <si>
    <t>Workbook input cell</t>
  </si>
  <si>
    <t>HAP ANALYSIS notes only. Disclosed 4.00% was not written over 9 formula cell(s) on Leases row 18.</t>
  </si>
  <si>
    <t>Dependent calculation / schedule</t>
  </si>
  <si>
    <t>Leases row 18 formulas preserved (example Leases!C18==Inputs!D35/Inputs!D27). NPV/PV of lease commitments use this Estimated Long-Term Rate (Interest Expense / Total Debt). The disclosed ASC 842 weighted-average rate is not substituted for that template methodology.</t>
  </si>
  <si>
    <t>After</t>
  </si>
  <si>
    <t>Why HAP selected this rate</t>
  </si>
  <si>
    <t>FY2025 reported operating-lease WtdAvg discount rate 0.0400.</t>
  </si>
  <si>
    <t>Material uncertainty / limitations</t>
  </si>
  <si>
    <t>Company-disclosed ASC 842 weighted-average discount rate for the latest fiscal year.</t>
  </si>
  <si>
    <t>Average Lease</t>
  </si>
  <si>
    <t># of Years Left in the Future Lease</t>
  </si>
  <si>
    <t>PV1 (First 5 years)</t>
  </si>
  <si>
    <t>PV2 (Years in the After Segment)</t>
  </si>
  <si>
    <t>Total PV</t>
  </si>
  <si>
    <t>Operating Leases As Reported</t>
  </si>
  <si>
    <t>Estimated Long-Term Rate</t>
  </si>
  <si>
    <t>Implied Interest Expense</t>
  </si>
  <si>
    <t>Depreciation</t>
  </si>
  <si>
    <t>HAP ANALYSIS: R&amp;D useful life is an autonomous agent decision. Override it if the economic life differs.</t>
  </si>
  <si>
    <t>R&amp;D useful life (selected)</t>
  </si>
  <si>
    <t>5 years</t>
  </si>
  <si>
    <t>R&amp;D Asset</t>
  </si>
  <si>
    <t>Amortization of R&amp;D</t>
  </si>
  <si>
    <t>Source disclosures</t>
  </si>
  <si>
    <t>SEC 10-K business description / SIC (companyfacts DEI + submissions); https://www.sec.gov/Archives/edgar/data/836157/000119312525248751/lnn-20250831.htm</t>
  </si>
  <si>
    <t>Economic rationale</t>
  </si>
  <si>
    <t>Selected 5-year straight-line R&amp;D capitalization life. industrial product development cycle This is an AUTONOMOUS_AGENT_DECISION, not a measured accounting fact. An analyst may override it with a documented reason.</t>
  </si>
  <si>
    <t>Capitalization methodology</t>
  </si>
  <si>
    <t>Straight-line remaining-life weights over 5 years; lookback FY2012–FY2025. R&amp;D!B8 is the designated useful-life input. Asset (row 3) and amortization (row 4) formulas are generated from that life.</t>
  </si>
  <si>
    <t>R&amp;D!B8 = 5 years (template life cell; not derived from annual R&amp;D spend).</t>
  </si>
  <si>
    <t>R&amp;D Life</t>
  </si>
  <si>
    <t>years</t>
  </si>
  <si>
    <t>R&amp;D rows 3–4 (capitalized asset and amortization) for each displayed FY; Invested Capital Capitalized R&amp;D references R&amp;D row 3. Pre-window expense values and extra lookback on R&amp;D row 20 feed the 5-year window.</t>
  </si>
  <si>
    <t>Material uncertainty</t>
  </si>
  <si>
    <t>Optional analyst override is available.</t>
  </si>
  <si>
    <t>Override</t>
  </si>
  <si>
    <t>None — AUTONOMOUS_AGENT_DECISION</t>
  </si>
  <si>
    <t>HAP R&amp;D lookback (years before template pre-window)</t>
  </si>
  <si>
    <t>Growth Ratio</t>
  </si>
  <si>
    <t>Growth 1-year YoY</t>
  </si>
  <si>
    <t>NA</t>
  </si>
  <si>
    <t>Growth 5-year CAGR</t>
  </si>
  <si>
    <t xml:space="preserve">Margins </t>
  </si>
  <si>
    <t xml:space="preserve">Net Margin </t>
  </si>
  <si>
    <t>EPS diluted</t>
  </si>
  <si>
    <t>Growth 1 year YoY</t>
  </si>
  <si>
    <t>Median</t>
  </si>
  <si>
    <t>Cash Cycle Ratio</t>
  </si>
  <si>
    <t>Days Inventory Outstanding</t>
  </si>
  <si>
    <t>Days Sales Outstanding</t>
  </si>
  <si>
    <t>Days Payables Outstanding</t>
  </si>
  <si>
    <t>Cash Conversion Cycle</t>
  </si>
  <si>
    <t>Change in Receivables</t>
  </si>
  <si>
    <t>Change in Sales</t>
  </si>
  <si>
    <t>Liquidity Ratio</t>
  </si>
  <si>
    <t>Current Ratio</t>
  </si>
  <si>
    <t>Cash Ratio</t>
  </si>
  <si>
    <t>Assets/Liabilities</t>
  </si>
  <si>
    <t>Debt Ratio</t>
  </si>
  <si>
    <t>Debt</t>
  </si>
  <si>
    <t>Debt/Assets</t>
  </si>
  <si>
    <t>Debt Coverage Ratio</t>
  </si>
  <si>
    <t>FCF/Debt</t>
  </si>
  <si>
    <t>10-Year Average</t>
  </si>
  <si>
    <t>ROA</t>
  </si>
  <si>
    <t>ROE</t>
  </si>
  <si>
    <t>ROCE</t>
  </si>
  <si>
    <t>ROIC Including Goodwill</t>
  </si>
  <si>
    <t>WACC  Bloomberg</t>
  </si>
  <si>
    <t>ROIC in - WACC</t>
  </si>
  <si>
    <t>3 Year OE 10 Years Avg Growth</t>
  </si>
  <si>
    <t>Owners Earnings</t>
  </si>
  <si>
    <t>Owners Earnings to Equity</t>
  </si>
  <si>
    <t>P/E</t>
  </si>
  <si>
    <t>10y Growth of EPS</t>
  </si>
  <si>
    <t>10y Growth of EPS Direction</t>
  </si>
  <si>
    <t>10y Growth of Revenue</t>
  </si>
  <si>
    <t>Book Value Growth</t>
  </si>
  <si>
    <t>FCF per Share</t>
  </si>
  <si>
    <t>TBV/Price</t>
  </si>
  <si>
    <t>Dividend per Share</t>
  </si>
  <si>
    <t xml:space="preserve">Dividend Payout Ratio </t>
  </si>
  <si>
    <t xml:space="preserve">Dividend Yield </t>
  </si>
  <si>
    <t>Stock Close Price</t>
  </si>
  <si>
    <t>EPS Growth</t>
  </si>
  <si>
    <t>EPS 10 Year CAGR</t>
  </si>
  <si>
    <t>Graham Value Multiple</t>
  </si>
  <si>
    <t>Graham Growth Intrinsic Value</t>
  </si>
  <si>
    <t>7 years forecasted Value</t>
  </si>
  <si>
    <t>Forcasted annualized 7y Expected Return</t>
  </si>
  <si>
    <t>Actual 7 year Annualized Return</t>
  </si>
  <si>
    <t>Cash Conversion</t>
  </si>
  <si>
    <t>Enterprise Value</t>
  </si>
  <si>
    <t>Discount Rate</t>
  </si>
  <si>
    <t>Company Value</t>
  </si>
  <si>
    <t>Company Value/Share</t>
  </si>
  <si>
    <t>Market Assessed Value</t>
  </si>
  <si>
    <t>Residual Earnings Method</t>
  </si>
  <si>
    <t>TBV</t>
  </si>
  <si>
    <t>Earnings per Share</t>
  </si>
  <si>
    <t>Required Rate of Return</t>
  </si>
  <si>
    <t>Growth</t>
  </si>
  <si>
    <t>(Min of 30y T Bill or S&amp;P)</t>
  </si>
  <si>
    <t>Value</t>
  </si>
  <si>
    <t>Risk Adjusted ROIC</t>
  </si>
  <si>
    <t>Margin of Safety</t>
  </si>
  <si>
    <t>Decision</t>
  </si>
  <si>
    <t>Common Price - Ticker</t>
  </si>
  <si>
    <t>US10Y</t>
  </si>
  <si>
    <t>Max PE10</t>
  </si>
  <si>
    <t>Price via Earnings vs US10Y</t>
  </si>
  <si>
    <t>ORIGINAL WORKBOOK ANALYSIS</t>
  </si>
  <si>
    <t>Original EPS growth assumption (B5)</t>
  </si>
  <si>
    <t>EPS Current Yield</t>
  </si>
  <si>
    <t>EPS Growth Last Decade</t>
  </si>
  <si>
    <t>Retained Earnings Avg %</t>
  </si>
  <si>
    <t>Verify Retained Earnings</t>
  </si>
  <si>
    <t>Original sustainable g (A11 = retention × ROE)</t>
  </si>
  <si>
    <t>Original retention (C5)</t>
  </si>
  <si>
    <t>Original ROE (A14)</t>
  </si>
  <si>
    <t>Current Book Value</t>
  </si>
  <si>
    <t>/Per Share</t>
  </si>
  <si>
    <t>Original Expected Return (E14)</t>
  </si>
  <si>
    <t>HAP-adjusted EPS growth</t>
  </si>
  <si>
    <t>No adjustment recommended</t>
  </si>
  <si>
    <t>HAP-adjusted Expected Return</t>
  </si>
  <si>
    <t>BV per Share Growth/Year</t>
  </si>
  <si>
    <t>Dividend per Share Payments</t>
  </si>
  <si>
    <t>HAP rationale</t>
  </si>
  <si>
    <t>The workbook Expected Return projection is driven by A11 (1.1%; grain: retention × ROE when A11 is the driver), not by the B5 display (15.5%) unless a forecast formula actually references B5. Long-term EPS CAGR is 15.5%; recent 5-year EPS CAGR is 13.8%; recent EPS levels are FY2022 5.94, FY2023 6.54, FY2024 6.01, FY2025 6.78. Revenue CAGR 3.0% (5y 7.3%); operating-income CAGR 11.0% (5y 10.2%). ROE 11.0% and retention 9.6% imply g = 1.1%. Starting projected EPS D17=5.45 vs current EPS 6.78. Retention defect class C. Distortions: eps_depressed_start, Individual years show unusual payout/retention; the average remains within a usable identity for g = retention × ROE.. Although the independent evidence-derived range is -4.3%–13.8%, the existing assumption 1.1% remains consistent with the company's evidence (existing sits inside the independent evidence range; existing is within the evidence dispersion of an independent observation and shares the evidence sign). The difference is not sufficiently material, given the dispersion in the evidence, to justify replacing the analyst assumption. Evidence center 5.9%, dispersion (MAD) 4.7%, existing distance from center -4.9%, independent range -4.3%–13.8%. Nearest independent observation 3.0% (gap 2.0%). The range is an evidence summary, not an acceptance/rejection interval. Materiality is judged from sign persistence, earnings-regime continuity, and distance relative to evidence dispersion — not a fixed percentage-point or percent-of-range tolerance.</t>
  </si>
  <si>
    <t>Average ROE</t>
  </si>
  <si>
    <t>Earnings per Share in Ten Years</t>
  </si>
  <si>
    <t>Price of Common in Ten Years</t>
  </si>
  <si>
    <t>Price + Dividends</t>
  </si>
  <si>
    <t>Expected Annual Return</t>
  </si>
  <si>
    <t>Expected Return Price + Dividends</t>
  </si>
  <si>
    <t>Calendar Year</t>
  </si>
  <si>
    <t>BV per Share</t>
  </si>
  <si>
    <t>Buybacks Return</t>
  </si>
  <si>
    <t>Paid per share</t>
  </si>
  <si>
    <t>Current PE</t>
  </si>
  <si>
    <t>Current Price no Buy Backs</t>
  </si>
  <si>
    <t>Buyback Impact on per share price</t>
  </si>
  <si>
    <t>Total Percentage Change</t>
  </si>
  <si>
    <t>Annualized Return from Buybacks</t>
  </si>
  <si>
    <t>GRAHAM — ORIGINAL</t>
  </si>
  <si>
    <t>Original relevant growth assumption</t>
  </si>
  <si>
    <t>Original OE total historical change (B6, evidence only)</t>
  </si>
  <si>
    <t>Original Graham Entry Price</t>
  </si>
  <si>
    <t>Original OE annualized forecast driver (C6)</t>
  </si>
  <si>
    <t>10 Year</t>
  </si>
  <si>
    <t>Annualized</t>
  </si>
  <si>
    <t>HAP-adjusted Graham growth</t>
  </si>
  <si>
    <t>Original Enterprise Value / share (B20)</t>
  </si>
  <si>
    <t>Owners Earnings Growth Rate</t>
  </si>
  <si>
    <t>HAP-adjusted Graham Entry Price</t>
  </si>
  <si>
    <t>Original Margin of Safety (B27)</t>
  </si>
  <si>
    <t>Graham uses Enterprise Value!B41 (15.5%) in the existing intrinsic-value formula (driver B41). True 10-year EPS CAGR from the EPS series is 15.5%; true 5-year EPS CAGR is 13.8%. Final Metrics C31 (3.9%) is not a 5-year EPS CAGR and is not revenue growth; it is ignored. Revenue CAGR 3.0%; operating-income CAGR 11.0%; EPS direction P. Distortions: eps_depressed_start. Although the independent evidence-derived range is -4.3%–13.8%, the existing assumption 15.5% remains consistent with the company's evidence (existing is itself a measured long-term earnings observation and recent EPS remains in the same regime; existing is within the evidence dispersion of an independent observation and shares the evidence sign). The difference is not sufficiently material, given the dispersion in the evidence, to justify replacing the analyst assumption.</t>
  </si>
  <si>
    <t>HAP-adjusted OE growth</t>
  </si>
  <si>
    <t>Owners Earnings Extrapolation</t>
  </si>
  <si>
    <t>Present Value of Owners Earnings Extrapolation</t>
  </si>
  <si>
    <t>HAP-adjusted Enterprise Value</t>
  </si>
  <si>
    <t>Owners Earnings Extrapolation (Experimental)</t>
  </si>
  <si>
    <t>Present Value of Owners Earnings Extrapolation (Experimental)</t>
  </si>
  <si>
    <t>HAP-adjusted Margin of Safety</t>
  </si>
  <si>
    <t>SUM Owners Earnings</t>
  </si>
  <si>
    <t>The Enterprise Value forecast formula uses C6 (existing annualized assumption 8.3%). B6 (104.5%) is total_historical_change and is not treated as the prospective annual rate. OE identity NI+D&amp;A+CapEx: 10y OE CAGR 8.3%, 5y 7.5%, 3y -9.2%. NI CAGR 15.5% (5y 13.9%); operating income 11.0% (5y 10.2%); revenue 3.0%. Distortions: oe_depressed_start, ni_depressed_start. Although the independent evidence-derived range is -9.2%–13.9%, the existing assumption 8.3% remains consistent with the company's evidence (existing sits inside the independent evidence range; existing is itself a measured long-term earnings observation and recent EPS remains in the same regime; existing is within the evidence dispersion of an independent observation and shares the evidence sign). The difference is not sufficiently material, given the dispersion in the evidence, to justify replacing the analyst assumption. Evidence center 5.8%, dispersion (MAD) 4.9%, existing distance from center 2.5%, independent range -9.2%–13.9%. Nearest independent observation 7.5% (gap 0.8%). The range is an evidence summary, not an acceptance/rejection interval. Materiality is judged from sign persistence, earnings-regime continuity, and distance relative to evidence dispersion — not a fixed percentage-point or percent-of-range tolerance.</t>
  </si>
  <si>
    <t>Book Value Latest FY</t>
  </si>
  <si>
    <t>Without Cash</t>
  </si>
  <si>
    <t>Liabilities</t>
  </si>
  <si>
    <t>Market Cap</t>
  </si>
  <si>
    <t>Cash</t>
  </si>
  <si>
    <t>Enterprise Market Value</t>
  </si>
  <si>
    <t>Implied Margin of Safety</t>
  </si>
  <si>
    <t>Company Value at Margin of Safety</t>
  </si>
  <si>
    <t>Stock Price at Margin of Safety</t>
  </si>
  <si>
    <t>Exit MOS</t>
  </si>
  <si>
    <t>Exit Price</t>
  </si>
  <si>
    <t>Graham Growth Intrinsic Value Analisys</t>
  </si>
  <si>
    <t>Current EPS</t>
  </si>
  <si>
    <t xml:space="preserve">Current Graham Intrinsic Value </t>
  </si>
  <si>
    <t>Growth in 7 Years</t>
  </si>
  <si>
    <t>EPS in Year 7</t>
  </si>
  <si>
    <t>Graham Multiple in 7 Years</t>
  </si>
  <si>
    <t>Graham Intrinsic Value in 7 Years</t>
  </si>
  <si>
    <t>Expected Annualized Return</t>
  </si>
  <si>
    <t>Entry target price</t>
  </si>
  <si>
    <t>Graham Growth Growth Parameters</t>
  </si>
  <si>
    <t>PE Multiplier</t>
  </si>
  <si>
    <t>Growth Multiplier</t>
  </si>
  <si>
    <t>Target 7 years Annualized Return</t>
  </si>
  <si>
    <t>Version</t>
  </si>
  <si>
    <t>v28.0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</si>
</sst>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0.0"/>
    <numFmt numFmtId="166" formatCode="&quot;$&quot;#,##0.00"/>
    <numFmt numFmtId="167" formatCode="0.0&quot;x&quot;"/>
    <numFmt numFmtId="168" formatCode="0.0%"/>
    <numFmt numFmtId="169" formatCode="_(* #,##0_);_(* \(#,##0\);_(* &quot;-&quot;??_);_(@_)"/>
    <numFmt numFmtId="170" formatCode="#,##0.0000"/>
    <numFmt numFmtId="171" formatCode="#,##0.000"/>
    <numFmt numFmtId="172" formatCode="0.00&quot;x&quot;"/>
    <numFmt numFmtId="173" formatCode="\$#,##0.00"/>
    <numFmt numFmtId="174" formatCode="0.000%"/>
    <numFmt numFmtId="175" formatCode="\$#,##0"/>
    <numFmt numFmtId="176" formatCode="&quot;$&quot;#,##0"/>
  </numFmts>
  <fonts count="35" x14ac:knownFonts="1">
    <font>
      <sz val="11"/>
      <color theme="1"/>
      <name val="Calibri"/>
      <family val="2"/>
      <scheme val="minor"/>
    </font>
    <font>
      <sz val="10"/>
      <color indexed="8"/>
      <name val="Arial"/>
      <family val="2"/>
    </font>
    <font>
      <b/>
      <sz val="11"/>
      <color indexed="9"/>
      <name val="Calibri"/>
      <family val="2"/>
    </font>
    <font>
      <sz val="10"/>
      <color indexed="63"/>
      <name val="Arial"/>
      <family val="2"/>
    </font>
    <font>
      <i/>
      <sz val="10"/>
      <color indexed="63"/>
      <name val="Arial"/>
      <family val="2"/>
    </font>
    <font>
      <sz val="10"/>
      <name val="Calibri"/>
      <family val="2"/>
    </font>
    <font>
      <b/>
      <sz val="10"/>
      <color indexed="9"/>
      <name val="Arial"/>
      <family val="2"/>
    </font>
    <font>
      <b/>
      <sz val="10"/>
      <color indexed="8"/>
      <name val="Arial"/>
      <family val="2"/>
    </font>
    <font>
      <sz val="11"/>
      <color theme="1"/>
      <name val="Calibri"/>
      <family val="2"/>
      <scheme val="minor"/>
    </font>
    <font>
      <b/>
      <sz val="11"/>
      <color theme="1"/>
      <name val="Calibri"/>
      <family val="2"/>
      <scheme val="minor"/>
    </font>
    <font>
      <sz val="11"/>
      <color theme="0"/>
      <name val="Calibri"/>
      <family val="2"/>
      <scheme val="minor"/>
    </font>
    <font>
      <b/>
      <sz val="11"/>
      <color indexed="9"/>
      <name val="Calibri"/>
      <family val="2"/>
      <scheme val="minor"/>
    </font>
    <font>
      <b/>
      <sz val="11"/>
      <color indexed="8"/>
      <name val="Calibri"/>
      <family val="2"/>
      <scheme val="minor"/>
    </font>
    <font>
      <sz val="11"/>
      <color indexed="63"/>
      <name val="Calibri"/>
      <family val="2"/>
      <scheme val="minor"/>
    </font>
    <font>
      <sz val="11"/>
      <color indexed="8"/>
      <name val="Calibri"/>
      <family val="2"/>
      <scheme val="minor"/>
    </font>
    <font>
      <i/>
      <sz val="11"/>
      <color indexed="63"/>
      <name val="Calibri"/>
      <family val="2"/>
      <scheme val="minor"/>
    </font>
    <font>
      <sz val="11"/>
      <name val="Calibri"/>
      <family val="2"/>
      <scheme val="minor"/>
    </font>
    <font>
      <i/>
      <sz val="11"/>
      <name val="Calibri"/>
      <family val="2"/>
      <scheme val="minor"/>
    </font>
    <font>
      <sz val="11"/>
      <color theme="0" tint="-0.34998626667073579"/>
      <name val="Calibri"/>
      <family val="2"/>
      <scheme val="minor"/>
    </font>
    <font>
      <b/>
      <sz val="11"/>
      <color theme="0" tint="-0.34998626667073579"/>
      <name val="Calibri"/>
      <family val="2"/>
      <scheme val="minor"/>
    </font>
    <font>
      <i/>
      <sz val="11"/>
      <color theme="0" tint="-0.34998626667073579"/>
      <name val="Calibri"/>
      <family val="2"/>
      <scheme val="minor"/>
    </font>
    <font>
      <sz val="11"/>
      <color rgb="FF000000"/>
      <name val="Calibri"/>
      <family val="2"/>
    </font>
    <font>
      <sz val="12"/>
      <color rgb="FF222222"/>
      <name val="Arial"/>
      <family val="2"/>
    </font>
    <font>
      <sz val="12"/>
      <color theme="1"/>
      <name val="Calibri"/>
      <family val="2"/>
      <scheme val="minor"/>
    </font>
    <font>
      <i/>
      <sz val="11"/>
      <color theme="1"/>
      <name val="Calibri"/>
      <family val="2"/>
      <scheme val="minor"/>
    </font>
    <font>
      <b/>
      <sz val="11"/>
      <name val="Calibri"/>
      <family val="2"/>
      <scheme val="minor"/>
    </font>
    <font>
      <b/>
      <sz val="8"/>
      <color rgb="FF000000"/>
      <name val="Arial"/>
      <family val="2"/>
    </font>
    <font>
      <sz val="8"/>
      <color rgb="FF000000"/>
      <name val="Arial"/>
      <family val="2"/>
    </font>
    <font>
      <b/>
      <sz val="11"/>
      <color theme="1"/>
      <name val="Calibri"/>
      <family val="2"/>
    </font>
    <font>
      <sz val="11"/>
      <color theme="1"/>
      <name val="Calibri"/>
      <family val="2"/>
    </font>
    <font>
      <sz val="11"/>
      <color theme="1"/>
      <name val="Arial"/>
      <family val="2"/>
    </font>
    <font>
      <sz val="8"/>
      <color theme="1"/>
      <name val="Arial"/>
      <family val="2"/>
    </font>
    <font>
      <sz val="8"/>
      <color rgb="FFA6A6A6"/>
      <name val="Arial"/>
      <family val="2"/>
    </font>
    <font>
      <b/>
      <sz val="16"/>
      <color indexed="9"/>
      <name val="Arial"/>
      <family val="2"/>
    </font>
    <font>
      <i/>
      <sz val="10"/>
      <color indexed="8"/>
      <name val="Arial"/>
      <family val="2"/>
    </font>
  </fonts>
  <fills count="28">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1"/>
        <bgColor indexed="64"/>
      </patternFill>
    </fill>
    <fill>
      <patternFill patternType="solid">
        <fgColor rgb="FF92D05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rgb="FFDAEEF3"/>
        <bgColor indexed="64"/>
      </patternFill>
    </fill>
    <fill>
      <patternFill patternType="solid">
        <fgColor theme="0"/>
        <bgColor indexed="64"/>
      </patternFill>
    </fill>
    <fill>
      <patternFill patternType="solid">
        <fgColor rgb="FFAACCFF"/>
        <bgColor indexed="64"/>
      </patternFill>
    </fill>
    <fill>
      <patternFill patternType="solid">
        <fgColor rgb="FFDDEEFF"/>
        <bgColor indexed="64"/>
      </patternFill>
    </fill>
    <fill>
      <patternFill patternType="solid">
        <fgColor rgb="FFFFC000"/>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E4DFEC"/>
        <bgColor indexed="64"/>
      </patternFill>
    </fill>
    <fill>
      <patternFill patternType="solid">
        <fgColor theme="7" tint="0.79998168889431442"/>
        <bgColor indexed="64"/>
      </patternFill>
    </fill>
    <fill>
      <patternFill patternType="solid">
        <fgColor rgb="FFF2F2F2"/>
        <bgColor indexed="64"/>
      </patternFill>
    </fill>
    <fill>
      <patternFill patternType="solid">
        <fgColor rgb="FFF4E4C1"/>
      </patternFill>
    </fill>
    <fill>
      <patternFill patternType="solid">
        <fgColor rgb="FFF4E4C1"/>
      </patternFill>
    </fill>
  </fills>
  <borders count="56">
    <border>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rgb="FFAACCFF"/>
      </right>
      <top style="medium">
        <color rgb="FFAACCFF"/>
      </top>
      <bottom/>
      <diagonal/>
    </border>
    <border>
      <left style="medium">
        <color rgb="FFAACCFF"/>
      </left>
      <right/>
      <top/>
      <bottom/>
      <diagonal/>
    </border>
    <border>
      <left/>
      <right/>
      <top/>
      <bottom style="medium">
        <color indexed="64"/>
      </bottom>
      <diagonal/>
    </border>
    <border>
      <left/>
      <right style="medium">
        <color rgb="FFAACCFF"/>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thin">
        <color theme="1"/>
      </right>
      <top style="medium">
        <color rgb="FFAACCFF"/>
      </top>
      <bottom/>
      <diagonal/>
    </border>
    <border>
      <left/>
      <right style="thin">
        <color theme="1"/>
      </right>
      <top/>
      <bottom/>
      <diagonal/>
    </border>
    <border>
      <left/>
      <right style="thin">
        <color theme="1"/>
      </right>
      <top/>
      <bottom style="medium">
        <color indexed="64"/>
      </bottom>
      <diagonal/>
    </border>
    <border>
      <left/>
      <right style="thin">
        <color theme="1"/>
      </right>
      <top/>
      <bottom style="thin">
        <color indexed="64"/>
      </bottom>
      <diagonal/>
    </border>
    <border>
      <left style="medium">
        <color rgb="FFAACCFF"/>
      </left>
      <right/>
      <top style="thin">
        <color theme="1"/>
      </top>
      <bottom/>
      <diagonal/>
    </border>
    <border>
      <left/>
      <right/>
      <top style="thin">
        <color theme="1"/>
      </top>
      <bottom/>
      <diagonal/>
    </border>
    <border>
      <left/>
      <right style="thin">
        <color theme="1"/>
      </right>
      <top style="thin">
        <color theme="1"/>
      </top>
      <bottom/>
      <diagonal/>
    </border>
    <border>
      <left style="thin">
        <color auto="1"/>
      </left>
      <right style="medium">
        <color rgb="FFAACCFF"/>
      </right>
      <top style="thin">
        <color auto="1"/>
      </top>
      <bottom/>
      <diagonal/>
    </border>
    <border>
      <left/>
      <right style="medium">
        <color rgb="FFAACCFF"/>
      </right>
      <top style="thin">
        <color auto="1"/>
      </top>
      <bottom/>
      <diagonal/>
    </border>
    <border>
      <left/>
      <right style="thin">
        <color auto="1"/>
      </right>
      <top style="thin">
        <color auto="1"/>
      </top>
      <bottom/>
      <diagonal/>
    </border>
    <border>
      <left style="thin">
        <color auto="1"/>
      </left>
      <right style="medium">
        <color rgb="FFAACCFF"/>
      </right>
      <top/>
      <bottom/>
      <diagonal/>
    </border>
    <border>
      <left/>
      <right style="thin">
        <color auto="1"/>
      </right>
      <top style="medium">
        <color rgb="FFAACCFF"/>
      </top>
      <bottom/>
      <diagonal/>
    </border>
    <border>
      <left style="thin">
        <color theme="1"/>
      </left>
      <right/>
      <top style="thin">
        <color theme="1"/>
      </top>
      <bottom/>
      <diagonal/>
    </border>
    <border>
      <left/>
      <right style="medium">
        <color rgb="FFAACCFF"/>
      </right>
      <top style="thin">
        <color theme="1"/>
      </top>
      <bottom/>
      <diagonal/>
    </border>
    <border>
      <left style="thin">
        <color theme="1"/>
      </left>
      <right/>
      <top/>
      <bottom/>
      <diagonal/>
    </border>
    <border>
      <left style="thin">
        <color theme="1"/>
      </left>
      <right/>
      <top/>
      <bottom style="medium">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medium">
        <color indexed="64"/>
      </top>
      <bottom/>
      <diagonal/>
    </border>
    <border>
      <left/>
      <right style="thin">
        <color theme="1"/>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theme="1"/>
      </top>
      <bottom style="thin">
        <color theme="1"/>
      </bottom>
      <diagonal/>
    </border>
    <border>
      <left/>
      <right/>
      <top style="thin">
        <color indexed="64"/>
      </top>
      <bottom/>
      <diagonal/>
    </border>
    <border>
      <left style="thin">
        <color indexed="64"/>
      </left>
      <right style="thin">
        <color theme="1"/>
      </right>
      <top style="thin">
        <color theme="1"/>
      </top>
      <bottom/>
      <diagonal/>
    </border>
    <border>
      <left style="thin">
        <color indexed="64"/>
      </left>
      <right style="thin">
        <color indexed="64"/>
      </right>
      <top style="thin">
        <color theme="1"/>
      </top>
      <bottom style="thin">
        <color theme="1"/>
      </bottom>
      <diagonal/>
    </border>
    <border>
      <left style="thin">
        <color theme="1"/>
      </left>
      <right style="thin">
        <color theme="1"/>
      </right>
      <top style="thin">
        <color theme="1"/>
      </top>
      <bottom/>
      <diagonal/>
    </border>
  </borders>
  <cellStyleXfs count="22">
    <xf numFmtId="0" fontId="0" fillId="0" borderId="0"/>
    <xf numFmtId="0" fontId="2" fillId="2" borderId="0"/>
    <xf numFmtId="0" fontId="6" fillId="2" borderId="1">
      <alignment horizontal="right"/>
    </xf>
    <xf numFmtId="0" fontId="5" fillId="3" borderId="0">
      <alignment horizontal="center"/>
    </xf>
    <xf numFmtId="0" fontId="6" fillId="2" borderId="3">
      <alignment horizontal="right"/>
    </xf>
    <xf numFmtId="0" fontId="6" fillId="2" borderId="3">
      <alignment horizontal="left"/>
    </xf>
    <xf numFmtId="0" fontId="6" fillId="2" borderId="1">
      <alignment horizontal="left"/>
    </xf>
    <xf numFmtId="164" fontId="1" fillId="3" borderId="2">
      <alignment horizontal="right"/>
    </xf>
    <xf numFmtId="4" fontId="1" fillId="3" borderId="2">
      <alignment horizontal="right"/>
    </xf>
    <xf numFmtId="3" fontId="7" fillId="3" borderId="2">
      <alignment horizontal="right"/>
    </xf>
    <xf numFmtId="164" fontId="7" fillId="3" borderId="2">
      <alignment horizontal="right"/>
    </xf>
    <xf numFmtId="0" fontId="4" fillId="3" borderId="4"/>
    <xf numFmtId="0" fontId="7" fillId="3" borderId="4"/>
    <xf numFmtId="0" fontId="3" fillId="3" borderId="4"/>
    <xf numFmtId="43" fontId="8" fillId="0" borderId="0"/>
    <xf numFmtId="44" fontId="8" fillId="0" borderId="0"/>
    <xf numFmtId="9" fontId="8" fillId="0" borderId="0"/>
    <xf numFmtId="0" fontId="23" fillId="0" borderId="0"/>
    <xf numFmtId="0" fontId="30" fillId="0" borderId="0"/>
    <xf numFmtId="0" fontId="33" fillId="2" borderId="8">
      <alignment horizontal="left" vertical="center" readingOrder="1"/>
    </xf>
    <xf numFmtId="3" fontId="1" fillId="3" borderId="2">
      <alignment horizontal="right"/>
    </xf>
    <xf numFmtId="0" fontId="34" fillId="25" borderId="52"/>
  </cellStyleXfs>
  <cellXfs count="586">
    <xf numFmtId="0" fontId="0" fillId="0" borderId="0" xfId="0"/>
    <xf numFmtId="0" fontId="16" fillId="4" borderId="0" xfId="3" applyFont="1" applyFill="1">
      <alignment horizontal="center"/>
    </xf>
    <xf numFmtId="0" fontId="0" fillId="0" borderId="0" xfId="0" applyAlignment="1">
      <alignment horizontal="center"/>
    </xf>
    <xf numFmtId="0" fontId="16" fillId="3" borderId="4" xfId="11" applyFont="1"/>
    <xf numFmtId="0" fontId="16" fillId="3" borderId="4" xfId="13" applyFont="1"/>
    <xf numFmtId="0" fontId="12" fillId="0" borderId="0" xfId="12" applyFont="1" applyFill="1" applyBorder="1"/>
    <xf numFmtId="0" fontId="16" fillId="0" borderId="0" xfId="13" applyFont="1" applyFill="1" applyBorder="1"/>
    <xf numFmtId="14" fontId="11" fillId="2" borderId="1" xfId="2" applyNumberFormat="1" applyFont="1">
      <alignment horizontal="right"/>
    </xf>
    <xf numFmtId="14" fontId="16" fillId="0" borderId="0" xfId="3" applyNumberFormat="1" applyFont="1" applyFill="1">
      <alignment horizontal="center"/>
    </xf>
    <xf numFmtId="0" fontId="16" fillId="0" borderId="0" xfId="3" applyFont="1" applyFill="1">
      <alignment horizontal="center"/>
    </xf>
    <xf numFmtId="4" fontId="14" fillId="0" borderId="0" xfId="8" applyFont="1" applyFill="1" applyBorder="1">
      <alignment horizontal="right"/>
    </xf>
    <xf numFmtId="164" fontId="14" fillId="0" borderId="0" xfId="7" applyFont="1" applyFill="1" applyBorder="1">
      <alignment horizontal="right"/>
    </xf>
    <xf numFmtId="0" fontId="13" fillId="0" borderId="0" xfId="13" applyFont="1" applyFill="1" applyBorder="1"/>
    <xf numFmtId="0" fontId="13" fillId="3" borderId="4" xfId="13" applyFont="1"/>
    <xf numFmtId="3" fontId="12" fillId="3" borderId="2" xfId="9" applyFont="1">
      <alignment horizontal="right"/>
    </xf>
    <xf numFmtId="0" fontId="12" fillId="3" borderId="4" xfId="12" applyFont="1"/>
    <xf numFmtId="14" fontId="11" fillId="2" borderId="3" xfId="4" applyNumberFormat="1" applyFont="1">
      <alignment horizontal="right"/>
    </xf>
    <xf numFmtId="0" fontId="11" fillId="2" borderId="1" xfId="6" applyFont="1">
      <alignment horizontal="left"/>
    </xf>
    <xf numFmtId="0" fontId="11" fillId="2" borderId="3" xfId="4" applyFont="1">
      <alignment horizontal="right"/>
    </xf>
    <xf numFmtId="0" fontId="11" fillId="2" borderId="3" xfId="5" applyFont="1">
      <alignment horizontal="left"/>
    </xf>
    <xf numFmtId="14" fontId="0" fillId="0" borderId="0" xfId="0" applyNumberFormat="1"/>
    <xf numFmtId="3" fontId="19" fillId="3" borderId="2" xfId="9" applyFont="1">
      <alignment horizontal="right"/>
    </xf>
    <xf numFmtId="0" fontId="19" fillId="0" borderId="0" xfId="0" applyFont="1"/>
    <xf numFmtId="0" fontId="18" fillId="3" borderId="4" xfId="13" applyFont="1"/>
    <xf numFmtId="0" fontId="19" fillId="3" borderId="4" xfId="12" applyFont="1"/>
    <xf numFmtId="0" fontId="18" fillId="0" borderId="4" xfId="13" applyFont="1" applyFill="1"/>
    <xf numFmtId="0" fontId="18" fillId="3" borderId="4" xfId="11" applyFont="1"/>
    <xf numFmtId="0" fontId="20" fillId="3" borderId="4" xfId="11" applyFont="1"/>
    <xf numFmtId="0" fontId="21" fillId="0" borderId="0" xfId="0" applyFont="1"/>
    <xf numFmtId="0" fontId="22" fillId="0" borderId="0" xfId="0" applyFont="1" applyAlignment="1">
      <alignment vertical="center" wrapText="1"/>
    </xf>
    <xf numFmtId="0" fontId="0" fillId="5" borderId="0" xfId="0" applyFill="1"/>
    <xf numFmtId="165" fontId="9" fillId="0" borderId="0" xfId="0" applyNumberFormat="1" applyFont="1"/>
    <xf numFmtId="165" fontId="0" fillId="0" borderId="0" xfId="0" applyNumberFormat="1"/>
    <xf numFmtId="0" fontId="9" fillId="0" borderId="0" xfId="0" applyFont="1"/>
    <xf numFmtId="10" fontId="0" fillId="0" borderId="0" xfId="0" applyNumberFormat="1"/>
    <xf numFmtId="3" fontId="0" fillId="0" borderId="0" xfId="0" applyNumberFormat="1"/>
    <xf numFmtId="8" fontId="0" fillId="0" borderId="0" xfId="0" applyNumberFormat="1"/>
    <xf numFmtId="10" fontId="0" fillId="0" borderId="0" xfId="16" applyNumberFormat="1" applyFont="1"/>
    <xf numFmtId="2" fontId="0" fillId="0" borderId="0" xfId="0" applyNumberFormat="1"/>
    <xf numFmtId="9" fontId="0" fillId="0" borderId="0" xfId="16" applyFont="1"/>
    <xf numFmtId="166" fontId="0" fillId="0" borderId="0" xfId="0" applyNumberFormat="1"/>
    <xf numFmtId="1" fontId="0" fillId="0" borderId="0" xfId="0" applyNumberFormat="1"/>
    <xf numFmtId="167" fontId="0" fillId="0" borderId="0" xfId="0" applyNumberFormat="1"/>
    <xf numFmtId="167" fontId="0" fillId="0" borderId="0" xfId="16" applyNumberFormat="1" applyFont="1"/>
    <xf numFmtId="0" fontId="9" fillId="4" borderId="0" xfId="0" applyFont="1" applyFill="1"/>
    <xf numFmtId="0" fontId="11" fillId="2" borderId="6" xfId="4" applyFont="1" applyBorder="1">
      <alignment horizontal="right"/>
    </xf>
    <xf numFmtId="14" fontId="11" fillId="2" borderId="7" xfId="2" applyNumberFormat="1" applyFont="1" applyBorder="1">
      <alignment horizontal="right"/>
    </xf>
    <xf numFmtId="0" fontId="17" fillId="0" borderId="0" xfId="11" applyFont="1" applyFill="1" applyBorder="1"/>
    <xf numFmtId="0" fontId="15" fillId="0" borderId="0" xfId="11" applyFont="1" applyFill="1" applyBorder="1"/>
    <xf numFmtId="0" fontId="18" fillId="3" borderId="4" xfId="12" applyFont="1"/>
    <xf numFmtId="0" fontId="14" fillId="3" borderId="4" xfId="12" applyFont="1"/>
    <xf numFmtId="0" fontId="12" fillId="4" borderId="4" xfId="12" applyFont="1" applyFill="1"/>
    <xf numFmtId="166" fontId="0" fillId="0" borderId="0" xfId="16" applyNumberFormat="1" applyFont="1"/>
    <xf numFmtId="0" fontId="0" fillId="10" borderId="0" xfId="0" applyFill="1"/>
    <xf numFmtId="10" fontId="0" fillId="10" borderId="0" xfId="0" applyNumberFormat="1" applyFill="1"/>
    <xf numFmtId="2" fontId="0" fillId="10" borderId="0" xfId="0" applyNumberFormat="1" applyFill="1"/>
    <xf numFmtId="0" fontId="24" fillId="10" borderId="0" xfId="0" applyFont="1" applyFill="1"/>
    <xf numFmtId="0" fontId="17" fillId="10" borderId="0" xfId="0" applyFont="1" applyFill="1"/>
    <xf numFmtId="3" fontId="0" fillId="10" borderId="0" xfId="0" applyNumberFormat="1" applyFill="1"/>
    <xf numFmtId="0" fontId="9" fillId="10" borderId="0" xfId="0" applyFont="1" applyFill="1"/>
    <xf numFmtId="46" fontId="0" fillId="10" borderId="0" xfId="0" applyNumberFormat="1" applyFill="1"/>
    <xf numFmtId="0" fontId="0" fillId="10" borderId="0" xfId="0" applyFill="1" applyAlignment="1">
      <alignment horizontal="right"/>
    </xf>
    <xf numFmtId="166" fontId="0" fillId="10" borderId="0" xfId="0" applyNumberFormat="1" applyFill="1"/>
    <xf numFmtId="166" fontId="9" fillId="0" borderId="0" xfId="16" applyNumberFormat="1" applyFont="1"/>
    <xf numFmtId="0" fontId="0" fillId="0" borderId="0" xfId="0" applyAlignment="1">
      <alignment horizontal="right"/>
    </xf>
    <xf numFmtId="14" fontId="0" fillId="0" borderId="0" xfId="0" applyNumberFormat="1" applyAlignment="1">
      <alignment horizontal="right"/>
    </xf>
    <xf numFmtId="10" fontId="0" fillId="0" borderId="0" xfId="16" applyNumberFormat="1" applyFont="1" applyAlignment="1">
      <alignment horizontal="right"/>
    </xf>
    <xf numFmtId="166" fontId="9" fillId="0" borderId="0" xfId="16" applyNumberFormat="1" applyFont="1" applyAlignment="1">
      <alignment horizontal="right"/>
    </xf>
    <xf numFmtId="1" fontId="0" fillId="0" borderId="0" xfId="0" applyNumberFormat="1" applyAlignment="1">
      <alignment horizontal="right"/>
    </xf>
    <xf numFmtId="167" fontId="0" fillId="0" borderId="0" xfId="0" applyNumberFormat="1" applyAlignment="1">
      <alignment horizontal="right"/>
    </xf>
    <xf numFmtId="167" fontId="0" fillId="0" borderId="0" xfId="16" applyNumberFormat="1" applyFont="1" applyAlignment="1">
      <alignment horizontal="right"/>
    </xf>
    <xf numFmtId="9" fontId="0" fillId="0" borderId="0" xfId="16" applyFont="1" applyAlignment="1">
      <alignment horizontal="right"/>
    </xf>
    <xf numFmtId="165" fontId="9" fillId="4" borderId="0" xfId="0" applyNumberFormat="1" applyFont="1" applyFill="1"/>
    <xf numFmtId="2" fontId="9" fillId="4" borderId="0" xfId="0" applyNumberFormat="1" applyFont="1" applyFill="1"/>
    <xf numFmtId="168" fontId="0" fillId="0" borderId="0" xfId="16" applyNumberFormat="1" applyFont="1"/>
    <xf numFmtId="0" fontId="13" fillId="11" borderId="4" xfId="13" applyFont="1" applyFill="1"/>
    <xf numFmtId="168" fontId="14" fillId="11" borderId="2" xfId="16" applyNumberFormat="1" applyFont="1" applyFill="1" applyBorder="1" applyAlignment="1">
      <alignment horizontal="right"/>
    </xf>
    <xf numFmtId="168" fontId="14" fillId="3" borderId="2" xfId="16" applyNumberFormat="1" applyFont="1" applyFill="1" applyBorder="1" applyAlignment="1">
      <alignment horizontal="right"/>
    </xf>
    <xf numFmtId="168" fontId="13" fillId="0" borderId="0" xfId="16" applyNumberFormat="1" applyFont="1"/>
    <xf numFmtId="168" fontId="18" fillId="3" borderId="2" xfId="16" applyNumberFormat="1" applyFont="1" applyFill="1" applyBorder="1" applyAlignment="1">
      <alignment horizontal="right"/>
    </xf>
    <xf numFmtId="168" fontId="16" fillId="0" borderId="0" xfId="16" applyNumberFormat="1" applyFont="1"/>
    <xf numFmtId="168" fontId="12" fillId="4" borderId="2" xfId="16" applyNumberFormat="1" applyFont="1" applyFill="1" applyBorder="1" applyAlignment="1">
      <alignment horizontal="right"/>
    </xf>
    <xf numFmtId="168" fontId="12" fillId="0" borderId="0" xfId="16" applyNumberFormat="1" applyFont="1"/>
    <xf numFmtId="168" fontId="19" fillId="3" borderId="2" xfId="16" applyNumberFormat="1" applyFont="1" applyFill="1" applyBorder="1" applyAlignment="1">
      <alignment horizontal="right"/>
    </xf>
    <xf numFmtId="168" fontId="17" fillId="0" borderId="0" xfId="16" applyNumberFormat="1" applyFont="1"/>
    <xf numFmtId="168" fontId="12" fillId="3" borderId="2" xfId="16" applyNumberFormat="1" applyFont="1" applyFill="1" applyBorder="1" applyAlignment="1">
      <alignment horizontal="right"/>
    </xf>
    <xf numFmtId="168" fontId="15" fillId="0" borderId="0" xfId="16" applyNumberFormat="1" applyFont="1"/>
    <xf numFmtId="169" fontId="0" fillId="5" borderId="0" xfId="14" applyNumberFormat="1" applyFont="1" applyFill="1"/>
    <xf numFmtId="169" fontId="0" fillId="0" borderId="0" xfId="14" applyNumberFormat="1" applyFont="1"/>
    <xf numFmtId="169" fontId="21" fillId="4" borderId="0" xfId="14" applyNumberFormat="1" applyFont="1" applyFill="1"/>
    <xf numFmtId="169" fontId="21" fillId="0" borderId="0" xfId="14" applyNumberFormat="1" applyFont="1"/>
    <xf numFmtId="1" fontId="9" fillId="0" borderId="0" xfId="0" applyNumberFormat="1" applyFont="1"/>
    <xf numFmtId="0" fontId="9" fillId="11" borderId="0" xfId="0" applyFont="1" applyFill="1"/>
    <xf numFmtId="0" fontId="0" fillId="11" borderId="0" xfId="0" applyFill="1"/>
    <xf numFmtId="14" fontId="0" fillId="11" borderId="0" xfId="0" applyNumberFormat="1" applyFill="1"/>
    <xf numFmtId="44" fontId="0" fillId="0" borderId="0" xfId="15" applyFont="1"/>
    <xf numFmtId="44" fontId="0" fillId="0" borderId="0" xfId="0" applyNumberFormat="1"/>
    <xf numFmtId="169" fontId="0" fillId="0" borderId="0" xfId="14" applyNumberFormat="1" applyFont="1" applyAlignment="1">
      <alignment horizontal="center"/>
    </xf>
    <xf numFmtId="164" fontId="0" fillId="0" borderId="0" xfId="0" applyNumberFormat="1"/>
    <xf numFmtId="168" fontId="9" fillId="0" borderId="0" xfId="0" applyNumberFormat="1" applyFont="1"/>
    <xf numFmtId="164" fontId="9" fillId="0" borderId="0" xfId="0" applyNumberFormat="1" applyFont="1"/>
    <xf numFmtId="165" fontId="0" fillId="0" borderId="0" xfId="15" applyNumberFormat="1" applyFont="1" applyAlignment="1">
      <alignment horizontal="center"/>
    </xf>
    <xf numFmtId="10" fontId="0" fillId="0" borderId="10" xfId="16" applyNumberFormat="1" applyFont="1" applyBorder="1"/>
    <xf numFmtId="4" fontId="0" fillId="10" borderId="0" xfId="0" applyNumberFormat="1" applyFill="1"/>
    <xf numFmtId="170" fontId="12" fillId="3" borderId="2" xfId="9" applyNumberFormat="1" applyFont="1">
      <alignment horizontal="right"/>
    </xf>
    <xf numFmtId="0" fontId="16" fillId="0" borderId="0" xfId="0" applyFont="1"/>
    <xf numFmtId="168" fontId="14" fillId="0" borderId="0" xfId="16" applyNumberFormat="1" applyFont="1" applyAlignment="1">
      <alignment horizontal="right"/>
    </xf>
    <xf numFmtId="14" fontId="11" fillId="2" borderId="6" xfId="4" applyNumberFormat="1" applyFont="1" applyBorder="1">
      <alignment horizontal="right"/>
    </xf>
    <xf numFmtId="10" fontId="14" fillId="0" borderId="0" xfId="16" applyNumberFormat="1" applyFont="1" applyAlignment="1">
      <alignment horizontal="right"/>
    </xf>
    <xf numFmtId="10" fontId="13" fillId="0" borderId="0" xfId="16" applyNumberFormat="1" applyFont="1"/>
    <xf numFmtId="10" fontId="16" fillId="0" borderId="0" xfId="16" applyNumberFormat="1" applyFont="1"/>
    <xf numFmtId="0" fontId="9" fillId="13" borderId="0" xfId="0" applyFont="1" applyFill="1"/>
    <xf numFmtId="44" fontId="9" fillId="13" borderId="0" xfId="15" applyFont="1" applyFill="1"/>
    <xf numFmtId="10" fontId="25" fillId="4" borderId="0" xfId="0" applyNumberFormat="1" applyFont="1" applyFill="1"/>
    <xf numFmtId="0" fontId="11" fillId="0" borderId="0" xfId="4" applyFont="1" applyFill="1" applyBorder="1">
      <alignment horizontal="right"/>
    </xf>
    <xf numFmtId="14" fontId="11" fillId="0" borderId="0" xfId="2" applyNumberFormat="1" applyFont="1" applyFill="1" applyBorder="1">
      <alignment horizontal="right"/>
    </xf>
    <xf numFmtId="3" fontId="12" fillId="0" borderId="0" xfId="9" applyFont="1" applyFill="1" applyBorder="1">
      <alignment horizontal="right"/>
    </xf>
    <xf numFmtId="171" fontId="14" fillId="0" borderId="0" xfId="7" applyNumberFormat="1" applyFont="1" applyFill="1" applyBorder="1">
      <alignment horizontal="right"/>
    </xf>
    <xf numFmtId="171" fontId="18" fillId="0" borderId="0" xfId="7" applyNumberFormat="1" applyFont="1" applyFill="1" applyBorder="1">
      <alignment horizontal="right"/>
    </xf>
    <xf numFmtId="171" fontId="16" fillId="0" borderId="0" xfId="7" applyNumberFormat="1" applyFont="1" applyFill="1" applyBorder="1">
      <alignment horizontal="right"/>
    </xf>
    <xf numFmtId="171" fontId="12" fillId="0" borderId="0" xfId="7" applyNumberFormat="1" applyFont="1" applyFill="1" applyBorder="1">
      <alignment horizontal="right"/>
    </xf>
    <xf numFmtId="171" fontId="19" fillId="0" borderId="0" xfId="7" applyNumberFormat="1" applyFont="1" applyFill="1" applyBorder="1">
      <alignment horizontal="right"/>
    </xf>
    <xf numFmtId="171" fontId="19" fillId="0" borderId="0" xfId="9" applyNumberFormat="1" applyFont="1" applyFill="1" applyBorder="1">
      <alignment horizontal="right"/>
    </xf>
    <xf numFmtId="164" fontId="16" fillId="0" borderId="0" xfId="7" applyFont="1" applyFill="1" applyBorder="1">
      <alignment horizontal="right"/>
    </xf>
    <xf numFmtId="164" fontId="12" fillId="0" borderId="0" xfId="7" applyFont="1" applyFill="1" applyBorder="1">
      <alignment horizontal="right"/>
    </xf>
    <xf numFmtId="171" fontId="19" fillId="0" borderId="0" xfId="0" applyNumberFormat="1" applyFont="1"/>
    <xf numFmtId="14" fontId="11" fillId="0" borderId="0" xfId="4" applyNumberFormat="1" applyFont="1" applyFill="1" applyBorder="1">
      <alignment horizontal="right"/>
    </xf>
    <xf numFmtId="10" fontId="18" fillId="0" borderId="0" xfId="16" applyNumberFormat="1" applyFont="1" applyAlignment="1">
      <alignment horizontal="right"/>
    </xf>
    <xf numFmtId="10" fontId="12" fillId="0" borderId="0" xfId="16" applyNumberFormat="1" applyFont="1" applyAlignment="1">
      <alignment horizontal="right"/>
    </xf>
    <xf numFmtId="10" fontId="19" fillId="0" borderId="0" xfId="16" applyNumberFormat="1" applyFont="1" applyAlignment="1">
      <alignment horizontal="right"/>
    </xf>
    <xf numFmtId="10" fontId="16" fillId="0" borderId="0" xfId="16" applyNumberFormat="1" applyFont="1" applyAlignment="1">
      <alignment horizontal="right"/>
    </xf>
    <xf numFmtId="4" fontId="14" fillId="0" borderId="0" xfId="7" applyNumberFormat="1" applyFont="1" applyFill="1" applyBorder="1">
      <alignment horizontal="right"/>
    </xf>
    <xf numFmtId="171" fontId="12" fillId="0" borderId="0" xfId="9" applyNumberFormat="1" applyFont="1" applyFill="1" applyBorder="1">
      <alignment horizontal="right"/>
    </xf>
    <xf numFmtId="10" fontId="20" fillId="0" borderId="0" xfId="16" applyNumberFormat="1" applyFont="1" applyAlignment="1">
      <alignment horizontal="right"/>
    </xf>
    <xf numFmtId="4" fontId="12" fillId="0" borderId="0" xfId="7" applyNumberFormat="1" applyFont="1" applyFill="1" applyBorder="1">
      <alignment horizontal="right"/>
    </xf>
    <xf numFmtId="164" fontId="12" fillId="0" borderId="0" xfId="10" applyFont="1" applyFill="1" applyBorder="1">
      <alignment horizontal="right"/>
    </xf>
    <xf numFmtId="164" fontId="14" fillId="0" borderId="0" xfId="10" applyFont="1" applyFill="1" applyBorder="1">
      <alignment horizontal="right"/>
    </xf>
    <xf numFmtId="170" fontId="18" fillId="0" borderId="0" xfId="10" applyNumberFormat="1" applyFont="1" applyFill="1" applyBorder="1">
      <alignment horizontal="right"/>
    </xf>
    <xf numFmtId="170" fontId="19" fillId="0" borderId="0" xfId="10" applyNumberFormat="1" applyFont="1" applyFill="1" applyBorder="1">
      <alignment horizontal="right"/>
    </xf>
    <xf numFmtId="164" fontId="16" fillId="0" borderId="0" xfId="10" applyFont="1" applyFill="1" applyBorder="1">
      <alignment horizontal="right"/>
    </xf>
    <xf numFmtId="170" fontId="20" fillId="0" borderId="0" xfId="10" applyNumberFormat="1" applyFont="1" applyFill="1" applyBorder="1">
      <alignment horizontal="right"/>
    </xf>
    <xf numFmtId="170" fontId="12" fillId="0" borderId="0" xfId="10" applyNumberFormat="1" applyFont="1" applyFill="1" applyBorder="1">
      <alignment horizontal="right"/>
    </xf>
    <xf numFmtId="43" fontId="0" fillId="0" borderId="0" xfId="14" applyFont="1"/>
    <xf numFmtId="170" fontId="0" fillId="0" borderId="0" xfId="0" applyNumberFormat="1"/>
    <xf numFmtId="168" fontId="18" fillId="0" borderId="0" xfId="16" applyNumberFormat="1" applyFont="1" applyAlignment="1">
      <alignment horizontal="right"/>
    </xf>
    <xf numFmtId="168" fontId="12" fillId="0" borderId="0" xfId="16" applyNumberFormat="1" applyFont="1" applyAlignment="1">
      <alignment horizontal="right"/>
    </xf>
    <xf numFmtId="168" fontId="19" fillId="0" borderId="0" xfId="16" applyNumberFormat="1" applyFont="1" applyAlignment="1">
      <alignment horizontal="right"/>
    </xf>
    <xf numFmtId="2" fontId="9" fillId="0" borderId="0" xfId="0" applyNumberFormat="1" applyFont="1"/>
    <xf numFmtId="4" fontId="0" fillId="0" borderId="0" xfId="0" applyNumberFormat="1"/>
    <xf numFmtId="10" fontId="9" fillId="0" borderId="0" xfId="0" applyNumberFormat="1" applyFont="1"/>
    <xf numFmtId="172" fontId="0" fillId="0" borderId="0" xfId="0" applyNumberFormat="1"/>
    <xf numFmtId="172" fontId="0" fillId="0" borderId="0" xfId="0" applyNumberFormat="1" applyAlignment="1">
      <alignment horizontal="right"/>
    </xf>
    <xf numFmtId="0" fontId="8" fillId="0" borderId="0" xfId="0" applyFont="1"/>
    <xf numFmtId="0" fontId="26" fillId="14" borderId="14" xfId="0" applyFont="1" applyFill="1" applyBorder="1" applyAlignment="1">
      <alignment vertical="center" wrapText="1"/>
    </xf>
    <xf numFmtId="169" fontId="26" fillId="14" borderId="0" xfId="14" applyNumberFormat="1" applyFont="1" applyFill="1" applyAlignment="1">
      <alignment horizontal="center" vertical="center" wrapText="1"/>
    </xf>
    <xf numFmtId="168" fontId="27" fillId="15" borderId="0" xfId="16" applyNumberFormat="1" applyFont="1" applyFill="1" applyAlignment="1">
      <alignment vertical="center" wrapText="1"/>
    </xf>
    <xf numFmtId="168" fontId="27" fillId="3" borderId="0" xfId="16" applyNumberFormat="1" applyFont="1" applyFill="1" applyAlignment="1">
      <alignment horizontal="center" vertical="center"/>
    </xf>
    <xf numFmtId="0" fontId="26" fillId="15" borderId="15" xfId="14" applyNumberFormat="1" applyFont="1" applyFill="1" applyBorder="1" applyAlignment="1">
      <alignment horizontal="right" vertical="center" indent="2"/>
    </xf>
    <xf numFmtId="0" fontId="26" fillId="14" borderId="0" xfId="0" applyFont="1" applyFill="1" applyAlignment="1">
      <alignment vertical="center" wrapText="1"/>
    </xf>
    <xf numFmtId="168" fontId="27" fillId="3" borderId="0" xfId="16" applyNumberFormat="1" applyFont="1" applyFill="1" applyAlignment="1">
      <alignment vertical="center"/>
    </xf>
    <xf numFmtId="168" fontId="27" fillId="15" borderId="0" xfId="16" applyNumberFormat="1" applyFont="1" applyFill="1" applyAlignment="1">
      <alignment vertical="center"/>
    </xf>
    <xf numFmtId="168" fontId="26" fillId="3" borderId="15" xfId="16" applyNumberFormat="1" applyFont="1" applyFill="1" applyBorder="1" applyAlignment="1">
      <alignment vertical="center"/>
    </xf>
    <xf numFmtId="14" fontId="26" fillId="15" borderId="0" xfId="14" applyNumberFormat="1" applyFont="1" applyFill="1" applyAlignment="1">
      <alignment vertical="center"/>
    </xf>
    <xf numFmtId="44" fontId="26" fillId="3" borderId="15" xfId="15" applyFont="1" applyFill="1" applyBorder="1" applyAlignment="1">
      <alignment horizontal="center" vertical="center"/>
    </xf>
    <xf numFmtId="44" fontId="27" fillId="15" borderId="0" xfId="15" applyFont="1" applyFill="1" applyAlignment="1">
      <alignment vertical="center"/>
    </xf>
    <xf numFmtId="44" fontId="27" fillId="3" borderId="0" xfId="15" applyFont="1" applyFill="1" applyAlignment="1">
      <alignment vertical="center"/>
    </xf>
    <xf numFmtId="44" fontId="26" fillId="3" borderId="15" xfId="15" applyFont="1" applyFill="1" applyBorder="1" applyAlignment="1">
      <alignment vertical="center"/>
    </xf>
    <xf numFmtId="14" fontId="26" fillId="14" borderId="0" xfId="14" applyNumberFormat="1" applyFont="1" applyFill="1" applyAlignment="1">
      <alignment horizontal="center" vertical="center" wrapText="1"/>
    </xf>
    <xf numFmtId="44" fontId="27" fillId="15" borderId="0" xfId="15" applyFont="1" applyFill="1" applyAlignment="1">
      <alignment vertical="center" wrapText="1"/>
    </xf>
    <xf numFmtId="44" fontId="27" fillId="15" borderId="0" xfId="15" applyFont="1" applyFill="1" applyAlignment="1">
      <alignment horizontal="center" vertical="center"/>
    </xf>
    <xf numFmtId="44" fontId="26" fillId="15" borderId="15" xfId="15" applyFont="1" applyFill="1" applyBorder="1" applyAlignment="1">
      <alignment horizontal="center" vertical="center"/>
    </xf>
    <xf numFmtId="0" fontId="26" fillId="14" borderId="13" xfId="0" applyFont="1" applyFill="1" applyBorder="1" applyAlignment="1">
      <alignment horizontal="center" vertical="center" wrapText="1"/>
    </xf>
    <xf numFmtId="0" fontId="26" fillId="14" borderId="16" xfId="0" applyFont="1" applyFill="1" applyBorder="1" applyAlignment="1">
      <alignment horizontal="center" vertical="center" wrapText="1"/>
    </xf>
    <xf numFmtId="171" fontId="12" fillId="0" borderId="0" xfId="10" applyNumberFormat="1" applyFont="1" applyFill="1" applyBorder="1">
      <alignment horizontal="right"/>
    </xf>
    <xf numFmtId="164" fontId="18" fillId="3" borderId="2" xfId="7" applyFont="1">
      <alignment horizontal="right"/>
    </xf>
    <xf numFmtId="164" fontId="19" fillId="3" borderId="2" xfId="7" applyFont="1">
      <alignment horizontal="right"/>
    </xf>
    <xf numFmtId="164" fontId="19" fillId="3" borderId="2" xfId="9" applyNumberFormat="1" applyFont="1">
      <alignment horizontal="right"/>
    </xf>
    <xf numFmtId="164" fontId="12" fillId="3" borderId="2" xfId="9" applyNumberFormat="1" applyFont="1">
      <alignment horizontal="right"/>
    </xf>
    <xf numFmtId="164" fontId="12" fillId="4" borderId="2" xfId="10" applyFont="1" applyFill="1">
      <alignment horizontal="right"/>
    </xf>
    <xf numFmtId="164" fontId="12" fillId="3" borderId="2" xfId="10" applyFont="1">
      <alignment horizontal="right"/>
    </xf>
    <xf numFmtId="0" fontId="25" fillId="0" borderId="0" xfId="3" applyFont="1" applyFill="1">
      <alignment horizontal="center"/>
    </xf>
    <xf numFmtId="0" fontId="8" fillId="3" borderId="4" xfId="13" applyFont="1"/>
    <xf numFmtId="164" fontId="8" fillId="3" borderId="2" xfId="10" applyFont="1">
      <alignment horizontal="right"/>
    </xf>
    <xf numFmtId="0" fontId="8" fillId="11" borderId="4" xfId="13" applyFont="1" applyFill="1"/>
    <xf numFmtId="164" fontId="8" fillId="11" borderId="2" xfId="7" applyFont="1" applyFill="1">
      <alignment horizontal="right"/>
    </xf>
    <xf numFmtId="0" fontId="8" fillId="3" borderId="4" xfId="11" applyFont="1"/>
    <xf numFmtId="0" fontId="8" fillId="0" borderId="4" xfId="13" applyFont="1" applyFill="1"/>
    <xf numFmtId="0" fontId="9" fillId="3" borderId="4" xfId="12" applyFont="1"/>
    <xf numFmtId="164" fontId="9" fillId="3" borderId="2" xfId="10" applyFont="1">
      <alignment horizontal="right"/>
    </xf>
    <xf numFmtId="0" fontId="9" fillId="4" borderId="4" xfId="12" applyFont="1" applyFill="1"/>
    <xf numFmtId="164" fontId="9" fillId="4" borderId="2" xfId="10" applyFont="1" applyFill="1">
      <alignment horizontal="right"/>
    </xf>
    <xf numFmtId="0" fontId="8" fillId="9" borderId="4" xfId="13" applyFont="1" applyFill="1"/>
    <xf numFmtId="164" fontId="8" fillId="9" borderId="2" xfId="7" applyFont="1" applyFill="1">
      <alignment horizontal="right"/>
    </xf>
    <xf numFmtId="0" fontId="9" fillId="9" borderId="4" xfId="12" applyFont="1" applyFill="1"/>
    <xf numFmtId="171" fontId="9" fillId="9" borderId="2" xfId="7" applyNumberFormat="1" applyFont="1" applyFill="1">
      <alignment horizontal="right"/>
    </xf>
    <xf numFmtId="171" fontId="9" fillId="3" borderId="2" xfId="7" applyNumberFormat="1" applyFont="1">
      <alignment horizontal="right"/>
    </xf>
    <xf numFmtId="3" fontId="9" fillId="3" borderId="2" xfId="9" applyFont="1">
      <alignment horizontal="right"/>
    </xf>
    <xf numFmtId="170" fontId="9" fillId="3" borderId="2" xfId="9" applyNumberFormat="1" applyFont="1">
      <alignment horizontal="right"/>
    </xf>
    <xf numFmtId="164" fontId="8" fillId="3" borderId="2" xfId="7" applyFont="1">
      <alignment horizontal="right"/>
    </xf>
    <xf numFmtId="170" fontId="8" fillId="0" borderId="0" xfId="0" applyNumberFormat="1" applyFont="1"/>
    <xf numFmtId="0" fontId="9" fillId="0" borderId="0" xfId="13" applyFont="1" applyFill="1" applyBorder="1"/>
    <xf numFmtId="3" fontId="9" fillId="0" borderId="0" xfId="9" applyFont="1" applyFill="1" applyBorder="1">
      <alignment horizontal="right"/>
    </xf>
    <xf numFmtId="171" fontId="8" fillId="0" borderId="0" xfId="7" applyNumberFormat="1" applyFont="1" applyFill="1" applyBorder="1">
      <alignment horizontal="right"/>
    </xf>
    <xf numFmtId="0" fontId="8" fillId="0" borderId="0" xfId="13" applyFont="1" applyFill="1" applyBorder="1"/>
    <xf numFmtId="164" fontId="8" fillId="0" borderId="0" xfId="7" applyFont="1" applyFill="1" applyBorder="1">
      <alignment horizontal="right"/>
    </xf>
    <xf numFmtId="164" fontId="9" fillId="4" borderId="2" xfId="7" applyFont="1" applyFill="1">
      <alignment horizontal="right"/>
    </xf>
    <xf numFmtId="164" fontId="9" fillId="3" borderId="2" xfId="9" applyNumberFormat="1" applyFont="1">
      <alignment horizontal="right"/>
    </xf>
    <xf numFmtId="164" fontId="9" fillId="3" borderId="2" xfId="7" applyFont="1">
      <alignment horizontal="right"/>
    </xf>
    <xf numFmtId="171" fontId="9" fillId="0" borderId="0" xfId="7" applyNumberFormat="1" applyFont="1" applyFill="1" applyBorder="1">
      <alignment horizontal="right"/>
    </xf>
    <xf numFmtId="4" fontId="8" fillId="0" borderId="0" xfId="7" applyNumberFormat="1" applyFont="1" applyFill="1" applyBorder="1">
      <alignment horizontal="right"/>
    </xf>
    <xf numFmtId="0" fontId="25" fillId="4" borderId="0" xfId="0" applyFont="1" applyFill="1"/>
    <xf numFmtId="165" fontId="0" fillId="4" borderId="0" xfId="17" applyNumberFormat="1" applyFont="1" applyFill="1"/>
    <xf numFmtId="0" fontId="0" fillId="4" borderId="0" xfId="0" applyFill="1"/>
    <xf numFmtId="0" fontId="0" fillId="6" borderId="0" xfId="0" applyFill="1"/>
    <xf numFmtId="2" fontId="0" fillId="6" borderId="0" xfId="0" applyNumberFormat="1" applyFill="1"/>
    <xf numFmtId="1" fontId="0" fillId="6" borderId="0" xfId="0" applyNumberFormat="1" applyFill="1" applyAlignment="1">
      <alignment wrapText="1"/>
    </xf>
    <xf numFmtId="2" fontId="0" fillId="6" borderId="0" xfId="0" applyNumberFormat="1" applyFill="1" applyAlignment="1">
      <alignment wrapText="1"/>
    </xf>
    <xf numFmtId="2" fontId="0" fillId="7" borderId="0" xfId="0" applyNumberFormat="1" applyFill="1"/>
    <xf numFmtId="0" fontId="10" fillId="8" borderId="0" xfId="0" applyFont="1" applyFill="1"/>
    <xf numFmtId="0" fontId="10" fillId="8" borderId="5" xfId="0" applyFont="1" applyFill="1" applyBorder="1"/>
    <xf numFmtId="1" fontId="10" fillId="8" borderId="0" xfId="0" applyNumberFormat="1" applyFont="1" applyFill="1"/>
    <xf numFmtId="169" fontId="10" fillId="8" borderId="0" xfId="0" applyNumberFormat="1" applyFont="1" applyFill="1"/>
    <xf numFmtId="169" fontId="10" fillId="8" borderId="0" xfId="14" applyNumberFormat="1" applyFont="1" applyFill="1"/>
    <xf numFmtId="10" fontId="10" fillId="8" borderId="0" xfId="0" applyNumberFormat="1" applyFont="1" applyFill="1"/>
    <xf numFmtId="2" fontId="10" fillId="8" borderId="0" xfId="0" applyNumberFormat="1" applyFont="1" applyFill="1" applyAlignment="1">
      <alignment horizontal="right"/>
    </xf>
    <xf numFmtId="166" fontId="10" fillId="8" borderId="0" xfId="0" applyNumberFormat="1" applyFont="1" applyFill="1"/>
    <xf numFmtId="9" fontId="10" fillId="8" borderId="0" xfId="16" applyFont="1" applyFill="1"/>
    <xf numFmtId="9" fontId="10" fillId="8" borderId="0" xfId="0" applyNumberFormat="1" applyFont="1" applyFill="1"/>
    <xf numFmtId="44" fontId="10" fillId="8" borderId="0" xfId="0" applyNumberFormat="1" applyFont="1" applyFill="1"/>
    <xf numFmtId="0" fontId="16" fillId="4" borderId="0" xfId="0" applyFont="1" applyFill="1"/>
    <xf numFmtId="0" fontId="0" fillId="0" borderId="0" xfId="0" applyAlignment="1">
      <alignment wrapText="1"/>
    </xf>
    <xf numFmtId="0" fontId="0" fillId="0" borderId="0" xfId="0" applyAlignment="1">
      <alignment horizontal="center" vertical="center"/>
    </xf>
    <xf numFmtId="0" fontId="16" fillId="0" borderId="0" xfId="3" applyFont="1" applyFill="1" applyAlignment="1">
      <alignment horizontal="center" vertical="center"/>
    </xf>
    <xf numFmtId="172" fontId="0" fillId="0" borderId="10" xfId="0" applyNumberFormat="1" applyBorder="1"/>
    <xf numFmtId="166" fontId="0" fillId="0" borderId="0" xfId="15" applyNumberFormat="1" applyFont="1"/>
    <xf numFmtId="0" fontId="9" fillId="0" borderId="0" xfId="0" applyFont="1" applyAlignment="1">
      <alignment horizontal="center" vertical="center" wrapText="1"/>
    </xf>
    <xf numFmtId="0" fontId="9" fillId="0" borderId="0" xfId="0" applyFont="1" applyAlignment="1">
      <alignment horizontal="center" vertical="center"/>
    </xf>
    <xf numFmtId="0" fontId="9" fillId="0" borderId="8" xfId="0" applyFont="1" applyBorder="1" applyAlignment="1">
      <alignment horizontal="center" vertical="center" wrapText="1"/>
    </xf>
    <xf numFmtId="164" fontId="8" fillId="0" borderId="0" xfId="10" applyFont="1" applyFill="1" applyBorder="1">
      <alignment horizontal="right"/>
    </xf>
    <xf numFmtId="165" fontId="0" fillId="0" borderId="0" xfId="0" quotePrefix="1" applyNumberFormat="1"/>
    <xf numFmtId="0" fontId="29" fillId="4" borderId="0" xfId="0" applyFont="1" applyFill="1"/>
    <xf numFmtId="0" fontId="29" fillId="0" borderId="0" xfId="0" applyFont="1"/>
    <xf numFmtId="0" fontId="29" fillId="0" borderId="0" xfId="0" applyFont="1" applyAlignment="1">
      <alignment wrapText="1"/>
    </xf>
    <xf numFmtId="0" fontId="29" fillId="12" borderId="6" xfId="0" applyFont="1" applyFill="1" applyBorder="1"/>
    <xf numFmtId="0" fontId="29" fillId="12" borderId="4" xfId="0" applyFont="1" applyFill="1" applyBorder="1"/>
    <xf numFmtId="168" fontId="0" fillId="0" borderId="0" xfId="16" applyNumberFormat="1" applyFont="1" applyAlignment="1">
      <alignment horizontal="right"/>
    </xf>
    <xf numFmtId="168" fontId="0" fillId="0" borderId="0" xfId="0" applyNumberFormat="1"/>
    <xf numFmtId="0" fontId="0" fillId="0" borderId="20" xfId="0" applyBorder="1"/>
    <xf numFmtId="0" fontId="0" fillId="0" borderId="21" xfId="0" applyBorder="1"/>
    <xf numFmtId="9" fontId="0" fillId="0" borderId="0" xfId="0" applyNumberFormat="1"/>
    <xf numFmtId="2" fontId="0" fillId="0" borderId="22" xfId="0" applyNumberFormat="1" applyBorder="1"/>
    <xf numFmtId="166" fontId="0" fillId="0" borderId="22" xfId="0" applyNumberFormat="1" applyBorder="1"/>
    <xf numFmtId="166" fontId="0" fillId="0" borderId="0" xfId="14" applyNumberFormat="1" applyFont="1"/>
    <xf numFmtId="166" fontId="8" fillId="0" borderId="0" xfId="14" applyNumberFormat="1"/>
    <xf numFmtId="166" fontId="8" fillId="0" borderId="0" xfId="0" applyNumberFormat="1" applyFont="1"/>
    <xf numFmtId="167" fontId="8" fillId="0" borderId="0" xfId="15" applyNumberFormat="1" applyAlignment="1">
      <alignment horizontal="center"/>
    </xf>
    <xf numFmtId="166" fontId="0" fillId="0" borderId="10" xfId="0" applyNumberFormat="1" applyBorder="1"/>
    <xf numFmtId="166" fontId="0" fillId="0" borderId="10" xfId="15" applyNumberFormat="1" applyFont="1" applyBorder="1"/>
    <xf numFmtId="173" fontId="29" fillId="0" borderId="0" xfId="18" applyNumberFormat="1" applyFont="1"/>
    <xf numFmtId="10" fontId="29" fillId="0" borderId="0" xfId="18" applyNumberFormat="1" applyFont="1"/>
    <xf numFmtId="164" fontId="19" fillId="3" borderId="2" xfId="10" applyFont="1">
      <alignment horizontal="right"/>
    </xf>
    <xf numFmtId="164" fontId="20" fillId="3" borderId="2" xfId="10" applyFont="1">
      <alignment horizontal="right"/>
    </xf>
    <xf numFmtId="168" fontId="20" fillId="3" borderId="2" xfId="16" applyNumberFormat="1" applyFont="1" applyFill="1" applyBorder="1" applyAlignment="1">
      <alignment horizontal="right"/>
    </xf>
    <xf numFmtId="165" fontId="0" fillId="0" borderId="0" xfId="0" applyNumberFormat="1" applyAlignment="1">
      <alignment horizontal="right"/>
    </xf>
    <xf numFmtId="4" fontId="8" fillId="0" borderId="0" xfId="14" applyNumberFormat="1"/>
    <xf numFmtId="167" fontId="0" fillId="0" borderId="21" xfId="0" applyNumberFormat="1" applyBorder="1"/>
    <xf numFmtId="166" fontId="0" fillId="0" borderId="21" xfId="0" applyNumberFormat="1" applyBorder="1"/>
    <xf numFmtId="44" fontId="8" fillId="0" borderId="0" xfId="15"/>
    <xf numFmtId="174" fontId="8" fillId="4" borderId="0" xfId="16" applyNumberFormat="1" applyFill="1"/>
    <xf numFmtId="6" fontId="0" fillId="0" borderId="0" xfId="0" applyNumberFormat="1"/>
    <xf numFmtId="1" fontId="0" fillId="0" borderId="0" xfId="14" applyNumberFormat="1" applyFont="1"/>
    <xf numFmtId="0" fontId="9" fillId="0" borderId="12" xfId="0" applyFont="1" applyBorder="1"/>
    <xf numFmtId="44" fontId="28" fillId="0" borderId="18" xfId="0" applyNumberFormat="1" applyFont="1" applyBorder="1"/>
    <xf numFmtId="175" fontId="28" fillId="0" borderId="17" xfId="0" applyNumberFormat="1" applyFont="1" applyBorder="1"/>
    <xf numFmtId="172" fontId="29" fillId="0" borderId="0" xfId="18" applyNumberFormat="1" applyFont="1"/>
    <xf numFmtId="9" fontId="0" fillId="4" borderId="22" xfId="0" applyNumberFormat="1" applyFill="1" applyBorder="1"/>
    <xf numFmtId="0" fontId="9" fillId="0" borderId="19" xfId="0" applyFont="1" applyBorder="1"/>
    <xf numFmtId="164" fontId="9" fillId="0" borderId="0" xfId="0" applyNumberFormat="1" applyFont="1" applyAlignment="1">
      <alignment horizontal="right"/>
    </xf>
    <xf numFmtId="164" fontId="0" fillId="11" borderId="0" xfId="0" applyNumberFormat="1" applyFill="1"/>
    <xf numFmtId="168" fontId="0" fillId="10" borderId="0" xfId="0" applyNumberFormat="1" applyFill="1"/>
    <xf numFmtId="164" fontId="0" fillId="10" borderId="0" xfId="0" applyNumberFormat="1" applyFill="1"/>
    <xf numFmtId="164" fontId="9" fillId="4" borderId="0" xfId="0" applyNumberFormat="1" applyFont="1" applyFill="1"/>
    <xf numFmtId="172" fontId="0" fillId="0" borderId="0" xfId="14" applyNumberFormat="1" applyFont="1"/>
    <xf numFmtId="0" fontId="10" fillId="8" borderId="5" xfId="15" applyNumberFormat="1" applyFont="1" applyFill="1" applyBorder="1"/>
    <xf numFmtId="167" fontId="9" fillId="9" borderId="0" xfId="0" applyNumberFormat="1" applyFont="1" applyFill="1"/>
    <xf numFmtId="166" fontId="9" fillId="9" borderId="0" xfId="0" applyNumberFormat="1" applyFont="1" applyFill="1"/>
    <xf numFmtId="10" fontId="9" fillId="9" borderId="0" xfId="16" applyNumberFormat="1" applyFont="1" applyFill="1"/>
    <xf numFmtId="176" fontId="0" fillId="0" borderId="0" xfId="0" applyNumberFormat="1"/>
    <xf numFmtId="0" fontId="9" fillId="9" borderId="9" xfId="0" applyFont="1" applyFill="1" applyBorder="1" applyAlignment="1">
      <alignment horizontal="center" vertical="center" wrapText="1"/>
    </xf>
    <xf numFmtId="10" fontId="0" fillId="9" borderId="11" xfId="16" applyNumberFormat="1" applyFont="1" applyFill="1" applyBorder="1"/>
    <xf numFmtId="1" fontId="10" fillId="8" borderId="0" xfId="0" applyNumberFormat="1" applyFont="1" applyFill="1" applyAlignment="1">
      <alignment horizontal="right"/>
    </xf>
    <xf numFmtId="0" fontId="0" fillId="0" borderId="4" xfId="12" applyFont="1" applyFill="1"/>
    <xf numFmtId="0" fontId="8" fillId="0" borderId="4" xfId="12" applyFont="1" applyFill="1"/>
    <xf numFmtId="0" fontId="8" fillId="11" borderId="2" xfId="13" applyFont="1" applyFill="1" applyBorder="1"/>
    <xf numFmtId="0" fontId="8" fillId="3" borderId="2" xfId="13" applyFont="1" applyBorder="1"/>
    <xf numFmtId="0" fontId="18" fillId="3" borderId="2" xfId="13" applyFont="1" applyBorder="1"/>
    <xf numFmtId="0" fontId="9" fillId="4" borderId="2" xfId="12" applyFont="1" applyFill="1" applyBorder="1"/>
    <xf numFmtId="0" fontId="19" fillId="3" borderId="2" xfId="12" applyFont="1" applyBorder="1"/>
    <xf numFmtId="0" fontId="8" fillId="3" borderId="2" xfId="11" applyFont="1" applyBorder="1"/>
    <xf numFmtId="0" fontId="20" fillId="3" borderId="2" xfId="11" applyFont="1" applyBorder="1"/>
    <xf numFmtId="0" fontId="8" fillId="0" borderId="2" xfId="12" applyFont="1" applyFill="1" applyBorder="1"/>
    <xf numFmtId="0" fontId="9" fillId="3" borderId="2" xfId="12" applyFont="1" applyBorder="1"/>
    <xf numFmtId="0" fontId="8" fillId="3" borderId="1" xfId="13" applyFont="1" applyBorder="1"/>
    <xf numFmtId="0" fontId="8" fillId="0" borderId="7" xfId="13" applyFont="1" applyFill="1" applyBorder="1"/>
    <xf numFmtId="164" fontId="8" fillId="3" borderId="1" xfId="7" applyFont="1" applyBorder="1">
      <alignment horizontal="right"/>
    </xf>
    <xf numFmtId="171" fontId="9" fillId="0" borderId="25" xfId="0" applyNumberFormat="1" applyFont="1" applyBorder="1"/>
    <xf numFmtId="0" fontId="8" fillId="3" borderId="7" xfId="13" applyFont="1" applyBorder="1"/>
    <xf numFmtId="164" fontId="9" fillId="3" borderId="1" xfId="7" applyFont="1" applyBorder="1">
      <alignment horizontal="right"/>
    </xf>
    <xf numFmtId="173" fontId="29" fillId="10" borderId="0" xfId="18" applyNumberFormat="1" applyFont="1" applyFill="1"/>
    <xf numFmtId="172" fontId="29" fillId="10" borderId="0" xfId="18" applyNumberFormat="1" applyFont="1" applyFill="1"/>
    <xf numFmtId="10" fontId="29" fillId="10" borderId="0" xfId="18" applyNumberFormat="1" applyFont="1" applyFill="1"/>
    <xf numFmtId="0" fontId="29" fillId="12" borderId="0" xfId="0" applyFont="1" applyFill="1"/>
    <xf numFmtId="168" fontId="9" fillId="0" borderId="0" xfId="16" applyNumberFormat="1" applyFont="1" applyAlignment="1">
      <alignment horizontal="right"/>
    </xf>
    <xf numFmtId="0" fontId="18" fillId="3" borderId="2" xfId="10" applyNumberFormat="1" applyFont="1">
      <alignment horizontal="right"/>
    </xf>
    <xf numFmtId="0" fontId="19" fillId="3" borderId="2" xfId="9" applyNumberFormat="1" applyFont="1">
      <alignment horizontal="right"/>
    </xf>
    <xf numFmtId="0" fontId="0" fillId="0" borderId="0" xfId="16" applyNumberFormat="1" applyFont="1"/>
    <xf numFmtId="172" fontId="0" fillId="0" borderId="0" xfId="16" applyNumberFormat="1" applyFont="1"/>
    <xf numFmtId="0" fontId="9" fillId="16" borderId="0" xfId="0" applyFont="1" applyFill="1"/>
    <xf numFmtId="9" fontId="9" fillId="16" borderId="0" xfId="0" applyNumberFormat="1" applyFont="1" applyFill="1"/>
    <xf numFmtId="0" fontId="9" fillId="17" borderId="0" xfId="0" applyFont="1" applyFill="1"/>
    <xf numFmtId="166" fontId="9" fillId="17" borderId="0" xfId="0" applyNumberFormat="1" applyFont="1" applyFill="1"/>
    <xf numFmtId="165" fontId="18" fillId="3" borderId="2" xfId="7" applyNumberFormat="1" applyFont="1">
      <alignment horizontal="right"/>
    </xf>
    <xf numFmtId="165" fontId="18" fillId="3" borderId="2" xfId="10" applyNumberFormat="1" applyFont="1">
      <alignment horizontal="right"/>
    </xf>
    <xf numFmtId="165" fontId="19" fillId="3" borderId="2" xfId="7" applyNumberFormat="1" applyFont="1">
      <alignment horizontal="right"/>
    </xf>
    <xf numFmtId="165" fontId="19" fillId="3" borderId="2" xfId="9" applyNumberFormat="1" applyFont="1">
      <alignment horizontal="right"/>
    </xf>
    <xf numFmtId="168" fontId="32" fillId="15" borderId="0" xfId="16" applyNumberFormat="1" applyFont="1" applyFill="1" applyAlignment="1">
      <alignment vertical="center" wrapText="1"/>
    </xf>
    <xf numFmtId="168" fontId="32" fillId="3" borderId="0" xfId="16" applyNumberFormat="1" applyFont="1" applyFill="1" applyAlignment="1">
      <alignment vertical="center"/>
    </xf>
    <xf numFmtId="165" fontId="32" fillId="15" borderId="0" xfId="15" applyNumberFormat="1" applyFont="1" applyFill="1" applyAlignment="1">
      <alignment vertical="center" wrapText="1"/>
    </xf>
    <xf numFmtId="165" fontId="32" fillId="3" borderId="0" xfId="15" applyNumberFormat="1" applyFont="1" applyFill="1" applyAlignment="1">
      <alignment vertical="center"/>
    </xf>
    <xf numFmtId="165" fontId="32" fillId="15" borderId="0" xfId="15" applyNumberFormat="1" applyFont="1" applyFill="1" applyAlignment="1">
      <alignment vertical="center"/>
    </xf>
    <xf numFmtId="165" fontId="32" fillId="15" borderId="0" xfId="15" applyNumberFormat="1" applyFont="1" applyFill="1" applyAlignment="1">
      <alignment horizontal="center" vertical="center"/>
    </xf>
    <xf numFmtId="168" fontId="27" fillId="15" borderId="0" xfId="16" applyNumberFormat="1" applyFont="1" applyFill="1" applyAlignment="1">
      <alignment horizontal="left" vertical="center"/>
    </xf>
    <xf numFmtId="168" fontId="26" fillId="15" borderId="15" xfId="16" applyNumberFormat="1" applyFont="1" applyFill="1" applyBorder="1" applyAlignment="1">
      <alignment horizontal="left" vertical="center"/>
    </xf>
    <xf numFmtId="168" fontId="32" fillId="15" borderId="0" xfId="16" applyNumberFormat="1" applyFont="1" applyFill="1" applyAlignment="1">
      <alignment horizontal="left" vertical="center"/>
    </xf>
    <xf numFmtId="2" fontId="27" fillId="15" borderId="0" xfId="15" applyNumberFormat="1" applyFont="1" applyFill="1" applyAlignment="1">
      <alignment vertical="center"/>
    </xf>
    <xf numFmtId="168" fontId="10" fillId="8" borderId="0" xfId="16" applyNumberFormat="1" applyFont="1" applyFill="1"/>
    <xf numFmtId="0" fontId="26" fillId="14" borderId="26" xfId="0" applyFont="1" applyFill="1" applyBorder="1" applyAlignment="1">
      <alignment horizontal="center"/>
    </xf>
    <xf numFmtId="0" fontId="26" fillId="14" borderId="26" xfId="0" applyFont="1" applyFill="1" applyBorder="1" applyAlignment="1">
      <alignment horizontal="center" vertical="center" wrapText="1"/>
    </xf>
    <xf numFmtId="168" fontId="27" fillId="15" borderId="27" xfId="16" applyNumberFormat="1" applyFont="1" applyFill="1" applyBorder="1" applyAlignment="1">
      <alignment horizontal="center" vertical="center" wrapText="1"/>
    </xf>
    <xf numFmtId="168" fontId="27" fillId="3" borderId="27" xfId="16" applyNumberFormat="1" applyFont="1" applyFill="1" applyBorder="1" applyAlignment="1">
      <alignment horizontal="center" vertical="center"/>
    </xf>
    <xf numFmtId="168" fontId="32" fillId="15" borderId="27" xfId="16" applyNumberFormat="1" applyFont="1" applyFill="1" applyBorder="1" applyAlignment="1">
      <alignment horizontal="center" vertical="center" wrapText="1"/>
    </xf>
    <xf numFmtId="168" fontId="26" fillId="3" borderId="28" xfId="16" applyNumberFormat="1" applyFont="1" applyFill="1" applyBorder="1" applyAlignment="1">
      <alignment horizontal="center" vertical="center"/>
    </xf>
    <xf numFmtId="168" fontId="32" fillId="3" borderId="27" xfId="16" applyNumberFormat="1" applyFont="1" applyFill="1" applyBorder="1" applyAlignment="1">
      <alignment horizontal="center" vertical="center"/>
    </xf>
    <xf numFmtId="0" fontId="26" fillId="14" borderId="30" xfId="0" applyFont="1" applyFill="1" applyBorder="1" applyAlignment="1">
      <alignment vertical="center" wrapText="1"/>
    </xf>
    <xf numFmtId="169" fontId="26" fillId="14" borderId="31" xfId="14" applyNumberFormat="1" applyFont="1" applyFill="1" applyBorder="1" applyAlignment="1">
      <alignment horizontal="center" vertical="center" wrapText="1"/>
    </xf>
    <xf numFmtId="169" fontId="26" fillId="14" borderId="31" xfId="14" applyNumberFormat="1" applyFont="1" applyFill="1" applyBorder="1" applyAlignment="1">
      <alignment vertical="center" wrapText="1"/>
    </xf>
    <xf numFmtId="0" fontId="26" fillId="14" borderId="32" xfId="0" applyFont="1" applyFill="1" applyBorder="1" applyAlignment="1">
      <alignment horizontal="center"/>
    </xf>
    <xf numFmtId="0" fontId="26" fillId="14" borderId="33" xfId="0" applyFont="1" applyFill="1" applyBorder="1" applyAlignment="1">
      <alignment horizontal="center" vertical="center" wrapText="1"/>
    </xf>
    <xf numFmtId="0" fontId="26" fillId="14" borderId="34" xfId="0" applyFont="1" applyFill="1" applyBorder="1" applyAlignment="1">
      <alignment horizontal="center" vertical="center" wrapText="1"/>
    </xf>
    <xf numFmtId="0" fontId="26" fillId="14" borderId="35" xfId="0" applyFont="1" applyFill="1" applyBorder="1" applyAlignment="1">
      <alignment horizontal="center" vertical="center" wrapText="1"/>
    </xf>
    <xf numFmtId="0" fontId="26" fillId="14" borderId="36" xfId="0" applyFont="1" applyFill="1" applyBorder="1" applyAlignment="1">
      <alignment horizontal="center" vertical="center" wrapText="1"/>
    </xf>
    <xf numFmtId="0" fontId="26" fillId="14" borderId="25" xfId="0" applyFont="1" applyFill="1" applyBorder="1" applyAlignment="1">
      <alignment horizontal="center" vertical="center" wrapText="1"/>
    </xf>
    <xf numFmtId="0" fontId="26" fillId="14" borderId="37" xfId="0" applyFont="1" applyFill="1" applyBorder="1" applyAlignment="1">
      <alignment horizontal="center" vertical="center" wrapText="1"/>
    </xf>
    <xf numFmtId="2" fontId="27" fillId="15" borderId="0" xfId="14" applyNumberFormat="1" applyFont="1" applyFill="1" applyAlignment="1">
      <alignment horizontal="center" vertical="center" wrapText="1"/>
    </xf>
    <xf numFmtId="2" fontId="27" fillId="15" borderId="25" xfId="14" applyNumberFormat="1" applyFont="1" applyFill="1" applyBorder="1" applyAlignment="1">
      <alignment horizontal="center" vertical="center" wrapText="1"/>
    </xf>
    <xf numFmtId="166" fontId="27" fillId="3" borderId="0" xfId="15" applyNumberFormat="1" applyFont="1" applyFill="1" applyAlignment="1">
      <alignment horizontal="center"/>
    </xf>
    <xf numFmtId="166" fontId="27" fillId="3" borderId="25" xfId="15" applyNumberFormat="1" applyFont="1" applyFill="1" applyBorder="1" applyAlignment="1">
      <alignment horizontal="center"/>
    </xf>
    <xf numFmtId="10" fontId="27" fillId="15" borderId="0" xfId="16" applyNumberFormat="1" applyFont="1" applyFill="1" applyAlignment="1">
      <alignment horizontal="center" vertical="center" wrapText="1"/>
    </xf>
    <xf numFmtId="10" fontId="27" fillId="15" borderId="25" xfId="16" applyNumberFormat="1" applyFont="1" applyFill="1" applyBorder="1" applyAlignment="1">
      <alignment horizontal="center" vertical="center" wrapText="1"/>
    </xf>
    <xf numFmtId="166" fontId="27" fillId="3" borderId="0" xfId="15" applyNumberFormat="1" applyFont="1" applyFill="1" applyAlignment="1">
      <alignment horizontal="center" vertical="center"/>
    </xf>
    <xf numFmtId="166" fontId="27" fillId="3" borderId="25" xfId="15" applyNumberFormat="1" applyFont="1" applyFill="1" applyBorder="1" applyAlignment="1">
      <alignment horizontal="center" vertical="center"/>
    </xf>
    <xf numFmtId="166" fontId="27" fillId="15" borderId="0" xfId="15" applyNumberFormat="1" applyFont="1" applyFill="1" applyAlignment="1">
      <alignment horizontal="center" vertical="center" wrapText="1"/>
    </xf>
    <xf numFmtId="166" fontId="27" fillId="15" borderId="25" xfId="15" applyNumberFormat="1" applyFont="1" applyFill="1" applyBorder="1" applyAlignment="1">
      <alignment horizontal="center" vertical="center" wrapText="1"/>
    </xf>
    <xf numFmtId="168" fontId="27" fillId="3" borderId="25" xfId="16" applyNumberFormat="1" applyFont="1" applyFill="1" applyBorder="1" applyAlignment="1">
      <alignment horizontal="center" vertical="center"/>
    </xf>
    <xf numFmtId="166" fontId="27" fillId="15" borderId="0" xfId="14" applyNumberFormat="1" applyFont="1" applyFill="1" applyAlignment="1">
      <alignment horizontal="right" vertical="center" wrapText="1"/>
    </xf>
    <xf numFmtId="166" fontId="27" fillId="15" borderId="25" xfId="14" applyNumberFormat="1" applyFont="1" applyFill="1" applyBorder="1" applyAlignment="1">
      <alignment horizontal="right" vertical="center" wrapText="1"/>
    </xf>
    <xf numFmtId="10" fontId="27" fillId="3" borderId="0" xfId="16" applyNumberFormat="1" applyFont="1" applyFill="1" applyAlignment="1">
      <alignment horizontal="right"/>
    </xf>
    <xf numFmtId="10" fontId="27" fillId="3" borderId="25" xfId="16" applyNumberFormat="1" applyFont="1" applyFill="1" applyBorder="1" applyAlignment="1">
      <alignment horizontal="right"/>
    </xf>
    <xf numFmtId="49" fontId="27" fillId="15" borderId="0" xfId="14" applyNumberFormat="1" applyFont="1" applyFill="1" applyAlignment="1">
      <alignment horizontal="right" vertical="center" wrapText="1"/>
    </xf>
    <xf numFmtId="49" fontId="27" fillId="15" borderId="25" xfId="14" applyNumberFormat="1" applyFont="1" applyFill="1" applyBorder="1" applyAlignment="1">
      <alignment horizontal="right" vertical="center" wrapText="1"/>
    </xf>
    <xf numFmtId="10" fontId="27" fillId="15" borderId="0" xfId="16" applyNumberFormat="1" applyFont="1" applyFill="1" applyAlignment="1">
      <alignment horizontal="right" vertical="center" wrapText="1"/>
    </xf>
    <xf numFmtId="10" fontId="27" fillId="15" borderId="25" xfId="16" applyNumberFormat="1" applyFont="1" applyFill="1" applyBorder="1" applyAlignment="1">
      <alignment horizontal="right" vertical="center" wrapText="1"/>
    </xf>
    <xf numFmtId="10" fontId="27" fillId="3" borderId="10" xfId="16" applyNumberFormat="1" applyFont="1" applyFill="1" applyBorder="1" applyAlignment="1">
      <alignment horizontal="right"/>
    </xf>
    <xf numFmtId="10" fontId="27" fillId="3" borderId="11" xfId="16" applyNumberFormat="1" applyFont="1" applyFill="1" applyBorder="1" applyAlignment="1">
      <alignment horizontal="right"/>
    </xf>
    <xf numFmtId="0" fontId="26" fillId="14" borderId="38" xfId="0" applyFont="1" applyFill="1" applyBorder="1" applyAlignment="1">
      <alignment horizontal="center" vertical="center" wrapText="1"/>
    </xf>
    <xf numFmtId="0" fontId="26" fillId="14" borderId="31" xfId="0" applyFont="1" applyFill="1" applyBorder="1" applyAlignment="1">
      <alignment vertical="center" wrapText="1"/>
    </xf>
    <xf numFmtId="0" fontId="26" fillId="14" borderId="32" xfId="0" applyFont="1" applyFill="1" applyBorder="1" applyAlignment="1">
      <alignment vertical="center"/>
    </xf>
    <xf numFmtId="0" fontId="26" fillId="14" borderId="40" xfId="0" applyFont="1" applyFill="1" applyBorder="1" applyAlignment="1">
      <alignment horizontal="center" vertical="center" wrapText="1"/>
    </xf>
    <xf numFmtId="14" fontId="26" fillId="14" borderId="0" xfId="14" applyNumberFormat="1" applyFont="1" applyFill="1" applyAlignment="1">
      <alignment vertical="center" wrapText="1"/>
    </xf>
    <xf numFmtId="0" fontId="26" fillId="14" borderId="26" xfId="0" applyFont="1" applyFill="1" applyBorder="1" applyAlignment="1">
      <alignment vertical="center"/>
    </xf>
    <xf numFmtId="0" fontId="26" fillId="14" borderId="27" xfId="0" applyFont="1" applyFill="1" applyBorder="1" applyAlignment="1">
      <alignment horizontal="center" vertical="center" wrapText="1"/>
    </xf>
    <xf numFmtId="0" fontId="26" fillId="15" borderId="40" xfId="0" applyFont="1" applyFill="1" applyBorder="1" applyAlignment="1">
      <alignment horizontal="center" vertical="center"/>
    </xf>
    <xf numFmtId="0" fontId="26" fillId="15" borderId="0" xfId="0" applyFont="1" applyFill="1" applyAlignment="1">
      <alignment vertical="center"/>
    </xf>
    <xf numFmtId="168" fontId="26" fillId="15" borderId="27" xfId="16" applyNumberFormat="1" applyFont="1" applyFill="1" applyBorder="1" applyAlignment="1">
      <alignment horizontal="center" vertical="center"/>
    </xf>
    <xf numFmtId="168" fontId="27" fillId="15" borderId="40" xfId="16" applyNumberFormat="1" applyFont="1" applyFill="1" applyBorder="1" applyAlignment="1">
      <alignment horizontal="left" vertical="center"/>
    </xf>
    <xf numFmtId="168" fontId="27" fillId="15" borderId="27" xfId="16" applyNumberFormat="1" applyFont="1" applyFill="1" applyBorder="1" applyAlignment="1">
      <alignment horizontal="center" vertical="center"/>
    </xf>
    <xf numFmtId="168" fontId="27" fillId="3" borderId="40" xfId="16" applyNumberFormat="1" applyFont="1" applyFill="1" applyBorder="1" applyAlignment="1">
      <alignment horizontal="left" vertical="center"/>
    </xf>
    <xf numFmtId="168" fontId="32" fillId="3" borderId="40" xfId="16" applyNumberFormat="1" applyFont="1" applyFill="1" applyBorder="1" applyAlignment="1">
      <alignment horizontal="left" vertical="center"/>
    </xf>
    <xf numFmtId="168" fontId="32" fillId="15" borderId="27" xfId="16" applyNumberFormat="1" applyFont="1" applyFill="1" applyBorder="1" applyAlignment="1">
      <alignment horizontal="center" vertical="center"/>
    </xf>
    <xf numFmtId="44" fontId="26" fillId="3" borderId="41" xfId="15" applyFont="1" applyFill="1" applyBorder="1" applyAlignment="1">
      <alignment horizontal="left" vertical="center"/>
    </xf>
    <xf numFmtId="168" fontId="27" fillId="3" borderId="42" xfId="16" applyNumberFormat="1" applyFont="1" applyFill="1" applyBorder="1" applyAlignment="1">
      <alignment horizontal="left" vertical="center"/>
    </xf>
    <xf numFmtId="168" fontId="27" fillId="3" borderId="43" xfId="16" applyNumberFormat="1" applyFont="1" applyFill="1" applyBorder="1" applyAlignment="1">
      <alignment vertical="center"/>
    </xf>
    <xf numFmtId="44" fontId="27" fillId="3" borderId="43" xfId="15" applyFont="1" applyFill="1" applyBorder="1" applyAlignment="1">
      <alignment vertical="center"/>
    </xf>
    <xf numFmtId="168" fontId="27" fillId="3" borderId="44" xfId="16" applyNumberFormat="1" applyFont="1" applyFill="1" applyBorder="1" applyAlignment="1">
      <alignment horizontal="center" vertical="center"/>
    </xf>
    <xf numFmtId="169" fontId="26" fillId="14" borderId="38" xfId="14" applyNumberFormat="1" applyFont="1" applyFill="1" applyBorder="1" applyAlignment="1">
      <alignment horizontal="center" vertical="center" wrapText="1"/>
    </xf>
    <xf numFmtId="14" fontId="26" fillId="14" borderId="40" xfId="14" applyNumberFormat="1" applyFont="1" applyFill="1" applyBorder="1" applyAlignment="1">
      <alignment horizontal="center" vertical="center" wrapText="1"/>
    </xf>
    <xf numFmtId="169" fontId="26" fillId="14" borderId="40" xfId="14" applyNumberFormat="1" applyFont="1" applyFill="1" applyBorder="1" applyAlignment="1">
      <alignment horizontal="center" vertical="center" wrapText="1"/>
    </xf>
    <xf numFmtId="14" fontId="26" fillId="15" borderId="40" xfId="14" applyNumberFormat="1" applyFont="1" applyFill="1" applyBorder="1" applyAlignment="1">
      <alignment vertical="center"/>
    </xf>
    <xf numFmtId="44" fontId="26" fillId="3" borderId="41" xfId="15" applyFont="1" applyFill="1" applyBorder="1" applyAlignment="1">
      <alignment horizontal="center" vertical="center"/>
    </xf>
    <xf numFmtId="44" fontId="27" fillId="15" borderId="40" xfId="15" applyFont="1" applyFill="1" applyBorder="1" applyAlignment="1">
      <alignment vertical="center"/>
    </xf>
    <xf numFmtId="44" fontId="27" fillId="3" borderId="40" xfId="15" applyFont="1" applyFill="1" applyBorder="1" applyAlignment="1">
      <alignment vertical="center"/>
    </xf>
    <xf numFmtId="165" fontId="32" fillId="3" borderId="40" xfId="15" applyNumberFormat="1" applyFont="1" applyFill="1" applyBorder="1" applyAlignment="1">
      <alignment vertical="center"/>
    </xf>
    <xf numFmtId="165" fontId="32" fillId="15" borderId="40" xfId="15" applyNumberFormat="1" applyFont="1" applyFill="1" applyBorder="1" applyAlignment="1">
      <alignment vertical="center"/>
    </xf>
    <xf numFmtId="2" fontId="27" fillId="15" borderId="40" xfId="15" applyNumberFormat="1" applyFont="1" applyFill="1" applyBorder="1" applyAlignment="1">
      <alignment vertical="center"/>
    </xf>
    <xf numFmtId="44" fontId="26" fillId="3" borderId="41" xfId="15" applyFont="1" applyFill="1" applyBorder="1" applyAlignment="1">
      <alignment vertical="center"/>
    </xf>
    <xf numFmtId="44" fontId="27" fillId="3" borderId="42" xfId="15" applyFont="1" applyFill="1" applyBorder="1" applyAlignment="1">
      <alignment vertical="center"/>
    </xf>
    <xf numFmtId="0" fontId="26" fillId="15" borderId="28" xfId="14" applyNumberFormat="1" applyFont="1" applyFill="1" applyBorder="1" applyAlignment="1">
      <alignment horizontal="right" vertical="center" indent="2"/>
    </xf>
    <xf numFmtId="168" fontId="26" fillId="15" borderId="28" xfId="16" applyNumberFormat="1" applyFont="1" applyFill="1" applyBorder="1" applyAlignment="1">
      <alignment horizontal="center" vertical="center"/>
    </xf>
    <xf numFmtId="2" fontId="9" fillId="18" borderId="0" xfId="0" applyNumberFormat="1" applyFont="1" applyFill="1"/>
    <xf numFmtId="166" fontId="9" fillId="18" borderId="0" xfId="0" applyNumberFormat="1" applyFont="1" applyFill="1"/>
    <xf numFmtId="168" fontId="9" fillId="18" borderId="0" xfId="16" applyNumberFormat="1" applyFont="1" applyFill="1"/>
    <xf numFmtId="168" fontId="9" fillId="9" borderId="0" xfId="16" applyNumberFormat="1" applyFont="1" applyFill="1"/>
    <xf numFmtId="166" fontId="0" fillId="6" borderId="0" xfId="0" applyNumberFormat="1" applyFill="1"/>
    <xf numFmtId="2" fontId="9" fillId="6" borderId="0" xfId="0" applyNumberFormat="1" applyFont="1" applyFill="1"/>
    <xf numFmtId="166" fontId="9" fillId="19" borderId="0" xfId="0" applyNumberFormat="1" applyFont="1" applyFill="1"/>
    <xf numFmtId="0" fontId="9" fillId="20" borderId="0" xfId="0" applyFont="1" applyFill="1"/>
    <xf numFmtId="9" fontId="9" fillId="20" borderId="0" xfId="0" applyNumberFormat="1" applyFont="1" applyFill="1"/>
    <xf numFmtId="0" fontId="9" fillId="21" borderId="0" xfId="0" applyFont="1" applyFill="1"/>
    <xf numFmtId="6" fontId="9" fillId="22" borderId="0" xfId="0" applyNumberFormat="1" applyFont="1" applyFill="1"/>
    <xf numFmtId="166" fontId="9" fillId="22" borderId="0" xfId="0" applyNumberFormat="1" applyFont="1" applyFill="1"/>
    <xf numFmtId="0" fontId="0" fillId="0" borderId="23" xfId="0" applyBorder="1"/>
    <xf numFmtId="166" fontId="0" fillId="0" borderId="24" xfId="0" applyNumberFormat="1" applyBorder="1"/>
    <xf numFmtId="164" fontId="19" fillId="0" borderId="25" xfId="0" applyNumberFormat="1" applyFont="1" applyBorder="1"/>
    <xf numFmtId="164" fontId="19" fillId="0" borderId="2" xfId="0" applyNumberFormat="1" applyFont="1" applyBorder="1"/>
    <xf numFmtId="171" fontId="9" fillId="0" borderId="2" xfId="0" applyNumberFormat="1" applyFont="1" applyBorder="1"/>
    <xf numFmtId="0" fontId="8" fillId="0" borderId="25" xfId="0" applyFont="1" applyBorder="1"/>
    <xf numFmtId="168" fontId="32" fillId="13" borderId="0" xfId="16" applyNumberFormat="1" applyFont="1" applyFill="1" applyAlignment="1">
      <alignment vertical="center" wrapText="1"/>
    </xf>
    <xf numFmtId="165" fontId="32" fillId="13" borderId="0" xfId="15" applyNumberFormat="1" applyFont="1" applyFill="1" applyAlignment="1">
      <alignment vertical="center" wrapText="1"/>
    </xf>
    <xf numFmtId="168" fontId="32" fillId="13" borderId="27" xfId="16" applyNumberFormat="1" applyFont="1" applyFill="1" applyBorder="1" applyAlignment="1">
      <alignment horizontal="center" vertical="center" wrapText="1"/>
    </xf>
    <xf numFmtId="44" fontId="26" fillId="15" borderId="15" xfId="15" applyFont="1" applyFill="1" applyBorder="1" applyAlignment="1">
      <alignment vertical="center"/>
    </xf>
    <xf numFmtId="168" fontId="26" fillId="15" borderId="15" xfId="16" applyNumberFormat="1" applyFont="1" applyFill="1" applyBorder="1" applyAlignment="1">
      <alignment vertical="center"/>
    </xf>
    <xf numFmtId="0" fontId="27" fillId="15" borderId="4" xfId="0" applyFont="1" applyFill="1" applyBorder="1" applyAlignment="1">
      <alignment vertical="center" wrapText="1"/>
    </xf>
    <xf numFmtId="10" fontId="27" fillId="3" borderId="4" xfId="16" applyNumberFormat="1" applyFont="1" applyFill="1" applyBorder="1" applyAlignment="1">
      <alignment vertical="center"/>
    </xf>
    <xf numFmtId="10" fontId="27" fillId="15" borderId="4" xfId="16" applyNumberFormat="1" applyFont="1" applyFill="1" applyBorder="1" applyAlignment="1">
      <alignment vertical="center"/>
    </xf>
    <xf numFmtId="0" fontId="0" fillId="13" borderId="4" xfId="0" applyFill="1" applyBorder="1"/>
    <xf numFmtId="0" fontId="0" fillId="13" borderId="0" xfId="0" applyFill="1"/>
    <xf numFmtId="0" fontId="0" fillId="13" borderId="25" xfId="0" applyFill="1" applyBorder="1"/>
    <xf numFmtId="10" fontId="27" fillId="3" borderId="7" xfId="16" applyNumberFormat="1" applyFont="1" applyFill="1" applyBorder="1" applyAlignment="1">
      <alignment vertical="center"/>
    </xf>
    <xf numFmtId="0" fontId="31" fillId="13" borderId="4" xfId="0" applyFont="1" applyFill="1" applyBorder="1"/>
    <xf numFmtId="166" fontId="31" fillId="13" borderId="0" xfId="0" applyNumberFormat="1" applyFont="1" applyFill="1"/>
    <xf numFmtId="166" fontId="31" fillId="13" borderId="25" xfId="0" applyNumberFormat="1" applyFont="1" applyFill="1" applyBorder="1"/>
    <xf numFmtId="168" fontId="26" fillId="3" borderId="41" xfId="16" applyNumberFormat="1" applyFont="1" applyFill="1" applyBorder="1" applyAlignment="1">
      <alignment horizontal="left" vertical="center"/>
    </xf>
    <xf numFmtId="168" fontId="26" fillId="3" borderId="15" xfId="16" applyNumberFormat="1" applyFont="1" applyFill="1" applyBorder="1" applyAlignment="1">
      <alignment horizontal="left" vertical="center"/>
    </xf>
    <xf numFmtId="165" fontId="32" fillId="15" borderId="4" xfId="15" applyNumberFormat="1" applyFont="1" applyFill="1" applyBorder="1" applyAlignment="1">
      <alignment vertical="center" wrapText="1"/>
    </xf>
    <xf numFmtId="44" fontId="27" fillId="13" borderId="40" xfId="15" applyFont="1" applyFill="1" applyBorder="1" applyAlignment="1">
      <alignment vertical="center"/>
    </xf>
    <xf numFmtId="44" fontId="27" fillId="13" borderId="0" xfId="15" applyFont="1" applyFill="1" applyAlignment="1">
      <alignment vertical="center"/>
    </xf>
    <xf numFmtId="168" fontId="27" fillId="13" borderId="27" xfId="16" applyNumberFormat="1" applyFont="1" applyFill="1" applyBorder="1" applyAlignment="1">
      <alignment horizontal="center" vertical="center"/>
    </xf>
    <xf numFmtId="165" fontId="32" fillId="13" borderId="4" xfId="15" applyNumberFormat="1" applyFont="1" applyFill="1" applyBorder="1" applyAlignment="1">
      <alignment vertical="center" wrapText="1"/>
    </xf>
    <xf numFmtId="168" fontId="27" fillId="3" borderId="0" xfId="16" applyNumberFormat="1" applyFont="1" applyFill="1" applyAlignment="1">
      <alignment horizontal="left" vertical="center"/>
    </xf>
    <xf numFmtId="165" fontId="32" fillId="3" borderId="4" xfId="15" applyNumberFormat="1" applyFont="1" applyFill="1" applyBorder="1" applyAlignment="1">
      <alignment vertical="center"/>
    </xf>
    <xf numFmtId="44" fontId="27" fillId="15" borderId="4" xfId="15" applyFont="1" applyFill="1" applyBorder="1" applyAlignment="1">
      <alignment vertical="center"/>
    </xf>
    <xf numFmtId="165" fontId="32" fillId="3" borderId="25" xfId="15" applyNumberFormat="1" applyFont="1" applyFill="1" applyBorder="1" applyAlignment="1">
      <alignment vertical="center"/>
    </xf>
    <xf numFmtId="44" fontId="26" fillId="15" borderId="41" xfId="15" applyFont="1" applyFill="1" applyBorder="1" applyAlignment="1">
      <alignment horizontal="left" vertical="center"/>
    </xf>
    <xf numFmtId="44" fontId="26" fillId="15" borderId="41" xfId="15" applyFont="1" applyFill="1" applyBorder="1" applyAlignment="1">
      <alignment vertical="center"/>
    </xf>
    <xf numFmtId="165" fontId="32" fillId="3" borderId="45" xfId="15" applyNumberFormat="1" applyFont="1" applyFill="1" applyBorder="1" applyAlignment="1">
      <alignment vertical="center"/>
    </xf>
    <xf numFmtId="3" fontId="12" fillId="3" borderId="25" xfId="9" applyFont="1" applyBorder="1">
      <alignment horizontal="right"/>
    </xf>
    <xf numFmtId="3" fontId="12" fillId="3" borderId="45" xfId="9" applyFont="1" applyBorder="1">
      <alignment horizontal="right"/>
    </xf>
    <xf numFmtId="168" fontId="12" fillId="3" borderId="27" xfId="16" applyNumberFormat="1" applyFont="1" applyFill="1" applyBorder="1" applyAlignment="1">
      <alignment horizontal="right"/>
    </xf>
    <xf numFmtId="3" fontId="12" fillId="3" borderId="19" xfId="9" applyFont="1" applyBorder="1">
      <alignment horizontal="right"/>
    </xf>
    <xf numFmtId="0" fontId="12" fillId="3" borderId="45" xfId="12" applyFont="1" applyBorder="1"/>
    <xf numFmtId="168" fontId="27" fillId="13" borderId="0" xfId="16" applyNumberFormat="1" applyFont="1" applyFill="1" applyAlignment="1">
      <alignment horizontal="left" vertical="center" wrapText="1"/>
    </xf>
    <xf numFmtId="44" fontId="27" fillId="13" borderId="0" xfId="15" applyFont="1" applyFill="1" applyAlignment="1">
      <alignment horizontal="center" vertical="center"/>
    </xf>
    <xf numFmtId="168" fontId="26" fillId="13" borderId="15" xfId="16" applyNumberFormat="1" applyFont="1" applyFill="1" applyBorder="1" applyAlignment="1">
      <alignment horizontal="left" vertical="center"/>
    </xf>
    <xf numFmtId="168" fontId="32" fillId="13" borderId="19" xfId="16" applyNumberFormat="1" applyFont="1" applyFill="1" applyBorder="1" applyAlignment="1">
      <alignment horizontal="left" vertical="center" wrapText="1"/>
    </xf>
    <xf numFmtId="168" fontId="32" fillId="13" borderId="19" xfId="16" applyNumberFormat="1" applyFont="1" applyFill="1" applyBorder="1" applyAlignment="1">
      <alignment horizontal="left" vertical="center"/>
    </xf>
    <xf numFmtId="165" fontId="32" fillId="13" borderId="19" xfId="15" applyNumberFormat="1" applyFont="1" applyFill="1" applyBorder="1" applyAlignment="1">
      <alignment horizontal="center" vertical="center"/>
    </xf>
    <xf numFmtId="168" fontId="32" fillId="13" borderId="46" xfId="16" applyNumberFormat="1" applyFont="1" applyFill="1" applyBorder="1" applyAlignment="1">
      <alignment horizontal="center" vertical="center"/>
    </xf>
    <xf numFmtId="168" fontId="26" fillId="15" borderId="15" xfId="16" applyNumberFormat="1" applyFont="1" applyFill="1" applyBorder="1" applyAlignment="1">
      <alignment horizontal="left" vertical="center" wrapText="1"/>
    </xf>
    <xf numFmtId="168" fontId="32" fillId="13" borderId="0" xfId="16" applyNumberFormat="1" applyFont="1" applyFill="1" applyAlignment="1">
      <alignment horizontal="left" vertical="center" wrapText="1"/>
    </xf>
    <xf numFmtId="168" fontId="32" fillId="13" borderId="0" xfId="16" applyNumberFormat="1" applyFont="1" applyFill="1" applyAlignment="1">
      <alignment horizontal="left" vertical="center"/>
    </xf>
    <xf numFmtId="165" fontId="32" fillId="13" borderId="0" xfId="15" applyNumberFormat="1" applyFont="1" applyFill="1" applyAlignment="1">
      <alignment horizontal="center" vertical="center"/>
    </xf>
    <xf numFmtId="168" fontId="32" fillId="13" borderId="27" xfId="16" applyNumberFormat="1" applyFont="1" applyFill="1" applyBorder="1" applyAlignment="1">
      <alignment horizontal="center" vertical="center"/>
    </xf>
    <xf numFmtId="44" fontId="26" fillId="13" borderId="15" xfId="15" applyFont="1" applyFill="1" applyBorder="1" applyAlignment="1">
      <alignment horizontal="center" vertical="center"/>
    </xf>
    <xf numFmtId="168" fontId="26" fillId="13" borderId="28" xfId="16" applyNumberFormat="1" applyFont="1" applyFill="1" applyBorder="1" applyAlignment="1">
      <alignment horizontal="center" vertical="center"/>
    </xf>
    <xf numFmtId="168" fontId="26" fillId="13" borderId="15" xfId="16" applyNumberFormat="1" applyFont="1" applyFill="1" applyBorder="1" applyAlignment="1">
      <alignment horizontal="left" vertical="center" wrapText="1"/>
    </xf>
    <xf numFmtId="165" fontId="32" fillId="15" borderId="0" xfId="15" applyNumberFormat="1" applyFont="1" applyFill="1" applyAlignment="1">
      <alignment horizontal="center" vertical="center" wrapText="1"/>
    </xf>
    <xf numFmtId="0" fontId="13" fillId="3" borderId="4" xfId="11" applyFont="1"/>
    <xf numFmtId="0" fontId="12" fillId="4" borderId="7" xfId="12" applyFont="1" applyFill="1" applyBorder="1"/>
    <xf numFmtId="168" fontId="12" fillId="4" borderId="1" xfId="16" applyNumberFormat="1" applyFont="1" applyFill="1" applyBorder="1" applyAlignment="1">
      <alignment horizontal="right"/>
    </xf>
    <xf numFmtId="4" fontId="9" fillId="4" borderId="2" xfId="7" applyNumberFormat="1" applyFont="1" applyFill="1">
      <alignment horizontal="right"/>
    </xf>
    <xf numFmtId="168" fontId="12" fillId="4" borderId="3" xfId="16" applyNumberFormat="1" applyFont="1" applyFill="1" applyBorder="1" applyAlignment="1">
      <alignment horizontal="right"/>
    </xf>
    <xf numFmtId="0" fontId="0" fillId="23" borderId="0" xfId="0" applyFill="1"/>
    <xf numFmtId="168" fontId="0" fillId="23" borderId="0" xfId="16" applyNumberFormat="1" applyFont="1" applyFill="1"/>
    <xf numFmtId="167" fontId="0" fillId="23" borderId="0" xfId="0" applyNumberFormat="1" applyFill="1"/>
    <xf numFmtId="166" fontId="0" fillId="23" borderId="0" xfId="0" applyNumberFormat="1" applyFill="1"/>
    <xf numFmtId="0" fontId="9" fillId="13" borderId="21" xfId="0" applyFont="1" applyFill="1" applyBorder="1"/>
    <xf numFmtId="0" fontId="9" fillId="10" borderId="21" xfId="0" applyFont="1" applyFill="1" applyBorder="1"/>
    <xf numFmtId="0" fontId="9" fillId="5" borderId="47" xfId="0" applyFont="1" applyFill="1" applyBorder="1"/>
    <xf numFmtId="0" fontId="9" fillId="24" borderId="21" xfId="0" applyFont="1" applyFill="1" applyBorder="1"/>
    <xf numFmtId="10" fontId="0" fillId="24" borderId="22" xfId="0" applyNumberFormat="1" applyFill="1" applyBorder="1"/>
    <xf numFmtId="0" fontId="0" fillId="24" borderId="22" xfId="0" applyFill="1" applyBorder="1"/>
    <xf numFmtId="0" fontId="9" fillId="20" borderId="21" xfId="0" applyFont="1" applyFill="1" applyBorder="1"/>
    <xf numFmtId="0" fontId="9" fillId="13" borderId="47" xfId="0" applyFont="1" applyFill="1" applyBorder="1"/>
    <xf numFmtId="10" fontId="9" fillId="13" borderId="48" xfId="16" applyNumberFormat="1" applyFont="1" applyFill="1" applyBorder="1"/>
    <xf numFmtId="168" fontId="0" fillId="23" borderId="0" xfId="0" applyNumberFormat="1" applyFill="1"/>
    <xf numFmtId="166" fontId="9" fillId="21" borderId="0" xfId="0" applyNumberFormat="1" applyFont="1" applyFill="1"/>
    <xf numFmtId="168" fontId="9" fillId="10" borderId="22" xfId="16" applyNumberFormat="1" applyFont="1" applyFill="1" applyBorder="1"/>
    <xf numFmtId="166" fontId="9" fillId="10" borderId="22" xfId="15" applyNumberFormat="1" applyFont="1" applyFill="1" applyBorder="1"/>
    <xf numFmtId="166" fontId="9" fillId="5" borderId="48" xfId="15" applyNumberFormat="1" applyFont="1" applyFill="1" applyBorder="1"/>
    <xf numFmtId="166" fontId="0" fillId="24" borderId="22" xfId="15" applyNumberFormat="1" applyFont="1" applyFill="1" applyBorder="1"/>
    <xf numFmtId="166" fontId="9" fillId="20" borderId="22" xfId="0" applyNumberFormat="1" applyFont="1" applyFill="1" applyBorder="1"/>
    <xf numFmtId="166" fontId="9" fillId="13" borderId="22" xfId="15" applyNumberFormat="1" applyFont="1" applyFill="1" applyBorder="1"/>
    <xf numFmtId="0" fontId="9" fillId="0" borderId="21" xfId="0" applyFont="1" applyBorder="1"/>
    <xf numFmtId="165" fontId="9" fillId="0" borderId="22" xfId="15" applyNumberFormat="1" applyFont="1" applyBorder="1"/>
    <xf numFmtId="0" fontId="0" fillId="16" borderId="0" xfId="0" applyFill="1"/>
    <xf numFmtId="0" fontId="9" fillId="0" borderId="22" xfId="0" applyFont="1" applyBorder="1"/>
    <xf numFmtId="0" fontId="9" fillId="6" borderId="15" xfId="0" applyFont="1" applyFill="1" applyBorder="1"/>
    <xf numFmtId="9" fontId="9" fillId="6" borderId="24" xfId="0" applyNumberFormat="1" applyFont="1" applyFill="1" applyBorder="1" applyAlignment="1">
      <alignment horizontal="right"/>
    </xf>
    <xf numFmtId="0" fontId="9" fillId="6" borderId="49" xfId="0" applyFont="1" applyFill="1" applyBorder="1" applyAlignment="1">
      <alignment horizontal="left" vertical="center" wrapText="1"/>
    </xf>
    <xf numFmtId="166" fontId="9" fillId="6" borderId="48" xfId="0" applyNumberFormat="1" applyFont="1" applyFill="1" applyBorder="1" applyAlignment="1">
      <alignment horizontal="right" vertical="center"/>
    </xf>
    <xf numFmtId="166" fontId="0" fillId="16" borderId="0" xfId="0" applyNumberFormat="1" applyFill="1"/>
    <xf numFmtId="168" fontId="0" fillId="16" borderId="0" xfId="16" applyNumberFormat="1" applyFont="1" applyFill="1"/>
    <xf numFmtId="168" fontId="0" fillId="6" borderId="0" xfId="16" applyNumberFormat="1" applyFont="1" applyFill="1"/>
    <xf numFmtId="2" fontId="8" fillId="0" borderId="0" xfId="15" applyNumberFormat="1" applyAlignment="1">
      <alignment horizontal="right"/>
    </xf>
    <xf numFmtId="165" fontId="8" fillId="0" borderId="0" xfId="15" applyNumberFormat="1" applyAlignment="1">
      <alignment horizontal="center"/>
    </xf>
    <xf numFmtId="0" fontId="8" fillId="0" borderId="0" xfId="0" applyFont="1" applyAlignment="1">
      <alignment wrapText="1"/>
    </xf>
    <xf numFmtId="168" fontId="27" fillId="15" borderId="50" xfId="16" applyNumberFormat="1" applyFont="1" applyFill="1" applyBorder="1" applyAlignment="1">
      <alignment horizontal="center" vertical="center"/>
    </xf>
    <xf numFmtId="169" fontId="26" fillId="14" borderId="50" xfId="14" applyNumberFormat="1" applyFont="1" applyFill="1" applyBorder="1" applyAlignment="1">
      <alignment horizontal="center" vertical="center" wrapText="1"/>
    </xf>
    <xf numFmtId="168" fontId="27" fillId="15" borderId="4" xfId="16" applyNumberFormat="1" applyFont="1" applyFill="1" applyBorder="1" applyAlignment="1">
      <alignment vertical="center" wrapText="1"/>
    </xf>
    <xf numFmtId="172" fontId="27" fillId="3" borderId="0" xfId="15" applyNumberFormat="1" applyFont="1" applyFill="1" applyAlignment="1">
      <alignment horizontal="center" vertical="center"/>
    </xf>
    <xf numFmtId="172" fontId="27" fillId="3" borderId="25" xfId="15" applyNumberFormat="1" applyFont="1" applyFill="1" applyBorder="1" applyAlignment="1">
      <alignment horizontal="center" vertical="center"/>
    </xf>
    <xf numFmtId="168" fontId="27" fillId="3" borderId="0" xfId="16" applyNumberFormat="1" applyFont="1" applyFill="1" applyAlignment="1">
      <alignment vertical="center" wrapText="1"/>
    </xf>
    <xf numFmtId="44" fontId="27" fillId="3" borderId="0" xfId="15" applyFont="1" applyFill="1" applyAlignment="1">
      <alignment vertical="center" wrapText="1"/>
    </xf>
    <xf numFmtId="168" fontId="27" fillId="3" borderId="27" xfId="16" applyNumberFormat="1" applyFont="1" applyFill="1" applyBorder="1" applyAlignment="1">
      <alignment horizontal="center" vertical="center" wrapText="1"/>
    </xf>
    <xf numFmtId="168" fontId="32" fillId="3" borderId="0" xfId="16" applyNumberFormat="1" applyFont="1" applyFill="1" applyAlignment="1">
      <alignment vertical="center" wrapText="1"/>
    </xf>
    <xf numFmtId="165" fontId="32" fillId="3" borderId="0" xfId="15" applyNumberFormat="1" applyFont="1" applyFill="1" applyAlignment="1">
      <alignment vertical="center" wrapText="1"/>
    </xf>
    <xf numFmtId="168" fontId="32" fillId="3" borderId="27" xfId="16" applyNumberFormat="1" applyFont="1" applyFill="1" applyBorder="1" applyAlignment="1">
      <alignment horizontal="center" vertical="center" wrapText="1"/>
    </xf>
    <xf numFmtId="44" fontId="26" fillId="15" borderId="15" xfId="15" applyFont="1" applyFill="1" applyBorder="1" applyAlignment="1">
      <alignment vertical="center" wrapText="1"/>
    </xf>
    <xf numFmtId="168" fontId="26" fillId="15" borderId="15" xfId="16" applyNumberFormat="1" applyFont="1" applyFill="1" applyBorder="1" applyAlignment="1">
      <alignment vertical="center" wrapText="1"/>
    </xf>
    <xf numFmtId="168" fontId="26" fillId="15" borderId="28" xfId="16" applyNumberFormat="1" applyFont="1" applyFill="1" applyBorder="1" applyAlignment="1">
      <alignment horizontal="center" vertical="center" wrapText="1"/>
    </xf>
    <xf numFmtId="2" fontId="27" fillId="15" borderId="0" xfId="15" applyNumberFormat="1" applyFont="1" applyFill="1" applyAlignment="1">
      <alignment vertical="center" wrapText="1"/>
    </xf>
    <xf numFmtId="168" fontId="27" fillId="15" borderId="10" xfId="16" applyNumberFormat="1" applyFont="1" applyFill="1" applyBorder="1" applyAlignment="1">
      <alignment vertical="center" wrapText="1"/>
    </xf>
    <xf numFmtId="168" fontId="27" fillId="15" borderId="29" xfId="16" applyNumberFormat="1" applyFont="1" applyFill="1" applyBorder="1" applyAlignment="1">
      <alignment horizontal="center" vertical="center" wrapText="1"/>
    </xf>
    <xf numFmtId="7" fontId="27" fillId="3" borderId="0" xfId="15" applyNumberFormat="1" applyFont="1" applyFill="1" applyAlignment="1">
      <alignment vertical="center"/>
    </xf>
    <xf numFmtId="7" fontId="27" fillId="15" borderId="0" xfId="15" applyNumberFormat="1" applyFont="1" applyFill="1" applyAlignment="1">
      <alignment vertical="center" wrapText="1"/>
    </xf>
    <xf numFmtId="7" fontId="27" fillId="3" borderId="0" xfId="15" applyNumberFormat="1" applyFont="1" applyFill="1" applyAlignment="1">
      <alignment vertical="center" wrapText="1"/>
    </xf>
    <xf numFmtId="7" fontId="27" fillId="15" borderId="0" xfId="15" applyNumberFormat="1" applyFont="1" applyFill="1" applyAlignment="1">
      <alignment vertical="center"/>
    </xf>
    <xf numFmtId="7" fontId="26" fillId="3" borderId="15" xfId="15" applyNumberFormat="1" applyFont="1" applyFill="1" applyBorder="1" applyAlignment="1">
      <alignment vertical="center"/>
    </xf>
    <xf numFmtId="7" fontId="26" fillId="15" borderId="15" xfId="15" applyNumberFormat="1" applyFont="1" applyFill="1" applyBorder="1" applyAlignment="1">
      <alignment vertical="center" wrapText="1"/>
    </xf>
    <xf numFmtId="7" fontId="27" fillId="15" borderId="10" xfId="15" applyNumberFormat="1" applyFont="1" applyFill="1" applyBorder="1" applyAlignment="1">
      <alignment vertical="center" wrapText="1"/>
    </xf>
    <xf numFmtId="7" fontId="26" fillId="3" borderId="15" xfId="15" applyNumberFormat="1" applyFont="1" applyFill="1" applyBorder="1" applyAlignment="1">
      <alignment horizontal="center" vertical="center"/>
    </xf>
    <xf numFmtId="7" fontId="27" fillId="0" borderId="40" xfId="15" applyNumberFormat="1" applyFont="1" applyBorder="1" applyAlignment="1">
      <alignment vertical="center"/>
    </xf>
    <xf numFmtId="7" fontId="27" fillId="0" borderId="0" xfId="15" applyNumberFormat="1" applyFont="1" applyAlignment="1">
      <alignment vertical="center"/>
    </xf>
    <xf numFmtId="7" fontId="27" fillId="3" borderId="40" xfId="15" applyNumberFormat="1" applyFont="1" applyFill="1" applyBorder="1" applyAlignment="1">
      <alignment vertical="center"/>
    </xf>
    <xf numFmtId="7" fontId="26" fillId="15" borderId="15" xfId="15" applyNumberFormat="1" applyFont="1" applyFill="1" applyBorder="1" applyAlignment="1">
      <alignment vertical="center"/>
    </xf>
    <xf numFmtId="7" fontId="27" fillId="3" borderId="43" xfId="15" applyNumberFormat="1" applyFont="1" applyFill="1" applyBorder="1" applyAlignment="1">
      <alignment vertical="center"/>
    </xf>
    <xf numFmtId="0" fontId="2" fillId="2" borderId="0" xfId="1"/>
    <xf numFmtId="0" fontId="33" fillId="2" borderId="8" xfId="19">
      <alignment horizontal="left" vertical="center" readingOrder="1"/>
    </xf>
    <xf numFmtId="0" fontId="5" fillId="3" borderId="0" xfId="3">
      <alignment horizontal="center"/>
    </xf>
    <xf numFmtId="0" fontId="6" fillId="2" borderId="3" xfId="5">
      <alignment horizontal="left"/>
    </xf>
    <xf numFmtId="0" fontId="6" fillId="2" borderId="3" xfId="4">
      <alignment horizontal="right"/>
    </xf>
    <xf numFmtId="0" fontId="6" fillId="2" borderId="1" xfId="6">
      <alignment horizontal="left"/>
    </xf>
    <xf numFmtId="0" fontId="6" fillId="2" borderId="1" xfId="2">
      <alignment horizontal="right"/>
    </xf>
    <xf numFmtId="0" fontId="7" fillId="3" borderId="4" xfId="12"/>
    <xf numFmtId="3" fontId="7" fillId="3" borderId="2" xfId="9">
      <alignment horizontal="right"/>
    </xf>
    <xf numFmtId="0" fontId="3" fillId="3" borderId="4" xfId="13"/>
    <xf numFmtId="3" fontId="1" fillId="3" borderId="2" xfId="20">
      <alignment horizontal="right"/>
    </xf>
    <xf numFmtId="164" fontId="1" fillId="3" borderId="2" xfId="7">
      <alignment horizontal="right"/>
    </xf>
    <xf numFmtId="164" fontId="7" fillId="3" borderId="2" xfId="10">
      <alignment horizontal="right"/>
    </xf>
    <xf numFmtId="4" fontId="1" fillId="3" borderId="2" xfId="8">
      <alignment horizontal="right"/>
    </xf>
    <xf numFmtId="0" fontId="34" fillId="25" borderId="52" xfId="21"/>
    <xf numFmtId="0" fontId="0" fillId="26" borderId="0" xfId="0" applyFill="1"/>
    <xf numFmtId="0" fontId="0" fillId="27" borderId="0" xfId="0" applyFill="1"/>
    <xf numFmtId="166" fontId="0" fillId="27" borderId="0" xfId="0" applyNumberFormat="1" applyFill="1"/>
    <xf numFmtId="1" fontId="0" fillId="27" borderId="0" xfId="0" applyNumberFormat="1" applyFill="1"/>
    <xf numFmtId="2" fontId="0" fillId="27" borderId="0" xfId="0" applyNumberFormat="1" applyFill="1"/>
    <xf numFmtId="0" fontId="26" fillId="14" borderId="0" xfId="0" applyFont="1" applyFill="1" applyAlignment="1">
      <alignment horizontal="center" vertical="center" wrapText="1"/>
    </xf>
    <xf numFmtId="0" fontId="0" fillId="0" borderId="0" xfId="0"/>
    <xf numFmtId="0" fontId="26" fillId="14" borderId="25" xfId="0" applyFont="1" applyFill="1" applyBorder="1" applyAlignment="1">
      <alignment horizontal="center" vertical="center" wrapText="1"/>
    </xf>
    <xf numFmtId="0" fontId="0" fillId="0" borderId="25" xfId="0" applyBorder="1"/>
    <xf numFmtId="169" fontId="26" fillId="14" borderId="31" xfId="14" applyNumberFormat="1" applyFont="1" applyFill="1" applyBorder="1" applyAlignment="1">
      <alignment horizontal="center" vertical="center" wrapText="1"/>
    </xf>
    <xf numFmtId="0" fontId="26" fillId="14" borderId="4" xfId="0" applyFont="1" applyFill="1" applyBorder="1" applyAlignment="1">
      <alignment horizontal="center" vertical="center" wrapText="1"/>
    </xf>
    <xf numFmtId="0" fontId="0" fillId="0" borderId="4" xfId="0" applyBorder="1"/>
    <xf numFmtId="169" fontId="26" fillId="14" borderId="55" xfId="14" applyNumberFormat="1" applyFont="1" applyFill="1" applyBorder="1" applyAlignment="1">
      <alignment horizontal="center" vertical="center" wrapText="1"/>
    </xf>
    <xf numFmtId="0" fontId="0" fillId="0" borderId="32" xfId="0" applyBorder="1"/>
    <xf numFmtId="169" fontId="26" fillId="14" borderId="53" xfId="14" applyNumberFormat="1" applyFont="1" applyFill="1" applyBorder="1" applyAlignment="1">
      <alignment horizontal="center" vertical="center" wrapText="1"/>
    </xf>
    <xf numFmtId="169" fontId="26" fillId="14" borderId="54" xfId="14" applyNumberFormat="1" applyFont="1" applyFill="1" applyBorder="1" applyAlignment="1">
      <alignment horizontal="center" vertical="center" wrapText="1"/>
    </xf>
    <xf numFmtId="0" fontId="0" fillId="0" borderId="51" xfId="0" applyBorder="1"/>
    <xf numFmtId="169" fontId="26" fillId="14" borderId="39" xfId="14" applyNumberFormat="1" applyFont="1" applyFill="1" applyBorder="1" applyAlignment="1">
      <alignment vertical="center" wrapText="1"/>
    </xf>
    <xf numFmtId="0" fontId="0" fillId="0" borderId="39" xfId="0" applyBorder="1"/>
    <xf numFmtId="0" fontId="26" fillId="14" borderId="39" xfId="14" applyNumberFormat="1" applyFont="1" applyFill="1" applyBorder="1" applyAlignment="1">
      <alignment horizontal="center" vertical="center" wrapText="1"/>
    </xf>
    <xf numFmtId="0" fontId="0" fillId="0" borderId="31" xfId="0" applyBorder="1"/>
    <xf numFmtId="0" fontId="9" fillId="0" borderId="5" xfId="0" applyFont="1" applyBorder="1" applyAlignment="1">
      <alignment horizontal="center" vertical="center"/>
    </xf>
    <xf numFmtId="0" fontId="0" fillId="0" borderId="1" xfId="0" applyBorder="1"/>
    <xf numFmtId="0" fontId="9" fillId="0" borderId="12" xfId="0" applyFont="1" applyBorder="1" applyAlignment="1">
      <alignment horizontal="center"/>
    </xf>
    <xf numFmtId="0" fontId="0" fillId="0" borderId="48" xfId="0" applyBorder="1"/>
  </cellXfs>
  <cellStyles count="22">
    <cellStyle name="blp_column_header" xfId="1" xr:uid="{00000000-0005-0000-0000-000001000000}"/>
    <cellStyle name="blp_title_header_row_left" xfId="19" xr:uid="{00000000-0005-0000-0000-000013000000}"/>
    <cellStyle name="Comma" xfId="14" builtinId="3"/>
    <cellStyle name="Currency" xfId="15" builtinId="4"/>
    <cellStyle name="fa_column_header_bottom" xfId="2" xr:uid="{00000000-0005-0000-0000-000002000000}"/>
    <cellStyle name="fa_column_header_bottom_left" xfId="6" xr:uid="{00000000-0005-0000-0000-000006000000}"/>
    <cellStyle name="fa_column_header_empty" xfId="3" xr:uid="{00000000-0005-0000-0000-000003000000}"/>
    <cellStyle name="fa_column_header_top" xfId="4" xr:uid="{00000000-0005-0000-0000-000004000000}"/>
    <cellStyle name="fa_column_header_top_left" xfId="5" xr:uid="{00000000-0005-0000-0000-000005000000}"/>
    <cellStyle name="fa_data_bold_0_grouped" xfId="9" xr:uid="{00000000-0005-0000-0000-000009000000}"/>
    <cellStyle name="fa_data_bold_1_grouped" xfId="10" xr:uid="{00000000-0005-0000-0000-00000A000000}"/>
    <cellStyle name="fa_data_standard_0_grouped" xfId="20" xr:uid="{00000000-0005-0000-0000-000014000000}"/>
    <cellStyle name="fa_data_standard_1_grouped" xfId="7" xr:uid="{00000000-0005-0000-0000-000007000000}"/>
    <cellStyle name="fa_data_standard_2_grouped" xfId="8" xr:uid="{00000000-0005-0000-0000-000008000000}"/>
    <cellStyle name="fa_footer_italic" xfId="21" xr:uid="{00000000-0005-0000-0000-000015000000}"/>
    <cellStyle name="fa_row_header_bold 2" xfId="12" xr:uid="{00000000-0005-0000-0000-00000C000000}"/>
    <cellStyle name="fa_row_header_italic 2" xfId="11" xr:uid="{00000000-0005-0000-0000-00000B000000}"/>
    <cellStyle name="fa_row_header_standard 2" xfId="13" xr:uid="{00000000-0005-0000-0000-00000D000000}"/>
    <cellStyle name="Normal" xfId="0" builtinId="0"/>
    <cellStyle name="Normal 2" xfId="18" xr:uid="{00000000-0005-0000-0000-000012000000}"/>
    <cellStyle name="Normal 2 2" xfId="17" xr:uid="{00000000-0005-0000-0000-000011000000}"/>
    <cellStyle name="Percent" xfId="16" builtinId="5"/>
  </cellStyles>
  <dxfs count="233">
    <dxf>
      <font>
        <color theme="1"/>
      </font>
      <fill>
        <patternFill>
          <bgColor rgb="FFFF0000"/>
        </patternFill>
      </fill>
    </dxf>
    <dxf>
      <font>
        <color theme="1"/>
      </font>
      <fill>
        <patternFill>
          <bgColor rgb="FFFF0000"/>
        </patternFill>
      </fill>
    </dxf>
    <dxf>
      <font>
        <color theme="1"/>
      </font>
      <fill>
        <patternFill>
          <bgColor rgb="FF92D05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F0000"/>
        </patternFill>
      </fill>
    </dxf>
    <dxf>
      <fill>
        <patternFill>
          <bgColor rgb="FF92D05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ill>
        <patternFill>
          <bgColor rgb="FFFF0000"/>
        </patternFill>
      </fill>
    </dxf>
    <dxf>
      <font>
        <color theme="1"/>
      </font>
      <fill>
        <patternFill>
          <bgColor rgb="FFFF0000"/>
        </patternFill>
      </fill>
    </dxf>
    <dxf>
      <fill>
        <patternFill>
          <bgColor rgb="FF92D05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ill>
        <patternFill>
          <bgColor rgb="FFFF0000"/>
        </patternFill>
      </fill>
    </dxf>
    <dxf>
      <fill>
        <patternFill>
          <bgColor rgb="FF92D05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92D05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92D05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92D05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B132"/>
  <sheetViews>
    <sheetView tabSelected="1" zoomScaleNormal="100" workbookViewId="0">
      <pane xSplit="2" ySplit="8" topLeftCell="C9" activePane="bottomRight" state="frozen"/>
      <selection pane="topRight" activeCell="C1" sqref="C1"/>
      <selection pane="bottomLeft" activeCell="A9" sqref="A9"/>
      <selection pane="bottomRight"/>
    </sheetView>
  </sheetViews>
  <sheetFormatPr defaultColWidth="8.7265625" defaultRowHeight="14.5" x14ac:dyDescent="0.35"/>
  <cols>
    <col min="1" max="1" width="42.7265625" bestFit="1" customWidth="1"/>
    <col min="2" max="2" width="37.7265625" hidden="1" customWidth="1"/>
    <col min="3" max="3" width="11.81640625" customWidth="1"/>
    <col min="4" max="4" width="12.54296875" customWidth="1"/>
    <col min="5" max="12" width="11.81640625" customWidth="1"/>
    <col min="13" max="13" width="19.26953125" bestFit="1" customWidth="1"/>
    <col min="14" max="18" width="11.81640625" customWidth="1"/>
  </cols>
  <sheetData>
    <row r="1" spans="1:1010 1027:2036 2053:3062 3079:4088 4105:5114 5131:6140 6157:7166 7183:8192 8209:9200 9217:10226 10243:11252 11269:12278 12295:13304 13321:14330 14347:15356 15373:16382" x14ac:dyDescent="0.35">
      <c r="A1" t="s">
        <v>0</v>
      </c>
      <c r="C1" s="1" t="s">
        <v>1</v>
      </c>
      <c r="D1" s="1" t="s">
        <v>2</v>
      </c>
      <c r="E1" s="9"/>
      <c r="F1" s="9"/>
      <c r="G1" s="9"/>
      <c r="H1" s="9"/>
      <c r="I1" s="9"/>
      <c r="J1" s="9"/>
      <c r="M1" s="180" t="s">
        <v>3</v>
      </c>
      <c r="N1" s="9">
        <f t="array" ref="N1">SUM(--ISERROR($C$13:$L$13),--ISERROR($C$17:$L$17),--ISERROR($C$25:$L$25),--ISERROR($C$34:$L$34),--ISERROR($C$36:$L$36),--ISERROR($C$42:$L$42),--ISERROR($C$46:$L$46),--ISERROR($C$58:$L$58),--ISERROR($C$60:$L$60),--ISERROR($C$62:$L$62),--ISERROR($C$69:$L$69),--ISERROR($C$76:$L$76),--ISERROR($C$83:$L$83),--ISERROR($C$85:$L$85),--ISERROR($C$91:$L$91),--ISERROR($C$103:$L$103),--ISERROR($C$105:$L$105),--ISERROR($C$107:$L$107),--ISERROR($C$112:$L$112),--ISERROR($C$119:$L$119),--ISERROR($C$121:$L$121),--ISERROR($C$122:$L$122), COUNT($C$13:$L$13) - COUNTIFS($C$13:$L$13,"&gt;-.1",$C$13:$L$13,"&lt;.1"),COUNT($C$17:$L$17) - COUNTIFS($C$17:$L$17,"&gt;-.1",$C$17:$L$17,"&lt;.1"),COUNT($C$25:$L$25) - COUNTIFS($C$25:$L$25,"&gt;-.1",$C$25:$L$25,"&lt;.1"),COUNT($C$34:$L$34) - COUNTIFS($C$34:$L$34,"&gt;-.1",$C$34:$L$34,"&lt;.1"),COUNT($C$36:$L$36) - COUNTIFS($C$36:$L$36,"&gt;-.1",$C$36:$L$36,"&lt;.1"),COUNT($C$42:$L$42) - COUNTIFS($C$42:$L$42,"&gt;-.1", $C$42:$L$42,"&lt;.1"),COUNT($C$46:$L$46) - COUNTIFS($C$46:$L$46,"&gt;-.1", $C$46:$L$46,"&lt;.1"),COUNT($C$58:$L$58) - COUNTIFS($C$58:$L$58,"&gt;-.1", $C$58:$L$58,"&lt;.1"),COUNT($C$60:$L$60) - COUNTIFS($C$60:$L$60,"&gt;-.1", $C$60:$L$60,"&lt;.1"),COUNT($C$62:$L$62) - COUNTIFS($C$62:$L$62,"&gt;-.1", $C$62:$L$62,"&lt;.1"),COUNT($C$69:$L$69) - COUNTIFS($C$69:$L$69,"&gt;-.1", $C$69:$L$69,"&lt;.1"),COUNT($C$76:$L$76) - COUNTIFS($C$76:$L$76,"&gt;-.1", $C$76:$L$76,"&lt;.1"),COUNT($C$83:$L$83) - COUNTIFS($C$83:$L$83,"&gt;-.1", $C$83:$L$83,"&lt;.1"),COUNT($C$85:$L$85) - COUNTIFS($C$85:$L$85,"&gt;-.1", $C$85:$L$85,"&lt;.1"),COUNT($C$91:$L$91) - COUNTIFS($C$91:$L$91,"&gt;-.1", $C$91:$L$91,"&lt;.1"),COUNT($C$103:$L$103) - COUNTIFS($C$103:$L$103,"&gt;-.1", $C$103:$L$103,"&lt;.1"),COUNT($C$105:$L$105) - COUNTIFS($C$105:$L$105,"&gt;-.1", $C$105:$L$105,"&lt;.1"),COUNT($C$107:$L$107) - COUNTIFS($C$107:$L$107,"&gt;-.1", $C$107:$L$107,"&lt;.1"),COUNT($C$112:$L$112) - COUNTIFS($C$112:$L$112,"&gt;-.1", $C$112:$L$112,"&lt;.1"),COUNT($C$119:$L$119) - COUNTIFS($C$119:$L$119,"&gt;-.1", $C$119:$L$119,"&lt;.1"),COUNT($C$121:$L$121) - COUNTIFS($C$121:$L$121,"&gt;-.1", $C$121:$L$121,"&lt;.1"),COUNT($C$122:$L$122) - COUNTIFS($C$122:$L$122,"&gt;-.1", $C$122:$L$122,"&lt;.1"))</f>
        <v>0</v>
      </c>
      <c r="P1" s="9"/>
      <c r="Q1" s="9"/>
    </row>
    <row r="2" spans="1:1010 1027:2036 2053:3062 3079:4088 4105:5114 5131:6140 6157:7166 7183:8192 8209:9200 9217:10226 10243:11252 11269:12278 12295:13304 13321:14330 14347:15356 15373:16382" x14ac:dyDescent="0.35">
      <c r="A2" t="s">
        <v>4</v>
      </c>
      <c r="C2" s="1" t="str">
        <f>"FY "&amp;RIGHT(C3,4)-9</f>
        <v>FY 2016</v>
      </c>
      <c r="D2" s="9"/>
      <c r="E2" s="9"/>
      <c r="F2" s="9"/>
      <c r="G2" s="9"/>
      <c r="H2" s="9"/>
      <c r="I2" s="9"/>
      <c r="J2" s="9"/>
      <c r="K2" s="9"/>
      <c r="L2" s="9"/>
      <c r="M2" s="9"/>
      <c r="N2" s="9"/>
      <c r="O2" s="9"/>
      <c r="P2" s="9"/>
      <c r="Q2" s="9"/>
    </row>
    <row r="3" spans="1:1010 1027:2036 2053:3062 3079:4088 4105:5114 5131:6140 6157:7166 7183:8192 8209:9200 9217:10226 10243:11252 11269:12278 12295:13304 13321:14330 14347:15356 15373:16382" x14ac:dyDescent="0.35">
      <c r="A3" t="s">
        <v>5</v>
      </c>
      <c r="C3" s="1" t="str">
        <f>"FY "&amp;IF(O5="Q4",LEFT(N5,4),LEFT(N5,4)-1)</f>
        <v>FY 2025</v>
      </c>
      <c r="D3" s="9"/>
      <c r="E3" s="9"/>
      <c r="F3" s="9"/>
      <c r="G3" s="9"/>
      <c r="H3" s="9"/>
      <c r="I3" s="9"/>
      <c r="J3" s="9"/>
      <c r="K3" s="9"/>
      <c r="L3" s="9"/>
      <c r="M3" s="9"/>
      <c r="N3" s="9"/>
      <c r="O3" s="9"/>
      <c r="P3" s="9"/>
      <c r="Q3" s="9"/>
    </row>
    <row r="4" spans="1:1010 1027:2036 2053:3062 3079:4088 4105:5114 5131:6140 6157:7166 7183:8192 8209:9200 9217:10226 10243:11252 11269:12278 12295:13304 13321:14330 14347:15356 15373:16382" hidden="1" x14ac:dyDescent="0.35">
      <c r="C4" s="20">
        <v>42613</v>
      </c>
      <c r="D4" s="8">
        <v>42978</v>
      </c>
      <c r="E4" s="8">
        <v>43343</v>
      </c>
      <c r="F4" s="8">
        <v>43708</v>
      </c>
      <c r="G4" s="8">
        <v>44074</v>
      </c>
      <c r="H4" s="8">
        <v>44439</v>
      </c>
      <c r="I4" s="8">
        <v>44804</v>
      </c>
      <c r="J4" s="8">
        <v>45169</v>
      </c>
      <c r="K4" s="8">
        <v>45535</v>
      </c>
      <c r="L4" s="8">
        <v>45900</v>
      </c>
      <c r="M4" s="8"/>
      <c r="N4" s="8" t="s">
        <v>6</v>
      </c>
      <c r="O4" s="8" t="s">
        <v>7</v>
      </c>
      <c r="P4" s="8"/>
      <c r="Q4" s="8"/>
    </row>
    <row r="5" spans="1:1010 1027:2036 2053:3062 3079:4088 4105:5114 5131:6140 6157:7166 7183:8192 8209:9200 9217:10226 10243:11252 11269:12278 12295:13304 13321:14330 14347:15356 15373:16382" hidden="1" x14ac:dyDescent="0.35">
      <c r="C5" s="231" t="s">
        <v>8</v>
      </c>
      <c r="D5" s="232" t="s">
        <v>9</v>
      </c>
      <c r="E5" s="232" t="s">
        <v>10</v>
      </c>
      <c r="F5" s="232" t="s">
        <v>11</v>
      </c>
      <c r="G5" s="232" t="s">
        <v>12</v>
      </c>
      <c r="H5" s="232" t="s">
        <v>13</v>
      </c>
      <c r="I5" s="232" t="s">
        <v>14</v>
      </c>
      <c r="J5" s="232" t="s">
        <v>15</v>
      </c>
      <c r="K5" s="232" t="s">
        <v>16</v>
      </c>
      <c r="L5" s="232" t="s">
        <v>17</v>
      </c>
      <c r="M5" s="9"/>
      <c r="N5" s="9" t="s">
        <v>18</v>
      </c>
      <c r="O5" s="9" t="s">
        <v>19</v>
      </c>
      <c r="P5" s="9"/>
      <c r="Q5" s="9"/>
    </row>
    <row r="6" spans="1:1010 1027:2036 2053:3062 3079:4088 4105:5114 5131:6140 6157:7166 7183:8192 8209:9200 9217:10226 10243:11252 11269:12278 12295:13304 13321:14330 14347:15356 15373:16382" x14ac:dyDescent="0.35">
      <c r="A6" s="9"/>
      <c r="B6" s="9"/>
      <c r="C6" s="9"/>
      <c r="D6" s="9"/>
      <c r="E6" s="9"/>
      <c r="F6" s="9"/>
      <c r="G6" s="9"/>
      <c r="H6" s="9"/>
      <c r="I6" s="9"/>
      <c r="J6" s="9"/>
      <c r="K6" s="9"/>
      <c r="L6" s="9"/>
      <c r="M6" s="9"/>
      <c r="N6" s="9"/>
      <c r="O6" s="9"/>
      <c r="P6" s="9"/>
      <c r="Q6" s="9"/>
    </row>
    <row r="7" spans="1:1010 1027:2036 2053:3062 3079:4088 4105:5114 5131:6140 6157:7166 7183:8192 8209:9200 9217:10226 10243:11252 11269:12278 12295:13304 13321:14330 14347:15356 15373:16382" x14ac:dyDescent="0.35">
      <c r="A7" s="19" t="s">
        <v>20</v>
      </c>
      <c r="B7" s="19"/>
      <c r="C7" s="18" t="str">
        <f t="shared" ref="C7:L7" si="0">"FY "&amp;LEFT(C5,4)</f>
        <v>FY 2016</v>
      </c>
      <c r="D7" s="18" t="str">
        <f t="shared" si="0"/>
        <v>FY 2017</v>
      </c>
      <c r="E7" s="18" t="str">
        <f t="shared" si="0"/>
        <v>FY 2018</v>
      </c>
      <c r="F7" s="18" t="str">
        <f t="shared" si="0"/>
        <v>FY 2019</v>
      </c>
      <c r="G7" s="18" t="str">
        <f t="shared" si="0"/>
        <v>FY 2020</v>
      </c>
      <c r="H7" s="18" t="str">
        <f t="shared" si="0"/>
        <v>FY 2021</v>
      </c>
      <c r="I7" s="18" t="str">
        <f t="shared" si="0"/>
        <v>FY 2022</v>
      </c>
      <c r="J7" s="18" t="str">
        <f t="shared" si="0"/>
        <v>FY 2023</v>
      </c>
      <c r="K7" s="18" t="str">
        <f t="shared" si="0"/>
        <v>FY 2024</v>
      </c>
      <c r="L7" s="18" t="str">
        <f t="shared" si="0"/>
        <v>FY 2025</v>
      </c>
      <c r="M7" s="114"/>
      <c r="N7" s="114"/>
      <c r="O7" s="114"/>
      <c r="P7" s="114"/>
      <c r="Q7" s="114"/>
      <c r="R7" s="114"/>
    </row>
    <row r="8" spans="1:1010 1027:2036 2053:3062 3079:4088 4105:5114 5131:6140 6157:7166 7183:8192 8209:9200 9217:10226 10243:11252 11269:12278 12295:13304 13321:14330 14347:15356 15373:16382" x14ac:dyDescent="0.35">
      <c r="A8" s="17" t="s">
        <v>21</v>
      </c>
      <c r="B8" s="17"/>
      <c r="C8" s="7">
        <f t="shared" ref="C8:L8" si="1">C4</f>
        <v>42613</v>
      </c>
      <c r="D8" s="7">
        <f t="shared" si="1"/>
        <v>42978</v>
      </c>
      <c r="E8" s="7">
        <f t="shared" si="1"/>
        <v>43343</v>
      </c>
      <c r="F8" s="7">
        <f t="shared" si="1"/>
        <v>43708</v>
      </c>
      <c r="G8" s="7">
        <f t="shared" si="1"/>
        <v>44074</v>
      </c>
      <c r="H8" s="7">
        <f t="shared" si="1"/>
        <v>44439</v>
      </c>
      <c r="I8" s="7">
        <f t="shared" si="1"/>
        <v>44804</v>
      </c>
      <c r="J8" s="7">
        <f t="shared" si="1"/>
        <v>45169</v>
      </c>
      <c r="K8" s="7">
        <f t="shared" si="1"/>
        <v>45535</v>
      </c>
      <c r="L8" s="7">
        <f t="shared" si="1"/>
        <v>45900</v>
      </c>
      <c r="M8" s="115"/>
      <c r="N8" s="115"/>
      <c r="O8" s="115"/>
      <c r="P8" s="115"/>
      <c r="Q8" s="115"/>
      <c r="R8" s="115"/>
    </row>
    <row r="9" spans="1:1010 1027:2036 2053:3062 3079:4088 4105:5114 5131:6140 6157:7166 7183:8192 8209:9200 9217:10226 10243:11252 11269:12278 12295:13304 13321:14330 14347:15356 15373:16382" s="152" customFormat="1" x14ac:dyDescent="0.35">
      <c r="A9" s="187" t="s">
        <v>22</v>
      </c>
      <c r="B9" s="196"/>
      <c r="C9" s="196">
        <v>499.565</v>
      </c>
      <c r="D9" s="196">
        <v>506.03199999999998</v>
      </c>
      <c r="E9" s="196">
        <v>500.25599999999997</v>
      </c>
      <c r="F9" s="196">
        <v>500.31400000000002</v>
      </c>
      <c r="G9" s="196">
        <v>570.52599999999995</v>
      </c>
      <c r="H9" s="196">
        <v>637.18499999999995</v>
      </c>
      <c r="I9" s="196">
        <v>710.65300000000002</v>
      </c>
      <c r="J9" s="196">
        <v>745.66</v>
      </c>
      <c r="K9" s="196">
        <v>760.23199999999997</v>
      </c>
      <c r="L9" s="196">
        <v>840.83600000000001</v>
      </c>
      <c r="M9" s="201"/>
      <c r="N9" s="201"/>
      <c r="O9" s="201"/>
      <c r="P9" s="201"/>
      <c r="Q9" s="201"/>
      <c r="R9" s="201"/>
    </row>
    <row r="10" spans="1:1010 1027:2036 2053:3062 3079:4088 4105:5114 5131:6140 6157:7166 7183:8192 8209:9200 9217:10226 10243:11252 11269:12278 12295:13304 13321:14330 14347:15356 15373:16382" s="204" customFormat="1" x14ac:dyDescent="0.35">
      <c r="A10" s="183" t="s">
        <v>23</v>
      </c>
      <c r="B10" s="183" t="s">
        <v>24</v>
      </c>
      <c r="C10" s="184">
        <v>101.246</v>
      </c>
      <c r="D10" s="184">
        <v>121.62</v>
      </c>
      <c r="E10" s="184">
        <v>160.78700000000001</v>
      </c>
      <c r="F10" s="184">
        <v>127.20399999999999</v>
      </c>
      <c r="G10" s="184">
        <v>140.91399999999999</v>
      </c>
      <c r="H10" s="184">
        <v>146.71100000000001</v>
      </c>
      <c r="I10" s="184">
        <v>116.508</v>
      </c>
      <c r="J10" s="184">
        <v>166.31100000000001</v>
      </c>
      <c r="K10" s="184">
        <v>190.87899999999999</v>
      </c>
      <c r="L10" s="184">
        <v>250.57499999999999</v>
      </c>
      <c r="M10" s="312">
        <f>IF(OR(K10=0,K10=""),"",L10/K10-1)</f>
        <v>0.31274262752843418</v>
      </c>
      <c r="N10" s="202"/>
      <c r="O10" s="202"/>
      <c r="P10" s="202"/>
      <c r="Q10" s="202"/>
      <c r="R10" s="202"/>
      <c r="S10" s="203"/>
      <c r="T10" s="203"/>
      <c r="AK10" s="203"/>
      <c r="AL10" s="203"/>
      <c r="BC10" s="203"/>
      <c r="BD10" s="203"/>
      <c r="BU10" s="203"/>
      <c r="BV10" s="203"/>
      <c r="CM10" s="203"/>
      <c r="CN10" s="203"/>
      <c r="DE10" s="203"/>
      <c r="DF10" s="203"/>
      <c r="DW10" s="203"/>
      <c r="DX10" s="203"/>
      <c r="EO10" s="203"/>
      <c r="EP10" s="203"/>
      <c r="FG10" s="203"/>
      <c r="FH10" s="203"/>
      <c r="FY10" s="203"/>
      <c r="FZ10" s="203"/>
      <c r="GQ10" s="203"/>
      <c r="GR10" s="203"/>
      <c r="HI10" s="203"/>
      <c r="HJ10" s="203"/>
      <c r="IA10" s="203"/>
      <c r="IB10" s="203"/>
      <c r="IS10" s="203"/>
      <c r="IT10" s="203"/>
      <c r="JK10" s="203"/>
      <c r="JL10" s="203"/>
      <c r="KC10" s="203"/>
      <c r="KD10" s="203"/>
      <c r="KU10" s="203"/>
      <c r="KV10" s="203"/>
      <c r="LM10" s="203"/>
      <c r="LN10" s="203"/>
      <c r="ME10" s="203"/>
      <c r="MF10" s="203"/>
      <c r="MW10" s="203"/>
      <c r="MX10" s="203"/>
      <c r="NO10" s="203"/>
      <c r="NP10" s="203"/>
      <c r="OG10" s="203"/>
      <c r="OH10" s="203"/>
      <c r="OY10" s="203"/>
      <c r="OZ10" s="203"/>
      <c r="PQ10" s="203"/>
      <c r="PR10" s="203"/>
      <c r="QI10" s="203"/>
      <c r="QJ10" s="203"/>
      <c r="RA10" s="203"/>
      <c r="RB10" s="203"/>
      <c r="RS10" s="203"/>
      <c r="RT10" s="203"/>
      <c r="SK10" s="203"/>
      <c r="SL10" s="203"/>
      <c r="TC10" s="203"/>
      <c r="TD10" s="203"/>
      <c r="TU10" s="203"/>
      <c r="TV10" s="203"/>
      <c r="UM10" s="203"/>
      <c r="UN10" s="203"/>
      <c r="VE10" s="203"/>
      <c r="VF10" s="203"/>
      <c r="VW10" s="203"/>
      <c r="VX10" s="203"/>
      <c r="WO10" s="203"/>
      <c r="WP10" s="203"/>
      <c r="XG10" s="203"/>
      <c r="XH10" s="203"/>
      <c r="XY10" s="203"/>
      <c r="XZ10" s="203"/>
      <c r="YQ10" s="203"/>
      <c r="YR10" s="203"/>
      <c r="ZI10" s="203"/>
      <c r="ZJ10" s="203"/>
      <c r="AAA10" s="203"/>
      <c r="AAB10" s="203"/>
      <c r="AAS10" s="203"/>
      <c r="AAT10" s="203"/>
      <c r="ABK10" s="203"/>
      <c r="ABL10" s="203"/>
      <c r="ACC10" s="203"/>
      <c r="ACD10" s="203"/>
      <c r="ACU10" s="203"/>
      <c r="ACV10" s="203"/>
      <c r="ADM10" s="203"/>
      <c r="ADN10" s="203"/>
      <c r="AEE10" s="203"/>
      <c r="AEF10" s="203"/>
      <c r="AEW10" s="203"/>
      <c r="AEX10" s="203"/>
      <c r="AFO10" s="203"/>
      <c r="AFP10" s="203"/>
      <c r="AGG10" s="203"/>
      <c r="AGH10" s="203"/>
      <c r="AGY10" s="203"/>
      <c r="AGZ10" s="203"/>
      <c r="AHQ10" s="203"/>
      <c r="AHR10" s="203"/>
      <c r="AII10" s="203"/>
      <c r="AIJ10" s="203"/>
      <c r="AJA10" s="203"/>
      <c r="AJB10" s="203"/>
      <c r="AJS10" s="203"/>
      <c r="AJT10" s="203"/>
      <c r="AKK10" s="203"/>
      <c r="AKL10" s="203"/>
      <c r="ALC10" s="203"/>
      <c r="ALD10" s="203"/>
      <c r="ALU10" s="203"/>
      <c r="ALV10" s="203"/>
      <c r="AMM10" s="203"/>
      <c r="AMN10" s="203"/>
      <c r="ANE10" s="203"/>
      <c r="ANF10" s="203"/>
      <c r="ANW10" s="203"/>
      <c r="ANX10" s="203"/>
      <c r="AOO10" s="203"/>
      <c r="AOP10" s="203"/>
      <c r="APG10" s="203"/>
      <c r="APH10" s="203"/>
      <c r="APY10" s="203"/>
      <c r="APZ10" s="203"/>
      <c r="AQQ10" s="203"/>
      <c r="AQR10" s="203"/>
      <c r="ARI10" s="203"/>
      <c r="ARJ10" s="203"/>
      <c r="ASA10" s="203"/>
      <c r="ASB10" s="203"/>
      <c r="ASS10" s="203"/>
      <c r="AST10" s="203"/>
      <c r="ATK10" s="203"/>
      <c r="ATL10" s="203"/>
      <c r="AUC10" s="203"/>
      <c r="AUD10" s="203"/>
      <c r="AUU10" s="203"/>
      <c r="AUV10" s="203"/>
      <c r="AVM10" s="203"/>
      <c r="AVN10" s="203"/>
      <c r="AWE10" s="203"/>
      <c r="AWF10" s="203"/>
      <c r="AWW10" s="203"/>
      <c r="AWX10" s="203"/>
      <c r="AXO10" s="203"/>
      <c r="AXP10" s="203"/>
      <c r="AYG10" s="203"/>
      <c r="AYH10" s="203"/>
      <c r="AYY10" s="203"/>
      <c r="AYZ10" s="203"/>
      <c r="AZQ10" s="203"/>
      <c r="AZR10" s="203"/>
      <c r="BAI10" s="203"/>
      <c r="BAJ10" s="203"/>
      <c r="BBA10" s="203"/>
      <c r="BBB10" s="203"/>
      <c r="BBS10" s="203"/>
      <c r="BBT10" s="203"/>
      <c r="BCK10" s="203"/>
      <c r="BCL10" s="203"/>
      <c r="BDC10" s="203"/>
      <c r="BDD10" s="203"/>
      <c r="BDU10" s="203"/>
      <c r="BDV10" s="203"/>
      <c r="BEM10" s="203"/>
      <c r="BEN10" s="203"/>
      <c r="BFE10" s="203"/>
      <c r="BFF10" s="203"/>
      <c r="BFW10" s="203"/>
      <c r="BFX10" s="203"/>
      <c r="BGO10" s="203"/>
      <c r="BGP10" s="203"/>
      <c r="BHG10" s="203"/>
      <c r="BHH10" s="203"/>
      <c r="BHY10" s="203"/>
      <c r="BHZ10" s="203"/>
      <c r="BIQ10" s="203"/>
      <c r="BIR10" s="203"/>
      <c r="BJI10" s="203"/>
      <c r="BJJ10" s="203"/>
      <c r="BKA10" s="203"/>
      <c r="BKB10" s="203"/>
      <c r="BKS10" s="203"/>
      <c r="BKT10" s="203"/>
      <c r="BLK10" s="203"/>
      <c r="BLL10" s="203"/>
      <c r="BMC10" s="203"/>
      <c r="BMD10" s="203"/>
      <c r="BMU10" s="203"/>
      <c r="BMV10" s="203"/>
      <c r="BNM10" s="203"/>
      <c r="BNN10" s="203"/>
      <c r="BOE10" s="203"/>
      <c r="BOF10" s="203"/>
      <c r="BOW10" s="203"/>
      <c r="BOX10" s="203"/>
      <c r="BPO10" s="203"/>
      <c r="BPP10" s="203"/>
      <c r="BQG10" s="203"/>
      <c r="BQH10" s="203"/>
      <c r="BQY10" s="203"/>
      <c r="BQZ10" s="203"/>
      <c r="BRQ10" s="203"/>
      <c r="BRR10" s="203"/>
      <c r="BSI10" s="203"/>
      <c r="BSJ10" s="203"/>
      <c r="BTA10" s="203"/>
      <c r="BTB10" s="203"/>
      <c r="BTS10" s="203"/>
      <c r="BTT10" s="203"/>
      <c r="BUK10" s="203"/>
      <c r="BUL10" s="203"/>
      <c r="BVC10" s="203"/>
      <c r="BVD10" s="203"/>
      <c r="BVU10" s="203"/>
      <c r="BVV10" s="203"/>
      <c r="BWM10" s="203"/>
      <c r="BWN10" s="203"/>
      <c r="BXE10" s="203"/>
      <c r="BXF10" s="203"/>
      <c r="BXW10" s="203"/>
      <c r="BXX10" s="203"/>
      <c r="BYO10" s="203"/>
      <c r="BYP10" s="203"/>
      <c r="BZG10" s="203"/>
      <c r="BZH10" s="203"/>
      <c r="BZY10" s="203"/>
      <c r="BZZ10" s="203"/>
      <c r="CAQ10" s="203"/>
      <c r="CAR10" s="203"/>
      <c r="CBI10" s="203"/>
      <c r="CBJ10" s="203"/>
      <c r="CCA10" s="203"/>
      <c r="CCB10" s="203"/>
      <c r="CCS10" s="203"/>
      <c r="CCT10" s="203"/>
      <c r="CDK10" s="203"/>
      <c r="CDL10" s="203"/>
      <c r="CEC10" s="203"/>
      <c r="CED10" s="203"/>
      <c r="CEU10" s="203"/>
      <c r="CEV10" s="203"/>
      <c r="CFM10" s="203"/>
      <c r="CFN10" s="203"/>
      <c r="CGE10" s="203"/>
      <c r="CGF10" s="203"/>
      <c r="CGW10" s="203"/>
      <c r="CGX10" s="203"/>
      <c r="CHO10" s="203"/>
      <c r="CHP10" s="203"/>
      <c r="CIG10" s="203"/>
      <c r="CIH10" s="203"/>
      <c r="CIY10" s="203"/>
      <c r="CIZ10" s="203"/>
      <c r="CJQ10" s="203"/>
      <c r="CJR10" s="203"/>
      <c r="CKI10" s="203"/>
      <c r="CKJ10" s="203"/>
      <c r="CLA10" s="203"/>
      <c r="CLB10" s="203"/>
      <c r="CLS10" s="203"/>
      <c r="CLT10" s="203"/>
      <c r="CMK10" s="203"/>
      <c r="CML10" s="203"/>
      <c r="CNC10" s="203"/>
      <c r="CND10" s="203"/>
      <c r="CNU10" s="203"/>
      <c r="CNV10" s="203"/>
      <c r="COM10" s="203"/>
      <c r="CON10" s="203"/>
      <c r="CPE10" s="203"/>
      <c r="CPF10" s="203"/>
      <c r="CPW10" s="203"/>
      <c r="CPX10" s="203"/>
      <c r="CQO10" s="203"/>
      <c r="CQP10" s="203"/>
      <c r="CRG10" s="203"/>
      <c r="CRH10" s="203"/>
      <c r="CRY10" s="203"/>
      <c r="CRZ10" s="203"/>
      <c r="CSQ10" s="203"/>
      <c r="CSR10" s="203"/>
      <c r="CTI10" s="203"/>
      <c r="CTJ10" s="203"/>
      <c r="CUA10" s="203"/>
      <c r="CUB10" s="203"/>
      <c r="CUS10" s="203"/>
      <c r="CUT10" s="203"/>
      <c r="CVK10" s="203"/>
      <c r="CVL10" s="203"/>
      <c r="CWC10" s="203"/>
      <c r="CWD10" s="203"/>
      <c r="CWU10" s="203"/>
      <c r="CWV10" s="203"/>
      <c r="CXM10" s="203"/>
      <c r="CXN10" s="203"/>
      <c r="CYE10" s="203"/>
      <c r="CYF10" s="203"/>
      <c r="CYW10" s="203"/>
      <c r="CYX10" s="203"/>
      <c r="CZO10" s="203"/>
      <c r="CZP10" s="203"/>
      <c r="DAG10" s="203"/>
      <c r="DAH10" s="203"/>
      <c r="DAY10" s="203"/>
      <c r="DAZ10" s="203"/>
      <c r="DBQ10" s="203"/>
      <c r="DBR10" s="203"/>
      <c r="DCI10" s="203"/>
      <c r="DCJ10" s="203"/>
      <c r="DDA10" s="203"/>
      <c r="DDB10" s="203"/>
      <c r="DDS10" s="203"/>
      <c r="DDT10" s="203"/>
      <c r="DEK10" s="203"/>
      <c r="DEL10" s="203"/>
      <c r="DFC10" s="203"/>
      <c r="DFD10" s="203"/>
      <c r="DFU10" s="203"/>
      <c r="DFV10" s="203"/>
      <c r="DGM10" s="203"/>
      <c r="DGN10" s="203"/>
      <c r="DHE10" s="203"/>
      <c r="DHF10" s="203"/>
      <c r="DHW10" s="203"/>
      <c r="DHX10" s="203"/>
      <c r="DIO10" s="203"/>
      <c r="DIP10" s="203"/>
      <c r="DJG10" s="203"/>
      <c r="DJH10" s="203"/>
      <c r="DJY10" s="203"/>
      <c r="DJZ10" s="203"/>
      <c r="DKQ10" s="203"/>
      <c r="DKR10" s="203"/>
      <c r="DLI10" s="203"/>
      <c r="DLJ10" s="203"/>
      <c r="DMA10" s="203"/>
      <c r="DMB10" s="203"/>
      <c r="DMS10" s="203"/>
      <c r="DMT10" s="203"/>
      <c r="DNK10" s="203"/>
      <c r="DNL10" s="203"/>
      <c r="DOC10" s="203"/>
      <c r="DOD10" s="203"/>
      <c r="DOU10" s="203"/>
      <c r="DOV10" s="203"/>
      <c r="DPM10" s="203"/>
      <c r="DPN10" s="203"/>
      <c r="DQE10" s="203"/>
      <c r="DQF10" s="203"/>
      <c r="DQW10" s="203"/>
      <c r="DQX10" s="203"/>
      <c r="DRO10" s="203"/>
      <c r="DRP10" s="203"/>
      <c r="DSG10" s="203"/>
      <c r="DSH10" s="203"/>
      <c r="DSY10" s="203"/>
      <c r="DSZ10" s="203"/>
      <c r="DTQ10" s="203"/>
      <c r="DTR10" s="203"/>
      <c r="DUI10" s="203"/>
      <c r="DUJ10" s="203"/>
      <c r="DVA10" s="203"/>
      <c r="DVB10" s="203"/>
      <c r="DVS10" s="203"/>
      <c r="DVT10" s="203"/>
      <c r="DWK10" s="203"/>
      <c r="DWL10" s="203"/>
      <c r="DXC10" s="203"/>
      <c r="DXD10" s="203"/>
      <c r="DXU10" s="203"/>
      <c r="DXV10" s="203"/>
      <c r="DYM10" s="203"/>
      <c r="DYN10" s="203"/>
      <c r="DZE10" s="203"/>
      <c r="DZF10" s="203"/>
      <c r="DZW10" s="203"/>
      <c r="DZX10" s="203"/>
      <c r="EAO10" s="203"/>
      <c r="EAP10" s="203"/>
      <c r="EBG10" s="203"/>
      <c r="EBH10" s="203"/>
      <c r="EBY10" s="203"/>
      <c r="EBZ10" s="203"/>
      <c r="ECQ10" s="203"/>
      <c r="ECR10" s="203"/>
      <c r="EDI10" s="203"/>
      <c r="EDJ10" s="203"/>
      <c r="EEA10" s="203"/>
      <c r="EEB10" s="203"/>
      <c r="EES10" s="203"/>
      <c r="EET10" s="203"/>
      <c r="EFK10" s="203"/>
      <c r="EFL10" s="203"/>
      <c r="EGC10" s="203"/>
      <c r="EGD10" s="203"/>
      <c r="EGU10" s="203"/>
      <c r="EGV10" s="203"/>
      <c r="EHM10" s="203"/>
      <c r="EHN10" s="203"/>
      <c r="EIE10" s="203"/>
      <c r="EIF10" s="203"/>
      <c r="EIW10" s="203"/>
      <c r="EIX10" s="203"/>
      <c r="EJO10" s="203"/>
      <c r="EJP10" s="203"/>
      <c r="EKG10" s="203"/>
      <c r="EKH10" s="203"/>
      <c r="EKY10" s="203"/>
      <c r="EKZ10" s="203"/>
      <c r="ELQ10" s="203"/>
      <c r="ELR10" s="203"/>
      <c r="EMI10" s="203"/>
      <c r="EMJ10" s="203"/>
      <c r="ENA10" s="203"/>
      <c r="ENB10" s="203"/>
      <c r="ENS10" s="203"/>
      <c r="ENT10" s="203"/>
      <c r="EOK10" s="203"/>
      <c r="EOL10" s="203"/>
      <c r="EPC10" s="203"/>
      <c r="EPD10" s="203"/>
      <c r="EPU10" s="203"/>
      <c r="EPV10" s="203"/>
      <c r="EQM10" s="203"/>
      <c r="EQN10" s="203"/>
      <c r="ERE10" s="203"/>
      <c r="ERF10" s="203"/>
      <c r="ERW10" s="203"/>
      <c r="ERX10" s="203"/>
      <c r="ESO10" s="203"/>
      <c r="ESP10" s="203"/>
      <c r="ETG10" s="203"/>
      <c r="ETH10" s="203"/>
      <c r="ETY10" s="203"/>
      <c r="ETZ10" s="203"/>
      <c r="EUQ10" s="203"/>
      <c r="EUR10" s="203"/>
      <c r="EVI10" s="203"/>
      <c r="EVJ10" s="203"/>
      <c r="EWA10" s="203"/>
      <c r="EWB10" s="203"/>
      <c r="EWS10" s="203"/>
      <c r="EWT10" s="203"/>
      <c r="EXK10" s="203"/>
      <c r="EXL10" s="203"/>
      <c r="EYC10" s="203"/>
      <c r="EYD10" s="203"/>
      <c r="EYU10" s="203"/>
      <c r="EYV10" s="203"/>
      <c r="EZM10" s="203"/>
      <c r="EZN10" s="203"/>
      <c r="FAE10" s="203"/>
      <c r="FAF10" s="203"/>
      <c r="FAW10" s="203"/>
      <c r="FAX10" s="203"/>
      <c r="FBO10" s="203"/>
      <c r="FBP10" s="203"/>
      <c r="FCG10" s="203"/>
      <c r="FCH10" s="203"/>
      <c r="FCY10" s="203"/>
      <c r="FCZ10" s="203"/>
      <c r="FDQ10" s="203"/>
      <c r="FDR10" s="203"/>
      <c r="FEI10" s="203"/>
      <c r="FEJ10" s="203"/>
      <c r="FFA10" s="203"/>
      <c r="FFB10" s="203"/>
      <c r="FFS10" s="203"/>
      <c r="FFT10" s="203"/>
      <c r="FGK10" s="203"/>
      <c r="FGL10" s="203"/>
      <c r="FHC10" s="203"/>
      <c r="FHD10" s="203"/>
      <c r="FHU10" s="203"/>
      <c r="FHV10" s="203"/>
      <c r="FIM10" s="203"/>
      <c r="FIN10" s="203"/>
      <c r="FJE10" s="203"/>
      <c r="FJF10" s="203"/>
      <c r="FJW10" s="203"/>
      <c r="FJX10" s="203"/>
      <c r="FKO10" s="203"/>
      <c r="FKP10" s="203"/>
      <c r="FLG10" s="203"/>
      <c r="FLH10" s="203"/>
      <c r="FLY10" s="203"/>
      <c r="FLZ10" s="203"/>
      <c r="FMQ10" s="203"/>
      <c r="FMR10" s="203"/>
      <c r="FNI10" s="203"/>
      <c r="FNJ10" s="203"/>
      <c r="FOA10" s="203"/>
      <c r="FOB10" s="203"/>
      <c r="FOS10" s="203"/>
      <c r="FOT10" s="203"/>
      <c r="FPK10" s="203"/>
      <c r="FPL10" s="203"/>
      <c r="FQC10" s="203"/>
      <c r="FQD10" s="203"/>
      <c r="FQU10" s="203"/>
      <c r="FQV10" s="203"/>
      <c r="FRM10" s="203"/>
      <c r="FRN10" s="203"/>
      <c r="FSE10" s="203"/>
      <c r="FSF10" s="203"/>
      <c r="FSW10" s="203"/>
      <c r="FSX10" s="203"/>
      <c r="FTO10" s="203"/>
      <c r="FTP10" s="203"/>
      <c r="FUG10" s="203"/>
      <c r="FUH10" s="203"/>
      <c r="FUY10" s="203"/>
      <c r="FUZ10" s="203"/>
      <c r="FVQ10" s="203"/>
      <c r="FVR10" s="203"/>
      <c r="FWI10" s="203"/>
      <c r="FWJ10" s="203"/>
      <c r="FXA10" s="203"/>
      <c r="FXB10" s="203"/>
      <c r="FXS10" s="203"/>
      <c r="FXT10" s="203"/>
      <c r="FYK10" s="203"/>
      <c r="FYL10" s="203"/>
      <c r="FZC10" s="203"/>
      <c r="FZD10" s="203"/>
      <c r="FZU10" s="203"/>
      <c r="FZV10" s="203"/>
      <c r="GAM10" s="203"/>
      <c r="GAN10" s="203"/>
      <c r="GBE10" s="203"/>
      <c r="GBF10" s="203"/>
      <c r="GBW10" s="203"/>
      <c r="GBX10" s="203"/>
      <c r="GCO10" s="203"/>
      <c r="GCP10" s="203"/>
      <c r="GDG10" s="203"/>
      <c r="GDH10" s="203"/>
      <c r="GDY10" s="203"/>
      <c r="GDZ10" s="203"/>
      <c r="GEQ10" s="203"/>
      <c r="GER10" s="203"/>
      <c r="GFI10" s="203"/>
      <c r="GFJ10" s="203"/>
      <c r="GGA10" s="203"/>
      <c r="GGB10" s="203"/>
      <c r="GGS10" s="203"/>
      <c r="GGT10" s="203"/>
      <c r="GHK10" s="203"/>
      <c r="GHL10" s="203"/>
      <c r="GIC10" s="203"/>
      <c r="GID10" s="203"/>
      <c r="GIU10" s="203"/>
      <c r="GIV10" s="203"/>
      <c r="GJM10" s="203"/>
      <c r="GJN10" s="203"/>
      <c r="GKE10" s="203"/>
      <c r="GKF10" s="203"/>
      <c r="GKW10" s="203"/>
      <c r="GKX10" s="203"/>
      <c r="GLO10" s="203"/>
      <c r="GLP10" s="203"/>
      <c r="GMG10" s="203"/>
      <c r="GMH10" s="203"/>
      <c r="GMY10" s="203"/>
      <c r="GMZ10" s="203"/>
      <c r="GNQ10" s="203"/>
      <c r="GNR10" s="203"/>
      <c r="GOI10" s="203"/>
      <c r="GOJ10" s="203"/>
      <c r="GPA10" s="203"/>
      <c r="GPB10" s="203"/>
      <c r="GPS10" s="203"/>
      <c r="GPT10" s="203"/>
      <c r="GQK10" s="203"/>
      <c r="GQL10" s="203"/>
      <c r="GRC10" s="203"/>
      <c r="GRD10" s="203"/>
      <c r="GRU10" s="203"/>
      <c r="GRV10" s="203"/>
      <c r="GSM10" s="203"/>
      <c r="GSN10" s="203"/>
      <c r="GTE10" s="203"/>
      <c r="GTF10" s="203"/>
      <c r="GTW10" s="203"/>
      <c r="GTX10" s="203"/>
      <c r="GUO10" s="203"/>
      <c r="GUP10" s="203"/>
      <c r="GVG10" s="203"/>
      <c r="GVH10" s="203"/>
      <c r="GVY10" s="203"/>
      <c r="GVZ10" s="203"/>
      <c r="GWQ10" s="203"/>
      <c r="GWR10" s="203"/>
      <c r="GXI10" s="203"/>
      <c r="GXJ10" s="203"/>
      <c r="GYA10" s="203"/>
      <c r="GYB10" s="203"/>
      <c r="GYS10" s="203"/>
      <c r="GYT10" s="203"/>
      <c r="GZK10" s="203"/>
      <c r="GZL10" s="203"/>
      <c r="HAC10" s="203"/>
      <c r="HAD10" s="203"/>
      <c r="HAU10" s="203"/>
      <c r="HAV10" s="203"/>
      <c r="HBM10" s="203"/>
      <c r="HBN10" s="203"/>
      <c r="HCE10" s="203"/>
      <c r="HCF10" s="203"/>
      <c r="HCW10" s="203"/>
      <c r="HCX10" s="203"/>
      <c r="HDO10" s="203"/>
      <c r="HDP10" s="203"/>
      <c r="HEG10" s="203"/>
      <c r="HEH10" s="203"/>
      <c r="HEY10" s="203"/>
      <c r="HEZ10" s="203"/>
      <c r="HFQ10" s="203"/>
      <c r="HFR10" s="203"/>
      <c r="HGI10" s="203"/>
      <c r="HGJ10" s="203"/>
      <c r="HHA10" s="203"/>
      <c r="HHB10" s="203"/>
      <c r="HHS10" s="203"/>
      <c r="HHT10" s="203"/>
      <c r="HIK10" s="203"/>
      <c r="HIL10" s="203"/>
      <c r="HJC10" s="203"/>
      <c r="HJD10" s="203"/>
      <c r="HJU10" s="203"/>
      <c r="HJV10" s="203"/>
      <c r="HKM10" s="203"/>
      <c r="HKN10" s="203"/>
      <c r="HLE10" s="203"/>
      <c r="HLF10" s="203"/>
      <c r="HLW10" s="203"/>
      <c r="HLX10" s="203"/>
      <c r="HMO10" s="203"/>
      <c r="HMP10" s="203"/>
      <c r="HNG10" s="203"/>
      <c r="HNH10" s="203"/>
      <c r="HNY10" s="203"/>
      <c r="HNZ10" s="203"/>
      <c r="HOQ10" s="203"/>
      <c r="HOR10" s="203"/>
      <c r="HPI10" s="203"/>
      <c r="HPJ10" s="203"/>
      <c r="HQA10" s="203"/>
      <c r="HQB10" s="203"/>
      <c r="HQS10" s="203"/>
      <c r="HQT10" s="203"/>
      <c r="HRK10" s="203"/>
      <c r="HRL10" s="203"/>
      <c r="HSC10" s="203"/>
      <c r="HSD10" s="203"/>
      <c r="HSU10" s="203"/>
      <c r="HSV10" s="203"/>
      <c r="HTM10" s="203"/>
      <c r="HTN10" s="203"/>
      <c r="HUE10" s="203"/>
      <c r="HUF10" s="203"/>
      <c r="HUW10" s="203"/>
      <c r="HUX10" s="203"/>
      <c r="HVO10" s="203"/>
      <c r="HVP10" s="203"/>
      <c r="HWG10" s="203"/>
      <c r="HWH10" s="203"/>
      <c r="HWY10" s="203"/>
      <c r="HWZ10" s="203"/>
      <c r="HXQ10" s="203"/>
      <c r="HXR10" s="203"/>
      <c r="HYI10" s="203"/>
      <c r="HYJ10" s="203"/>
      <c r="HZA10" s="203"/>
      <c r="HZB10" s="203"/>
      <c r="HZS10" s="203"/>
      <c r="HZT10" s="203"/>
      <c r="IAK10" s="203"/>
      <c r="IAL10" s="203"/>
      <c r="IBC10" s="203"/>
      <c r="IBD10" s="203"/>
      <c r="IBU10" s="203"/>
      <c r="IBV10" s="203"/>
      <c r="ICM10" s="203"/>
      <c r="ICN10" s="203"/>
      <c r="IDE10" s="203"/>
      <c r="IDF10" s="203"/>
      <c r="IDW10" s="203"/>
      <c r="IDX10" s="203"/>
      <c r="IEO10" s="203"/>
      <c r="IEP10" s="203"/>
      <c r="IFG10" s="203"/>
      <c r="IFH10" s="203"/>
      <c r="IFY10" s="203"/>
      <c r="IFZ10" s="203"/>
      <c r="IGQ10" s="203"/>
      <c r="IGR10" s="203"/>
      <c r="IHI10" s="203"/>
      <c r="IHJ10" s="203"/>
      <c r="IIA10" s="203"/>
      <c r="IIB10" s="203"/>
      <c r="IIS10" s="203"/>
      <c r="IIT10" s="203"/>
      <c r="IJK10" s="203"/>
      <c r="IJL10" s="203"/>
      <c r="IKC10" s="203"/>
      <c r="IKD10" s="203"/>
      <c r="IKU10" s="203"/>
      <c r="IKV10" s="203"/>
      <c r="ILM10" s="203"/>
      <c r="ILN10" s="203"/>
      <c r="IME10" s="203"/>
      <c r="IMF10" s="203"/>
      <c r="IMW10" s="203"/>
      <c r="IMX10" s="203"/>
      <c r="INO10" s="203"/>
      <c r="INP10" s="203"/>
      <c r="IOG10" s="203"/>
      <c r="IOH10" s="203"/>
      <c r="IOY10" s="203"/>
      <c r="IOZ10" s="203"/>
      <c r="IPQ10" s="203"/>
      <c r="IPR10" s="203"/>
      <c r="IQI10" s="203"/>
      <c r="IQJ10" s="203"/>
      <c r="IRA10" s="203"/>
      <c r="IRB10" s="203"/>
      <c r="IRS10" s="203"/>
      <c r="IRT10" s="203"/>
      <c r="ISK10" s="203"/>
      <c r="ISL10" s="203"/>
      <c r="ITC10" s="203"/>
      <c r="ITD10" s="203"/>
      <c r="ITU10" s="203"/>
      <c r="ITV10" s="203"/>
      <c r="IUM10" s="203"/>
      <c r="IUN10" s="203"/>
      <c r="IVE10" s="203"/>
      <c r="IVF10" s="203"/>
      <c r="IVW10" s="203"/>
      <c r="IVX10" s="203"/>
      <c r="IWO10" s="203"/>
      <c r="IWP10" s="203"/>
      <c r="IXG10" s="203"/>
      <c r="IXH10" s="203"/>
      <c r="IXY10" s="203"/>
      <c r="IXZ10" s="203"/>
      <c r="IYQ10" s="203"/>
      <c r="IYR10" s="203"/>
      <c r="IZI10" s="203"/>
      <c r="IZJ10" s="203"/>
      <c r="JAA10" s="203"/>
      <c r="JAB10" s="203"/>
      <c r="JAS10" s="203"/>
      <c r="JAT10" s="203"/>
      <c r="JBK10" s="203"/>
      <c r="JBL10" s="203"/>
      <c r="JCC10" s="203"/>
      <c r="JCD10" s="203"/>
      <c r="JCU10" s="203"/>
      <c r="JCV10" s="203"/>
      <c r="JDM10" s="203"/>
      <c r="JDN10" s="203"/>
      <c r="JEE10" s="203"/>
      <c r="JEF10" s="203"/>
      <c r="JEW10" s="203"/>
      <c r="JEX10" s="203"/>
      <c r="JFO10" s="203"/>
      <c r="JFP10" s="203"/>
      <c r="JGG10" s="203"/>
      <c r="JGH10" s="203"/>
      <c r="JGY10" s="203"/>
      <c r="JGZ10" s="203"/>
      <c r="JHQ10" s="203"/>
      <c r="JHR10" s="203"/>
      <c r="JII10" s="203"/>
      <c r="JIJ10" s="203"/>
      <c r="JJA10" s="203"/>
      <c r="JJB10" s="203"/>
      <c r="JJS10" s="203"/>
      <c r="JJT10" s="203"/>
      <c r="JKK10" s="203"/>
      <c r="JKL10" s="203"/>
      <c r="JLC10" s="203"/>
      <c r="JLD10" s="203"/>
      <c r="JLU10" s="203"/>
      <c r="JLV10" s="203"/>
      <c r="JMM10" s="203"/>
      <c r="JMN10" s="203"/>
      <c r="JNE10" s="203"/>
      <c r="JNF10" s="203"/>
      <c r="JNW10" s="203"/>
      <c r="JNX10" s="203"/>
      <c r="JOO10" s="203"/>
      <c r="JOP10" s="203"/>
      <c r="JPG10" s="203"/>
      <c r="JPH10" s="203"/>
      <c r="JPY10" s="203"/>
      <c r="JPZ10" s="203"/>
      <c r="JQQ10" s="203"/>
      <c r="JQR10" s="203"/>
      <c r="JRI10" s="203"/>
      <c r="JRJ10" s="203"/>
      <c r="JSA10" s="203"/>
      <c r="JSB10" s="203"/>
      <c r="JSS10" s="203"/>
      <c r="JST10" s="203"/>
      <c r="JTK10" s="203"/>
      <c r="JTL10" s="203"/>
      <c r="JUC10" s="203"/>
      <c r="JUD10" s="203"/>
      <c r="JUU10" s="203"/>
      <c r="JUV10" s="203"/>
      <c r="JVM10" s="203"/>
      <c r="JVN10" s="203"/>
      <c r="JWE10" s="203"/>
      <c r="JWF10" s="203"/>
      <c r="JWW10" s="203"/>
      <c r="JWX10" s="203"/>
      <c r="JXO10" s="203"/>
      <c r="JXP10" s="203"/>
      <c r="JYG10" s="203"/>
      <c r="JYH10" s="203"/>
      <c r="JYY10" s="203"/>
      <c r="JYZ10" s="203"/>
      <c r="JZQ10" s="203"/>
      <c r="JZR10" s="203"/>
      <c r="KAI10" s="203"/>
      <c r="KAJ10" s="203"/>
      <c r="KBA10" s="203"/>
      <c r="KBB10" s="203"/>
      <c r="KBS10" s="203"/>
      <c r="KBT10" s="203"/>
      <c r="KCK10" s="203"/>
      <c r="KCL10" s="203"/>
      <c r="KDC10" s="203"/>
      <c r="KDD10" s="203"/>
      <c r="KDU10" s="203"/>
      <c r="KDV10" s="203"/>
      <c r="KEM10" s="203"/>
      <c r="KEN10" s="203"/>
      <c r="KFE10" s="203"/>
      <c r="KFF10" s="203"/>
      <c r="KFW10" s="203"/>
      <c r="KFX10" s="203"/>
      <c r="KGO10" s="203"/>
      <c r="KGP10" s="203"/>
      <c r="KHG10" s="203"/>
      <c r="KHH10" s="203"/>
      <c r="KHY10" s="203"/>
      <c r="KHZ10" s="203"/>
      <c r="KIQ10" s="203"/>
      <c r="KIR10" s="203"/>
      <c r="KJI10" s="203"/>
      <c r="KJJ10" s="203"/>
      <c r="KKA10" s="203"/>
      <c r="KKB10" s="203"/>
      <c r="KKS10" s="203"/>
      <c r="KKT10" s="203"/>
      <c r="KLK10" s="203"/>
      <c r="KLL10" s="203"/>
      <c r="KMC10" s="203"/>
      <c r="KMD10" s="203"/>
      <c r="KMU10" s="203"/>
      <c r="KMV10" s="203"/>
      <c r="KNM10" s="203"/>
      <c r="KNN10" s="203"/>
      <c r="KOE10" s="203"/>
      <c r="KOF10" s="203"/>
      <c r="KOW10" s="203"/>
      <c r="KOX10" s="203"/>
      <c r="KPO10" s="203"/>
      <c r="KPP10" s="203"/>
      <c r="KQG10" s="203"/>
      <c r="KQH10" s="203"/>
      <c r="KQY10" s="203"/>
      <c r="KQZ10" s="203"/>
      <c r="KRQ10" s="203"/>
      <c r="KRR10" s="203"/>
      <c r="KSI10" s="203"/>
      <c r="KSJ10" s="203"/>
      <c r="KTA10" s="203"/>
      <c r="KTB10" s="203"/>
      <c r="KTS10" s="203"/>
      <c r="KTT10" s="203"/>
      <c r="KUK10" s="203"/>
      <c r="KUL10" s="203"/>
      <c r="KVC10" s="203"/>
      <c r="KVD10" s="203"/>
      <c r="KVU10" s="203"/>
      <c r="KVV10" s="203"/>
      <c r="KWM10" s="203"/>
      <c r="KWN10" s="203"/>
      <c r="KXE10" s="203"/>
      <c r="KXF10" s="203"/>
      <c r="KXW10" s="203"/>
      <c r="KXX10" s="203"/>
      <c r="KYO10" s="203"/>
      <c r="KYP10" s="203"/>
      <c r="KZG10" s="203"/>
      <c r="KZH10" s="203"/>
      <c r="KZY10" s="203"/>
      <c r="KZZ10" s="203"/>
      <c r="LAQ10" s="203"/>
      <c r="LAR10" s="203"/>
      <c r="LBI10" s="203"/>
      <c r="LBJ10" s="203"/>
      <c r="LCA10" s="203"/>
      <c r="LCB10" s="203"/>
      <c r="LCS10" s="203"/>
      <c r="LCT10" s="203"/>
      <c r="LDK10" s="203"/>
      <c r="LDL10" s="203"/>
      <c r="LEC10" s="203"/>
      <c r="LED10" s="203"/>
      <c r="LEU10" s="203"/>
      <c r="LEV10" s="203"/>
      <c r="LFM10" s="203"/>
      <c r="LFN10" s="203"/>
      <c r="LGE10" s="203"/>
      <c r="LGF10" s="203"/>
      <c r="LGW10" s="203"/>
      <c r="LGX10" s="203"/>
      <c r="LHO10" s="203"/>
      <c r="LHP10" s="203"/>
      <c r="LIG10" s="203"/>
      <c r="LIH10" s="203"/>
      <c r="LIY10" s="203"/>
      <c r="LIZ10" s="203"/>
      <c r="LJQ10" s="203"/>
      <c r="LJR10" s="203"/>
      <c r="LKI10" s="203"/>
      <c r="LKJ10" s="203"/>
      <c r="LLA10" s="203"/>
      <c r="LLB10" s="203"/>
      <c r="LLS10" s="203"/>
      <c r="LLT10" s="203"/>
      <c r="LMK10" s="203"/>
      <c r="LML10" s="203"/>
      <c r="LNC10" s="203"/>
      <c r="LND10" s="203"/>
      <c r="LNU10" s="203"/>
      <c r="LNV10" s="203"/>
      <c r="LOM10" s="203"/>
      <c r="LON10" s="203"/>
      <c r="LPE10" s="203"/>
      <c r="LPF10" s="203"/>
      <c r="LPW10" s="203"/>
      <c r="LPX10" s="203"/>
      <c r="LQO10" s="203"/>
      <c r="LQP10" s="203"/>
      <c r="LRG10" s="203"/>
      <c r="LRH10" s="203"/>
      <c r="LRY10" s="203"/>
      <c r="LRZ10" s="203"/>
      <c r="LSQ10" s="203"/>
      <c r="LSR10" s="203"/>
      <c r="LTI10" s="203"/>
      <c r="LTJ10" s="203"/>
      <c r="LUA10" s="203"/>
      <c r="LUB10" s="203"/>
      <c r="LUS10" s="203"/>
      <c r="LUT10" s="203"/>
      <c r="LVK10" s="203"/>
      <c r="LVL10" s="203"/>
      <c r="LWC10" s="203"/>
      <c r="LWD10" s="203"/>
      <c r="LWU10" s="203"/>
      <c r="LWV10" s="203"/>
      <c r="LXM10" s="203"/>
      <c r="LXN10" s="203"/>
      <c r="LYE10" s="203"/>
      <c r="LYF10" s="203"/>
      <c r="LYW10" s="203"/>
      <c r="LYX10" s="203"/>
      <c r="LZO10" s="203"/>
      <c r="LZP10" s="203"/>
      <c r="MAG10" s="203"/>
      <c r="MAH10" s="203"/>
      <c r="MAY10" s="203"/>
      <c r="MAZ10" s="203"/>
      <c r="MBQ10" s="203"/>
      <c r="MBR10" s="203"/>
      <c r="MCI10" s="203"/>
      <c r="MCJ10" s="203"/>
      <c r="MDA10" s="203"/>
      <c r="MDB10" s="203"/>
      <c r="MDS10" s="203"/>
      <c r="MDT10" s="203"/>
      <c r="MEK10" s="203"/>
      <c r="MEL10" s="203"/>
      <c r="MFC10" s="203"/>
      <c r="MFD10" s="203"/>
      <c r="MFU10" s="203"/>
      <c r="MFV10" s="203"/>
      <c r="MGM10" s="203"/>
      <c r="MGN10" s="203"/>
      <c r="MHE10" s="203"/>
      <c r="MHF10" s="203"/>
      <c r="MHW10" s="203"/>
      <c r="MHX10" s="203"/>
      <c r="MIO10" s="203"/>
      <c r="MIP10" s="203"/>
      <c r="MJG10" s="203"/>
      <c r="MJH10" s="203"/>
      <c r="MJY10" s="203"/>
      <c r="MJZ10" s="203"/>
      <c r="MKQ10" s="203"/>
      <c r="MKR10" s="203"/>
      <c r="MLI10" s="203"/>
      <c r="MLJ10" s="203"/>
      <c r="MMA10" s="203"/>
      <c r="MMB10" s="203"/>
      <c r="MMS10" s="203"/>
      <c r="MMT10" s="203"/>
      <c r="MNK10" s="203"/>
      <c r="MNL10" s="203"/>
      <c r="MOC10" s="203"/>
      <c r="MOD10" s="203"/>
      <c r="MOU10" s="203"/>
      <c r="MOV10" s="203"/>
      <c r="MPM10" s="203"/>
      <c r="MPN10" s="203"/>
      <c r="MQE10" s="203"/>
      <c r="MQF10" s="203"/>
      <c r="MQW10" s="203"/>
      <c r="MQX10" s="203"/>
      <c r="MRO10" s="203"/>
      <c r="MRP10" s="203"/>
      <c r="MSG10" s="203"/>
      <c r="MSH10" s="203"/>
      <c r="MSY10" s="203"/>
      <c r="MSZ10" s="203"/>
      <c r="MTQ10" s="203"/>
      <c r="MTR10" s="203"/>
      <c r="MUI10" s="203"/>
      <c r="MUJ10" s="203"/>
      <c r="MVA10" s="203"/>
      <c r="MVB10" s="203"/>
      <c r="MVS10" s="203"/>
      <c r="MVT10" s="203"/>
      <c r="MWK10" s="203"/>
      <c r="MWL10" s="203"/>
      <c r="MXC10" s="203"/>
      <c r="MXD10" s="203"/>
      <c r="MXU10" s="203"/>
      <c r="MXV10" s="203"/>
      <c r="MYM10" s="203"/>
      <c r="MYN10" s="203"/>
      <c r="MZE10" s="203"/>
      <c r="MZF10" s="203"/>
      <c r="MZW10" s="203"/>
      <c r="MZX10" s="203"/>
      <c r="NAO10" s="203"/>
      <c r="NAP10" s="203"/>
      <c r="NBG10" s="203"/>
      <c r="NBH10" s="203"/>
      <c r="NBY10" s="203"/>
      <c r="NBZ10" s="203"/>
      <c r="NCQ10" s="203"/>
      <c r="NCR10" s="203"/>
      <c r="NDI10" s="203"/>
      <c r="NDJ10" s="203"/>
      <c r="NEA10" s="203"/>
      <c r="NEB10" s="203"/>
      <c r="NES10" s="203"/>
      <c r="NET10" s="203"/>
      <c r="NFK10" s="203"/>
      <c r="NFL10" s="203"/>
      <c r="NGC10" s="203"/>
      <c r="NGD10" s="203"/>
      <c r="NGU10" s="203"/>
      <c r="NGV10" s="203"/>
      <c r="NHM10" s="203"/>
      <c r="NHN10" s="203"/>
      <c r="NIE10" s="203"/>
      <c r="NIF10" s="203"/>
      <c r="NIW10" s="203"/>
      <c r="NIX10" s="203"/>
      <c r="NJO10" s="203"/>
      <c r="NJP10" s="203"/>
      <c r="NKG10" s="203"/>
      <c r="NKH10" s="203"/>
      <c r="NKY10" s="203"/>
      <c r="NKZ10" s="203"/>
      <c r="NLQ10" s="203"/>
      <c r="NLR10" s="203"/>
      <c r="NMI10" s="203"/>
      <c r="NMJ10" s="203"/>
      <c r="NNA10" s="203"/>
      <c r="NNB10" s="203"/>
      <c r="NNS10" s="203"/>
      <c r="NNT10" s="203"/>
      <c r="NOK10" s="203"/>
      <c r="NOL10" s="203"/>
      <c r="NPC10" s="203"/>
      <c r="NPD10" s="203"/>
      <c r="NPU10" s="203"/>
      <c r="NPV10" s="203"/>
      <c r="NQM10" s="203"/>
      <c r="NQN10" s="203"/>
      <c r="NRE10" s="203"/>
      <c r="NRF10" s="203"/>
      <c r="NRW10" s="203"/>
      <c r="NRX10" s="203"/>
      <c r="NSO10" s="203"/>
      <c r="NSP10" s="203"/>
      <c r="NTG10" s="203"/>
      <c r="NTH10" s="203"/>
      <c r="NTY10" s="203"/>
      <c r="NTZ10" s="203"/>
      <c r="NUQ10" s="203"/>
      <c r="NUR10" s="203"/>
      <c r="NVI10" s="203"/>
      <c r="NVJ10" s="203"/>
      <c r="NWA10" s="203"/>
      <c r="NWB10" s="203"/>
      <c r="NWS10" s="203"/>
      <c r="NWT10" s="203"/>
      <c r="NXK10" s="203"/>
      <c r="NXL10" s="203"/>
      <c r="NYC10" s="203"/>
      <c r="NYD10" s="203"/>
      <c r="NYU10" s="203"/>
      <c r="NYV10" s="203"/>
      <c r="NZM10" s="203"/>
      <c r="NZN10" s="203"/>
      <c r="OAE10" s="203"/>
      <c r="OAF10" s="203"/>
      <c r="OAW10" s="203"/>
      <c r="OAX10" s="203"/>
      <c r="OBO10" s="203"/>
      <c r="OBP10" s="203"/>
      <c r="OCG10" s="203"/>
      <c r="OCH10" s="203"/>
      <c r="OCY10" s="203"/>
      <c r="OCZ10" s="203"/>
      <c r="ODQ10" s="203"/>
      <c r="ODR10" s="203"/>
      <c r="OEI10" s="203"/>
      <c r="OEJ10" s="203"/>
      <c r="OFA10" s="203"/>
      <c r="OFB10" s="203"/>
      <c r="OFS10" s="203"/>
      <c r="OFT10" s="203"/>
      <c r="OGK10" s="203"/>
      <c r="OGL10" s="203"/>
      <c r="OHC10" s="203"/>
      <c r="OHD10" s="203"/>
      <c r="OHU10" s="203"/>
      <c r="OHV10" s="203"/>
      <c r="OIM10" s="203"/>
      <c r="OIN10" s="203"/>
      <c r="OJE10" s="203"/>
      <c r="OJF10" s="203"/>
      <c r="OJW10" s="203"/>
      <c r="OJX10" s="203"/>
      <c r="OKO10" s="203"/>
      <c r="OKP10" s="203"/>
      <c r="OLG10" s="203"/>
      <c r="OLH10" s="203"/>
      <c r="OLY10" s="203"/>
      <c r="OLZ10" s="203"/>
      <c r="OMQ10" s="203"/>
      <c r="OMR10" s="203"/>
      <c r="ONI10" s="203"/>
      <c r="ONJ10" s="203"/>
      <c r="OOA10" s="203"/>
      <c r="OOB10" s="203"/>
      <c r="OOS10" s="203"/>
      <c r="OOT10" s="203"/>
      <c r="OPK10" s="203"/>
      <c r="OPL10" s="203"/>
      <c r="OQC10" s="203"/>
      <c r="OQD10" s="203"/>
      <c r="OQU10" s="203"/>
      <c r="OQV10" s="203"/>
      <c r="ORM10" s="203"/>
      <c r="ORN10" s="203"/>
      <c r="OSE10" s="203"/>
      <c r="OSF10" s="203"/>
      <c r="OSW10" s="203"/>
      <c r="OSX10" s="203"/>
      <c r="OTO10" s="203"/>
      <c r="OTP10" s="203"/>
      <c r="OUG10" s="203"/>
      <c r="OUH10" s="203"/>
      <c r="OUY10" s="203"/>
      <c r="OUZ10" s="203"/>
      <c r="OVQ10" s="203"/>
      <c r="OVR10" s="203"/>
      <c r="OWI10" s="203"/>
      <c r="OWJ10" s="203"/>
      <c r="OXA10" s="203"/>
      <c r="OXB10" s="203"/>
      <c r="OXS10" s="203"/>
      <c r="OXT10" s="203"/>
      <c r="OYK10" s="203"/>
      <c r="OYL10" s="203"/>
      <c r="OZC10" s="203"/>
      <c r="OZD10" s="203"/>
      <c r="OZU10" s="203"/>
      <c r="OZV10" s="203"/>
      <c r="PAM10" s="203"/>
      <c r="PAN10" s="203"/>
      <c r="PBE10" s="203"/>
      <c r="PBF10" s="203"/>
      <c r="PBW10" s="203"/>
      <c r="PBX10" s="203"/>
      <c r="PCO10" s="203"/>
      <c r="PCP10" s="203"/>
      <c r="PDG10" s="203"/>
      <c r="PDH10" s="203"/>
      <c r="PDY10" s="203"/>
      <c r="PDZ10" s="203"/>
      <c r="PEQ10" s="203"/>
      <c r="PER10" s="203"/>
      <c r="PFI10" s="203"/>
      <c r="PFJ10" s="203"/>
      <c r="PGA10" s="203"/>
      <c r="PGB10" s="203"/>
      <c r="PGS10" s="203"/>
      <c r="PGT10" s="203"/>
      <c r="PHK10" s="203"/>
      <c r="PHL10" s="203"/>
      <c r="PIC10" s="203"/>
      <c r="PID10" s="203"/>
      <c r="PIU10" s="203"/>
      <c r="PIV10" s="203"/>
      <c r="PJM10" s="203"/>
      <c r="PJN10" s="203"/>
      <c r="PKE10" s="203"/>
      <c r="PKF10" s="203"/>
      <c r="PKW10" s="203"/>
      <c r="PKX10" s="203"/>
      <c r="PLO10" s="203"/>
      <c r="PLP10" s="203"/>
      <c r="PMG10" s="203"/>
      <c r="PMH10" s="203"/>
      <c r="PMY10" s="203"/>
      <c r="PMZ10" s="203"/>
      <c r="PNQ10" s="203"/>
      <c r="PNR10" s="203"/>
      <c r="POI10" s="203"/>
      <c r="POJ10" s="203"/>
      <c r="PPA10" s="203"/>
      <c r="PPB10" s="203"/>
      <c r="PPS10" s="203"/>
      <c r="PPT10" s="203"/>
      <c r="PQK10" s="203"/>
      <c r="PQL10" s="203"/>
      <c r="PRC10" s="203"/>
      <c r="PRD10" s="203"/>
      <c r="PRU10" s="203"/>
      <c r="PRV10" s="203"/>
      <c r="PSM10" s="203"/>
      <c r="PSN10" s="203"/>
      <c r="PTE10" s="203"/>
      <c r="PTF10" s="203"/>
      <c r="PTW10" s="203"/>
      <c r="PTX10" s="203"/>
      <c r="PUO10" s="203"/>
      <c r="PUP10" s="203"/>
      <c r="PVG10" s="203"/>
      <c r="PVH10" s="203"/>
      <c r="PVY10" s="203"/>
      <c r="PVZ10" s="203"/>
      <c r="PWQ10" s="203"/>
      <c r="PWR10" s="203"/>
      <c r="PXI10" s="203"/>
      <c r="PXJ10" s="203"/>
      <c r="PYA10" s="203"/>
      <c r="PYB10" s="203"/>
      <c r="PYS10" s="203"/>
      <c r="PYT10" s="203"/>
      <c r="PZK10" s="203"/>
      <c r="PZL10" s="203"/>
      <c r="QAC10" s="203"/>
      <c r="QAD10" s="203"/>
      <c r="QAU10" s="203"/>
      <c r="QAV10" s="203"/>
      <c r="QBM10" s="203"/>
      <c r="QBN10" s="203"/>
      <c r="QCE10" s="203"/>
      <c r="QCF10" s="203"/>
      <c r="QCW10" s="203"/>
      <c r="QCX10" s="203"/>
      <c r="QDO10" s="203"/>
      <c r="QDP10" s="203"/>
      <c r="QEG10" s="203"/>
      <c r="QEH10" s="203"/>
      <c r="QEY10" s="203"/>
      <c r="QEZ10" s="203"/>
      <c r="QFQ10" s="203"/>
      <c r="QFR10" s="203"/>
      <c r="QGI10" s="203"/>
      <c r="QGJ10" s="203"/>
      <c r="QHA10" s="203"/>
      <c r="QHB10" s="203"/>
      <c r="QHS10" s="203"/>
      <c r="QHT10" s="203"/>
      <c r="QIK10" s="203"/>
      <c r="QIL10" s="203"/>
      <c r="QJC10" s="203"/>
      <c r="QJD10" s="203"/>
      <c r="QJU10" s="203"/>
      <c r="QJV10" s="203"/>
      <c r="QKM10" s="203"/>
      <c r="QKN10" s="203"/>
      <c r="QLE10" s="203"/>
      <c r="QLF10" s="203"/>
      <c r="QLW10" s="203"/>
      <c r="QLX10" s="203"/>
      <c r="QMO10" s="203"/>
      <c r="QMP10" s="203"/>
      <c r="QNG10" s="203"/>
      <c r="QNH10" s="203"/>
      <c r="QNY10" s="203"/>
      <c r="QNZ10" s="203"/>
      <c r="QOQ10" s="203"/>
      <c r="QOR10" s="203"/>
      <c r="QPI10" s="203"/>
      <c r="QPJ10" s="203"/>
      <c r="QQA10" s="203"/>
      <c r="QQB10" s="203"/>
      <c r="QQS10" s="203"/>
      <c r="QQT10" s="203"/>
      <c r="QRK10" s="203"/>
      <c r="QRL10" s="203"/>
      <c r="QSC10" s="203"/>
      <c r="QSD10" s="203"/>
      <c r="QSU10" s="203"/>
      <c r="QSV10" s="203"/>
      <c r="QTM10" s="203"/>
      <c r="QTN10" s="203"/>
      <c r="QUE10" s="203"/>
      <c r="QUF10" s="203"/>
      <c r="QUW10" s="203"/>
      <c r="QUX10" s="203"/>
      <c r="QVO10" s="203"/>
      <c r="QVP10" s="203"/>
      <c r="QWG10" s="203"/>
      <c r="QWH10" s="203"/>
      <c r="QWY10" s="203"/>
      <c r="QWZ10" s="203"/>
      <c r="QXQ10" s="203"/>
      <c r="QXR10" s="203"/>
      <c r="QYI10" s="203"/>
      <c r="QYJ10" s="203"/>
      <c r="QZA10" s="203"/>
      <c r="QZB10" s="203"/>
      <c r="QZS10" s="203"/>
      <c r="QZT10" s="203"/>
      <c r="RAK10" s="203"/>
      <c r="RAL10" s="203"/>
      <c r="RBC10" s="203"/>
      <c r="RBD10" s="203"/>
      <c r="RBU10" s="203"/>
      <c r="RBV10" s="203"/>
      <c r="RCM10" s="203"/>
      <c r="RCN10" s="203"/>
      <c r="RDE10" s="203"/>
      <c r="RDF10" s="203"/>
      <c r="RDW10" s="203"/>
      <c r="RDX10" s="203"/>
      <c r="REO10" s="203"/>
      <c r="REP10" s="203"/>
      <c r="RFG10" s="203"/>
      <c r="RFH10" s="203"/>
      <c r="RFY10" s="203"/>
      <c r="RFZ10" s="203"/>
      <c r="RGQ10" s="203"/>
      <c r="RGR10" s="203"/>
      <c r="RHI10" s="203"/>
      <c r="RHJ10" s="203"/>
      <c r="RIA10" s="203"/>
      <c r="RIB10" s="203"/>
      <c r="RIS10" s="203"/>
      <c r="RIT10" s="203"/>
      <c r="RJK10" s="203"/>
      <c r="RJL10" s="203"/>
      <c r="RKC10" s="203"/>
      <c r="RKD10" s="203"/>
      <c r="RKU10" s="203"/>
      <c r="RKV10" s="203"/>
      <c r="RLM10" s="203"/>
      <c r="RLN10" s="203"/>
      <c r="RME10" s="203"/>
      <c r="RMF10" s="203"/>
      <c r="RMW10" s="203"/>
      <c r="RMX10" s="203"/>
      <c r="RNO10" s="203"/>
      <c r="RNP10" s="203"/>
      <c r="ROG10" s="203"/>
      <c r="ROH10" s="203"/>
      <c r="ROY10" s="203"/>
      <c r="ROZ10" s="203"/>
      <c r="RPQ10" s="203"/>
      <c r="RPR10" s="203"/>
      <c r="RQI10" s="203"/>
      <c r="RQJ10" s="203"/>
      <c r="RRA10" s="203"/>
      <c r="RRB10" s="203"/>
      <c r="RRS10" s="203"/>
      <c r="RRT10" s="203"/>
      <c r="RSK10" s="203"/>
      <c r="RSL10" s="203"/>
      <c r="RTC10" s="203"/>
      <c r="RTD10" s="203"/>
      <c r="RTU10" s="203"/>
      <c r="RTV10" s="203"/>
      <c r="RUM10" s="203"/>
      <c r="RUN10" s="203"/>
      <c r="RVE10" s="203"/>
      <c r="RVF10" s="203"/>
      <c r="RVW10" s="203"/>
      <c r="RVX10" s="203"/>
      <c r="RWO10" s="203"/>
      <c r="RWP10" s="203"/>
      <c r="RXG10" s="203"/>
      <c r="RXH10" s="203"/>
      <c r="RXY10" s="203"/>
      <c r="RXZ10" s="203"/>
      <c r="RYQ10" s="203"/>
      <c r="RYR10" s="203"/>
      <c r="RZI10" s="203"/>
      <c r="RZJ10" s="203"/>
      <c r="SAA10" s="203"/>
      <c r="SAB10" s="203"/>
      <c r="SAS10" s="203"/>
      <c r="SAT10" s="203"/>
      <c r="SBK10" s="203"/>
      <c r="SBL10" s="203"/>
      <c r="SCC10" s="203"/>
      <c r="SCD10" s="203"/>
      <c r="SCU10" s="203"/>
      <c r="SCV10" s="203"/>
      <c r="SDM10" s="203"/>
      <c r="SDN10" s="203"/>
      <c r="SEE10" s="203"/>
      <c r="SEF10" s="203"/>
      <c r="SEW10" s="203"/>
      <c r="SEX10" s="203"/>
      <c r="SFO10" s="203"/>
      <c r="SFP10" s="203"/>
      <c r="SGG10" s="203"/>
      <c r="SGH10" s="203"/>
      <c r="SGY10" s="203"/>
      <c r="SGZ10" s="203"/>
      <c r="SHQ10" s="203"/>
      <c r="SHR10" s="203"/>
      <c r="SII10" s="203"/>
      <c r="SIJ10" s="203"/>
      <c r="SJA10" s="203"/>
      <c r="SJB10" s="203"/>
      <c r="SJS10" s="203"/>
      <c r="SJT10" s="203"/>
      <c r="SKK10" s="203"/>
      <c r="SKL10" s="203"/>
      <c r="SLC10" s="203"/>
      <c r="SLD10" s="203"/>
      <c r="SLU10" s="203"/>
      <c r="SLV10" s="203"/>
      <c r="SMM10" s="203"/>
      <c r="SMN10" s="203"/>
      <c r="SNE10" s="203"/>
      <c r="SNF10" s="203"/>
      <c r="SNW10" s="203"/>
      <c r="SNX10" s="203"/>
      <c r="SOO10" s="203"/>
      <c r="SOP10" s="203"/>
      <c r="SPG10" s="203"/>
      <c r="SPH10" s="203"/>
      <c r="SPY10" s="203"/>
      <c r="SPZ10" s="203"/>
      <c r="SQQ10" s="203"/>
      <c r="SQR10" s="203"/>
      <c r="SRI10" s="203"/>
      <c r="SRJ10" s="203"/>
      <c r="SSA10" s="203"/>
      <c r="SSB10" s="203"/>
      <c r="SSS10" s="203"/>
      <c r="SST10" s="203"/>
      <c r="STK10" s="203"/>
      <c r="STL10" s="203"/>
      <c r="SUC10" s="203"/>
      <c r="SUD10" s="203"/>
      <c r="SUU10" s="203"/>
      <c r="SUV10" s="203"/>
      <c r="SVM10" s="203"/>
      <c r="SVN10" s="203"/>
      <c r="SWE10" s="203"/>
      <c r="SWF10" s="203"/>
      <c r="SWW10" s="203"/>
      <c r="SWX10" s="203"/>
      <c r="SXO10" s="203"/>
      <c r="SXP10" s="203"/>
      <c r="SYG10" s="203"/>
      <c r="SYH10" s="203"/>
      <c r="SYY10" s="203"/>
      <c r="SYZ10" s="203"/>
      <c r="SZQ10" s="203"/>
      <c r="SZR10" s="203"/>
      <c r="TAI10" s="203"/>
      <c r="TAJ10" s="203"/>
      <c r="TBA10" s="203"/>
      <c r="TBB10" s="203"/>
      <c r="TBS10" s="203"/>
      <c r="TBT10" s="203"/>
      <c r="TCK10" s="203"/>
      <c r="TCL10" s="203"/>
      <c r="TDC10" s="203"/>
      <c r="TDD10" s="203"/>
      <c r="TDU10" s="203"/>
      <c r="TDV10" s="203"/>
      <c r="TEM10" s="203"/>
      <c r="TEN10" s="203"/>
      <c r="TFE10" s="203"/>
      <c r="TFF10" s="203"/>
      <c r="TFW10" s="203"/>
      <c r="TFX10" s="203"/>
      <c r="TGO10" s="203"/>
      <c r="TGP10" s="203"/>
      <c r="THG10" s="203"/>
      <c r="THH10" s="203"/>
      <c r="THY10" s="203"/>
      <c r="THZ10" s="203"/>
      <c r="TIQ10" s="203"/>
      <c r="TIR10" s="203"/>
      <c r="TJI10" s="203"/>
      <c r="TJJ10" s="203"/>
      <c r="TKA10" s="203"/>
      <c r="TKB10" s="203"/>
      <c r="TKS10" s="203"/>
      <c r="TKT10" s="203"/>
      <c r="TLK10" s="203"/>
      <c r="TLL10" s="203"/>
      <c r="TMC10" s="203"/>
      <c r="TMD10" s="203"/>
      <c r="TMU10" s="203"/>
      <c r="TMV10" s="203"/>
      <c r="TNM10" s="203"/>
      <c r="TNN10" s="203"/>
      <c r="TOE10" s="203"/>
      <c r="TOF10" s="203"/>
      <c r="TOW10" s="203"/>
      <c r="TOX10" s="203"/>
      <c r="TPO10" s="203"/>
      <c r="TPP10" s="203"/>
      <c r="TQG10" s="203"/>
      <c r="TQH10" s="203"/>
      <c r="TQY10" s="203"/>
      <c r="TQZ10" s="203"/>
      <c r="TRQ10" s="203"/>
      <c r="TRR10" s="203"/>
      <c r="TSI10" s="203"/>
      <c r="TSJ10" s="203"/>
      <c r="TTA10" s="203"/>
      <c r="TTB10" s="203"/>
      <c r="TTS10" s="203"/>
      <c r="TTT10" s="203"/>
      <c r="TUK10" s="203"/>
      <c r="TUL10" s="203"/>
      <c r="TVC10" s="203"/>
      <c r="TVD10" s="203"/>
      <c r="TVU10" s="203"/>
      <c r="TVV10" s="203"/>
      <c r="TWM10" s="203"/>
      <c r="TWN10" s="203"/>
      <c r="TXE10" s="203"/>
      <c r="TXF10" s="203"/>
      <c r="TXW10" s="203"/>
      <c r="TXX10" s="203"/>
      <c r="TYO10" s="203"/>
      <c r="TYP10" s="203"/>
      <c r="TZG10" s="203"/>
      <c r="TZH10" s="203"/>
      <c r="TZY10" s="203"/>
      <c r="TZZ10" s="203"/>
      <c r="UAQ10" s="203"/>
      <c r="UAR10" s="203"/>
      <c r="UBI10" s="203"/>
      <c r="UBJ10" s="203"/>
      <c r="UCA10" s="203"/>
      <c r="UCB10" s="203"/>
      <c r="UCS10" s="203"/>
      <c r="UCT10" s="203"/>
      <c r="UDK10" s="203"/>
      <c r="UDL10" s="203"/>
      <c r="UEC10" s="203"/>
      <c r="UED10" s="203"/>
      <c r="UEU10" s="203"/>
      <c r="UEV10" s="203"/>
      <c r="UFM10" s="203"/>
      <c r="UFN10" s="203"/>
      <c r="UGE10" s="203"/>
      <c r="UGF10" s="203"/>
      <c r="UGW10" s="203"/>
      <c r="UGX10" s="203"/>
      <c r="UHO10" s="203"/>
      <c r="UHP10" s="203"/>
      <c r="UIG10" s="203"/>
      <c r="UIH10" s="203"/>
      <c r="UIY10" s="203"/>
      <c r="UIZ10" s="203"/>
      <c r="UJQ10" s="203"/>
      <c r="UJR10" s="203"/>
      <c r="UKI10" s="203"/>
      <c r="UKJ10" s="203"/>
      <c r="ULA10" s="203"/>
      <c r="ULB10" s="203"/>
      <c r="ULS10" s="203"/>
      <c r="ULT10" s="203"/>
      <c r="UMK10" s="203"/>
      <c r="UML10" s="203"/>
      <c r="UNC10" s="203"/>
      <c r="UND10" s="203"/>
      <c r="UNU10" s="203"/>
      <c r="UNV10" s="203"/>
      <c r="UOM10" s="203"/>
      <c r="UON10" s="203"/>
      <c r="UPE10" s="203"/>
      <c r="UPF10" s="203"/>
      <c r="UPW10" s="203"/>
      <c r="UPX10" s="203"/>
      <c r="UQO10" s="203"/>
      <c r="UQP10" s="203"/>
      <c r="URG10" s="203"/>
      <c r="URH10" s="203"/>
      <c r="URY10" s="203"/>
      <c r="URZ10" s="203"/>
      <c r="USQ10" s="203"/>
      <c r="USR10" s="203"/>
      <c r="UTI10" s="203"/>
      <c r="UTJ10" s="203"/>
      <c r="UUA10" s="203"/>
      <c r="UUB10" s="203"/>
      <c r="UUS10" s="203"/>
      <c r="UUT10" s="203"/>
      <c r="UVK10" s="203"/>
      <c r="UVL10" s="203"/>
      <c r="UWC10" s="203"/>
      <c r="UWD10" s="203"/>
      <c r="UWU10" s="203"/>
      <c r="UWV10" s="203"/>
      <c r="UXM10" s="203"/>
      <c r="UXN10" s="203"/>
      <c r="UYE10" s="203"/>
      <c r="UYF10" s="203"/>
      <c r="UYW10" s="203"/>
      <c r="UYX10" s="203"/>
      <c r="UZO10" s="203"/>
      <c r="UZP10" s="203"/>
      <c r="VAG10" s="203"/>
      <c r="VAH10" s="203"/>
      <c r="VAY10" s="203"/>
      <c r="VAZ10" s="203"/>
      <c r="VBQ10" s="203"/>
      <c r="VBR10" s="203"/>
      <c r="VCI10" s="203"/>
      <c r="VCJ10" s="203"/>
      <c r="VDA10" s="203"/>
      <c r="VDB10" s="203"/>
      <c r="VDS10" s="203"/>
      <c r="VDT10" s="203"/>
      <c r="VEK10" s="203"/>
      <c r="VEL10" s="203"/>
      <c r="VFC10" s="203"/>
      <c r="VFD10" s="203"/>
      <c r="VFU10" s="203"/>
      <c r="VFV10" s="203"/>
      <c r="VGM10" s="203"/>
      <c r="VGN10" s="203"/>
      <c r="VHE10" s="203"/>
      <c r="VHF10" s="203"/>
      <c r="VHW10" s="203"/>
      <c r="VHX10" s="203"/>
      <c r="VIO10" s="203"/>
      <c r="VIP10" s="203"/>
      <c r="VJG10" s="203"/>
      <c r="VJH10" s="203"/>
      <c r="VJY10" s="203"/>
      <c r="VJZ10" s="203"/>
      <c r="VKQ10" s="203"/>
      <c r="VKR10" s="203"/>
      <c r="VLI10" s="203"/>
      <c r="VLJ10" s="203"/>
      <c r="VMA10" s="203"/>
      <c r="VMB10" s="203"/>
      <c r="VMS10" s="203"/>
      <c r="VMT10" s="203"/>
      <c r="VNK10" s="203"/>
      <c r="VNL10" s="203"/>
      <c r="VOC10" s="203"/>
      <c r="VOD10" s="203"/>
      <c r="VOU10" s="203"/>
      <c r="VOV10" s="203"/>
      <c r="VPM10" s="203"/>
      <c r="VPN10" s="203"/>
      <c r="VQE10" s="203"/>
      <c r="VQF10" s="203"/>
      <c r="VQW10" s="203"/>
      <c r="VQX10" s="203"/>
      <c r="VRO10" s="203"/>
      <c r="VRP10" s="203"/>
      <c r="VSG10" s="203"/>
      <c r="VSH10" s="203"/>
      <c r="VSY10" s="203"/>
      <c r="VSZ10" s="203"/>
      <c r="VTQ10" s="203"/>
      <c r="VTR10" s="203"/>
      <c r="VUI10" s="203"/>
      <c r="VUJ10" s="203"/>
      <c r="VVA10" s="203"/>
      <c r="VVB10" s="203"/>
      <c r="VVS10" s="203"/>
      <c r="VVT10" s="203"/>
      <c r="VWK10" s="203"/>
      <c r="VWL10" s="203"/>
      <c r="VXC10" s="203"/>
      <c r="VXD10" s="203"/>
      <c r="VXU10" s="203"/>
      <c r="VXV10" s="203"/>
      <c r="VYM10" s="203"/>
      <c r="VYN10" s="203"/>
      <c r="VZE10" s="203"/>
      <c r="VZF10" s="203"/>
      <c r="VZW10" s="203"/>
      <c r="VZX10" s="203"/>
      <c r="WAO10" s="203"/>
      <c r="WAP10" s="203"/>
      <c r="WBG10" s="203"/>
      <c r="WBH10" s="203"/>
      <c r="WBY10" s="203"/>
      <c r="WBZ10" s="203"/>
      <c r="WCQ10" s="203"/>
      <c r="WCR10" s="203"/>
      <c r="WDI10" s="203"/>
      <c r="WDJ10" s="203"/>
      <c r="WEA10" s="203"/>
      <c r="WEB10" s="203"/>
      <c r="WES10" s="203"/>
      <c r="WET10" s="203"/>
      <c r="WFK10" s="203"/>
      <c r="WFL10" s="203"/>
      <c r="WGC10" s="203"/>
      <c r="WGD10" s="203"/>
      <c r="WGU10" s="203"/>
      <c r="WGV10" s="203"/>
      <c r="WHM10" s="203"/>
      <c r="WHN10" s="203"/>
      <c r="WIE10" s="203"/>
      <c r="WIF10" s="203"/>
      <c r="WIW10" s="203"/>
      <c r="WIX10" s="203"/>
      <c r="WJO10" s="203"/>
      <c r="WJP10" s="203"/>
      <c r="WKG10" s="203"/>
      <c r="WKH10" s="203"/>
      <c r="WKY10" s="203"/>
      <c r="WKZ10" s="203"/>
      <c r="WLQ10" s="203"/>
      <c r="WLR10" s="203"/>
      <c r="WMI10" s="203"/>
      <c r="WMJ10" s="203"/>
      <c r="WNA10" s="203"/>
      <c r="WNB10" s="203"/>
      <c r="WNS10" s="203"/>
      <c r="WNT10" s="203"/>
      <c r="WOK10" s="203"/>
      <c r="WOL10" s="203"/>
      <c r="WPC10" s="203"/>
      <c r="WPD10" s="203"/>
      <c r="WPU10" s="203"/>
      <c r="WPV10" s="203"/>
      <c r="WQM10" s="203"/>
      <c r="WQN10" s="203"/>
      <c r="WRE10" s="203"/>
      <c r="WRF10" s="203"/>
      <c r="WRW10" s="203"/>
      <c r="WRX10" s="203"/>
      <c r="WSO10" s="203"/>
      <c r="WSP10" s="203"/>
      <c r="WTG10" s="203"/>
      <c r="WTH10" s="203"/>
      <c r="WTY10" s="203"/>
      <c r="WTZ10" s="203"/>
      <c r="WUQ10" s="203"/>
      <c r="WUR10" s="203"/>
      <c r="WVI10" s="203"/>
      <c r="WVJ10" s="203"/>
      <c r="WWA10" s="203"/>
      <c r="WWB10" s="203"/>
      <c r="WWS10" s="203"/>
      <c r="WWT10" s="203"/>
      <c r="WXK10" s="203"/>
      <c r="WXL10" s="203"/>
      <c r="WYC10" s="203"/>
      <c r="WYD10" s="203"/>
      <c r="WYU10" s="203"/>
      <c r="WYV10" s="203"/>
      <c r="WZM10" s="203"/>
      <c r="WZN10" s="203"/>
      <c r="XAE10" s="203"/>
      <c r="XAF10" s="203"/>
      <c r="XAW10" s="203"/>
      <c r="XAX10" s="203"/>
      <c r="XBO10" s="203"/>
      <c r="XBP10" s="203"/>
      <c r="XCG10" s="203"/>
      <c r="XCH10" s="203"/>
      <c r="XCY10" s="203"/>
      <c r="XCZ10" s="203"/>
      <c r="XDQ10" s="203"/>
      <c r="XDR10" s="203"/>
      <c r="XEI10" s="203"/>
      <c r="XEJ10" s="203"/>
      <c r="XFA10" s="203"/>
      <c r="XFB10" s="203"/>
    </row>
    <row r="11" spans="1:1010 1027:2036 2053:3062 3079:4088 4105:5114 5131:6140 6157:7166 7183:8192 8209:9200 9217:10226 10243:11252 11269:12278 12295:13304 13321:14330 14347:15356 15373:16382" s="152" customFormat="1" x14ac:dyDescent="0.35">
      <c r="A11" s="181" t="s">
        <v>25</v>
      </c>
      <c r="B11" s="181" t="s">
        <v>26</v>
      </c>
      <c r="C11" s="198">
        <v>101.246</v>
      </c>
      <c r="D11" s="198">
        <v>121.62</v>
      </c>
      <c r="E11" s="198">
        <v>160.78700000000001</v>
      </c>
      <c r="F11" s="198">
        <v>127.20399999999999</v>
      </c>
      <c r="G11" s="198">
        <v>121.40300000000001</v>
      </c>
      <c r="H11" s="198">
        <v>127.107</v>
      </c>
      <c r="I11" s="198">
        <v>105.048</v>
      </c>
      <c r="J11" s="198">
        <v>160.755</v>
      </c>
      <c r="K11" s="198">
        <v>190.87899999999999</v>
      </c>
      <c r="L11" s="198">
        <v>250.57499999999999</v>
      </c>
      <c r="M11" s="202"/>
      <c r="N11" s="202"/>
      <c r="O11" s="202"/>
      <c r="P11" s="202"/>
      <c r="Q11" s="202"/>
      <c r="R11" s="202"/>
      <c r="T11" s="203"/>
      <c r="U11" s="203"/>
    </row>
    <row r="12" spans="1:1010 1027:2036 2053:3062 3079:4088 4105:5114 5131:6140 6157:7166 7183:8192 8209:9200 9217:10226 10243:11252 11269:12278 12295:13304 13321:14330 14347:15356 15373:16382" s="152" customFormat="1" x14ac:dyDescent="0.35">
      <c r="A12" s="181" t="s">
        <v>27</v>
      </c>
      <c r="B12" s="181" t="s">
        <v>28</v>
      </c>
      <c r="C12" s="198">
        <v>0</v>
      </c>
      <c r="D12" s="198">
        <v>0</v>
      </c>
      <c r="E12" s="198">
        <v>0</v>
      </c>
      <c r="F12" s="198">
        <v>0</v>
      </c>
      <c r="G12" s="198">
        <v>19.510999999999999</v>
      </c>
      <c r="H12" s="198">
        <v>19.603999999999999</v>
      </c>
      <c r="I12" s="198">
        <v>11.46</v>
      </c>
      <c r="J12" s="198">
        <v>5.556</v>
      </c>
      <c r="K12" s="198">
        <v>0</v>
      </c>
      <c r="L12" s="198">
        <v>0</v>
      </c>
      <c r="M12" s="202"/>
      <c r="N12" s="202"/>
      <c r="O12" s="202"/>
      <c r="P12" s="202"/>
      <c r="Q12" s="202"/>
      <c r="R12" s="202"/>
      <c r="T12" s="203"/>
      <c r="U12" s="203"/>
    </row>
    <row r="13" spans="1:1010 1027:2036 2053:3062 3079:4088 4105:5114 5131:6140 6157:7166 7183:8192 8209:9200 9217:10226 10243:11252 11269:12278 12295:13304 13321:14330 14347:15356 15373:16382" x14ac:dyDescent="0.35">
      <c r="A13" s="23" t="s">
        <v>29</v>
      </c>
      <c r="B13" s="23"/>
      <c r="C13" s="321">
        <f t="shared" ref="C13:L13" si="2">ROUND(SUM(C11:C12)-IF(C10="",0,C10),1)</f>
        <v>0</v>
      </c>
      <c r="D13" s="321">
        <f t="shared" si="2"/>
        <v>0</v>
      </c>
      <c r="E13" s="321">
        <f t="shared" si="2"/>
        <v>0</v>
      </c>
      <c r="F13" s="321">
        <f t="shared" si="2"/>
        <v>0</v>
      </c>
      <c r="G13" s="321">
        <f t="shared" si="2"/>
        <v>0</v>
      </c>
      <c r="H13" s="321">
        <f t="shared" si="2"/>
        <v>0</v>
      </c>
      <c r="I13" s="321">
        <f t="shared" si="2"/>
        <v>0</v>
      </c>
      <c r="J13" s="321">
        <f t="shared" si="2"/>
        <v>0</v>
      </c>
      <c r="K13" s="321">
        <f t="shared" si="2"/>
        <v>0</v>
      </c>
      <c r="L13" s="321">
        <f t="shared" si="2"/>
        <v>0</v>
      </c>
      <c r="M13" s="118"/>
      <c r="N13" s="118"/>
      <c r="O13" s="118"/>
      <c r="P13" s="118"/>
      <c r="Q13" s="118"/>
      <c r="R13" s="118"/>
      <c r="T13" s="12"/>
      <c r="U13" s="12"/>
    </row>
    <row r="14" spans="1:1010 1027:2036 2053:3062 3079:4088 4105:5114 5131:6140 6157:7166 7183:8192 8209:9200 9217:10226 10243:11252 11269:12278 12295:13304 13321:14330 14347:15356 15373:16382" s="11" customFormat="1" x14ac:dyDescent="0.35">
      <c r="A14" s="183" t="s">
        <v>30</v>
      </c>
      <c r="B14" s="183" t="s">
        <v>31</v>
      </c>
      <c r="C14" s="184">
        <v>80.61</v>
      </c>
      <c r="D14" s="184">
        <v>73.849999999999994</v>
      </c>
      <c r="E14" s="184">
        <v>69.106999999999999</v>
      </c>
      <c r="F14" s="184">
        <v>75.551000000000002</v>
      </c>
      <c r="G14" s="184">
        <v>84.603999999999999</v>
      </c>
      <c r="H14" s="184">
        <v>93.608999999999995</v>
      </c>
      <c r="I14" s="184">
        <v>138.19999999999999</v>
      </c>
      <c r="J14" s="184">
        <v>144.774</v>
      </c>
      <c r="K14" s="184">
        <v>116.601</v>
      </c>
      <c r="L14" s="184">
        <v>113.027</v>
      </c>
      <c r="M14" s="312">
        <f>IF(OR(K14=0,K14=""),"",L14/K14-1)</f>
        <v>-3.0651538151473812E-2</v>
      </c>
      <c r="N14" s="117"/>
      <c r="O14" s="117"/>
      <c r="P14" s="117"/>
      <c r="Q14" s="117"/>
      <c r="R14" s="117"/>
      <c r="S14" s="12"/>
      <c r="T14" s="12"/>
      <c r="AK14" s="12"/>
      <c r="AL14" s="12"/>
      <c r="BC14" s="12"/>
      <c r="BD14" s="12"/>
      <c r="BU14" s="12"/>
      <c r="BV14" s="12"/>
      <c r="CM14" s="12"/>
      <c r="CN14" s="12"/>
      <c r="DE14" s="12"/>
      <c r="DF14" s="12"/>
      <c r="DW14" s="12"/>
      <c r="DX14" s="12"/>
      <c r="EO14" s="12"/>
      <c r="EP14" s="12"/>
      <c r="FG14" s="12"/>
      <c r="FH14" s="12"/>
      <c r="FY14" s="12"/>
      <c r="FZ14" s="12"/>
      <c r="GQ14" s="12"/>
      <c r="GR14" s="12"/>
      <c r="HI14" s="12"/>
      <c r="HJ14" s="12"/>
      <c r="IA14" s="12"/>
      <c r="IB14" s="12"/>
      <c r="IS14" s="12"/>
      <c r="IT14" s="12"/>
      <c r="JK14" s="12"/>
      <c r="JL14" s="12"/>
      <c r="KC14" s="12"/>
      <c r="KD14" s="12"/>
      <c r="KU14" s="12"/>
      <c r="KV14" s="12"/>
      <c r="LM14" s="12"/>
      <c r="LN14" s="12"/>
      <c r="ME14" s="12"/>
      <c r="MF14" s="12"/>
      <c r="MW14" s="12"/>
      <c r="MX14" s="12"/>
      <c r="NO14" s="12"/>
      <c r="NP14" s="12"/>
      <c r="OG14" s="12"/>
      <c r="OH14" s="12"/>
      <c r="OY14" s="12"/>
      <c r="OZ14" s="12"/>
      <c r="PQ14" s="12"/>
      <c r="PR14" s="12"/>
      <c r="QI14" s="12"/>
      <c r="QJ14" s="12"/>
      <c r="RA14" s="12"/>
      <c r="RB14" s="12"/>
      <c r="RS14" s="12"/>
      <c r="RT14" s="12"/>
      <c r="SK14" s="12"/>
      <c r="SL14" s="12"/>
      <c r="TC14" s="12"/>
      <c r="TD14" s="12"/>
      <c r="TU14" s="12"/>
      <c r="TV14" s="12"/>
      <c r="UM14" s="12"/>
      <c r="UN14" s="12"/>
      <c r="VE14" s="12"/>
      <c r="VF14" s="12"/>
      <c r="VW14" s="12"/>
      <c r="VX14" s="12"/>
      <c r="WO14" s="12"/>
      <c r="WP14" s="12"/>
      <c r="XG14" s="12"/>
      <c r="XH14" s="12"/>
      <c r="XY14" s="12"/>
      <c r="XZ14" s="12"/>
      <c r="YQ14" s="12"/>
      <c r="YR14" s="12"/>
      <c r="ZI14" s="12"/>
      <c r="ZJ14" s="12"/>
      <c r="AAA14" s="12"/>
      <c r="AAB14" s="12"/>
      <c r="AAS14" s="12"/>
      <c r="AAT14" s="12"/>
      <c r="ABK14" s="12"/>
      <c r="ABL14" s="12"/>
      <c r="ACC14" s="12"/>
      <c r="ACD14" s="12"/>
      <c r="ACU14" s="12"/>
      <c r="ACV14" s="12"/>
      <c r="ADM14" s="12"/>
      <c r="ADN14" s="12"/>
      <c r="AEE14" s="12"/>
      <c r="AEF14" s="12"/>
      <c r="AEW14" s="12"/>
      <c r="AEX14" s="12"/>
      <c r="AFO14" s="12"/>
      <c r="AFP14" s="12"/>
      <c r="AGG14" s="12"/>
      <c r="AGH14" s="12"/>
      <c r="AGY14" s="12"/>
      <c r="AGZ14" s="12"/>
      <c r="AHQ14" s="12"/>
      <c r="AHR14" s="12"/>
      <c r="AII14" s="12"/>
      <c r="AIJ14" s="12"/>
      <c r="AJA14" s="12"/>
      <c r="AJB14" s="12"/>
      <c r="AJS14" s="12"/>
      <c r="AJT14" s="12"/>
      <c r="AKK14" s="12"/>
      <c r="AKL14" s="12"/>
      <c r="ALC14" s="12"/>
      <c r="ALD14" s="12"/>
      <c r="ALU14" s="12"/>
      <c r="ALV14" s="12"/>
      <c r="AMM14" s="12"/>
      <c r="AMN14" s="12"/>
      <c r="ANE14" s="12"/>
      <c r="ANF14" s="12"/>
      <c r="ANW14" s="12"/>
      <c r="ANX14" s="12"/>
      <c r="AOO14" s="12"/>
      <c r="AOP14" s="12"/>
      <c r="APG14" s="12"/>
      <c r="APH14" s="12"/>
      <c r="APY14" s="12"/>
      <c r="APZ14" s="12"/>
      <c r="AQQ14" s="12"/>
      <c r="AQR14" s="12"/>
      <c r="ARI14" s="12"/>
      <c r="ARJ14" s="12"/>
      <c r="ASA14" s="12"/>
      <c r="ASB14" s="12"/>
      <c r="ASS14" s="12"/>
      <c r="AST14" s="12"/>
      <c r="ATK14" s="12"/>
      <c r="ATL14" s="12"/>
      <c r="AUC14" s="12"/>
      <c r="AUD14" s="12"/>
      <c r="AUU14" s="12"/>
      <c r="AUV14" s="12"/>
      <c r="AVM14" s="12"/>
      <c r="AVN14" s="12"/>
      <c r="AWE14" s="12"/>
      <c r="AWF14" s="12"/>
      <c r="AWW14" s="12"/>
      <c r="AWX14" s="12"/>
      <c r="AXO14" s="12"/>
      <c r="AXP14" s="12"/>
      <c r="AYG14" s="12"/>
      <c r="AYH14" s="12"/>
      <c r="AYY14" s="12"/>
      <c r="AYZ14" s="12"/>
      <c r="AZQ14" s="12"/>
      <c r="AZR14" s="12"/>
      <c r="BAI14" s="12"/>
      <c r="BAJ14" s="12"/>
      <c r="BBA14" s="12"/>
      <c r="BBB14" s="12"/>
      <c r="BBS14" s="12"/>
      <c r="BBT14" s="12"/>
      <c r="BCK14" s="12"/>
      <c r="BCL14" s="12"/>
      <c r="BDC14" s="12"/>
      <c r="BDD14" s="12"/>
      <c r="BDU14" s="12"/>
      <c r="BDV14" s="12"/>
      <c r="BEM14" s="12"/>
      <c r="BEN14" s="12"/>
      <c r="BFE14" s="12"/>
      <c r="BFF14" s="12"/>
      <c r="BFW14" s="12"/>
      <c r="BFX14" s="12"/>
      <c r="BGO14" s="12"/>
      <c r="BGP14" s="12"/>
      <c r="BHG14" s="12"/>
      <c r="BHH14" s="12"/>
      <c r="BHY14" s="12"/>
      <c r="BHZ14" s="12"/>
      <c r="BIQ14" s="12"/>
      <c r="BIR14" s="12"/>
      <c r="BJI14" s="12"/>
      <c r="BJJ14" s="12"/>
      <c r="BKA14" s="12"/>
      <c r="BKB14" s="12"/>
      <c r="BKS14" s="12"/>
      <c r="BKT14" s="12"/>
      <c r="BLK14" s="12"/>
      <c r="BLL14" s="12"/>
      <c r="BMC14" s="12"/>
      <c r="BMD14" s="12"/>
      <c r="BMU14" s="12"/>
      <c r="BMV14" s="12"/>
      <c r="BNM14" s="12"/>
      <c r="BNN14" s="12"/>
      <c r="BOE14" s="12"/>
      <c r="BOF14" s="12"/>
      <c r="BOW14" s="12"/>
      <c r="BOX14" s="12"/>
      <c r="BPO14" s="12"/>
      <c r="BPP14" s="12"/>
      <c r="BQG14" s="12"/>
      <c r="BQH14" s="12"/>
      <c r="BQY14" s="12"/>
      <c r="BQZ14" s="12"/>
      <c r="BRQ14" s="12"/>
      <c r="BRR14" s="12"/>
      <c r="BSI14" s="12"/>
      <c r="BSJ14" s="12"/>
      <c r="BTA14" s="12"/>
      <c r="BTB14" s="12"/>
      <c r="BTS14" s="12"/>
      <c r="BTT14" s="12"/>
      <c r="BUK14" s="12"/>
      <c r="BUL14" s="12"/>
      <c r="BVC14" s="12"/>
      <c r="BVD14" s="12"/>
      <c r="BVU14" s="12"/>
      <c r="BVV14" s="12"/>
      <c r="BWM14" s="12"/>
      <c r="BWN14" s="12"/>
      <c r="BXE14" s="12"/>
      <c r="BXF14" s="12"/>
      <c r="BXW14" s="12"/>
      <c r="BXX14" s="12"/>
      <c r="BYO14" s="12"/>
      <c r="BYP14" s="12"/>
      <c r="BZG14" s="12"/>
      <c r="BZH14" s="12"/>
      <c r="BZY14" s="12"/>
      <c r="BZZ14" s="12"/>
      <c r="CAQ14" s="12"/>
      <c r="CAR14" s="12"/>
      <c r="CBI14" s="12"/>
      <c r="CBJ14" s="12"/>
      <c r="CCA14" s="12"/>
      <c r="CCB14" s="12"/>
      <c r="CCS14" s="12"/>
      <c r="CCT14" s="12"/>
      <c r="CDK14" s="12"/>
      <c r="CDL14" s="12"/>
      <c r="CEC14" s="12"/>
      <c r="CED14" s="12"/>
      <c r="CEU14" s="12"/>
      <c r="CEV14" s="12"/>
      <c r="CFM14" s="12"/>
      <c r="CFN14" s="12"/>
      <c r="CGE14" s="12"/>
      <c r="CGF14" s="12"/>
      <c r="CGW14" s="12"/>
      <c r="CGX14" s="12"/>
      <c r="CHO14" s="12"/>
      <c r="CHP14" s="12"/>
      <c r="CIG14" s="12"/>
      <c r="CIH14" s="12"/>
      <c r="CIY14" s="12"/>
      <c r="CIZ14" s="12"/>
      <c r="CJQ14" s="12"/>
      <c r="CJR14" s="12"/>
      <c r="CKI14" s="12"/>
      <c r="CKJ14" s="12"/>
      <c r="CLA14" s="12"/>
      <c r="CLB14" s="12"/>
      <c r="CLS14" s="12"/>
      <c r="CLT14" s="12"/>
      <c r="CMK14" s="12"/>
      <c r="CML14" s="12"/>
      <c r="CNC14" s="12"/>
      <c r="CND14" s="12"/>
      <c r="CNU14" s="12"/>
      <c r="CNV14" s="12"/>
      <c r="COM14" s="12"/>
      <c r="CON14" s="12"/>
      <c r="CPE14" s="12"/>
      <c r="CPF14" s="12"/>
      <c r="CPW14" s="12"/>
      <c r="CPX14" s="12"/>
      <c r="CQO14" s="12"/>
      <c r="CQP14" s="12"/>
      <c r="CRG14" s="12"/>
      <c r="CRH14" s="12"/>
      <c r="CRY14" s="12"/>
      <c r="CRZ14" s="12"/>
      <c r="CSQ14" s="12"/>
      <c r="CSR14" s="12"/>
      <c r="CTI14" s="12"/>
      <c r="CTJ14" s="12"/>
      <c r="CUA14" s="12"/>
      <c r="CUB14" s="12"/>
      <c r="CUS14" s="12"/>
      <c r="CUT14" s="12"/>
      <c r="CVK14" s="12"/>
      <c r="CVL14" s="12"/>
      <c r="CWC14" s="12"/>
      <c r="CWD14" s="12"/>
      <c r="CWU14" s="12"/>
      <c r="CWV14" s="12"/>
      <c r="CXM14" s="12"/>
      <c r="CXN14" s="12"/>
      <c r="CYE14" s="12"/>
      <c r="CYF14" s="12"/>
      <c r="CYW14" s="12"/>
      <c r="CYX14" s="12"/>
      <c r="CZO14" s="12"/>
      <c r="CZP14" s="12"/>
      <c r="DAG14" s="12"/>
      <c r="DAH14" s="12"/>
      <c r="DAY14" s="12"/>
      <c r="DAZ14" s="12"/>
      <c r="DBQ14" s="12"/>
      <c r="DBR14" s="12"/>
      <c r="DCI14" s="12"/>
      <c r="DCJ14" s="12"/>
      <c r="DDA14" s="12"/>
      <c r="DDB14" s="12"/>
      <c r="DDS14" s="12"/>
      <c r="DDT14" s="12"/>
      <c r="DEK14" s="12"/>
      <c r="DEL14" s="12"/>
      <c r="DFC14" s="12"/>
      <c r="DFD14" s="12"/>
      <c r="DFU14" s="12"/>
      <c r="DFV14" s="12"/>
      <c r="DGM14" s="12"/>
      <c r="DGN14" s="12"/>
      <c r="DHE14" s="12"/>
      <c r="DHF14" s="12"/>
      <c r="DHW14" s="12"/>
      <c r="DHX14" s="12"/>
      <c r="DIO14" s="12"/>
      <c r="DIP14" s="12"/>
      <c r="DJG14" s="12"/>
      <c r="DJH14" s="12"/>
      <c r="DJY14" s="12"/>
      <c r="DJZ14" s="12"/>
      <c r="DKQ14" s="12"/>
      <c r="DKR14" s="12"/>
      <c r="DLI14" s="12"/>
      <c r="DLJ14" s="12"/>
      <c r="DMA14" s="12"/>
      <c r="DMB14" s="12"/>
      <c r="DMS14" s="12"/>
      <c r="DMT14" s="12"/>
      <c r="DNK14" s="12"/>
      <c r="DNL14" s="12"/>
      <c r="DOC14" s="12"/>
      <c r="DOD14" s="12"/>
      <c r="DOU14" s="12"/>
      <c r="DOV14" s="12"/>
      <c r="DPM14" s="12"/>
      <c r="DPN14" s="12"/>
      <c r="DQE14" s="12"/>
      <c r="DQF14" s="12"/>
      <c r="DQW14" s="12"/>
      <c r="DQX14" s="12"/>
      <c r="DRO14" s="12"/>
      <c r="DRP14" s="12"/>
      <c r="DSG14" s="12"/>
      <c r="DSH14" s="12"/>
      <c r="DSY14" s="12"/>
      <c r="DSZ14" s="12"/>
      <c r="DTQ14" s="12"/>
      <c r="DTR14" s="12"/>
      <c r="DUI14" s="12"/>
      <c r="DUJ14" s="12"/>
      <c r="DVA14" s="12"/>
      <c r="DVB14" s="12"/>
      <c r="DVS14" s="12"/>
      <c r="DVT14" s="12"/>
      <c r="DWK14" s="12"/>
      <c r="DWL14" s="12"/>
      <c r="DXC14" s="12"/>
      <c r="DXD14" s="12"/>
      <c r="DXU14" s="12"/>
      <c r="DXV14" s="12"/>
      <c r="DYM14" s="12"/>
      <c r="DYN14" s="12"/>
      <c r="DZE14" s="12"/>
      <c r="DZF14" s="12"/>
      <c r="DZW14" s="12"/>
      <c r="DZX14" s="12"/>
      <c r="EAO14" s="12"/>
      <c r="EAP14" s="12"/>
      <c r="EBG14" s="12"/>
      <c r="EBH14" s="12"/>
      <c r="EBY14" s="12"/>
      <c r="EBZ14" s="12"/>
      <c r="ECQ14" s="12"/>
      <c r="ECR14" s="12"/>
      <c r="EDI14" s="12"/>
      <c r="EDJ14" s="12"/>
      <c r="EEA14" s="12"/>
      <c r="EEB14" s="12"/>
      <c r="EES14" s="12"/>
      <c r="EET14" s="12"/>
      <c r="EFK14" s="12"/>
      <c r="EFL14" s="12"/>
      <c r="EGC14" s="12"/>
      <c r="EGD14" s="12"/>
      <c r="EGU14" s="12"/>
      <c r="EGV14" s="12"/>
      <c r="EHM14" s="12"/>
      <c r="EHN14" s="12"/>
      <c r="EIE14" s="12"/>
      <c r="EIF14" s="12"/>
      <c r="EIW14" s="12"/>
      <c r="EIX14" s="12"/>
      <c r="EJO14" s="12"/>
      <c r="EJP14" s="12"/>
      <c r="EKG14" s="12"/>
      <c r="EKH14" s="12"/>
      <c r="EKY14" s="12"/>
      <c r="EKZ14" s="12"/>
      <c r="ELQ14" s="12"/>
      <c r="ELR14" s="12"/>
      <c r="EMI14" s="12"/>
      <c r="EMJ14" s="12"/>
      <c r="ENA14" s="12"/>
      <c r="ENB14" s="12"/>
      <c r="ENS14" s="12"/>
      <c r="ENT14" s="12"/>
      <c r="EOK14" s="12"/>
      <c r="EOL14" s="12"/>
      <c r="EPC14" s="12"/>
      <c r="EPD14" s="12"/>
      <c r="EPU14" s="12"/>
      <c r="EPV14" s="12"/>
      <c r="EQM14" s="12"/>
      <c r="EQN14" s="12"/>
      <c r="ERE14" s="12"/>
      <c r="ERF14" s="12"/>
      <c r="ERW14" s="12"/>
      <c r="ERX14" s="12"/>
      <c r="ESO14" s="12"/>
      <c r="ESP14" s="12"/>
      <c r="ETG14" s="12"/>
      <c r="ETH14" s="12"/>
      <c r="ETY14" s="12"/>
      <c r="ETZ14" s="12"/>
      <c r="EUQ14" s="12"/>
      <c r="EUR14" s="12"/>
      <c r="EVI14" s="12"/>
      <c r="EVJ14" s="12"/>
      <c r="EWA14" s="12"/>
      <c r="EWB14" s="12"/>
      <c r="EWS14" s="12"/>
      <c r="EWT14" s="12"/>
      <c r="EXK14" s="12"/>
      <c r="EXL14" s="12"/>
      <c r="EYC14" s="12"/>
      <c r="EYD14" s="12"/>
      <c r="EYU14" s="12"/>
      <c r="EYV14" s="12"/>
      <c r="EZM14" s="12"/>
      <c r="EZN14" s="12"/>
      <c r="FAE14" s="12"/>
      <c r="FAF14" s="12"/>
      <c r="FAW14" s="12"/>
      <c r="FAX14" s="12"/>
      <c r="FBO14" s="12"/>
      <c r="FBP14" s="12"/>
      <c r="FCG14" s="12"/>
      <c r="FCH14" s="12"/>
      <c r="FCY14" s="12"/>
      <c r="FCZ14" s="12"/>
      <c r="FDQ14" s="12"/>
      <c r="FDR14" s="12"/>
      <c r="FEI14" s="12"/>
      <c r="FEJ14" s="12"/>
      <c r="FFA14" s="12"/>
      <c r="FFB14" s="12"/>
      <c r="FFS14" s="12"/>
      <c r="FFT14" s="12"/>
      <c r="FGK14" s="12"/>
      <c r="FGL14" s="12"/>
      <c r="FHC14" s="12"/>
      <c r="FHD14" s="12"/>
      <c r="FHU14" s="12"/>
      <c r="FHV14" s="12"/>
      <c r="FIM14" s="12"/>
      <c r="FIN14" s="12"/>
      <c r="FJE14" s="12"/>
      <c r="FJF14" s="12"/>
      <c r="FJW14" s="12"/>
      <c r="FJX14" s="12"/>
      <c r="FKO14" s="12"/>
      <c r="FKP14" s="12"/>
      <c r="FLG14" s="12"/>
      <c r="FLH14" s="12"/>
      <c r="FLY14" s="12"/>
      <c r="FLZ14" s="12"/>
      <c r="FMQ14" s="12"/>
      <c r="FMR14" s="12"/>
      <c r="FNI14" s="12"/>
      <c r="FNJ14" s="12"/>
      <c r="FOA14" s="12"/>
      <c r="FOB14" s="12"/>
      <c r="FOS14" s="12"/>
      <c r="FOT14" s="12"/>
      <c r="FPK14" s="12"/>
      <c r="FPL14" s="12"/>
      <c r="FQC14" s="12"/>
      <c r="FQD14" s="12"/>
      <c r="FQU14" s="12"/>
      <c r="FQV14" s="12"/>
      <c r="FRM14" s="12"/>
      <c r="FRN14" s="12"/>
      <c r="FSE14" s="12"/>
      <c r="FSF14" s="12"/>
      <c r="FSW14" s="12"/>
      <c r="FSX14" s="12"/>
      <c r="FTO14" s="12"/>
      <c r="FTP14" s="12"/>
      <c r="FUG14" s="12"/>
      <c r="FUH14" s="12"/>
      <c r="FUY14" s="12"/>
      <c r="FUZ14" s="12"/>
      <c r="FVQ14" s="12"/>
      <c r="FVR14" s="12"/>
      <c r="FWI14" s="12"/>
      <c r="FWJ14" s="12"/>
      <c r="FXA14" s="12"/>
      <c r="FXB14" s="12"/>
      <c r="FXS14" s="12"/>
      <c r="FXT14" s="12"/>
      <c r="FYK14" s="12"/>
      <c r="FYL14" s="12"/>
      <c r="FZC14" s="12"/>
      <c r="FZD14" s="12"/>
      <c r="FZU14" s="12"/>
      <c r="FZV14" s="12"/>
      <c r="GAM14" s="12"/>
      <c r="GAN14" s="12"/>
      <c r="GBE14" s="12"/>
      <c r="GBF14" s="12"/>
      <c r="GBW14" s="12"/>
      <c r="GBX14" s="12"/>
      <c r="GCO14" s="12"/>
      <c r="GCP14" s="12"/>
      <c r="GDG14" s="12"/>
      <c r="GDH14" s="12"/>
      <c r="GDY14" s="12"/>
      <c r="GDZ14" s="12"/>
      <c r="GEQ14" s="12"/>
      <c r="GER14" s="12"/>
      <c r="GFI14" s="12"/>
      <c r="GFJ14" s="12"/>
      <c r="GGA14" s="12"/>
      <c r="GGB14" s="12"/>
      <c r="GGS14" s="12"/>
      <c r="GGT14" s="12"/>
      <c r="GHK14" s="12"/>
      <c r="GHL14" s="12"/>
      <c r="GIC14" s="12"/>
      <c r="GID14" s="12"/>
      <c r="GIU14" s="12"/>
      <c r="GIV14" s="12"/>
      <c r="GJM14" s="12"/>
      <c r="GJN14" s="12"/>
      <c r="GKE14" s="12"/>
      <c r="GKF14" s="12"/>
      <c r="GKW14" s="12"/>
      <c r="GKX14" s="12"/>
      <c r="GLO14" s="12"/>
      <c r="GLP14" s="12"/>
      <c r="GMG14" s="12"/>
      <c r="GMH14" s="12"/>
      <c r="GMY14" s="12"/>
      <c r="GMZ14" s="12"/>
      <c r="GNQ14" s="12"/>
      <c r="GNR14" s="12"/>
      <c r="GOI14" s="12"/>
      <c r="GOJ14" s="12"/>
      <c r="GPA14" s="12"/>
      <c r="GPB14" s="12"/>
      <c r="GPS14" s="12"/>
      <c r="GPT14" s="12"/>
      <c r="GQK14" s="12"/>
      <c r="GQL14" s="12"/>
      <c r="GRC14" s="12"/>
      <c r="GRD14" s="12"/>
      <c r="GRU14" s="12"/>
      <c r="GRV14" s="12"/>
      <c r="GSM14" s="12"/>
      <c r="GSN14" s="12"/>
      <c r="GTE14" s="12"/>
      <c r="GTF14" s="12"/>
      <c r="GTW14" s="12"/>
      <c r="GTX14" s="12"/>
      <c r="GUO14" s="12"/>
      <c r="GUP14" s="12"/>
      <c r="GVG14" s="12"/>
      <c r="GVH14" s="12"/>
      <c r="GVY14" s="12"/>
      <c r="GVZ14" s="12"/>
      <c r="GWQ14" s="12"/>
      <c r="GWR14" s="12"/>
      <c r="GXI14" s="12"/>
      <c r="GXJ14" s="12"/>
      <c r="GYA14" s="12"/>
      <c r="GYB14" s="12"/>
      <c r="GYS14" s="12"/>
      <c r="GYT14" s="12"/>
      <c r="GZK14" s="12"/>
      <c r="GZL14" s="12"/>
      <c r="HAC14" s="12"/>
      <c r="HAD14" s="12"/>
      <c r="HAU14" s="12"/>
      <c r="HAV14" s="12"/>
      <c r="HBM14" s="12"/>
      <c r="HBN14" s="12"/>
      <c r="HCE14" s="12"/>
      <c r="HCF14" s="12"/>
      <c r="HCW14" s="12"/>
      <c r="HCX14" s="12"/>
      <c r="HDO14" s="12"/>
      <c r="HDP14" s="12"/>
      <c r="HEG14" s="12"/>
      <c r="HEH14" s="12"/>
      <c r="HEY14" s="12"/>
      <c r="HEZ14" s="12"/>
      <c r="HFQ14" s="12"/>
      <c r="HFR14" s="12"/>
      <c r="HGI14" s="12"/>
      <c r="HGJ14" s="12"/>
      <c r="HHA14" s="12"/>
      <c r="HHB14" s="12"/>
      <c r="HHS14" s="12"/>
      <c r="HHT14" s="12"/>
      <c r="HIK14" s="12"/>
      <c r="HIL14" s="12"/>
      <c r="HJC14" s="12"/>
      <c r="HJD14" s="12"/>
      <c r="HJU14" s="12"/>
      <c r="HJV14" s="12"/>
      <c r="HKM14" s="12"/>
      <c r="HKN14" s="12"/>
      <c r="HLE14" s="12"/>
      <c r="HLF14" s="12"/>
      <c r="HLW14" s="12"/>
      <c r="HLX14" s="12"/>
      <c r="HMO14" s="12"/>
      <c r="HMP14" s="12"/>
      <c r="HNG14" s="12"/>
      <c r="HNH14" s="12"/>
      <c r="HNY14" s="12"/>
      <c r="HNZ14" s="12"/>
      <c r="HOQ14" s="12"/>
      <c r="HOR14" s="12"/>
      <c r="HPI14" s="12"/>
      <c r="HPJ14" s="12"/>
      <c r="HQA14" s="12"/>
      <c r="HQB14" s="12"/>
      <c r="HQS14" s="12"/>
      <c r="HQT14" s="12"/>
      <c r="HRK14" s="12"/>
      <c r="HRL14" s="12"/>
      <c r="HSC14" s="12"/>
      <c r="HSD14" s="12"/>
      <c r="HSU14" s="12"/>
      <c r="HSV14" s="12"/>
      <c r="HTM14" s="12"/>
      <c r="HTN14" s="12"/>
      <c r="HUE14" s="12"/>
      <c r="HUF14" s="12"/>
      <c r="HUW14" s="12"/>
      <c r="HUX14" s="12"/>
      <c r="HVO14" s="12"/>
      <c r="HVP14" s="12"/>
      <c r="HWG14" s="12"/>
      <c r="HWH14" s="12"/>
      <c r="HWY14" s="12"/>
      <c r="HWZ14" s="12"/>
      <c r="HXQ14" s="12"/>
      <c r="HXR14" s="12"/>
      <c r="HYI14" s="12"/>
      <c r="HYJ14" s="12"/>
      <c r="HZA14" s="12"/>
      <c r="HZB14" s="12"/>
      <c r="HZS14" s="12"/>
      <c r="HZT14" s="12"/>
      <c r="IAK14" s="12"/>
      <c r="IAL14" s="12"/>
      <c r="IBC14" s="12"/>
      <c r="IBD14" s="12"/>
      <c r="IBU14" s="12"/>
      <c r="IBV14" s="12"/>
      <c r="ICM14" s="12"/>
      <c r="ICN14" s="12"/>
      <c r="IDE14" s="12"/>
      <c r="IDF14" s="12"/>
      <c r="IDW14" s="12"/>
      <c r="IDX14" s="12"/>
      <c r="IEO14" s="12"/>
      <c r="IEP14" s="12"/>
      <c r="IFG14" s="12"/>
      <c r="IFH14" s="12"/>
      <c r="IFY14" s="12"/>
      <c r="IFZ14" s="12"/>
      <c r="IGQ14" s="12"/>
      <c r="IGR14" s="12"/>
      <c r="IHI14" s="12"/>
      <c r="IHJ14" s="12"/>
      <c r="IIA14" s="12"/>
      <c r="IIB14" s="12"/>
      <c r="IIS14" s="12"/>
      <c r="IIT14" s="12"/>
      <c r="IJK14" s="12"/>
      <c r="IJL14" s="12"/>
      <c r="IKC14" s="12"/>
      <c r="IKD14" s="12"/>
      <c r="IKU14" s="12"/>
      <c r="IKV14" s="12"/>
      <c r="ILM14" s="12"/>
      <c r="ILN14" s="12"/>
      <c r="IME14" s="12"/>
      <c r="IMF14" s="12"/>
      <c r="IMW14" s="12"/>
      <c r="IMX14" s="12"/>
      <c r="INO14" s="12"/>
      <c r="INP14" s="12"/>
      <c r="IOG14" s="12"/>
      <c r="IOH14" s="12"/>
      <c r="IOY14" s="12"/>
      <c r="IOZ14" s="12"/>
      <c r="IPQ14" s="12"/>
      <c r="IPR14" s="12"/>
      <c r="IQI14" s="12"/>
      <c r="IQJ14" s="12"/>
      <c r="IRA14" s="12"/>
      <c r="IRB14" s="12"/>
      <c r="IRS14" s="12"/>
      <c r="IRT14" s="12"/>
      <c r="ISK14" s="12"/>
      <c r="ISL14" s="12"/>
      <c r="ITC14" s="12"/>
      <c r="ITD14" s="12"/>
      <c r="ITU14" s="12"/>
      <c r="ITV14" s="12"/>
      <c r="IUM14" s="12"/>
      <c r="IUN14" s="12"/>
      <c r="IVE14" s="12"/>
      <c r="IVF14" s="12"/>
      <c r="IVW14" s="12"/>
      <c r="IVX14" s="12"/>
      <c r="IWO14" s="12"/>
      <c r="IWP14" s="12"/>
      <c r="IXG14" s="12"/>
      <c r="IXH14" s="12"/>
      <c r="IXY14" s="12"/>
      <c r="IXZ14" s="12"/>
      <c r="IYQ14" s="12"/>
      <c r="IYR14" s="12"/>
      <c r="IZI14" s="12"/>
      <c r="IZJ14" s="12"/>
      <c r="JAA14" s="12"/>
      <c r="JAB14" s="12"/>
      <c r="JAS14" s="12"/>
      <c r="JAT14" s="12"/>
      <c r="JBK14" s="12"/>
      <c r="JBL14" s="12"/>
      <c r="JCC14" s="12"/>
      <c r="JCD14" s="12"/>
      <c r="JCU14" s="12"/>
      <c r="JCV14" s="12"/>
      <c r="JDM14" s="12"/>
      <c r="JDN14" s="12"/>
      <c r="JEE14" s="12"/>
      <c r="JEF14" s="12"/>
      <c r="JEW14" s="12"/>
      <c r="JEX14" s="12"/>
      <c r="JFO14" s="12"/>
      <c r="JFP14" s="12"/>
      <c r="JGG14" s="12"/>
      <c r="JGH14" s="12"/>
      <c r="JGY14" s="12"/>
      <c r="JGZ14" s="12"/>
      <c r="JHQ14" s="12"/>
      <c r="JHR14" s="12"/>
      <c r="JII14" s="12"/>
      <c r="JIJ14" s="12"/>
      <c r="JJA14" s="12"/>
      <c r="JJB14" s="12"/>
      <c r="JJS14" s="12"/>
      <c r="JJT14" s="12"/>
      <c r="JKK14" s="12"/>
      <c r="JKL14" s="12"/>
      <c r="JLC14" s="12"/>
      <c r="JLD14" s="12"/>
      <c r="JLU14" s="12"/>
      <c r="JLV14" s="12"/>
      <c r="JMM14" s="12"/>
      <c r="JMN14" s="12"/>
      <c r="JNE14" s="12"/>
      <c r="JNF14" s="12"/>
      <c r="JNW14" s="12"/>
      <c r="JNX14" s="12"/>
      <c r="JOO14" s="12"/>
      <c r="JOP14" s="12"/>
      <c r="JPG14" s="12"/>
      <c r="JPH14" s="12"/>
      <c r="JPY14" s="12"/>
      <c r="JPZ14" s="12"/>
      <c r="JQQ14" s="12"/>
      <c r="JQR14" s="12"/>
      <c r="JRI14" s="12"/>
      <c r="JRJ14" s="12"/>
      <c r="JSA14" s="12"/>
      <c r="JSB14" s="12"/>
      <c r="JSS14" s="12"/>
      <c r="JST14" s="12"/>
      <c r="JTK14" s="12"/>
      <c r="JTL14" s="12"/>
      <c r="JUC14" s="12"/>
      <c r="JUD14" s="12"/>
      <c r="JUU14" s="12"/>
      <c r="JUV14" s="12"/>
      <c r="JVM14" s="12"/>
      <c r="JVN14" s="12"/>
      <c r="JWE14" s="12"/>
      <c r="JWF14" s="12"/>
      <c r="JWW14" s="12"/>
      <c r="JWX14" s="12"/>
      <c r="JXO14" s="12"/>
      <c r="JXP14" s="12"/>
      <c r="JYG14" s="12"/>
      <c r="JYH14" s="12"/>
      <c r="JYY14" s="12"/>
      <c r="JYZ14" s="12"/>
      <c r="JZQ14" s="12"/>
      <c r="JZR14" s="12"/>
      <c r="KAI14" s="12"/>
      <c r="KAJ14" s="12"/>
      <c r="KBA14" s="12"/>
      <c r="KBB14" s="12"/>
      <c r="KBS14" s="12"/>
      <c r="KBT14" s="12"/>
      <c r="KCK14" s="12"/>
      <c r="KCL14" s="12"/>
      <c r="KDC14" s="12"/>
      <c r="KDD14" s="12"/>
      <c r="KDU14" s="12"/>
      <c r="KDV14" s="12"/>
      <c r="KEM14" s="12"/>
      <c r="KEN14" s="12"/>
      <c r="KFE14" s="12"/>
      <c r="KFF14" s="12"/>
      <c r="KFW14" s="12"/>
      <c r="KFX14" s="12"/>
      <c r="KGO14" s="12"/>
      <c r="KGP14" s="12"/>
      <c r="KHG14" s="12"/>
      <c r="KHH14" s="12"/>
      <c r="KHY14" s="12"/>
      <c r="KHZ14" s="12"/>
      <c r="KIQ14" s="12"/>
      <c r="KIR14" s="12"/>
      <c r="KJI14" s="12"/>
      <c r="KJJ14" s="12"/>
      <c r="KKA14" s="12"/>
      <c r="KKB14" s="12"/>
      <c r="KKS14" s="12"/>
      <c r="KKT14" s="12"/>
      <c r="KLK14" s="12"/>
      <c r="KLL14" s="12"/>
      <c r="KMC14" s="12"/>
      <c r="KMD14" s="12"/>
      <c r="KMU14" s="12"/>
      <c r="KMV14" s="12"/>
      <c r="KNM14" s="12"/>
      <c r="KNN14" s="12"/>
      <c r="KOE14" s="12"/>
      <c r="KOF14" s="12"/>
      <c r="KOW14" s="12"/>
      <c r="KOX14" s="12"/>
      <c r="KPO14" s="12"/>
      <c r="KPP14" s="12"/>
      <c r="KQG14" s="12"/>
      <c r="KQH14" s="12"/>
      <c r="KQY14" s="12"/>
      <c r="KQZ14" s="12"/>
      <c r="KRQ14" s="12"/>
      <c r="KRR14" s="12"/>
      <c r="KSI14" s="12"/>
      <c r="KSJ14" s="12"/>
      <c r="KTA14" s="12"/>
      <c r="KTB14" s="12"/>
      <c r="KTS14" s="12"/>
      <c r="KTT14" s="12"/>
      <c r="KUK14" s="12"/>
      <c r="KUL14" s="12"/>
      <c r="KVC14" s="12"/>
      <c r="KVD14" s="12"/>
      <c r="KVU14" s="12"/>
      <c r="KVV14" s="12"/>
      <c r="KWM14" s="12"/>
      <c r="KWN14" s="12"/>
      <c r="KXE14" s="12"/>
      <c r="KXF14" s="12"/>
      <c r="KXW14" s="12"/>
      <c r="KXX14" s="12"/>
      <c r="KYO14" s="12"/>
      <c r="KYP14" s="12"/>
      <c r="KZG14" s="12"/>
      <c r="KZH14" s="12"/>
      <c r="KZY14" s="12"/>
      <c r="KZZ14" s="12"/>
      <c r="LAQ14" s="12"/>
      <c r="LAR14" s="12"/>
      <c r="LBI14" s="12"/>
      <c r="LBJ14" s="12"/>
      <c r="LCA14" s="12"/>
      <c r="LCB14" s="12"/>
      <c r="LCS14" s="12"/>
      <c r="LCT14" s="12"/>
      <c r="LDK14" s="12"/>
      <c r="LDL14" s="12"/>
      <c r="LEC14" s="12"/>
      <c r="LED14" s="12"/>
      <c r="LEU14" s="12"/>
      <c r="LEV14" s="12"/>
      <c r="LFM14" s="12"/>
      <c r="LFN14" s="12"/>
      <c r="LGE14" s="12"/>
      <c r="LGF14" s="12"/>
      <c r="LGW14" s="12"/>
      <c r="LGX14" s="12"/>
      <c r="LHO14" s="12"/>
      <c r="LHP14" s="12"/>
      <c r="LIG14" s="12"/>
      <c r="LIH14" s="12"/>
      <c r="LIY14" s="12"/>
      <c r="LIZ14" s="12"/>
      <c r="LJQ14" s="12"/>
      <c r="LJR14" s="12"/>
      <c r="LKI14" s="12"/>
      <c r="LKJ14" s="12"/>
      <c r="LLA14" s="12"/>
      <c r="LLB14" s="12"/>
      <c r="LLS14" s="12"/>
      <c r="LLT14" s="12"/>
      <c r="LMK14" s="12"/>
      <c r="LML14" s="12"/>
      <c r="LNC14" s="12"/>
      <c r="LND14" s="12"/>
      <c r="LNU14" s="12"/>
      <c r="LNV14" s="12"/>
      <c r="LOM14" s="12"/>
      <c r="LON14" s="12"/>
      <c r="LPE14" s="12"/>
      <c r="LPF14" s="12"/>
      <c r="LPW14" s="12"/>
      <c r="LPX14" s="12"/>
      <c r="LQO14" s="12"/>
      <c r="LQP14" s="12"/>
      <c r="LRG14" s="12"/>
      <c r="LRH14" s="12"/>
      <c r="LRY14" s="12"/>
      <c r="LRZ14" s="12"/>
      <c r="LSQ14" s="12"/>
      <c r="LSR14" s="12"/>
      <c r="LTI14" s="12"/>
      <c r="LTJ14" s="12"/>
      <c r="LUA14" s="12"/>
      <c r="LUB14" s="12"/>
      <c r="LUS14" s="12"/>
      <c r="LUT14" s="12"/>
      <c r="LVK14" s="12"/>
      <c r="LVL14" s="12"/>
      <c r="LWC14" s="12"/>
      <c r="LWD14" s="12"/>
      <c r="LWU14" s="12"/>
      <c r="LWV14" s="12"/>
      <c r="LXM14" s="12"/>
      <c r="LXN14" s="12"/>
      <c r="LYE14" s="12"/>
      <c r="LYF14" s="12"/>
      <c r="LYW14" s="12"/>
      <c r="LYX14" s="12"/>
      <c r="LZO14" s="12"/>
      <c r="LZP14" s="12"/>
      <c r="MAG14" s="12"/>
      <c r="MAH14" s="12"/>
      <c r="MAY14" s="12"/>
      <c r="MAZ14" s="12"/>
      <c r="MBQ14" s="12"/>
      <c r="MBR14" s="12"/>
      <c r="MCI14" s="12"/>
      <c r="MCJ14" s="12"/>
      <c r="MDA14" s="12"/>
      <c r="MDB14" s="12"/>
      <c r="MDS14" s="12"/>
      <c r="MDT14" s="12"/>
      <c r="MEK14" s="12"/>
      <c r="MEL14" s="12"/>
      <c r="MFC14" s="12"/>
      <c r="MFD14" s="12"/>
      <c r="MFU14" s="12"/>
      <c r="MFV14" s="12"/>
      <c r="MGM14" s="12"/>
      <c r="MGN14" s="12"/>
      <c r="MHE14" s="12"/>
      <c r="MHF14" s="12"/>
      <c r="MHW14" s="12"/>
      <c r="MHX14" s="12"/>
      <c r="MIO14" s="12"/>
      <c r="MIP14" s="12"/>
      <c r="MJG14" s="12"/>
      <c r="MJH14" s="12"/>
      <c r="MJY14" s="12"/>
      <c r="MJZ14" s="12"/>
      <c r="MKQ14" s="12"/>
      <c r="MKR14" s="12"/>
      <c r="MLI14" s="12"/>
      <c r="MLJ14" s="12"/>
      <c r="MMA14" s="12"/>
      <c r="MMB14" s="12"/>
      <c r="MMS14" s="12"/>
      <c r="MMT14" s="12"/>
      <c r="MNK14" s="12"/>
      <c r="MNL14" s="12"/>
      <c r="MOC14" s="12"/>
      <c r="MOD14" s="12"/>
      <c r="MOU14" s="12"/>
      <c r="MOV14" s="12"/>
      <c r="MPM14" s="12"/>
      <c r="MPN14" s="12"/>
      <c r="MQE14" s="12"/>
      <c r="MQF14" s="12"/>
      <c r="MQW14" s="12"/>
      <c r="MQX14" s="12"/>
      <c r="MRO14" s="12"/>
      <c r="MRP14" s="12"/>
      <c r="MSG14" s="12"/>
      <c r="MSH14" s="12"/>
      <c r="MSY14" s="12"/>
      <c r="MSZ14" s="12"/>
      <c r="MTQ14" s="12"/>
      <c r="MTR14" s="12"/>
      <c r="MUI14" s="12"/>
      <c r="MUJ14" s="12"/>
      <c r="MVA14" s="12"/>
      <c r="MVB14" s="12"/>
      <c r="MVS14" s="12"/>
      <c r="MVT14" s="12"/>
      <c r="MWK14" s="12"/>
      <c r="MWL14" s="12"/>
      <c r="MXC14" s="12"/>
      <c r="MXD14" s="12"/>
      <c r="MXU14" s="12"/>
      <c r="MXV14" s="12"/>
      <c r="MYM14" s="12"/>
      <c r="MYN14" s="12"/>
      <c r="MZE14" s="12"/>
      <c r="MZF14" s="12"/>
      <c r="MZW14" s="12"/>
      <c r="MZX14" s="12"/>
      <c r="NAO14" s="12"/>
      <c r="NAP14" s="12"/>
      <c r="NBG14" s="12"/>
      <c r="NBH14" s="12"/>
      <c r="NBY14" s="12"/>
      <c r="NBZ14" s="12"/>
      <c r="NCQ14" s="12"/>
      <c r="NCR14" s="12"/>
      <c r="NDI14" s="12"/>
      <c r="NDJ14" s="12"/>
      <c r="NEA14" s="12"/>
      <c r="NEB14" s="12"/>
      <c r="NES14" s="12"/>
      <c r="NET14" s="12"/>
      <c r="NFK14" s="12"/>
      <c r="NFL14" s="12"/>
      <c r="NGC14" s="12"/>
      <c r="NGD14" s="12"/>
      <c r="NGU14" s="12"/>
      <c r="NGV14" s="12"/>
      <c r="NHM14" s="12"/>
      <c r="NHN14" s="12"/>
      <c r="NIE14" s="12"/>
      <c r="NIF14" s="12"/>
      <c r="NIW14" s="12"/>
      <c r="NIX14" s="12"/>
      <c r="NJO14" s="12"/>
      <c r="NJP14" s="12"/>
      <c r="NKG14" s="12"/>
      <c r="NKH14" s="12"/>
      <c r="NKY14" s="12"/>
      <c r="NKZ14" s="12"/>
      <c r="NLQ14" s="12"/>
      <c r="NLR14" s="12"/>
      <c r="NMI14" s="12"/>
      <c r="NMJ14" s="12"/>
      <c r="NNA14" s="12"/>
      <c r="NNB14" s="12"/>
      <c r="NNS14" s="12"/>
      <c r="NNT14" s="12"/>
      <c r="NOK14" s="12"/>
      <c r="NOL14" s="12"/>
      <c r="NPC14" s="12"/>
      <c r="NPD14" s="12"/>
      <c r="NPU14" s="12"/>
      <c r="NPV14" s="12"/>
      <c r="NQM14" s="12"/>
      <c r="NQN14" s="12"/>
      <c r="NRE14" s="12"/>
      <c r="NRF14" s="12"/>
      <c r="NRW14" s="12"/>
      <c r="NRX14" s="12"/>
      <c r="NSO14" s="12"/>
      <c r="NSP14" s="12"/>
      <c r="NTG14" s="12"/>
      <c r="NTH14" s="12"/>
      <c r="NTY14" s="12"/>
      <c r="NTZ14" s="12"/>
      <c r="NUQ14" s="12"/>
      <c r="NUR14" s="12"/>
      <c r="NVI14" s="12"/>
      <c r="NVJ14" s="12"/>
      <c r="NWA14" s="12"/>
      <c r="NWB14" s="12"/>
      <c r="NWS14" s="12"/>
      <c r="NWT14" s="12"/>
      <c r="NXK14" s="12"/>
      <c r="NXL14" s="12"/>
      <c r="NYC14" s="12"/>
      <c r="NYD14" s="12"/>
      <c r="NYU14" s="12"/>
      <c r="NYV14" s="12"/>
      <c r="NZM14" s="12"/>
      <c r="NZN14" s="12"/>
      <c r="OAE14" s="12"/>
      <c r="OAF14" s="12"/>
      <c r="OAW14" s="12"/>
      <c r="OAX14" s="12"/>
      <c r="OBO14" s="12"/>
      <c r="OBP14" s="12"/>
      <c r="OCG14" s="12"/>
      <c r="OCH14" s="12"/>
      <c r="OCY14" s="12"/>
      <c r="OCZ14" s="12"/>
      <c r="ODQ14" s="12"/>
      <c r="ODR14" s="12"/>
      <c r="OEI14" s="12"/>
      <c r="OEJ14" s="12"/>
      <c r="OFA14" s="12"/>
      <c r="OFB14" s="12"/>
      <c r="OFS14" s="12"/>
      <c r="OFT14" s="12"/>
      <c r="OGK14" s="12"/>
      <c r="OGL14" s="12"/>
      <c r="OHC14" s="12"/>
      <c r="OHD14" s="12"/>
      <c r="OHU14" s="12"/>
      <c r="OHV14" s="12"/>
      <c r="OIM14" s="12"/>
      <c r="OIN14" s="12"/>
      <c r="OJE14" s="12"/>
      <c r="OJF14" s="12"/>
      <c r="OJW14" s="12"/>
      <c r="OJX14" s="12"/>
      <c r="OKO14" s="12"/>
      <c r="OKP14" s="12"/>
      <c r="OLG14" s="12"/>
      <c r="OLH14" s="12"/>
      <c r="OLY14" s="12"/>
      <c r="OLZ14" s="12"/>
      <c r="OMQ14" s="12"/>
      <c r="OMR14" s="12"/>
      <c r="ONI14" s="12"/>
      <c r="ONJ14" s="12"/>
      <c r="OOA14" s="12"/>
      <c r="OOB14" s="12"/>
      <c r="OOS14" s="12"/>
      <c r="OOT14" s="12"/>
      <c r="OPK14" s="12"/>
      <c r="OPL14" s="12"/>
      <c r="OQC14" s="12"/>
      <c r="OQD14" s="12"/>
      <c r="OQU14" s="12"/>
      <c r="OQV14" s="12"/>
      <c r="ORM14" s="12"/>
      <c r="ORN14" s="12"/>
      <c r="OSE14" s="12"/>
      <c r="OSF14" s="12"/>
      <c r="OSW14" s="12"/>
      <c r="OSX14" s="12"/>
      <c r="OTO14" s="12"/>
      <c r="OTP14" s="12"/>
      <c r="OUG14" s="12"/>
      <c r="OUH14" s="12"/>
      <c r="OUY14" s="12"/>
      <c r="OUZ14" s="12"/>
      <c r="OVQ14" s="12"/>
      <c r="OVR14" s="12"/>
      <c r="OWI14" s="12"/>
      <c r="OWJ14" s="12"/>
      <c r="OXA14" s="12"/>
      <c r="OXB14" s="12"/>
      <c r="OXS14" s="12"/>
      <c r="OXT14" s="12"/>
      <c r="OYK14" s="12"/>
      <c r="OYL14" s="12"/>
      <c r="OZC14" s="12"/>
      <c r="OZD14" s="12"/>
      <c r="OZU14" s="12"/>
      <c r="OZV14" s="12"/>
      <c r="PAM14" s="12"/>
      <c r="PAN14" s="12"/>
      <c r="PBE14" s="12"/>
      <c r="PBF14" s="12"/>
      <c r="PBW14" s="12"/>
      <c r="PBX14" s="12"/>
      <c r="PCO14" s="12"/>
      <c r="PCP14" s="12"/>
      <c r="PDG14" s="12"/>
      <c r="PDH14" s="12"/>
      <c r="PDY14" s="12"/>
      <c r="PDZ14" s="12"/>
      <c r="PEQ14" s="12"/>
      <c r="PER14" s="12"/>
      <c r="PFI14" s="12"/>
      <c r="PFJ14" s="12"/>
      <c r="PGA14" s="12"/>
      <c r="PGB14" s="12"/>
      <c r="PGS14" s="12"/>
      <c r="PGT14" s="12"/>
      <c r="PHK14" s="12"/>
      <c r="PHL14" s="12"/>
      <c r="PIC14" s="12"/>
      <c r="PID14" s="12"/>
      <c r="PIU14" s="12"/>
      <c r="PIV14" s="12"/>
      <c r="PJM14" s="12"/>
      <c r="PJN14" s="12"/>
      <c r="PKE14" s="12"/>
      <c r="PKF14" s="12"/>
      <c r="PKW14" s="12"/>
      <c r="PKX14" s="12"/>
      <c r="PLO14" s="12"/>
      <c r="PLP14" s="12"/>
      <c r="PMG14" s="12"/>
      <c r="PMH14" s="12"/>
      <c r="PMY14" s="12"/>
      <c r="PMZ14" s="12"/>
      <c r="PNQ14" s="12"/>
      <c r="PNR14" s="12"/>
      <c r="POI14" s="12"/>
      <c r="POJ14" s="12"/>
      <c r="PPA14" s="12"/>
      <c r="PPB14" s="12"/>
      <c r="PPS14" s="12"/>
      <c r="PPT14" s="12"/>
      <c r="PQK14" s="12"/>
      <c r="PQL14" s="12"/>
      <c r="PRC14" s="12"/>
      <c r="PRD14" s="12"/>
      <c r="PRU14" s="12"/>
      <c r="PRV14" s="12"/>
      <c r="PSM14" s="12"/>
      <c r="PSN14" s="12"/>
      <c r="PTE14" s="12"/>
      <c r="PTF14" s="12"/>
      <c r="PTW14" s="12"/>
      <c r="PTX14" s="12"/>
      <c r="PUO14" s="12"/>
      <c r="PUP14" s="12"/>
      <c r="PVG14" s="12"/>
      <c r="PVH14" s="12"/>
      <c r="PVY14" s="12"/>
      <c r="PVZ14" s="12"/>
      <c r="PWQ14" s="12"/>
      <c r="PWR14" s="12"/>
      <c r="PXI14" s="12"/>
      <c r="PXJ14" s="12"/>
      <c r="PYA14" s="12"/>
      <c r="PYB14" s="12"/>
      <c r="PYS14" s="12"/>
      <c r="PYT14" s="12"/>
      <c r="PZK14" s="12"/>
      <c r="PZL14" s="12"/>
      <c r="QAC14" s="12"/>
      <c r="QAD14" s="12"/>
      <c r="QAU14" s="12"/>
      <c r="QAV14" s="12"/>
      <c r="QBM14" s="12"/>
      <c r="QBN14" s="12"/>
      <c r="QCE14" s="12"/>
      <c r="QCF14" s="12"/>
      <c r="QCW14" s="12"/>
      <c r="QCX14" s="12"/>
      <c r="QDO14" s="12"/>
      <c r="QDP14" s="12"/>
      <c r="QEG14" s="12"/>
      <c r="QEH14" s="12"/>
      <c r="QEY14" s="12"/>
      <c r="QEZ14" s="12"/>
      <c r="QFQ14" s="12"/>
      <c r="QFR14" s="12"/>
      <c r="QGI14" s="12"/>
      <c r="QGJ14" s="12"/>
      <c r="QHA14" s="12"/>
      <c r="QHB14" s="12"/>
      <c r="QHS14" s="12"/>
      <c r="QHT14" s="12"/>
      <c r="QIK14" s="12"/>
      <c r="QIL14" s="12"/>
      <c r="QJC14" s="12"/>
      <c r="QJD14" s="12"/>
      <c r="QJU14" s="12"/>
      <c r="QJV14" s="12"/>
      <c r="QKM14" s="12"/>
      <c r="QKN14" s="12"/>
      <c r="QLE14" s="12"/>
      <c r="QLF14" s="12"/>
      <c r="QLW14" s="12"/>
      <c r="QLX14" s="12"/>
      <c r="QMO14" s="12"/>
      <c r="QMP14" s="12"/>
      <c r="QNG14" s="12"/>
      <c r="QNH14" s="12"/>
      <c r="QNY14" s="12"/>
      <c r="QNZ14" s="12"/>
      <c r="QOQ14" s="12"/>
      <c r="QOR14" s="12"/>
      <c r="QPI14" s="12"/>
      <c r="QPJ14" s="12"/>
      <c r="QQA14" s="12"/>
      <c r="QQB14" s="12"/>
      <c r="QQS14" s="12"/>
      <c r="QQT14" s="12"/>
      <c r="QRK14" s="12"/>
      <c r="QRL14" s="12"/>
      <c r="QSC14" s="12"/>
      <c r="QSD14" s="12"/>
      <c r="QSU14" s="12"/>
      <c r="QSV14" s="12"/>
      <c r="QTM14" s="12"/>
      <c r="QTN14" s="12"/>
      <c r="QUE14" s="12"/>
      <c r="QUF14" s="12"/>
      <c r="QUW14" s="12"/>
      <c r="QUX14" s="12"/>
      <c r="QVO14" s="12"/>
      <c r="QVP14" s="12"/>
      <c r="QWG14" s="12"/>
      <c r="QWH14" s="12"/>
      <c r="QWY14" s="12"/>
      <c r="QWZ14" s="12"/>
      <c r="QXQ14" s="12"/>
      <c r="QXR14" s="12"/>
      <c r="QYI14" s="12"/>
      <c r="QYJ14" s="12"/>
      <c r="QZA14" s="12"/>
      <c r="QZB14" s="12"/>
      <c r="QZS14" s="12"/>
      <c r="QZT14" s="12"/>
      <c r="RAK14" s="12"/>
      <c r="RAL14" s="12"/>
      <c r="RBC14" s="12"/>
      <c r="RBD14" s="12"/>
      <c r="RBU14" s="12"/>
      <c r="RBV14" s="12"/>
      <c r="RCM14" s="12"/>
      <c r="RCN14" s="12"/>
      <c r="RDE14" s="12"/>
      <c r="RDF14" s="12"/>
      <c r="RDW14" s="12"/>
      <c r="RDX14" s="12"/>
      <c r="REO14" s="12"/>
      <c r="REP14" s="12"/>
      <c r="RFG14" s="12"/>
      <c r="RFH14" s="12"/>
      <c r="RFY14" s="12"/>
      <c r="RFZ14" s="12"/>
      <c r="RGQ14" s="12"/>
      <c r="RGR14" s="12"/>
      <c r="RHI14" s="12"/>
      <c r="RHJ14" s="12"/>
      <c r="RIA14" s="12"/>
      <c r="RIB14" s="12"/>
      <c r="RIS14" s="12"/>
      <c r="RIT14" s="12"/>
      <c r="RJK14" s="12"/>
      <c r="RJL14" s="12"/>
      <c r="RKC14" s="12"/>
      <c r="RKD14" s="12"/>
      <c r="RKU14" s="12"/>
      <c r="RKV14" s="12"/>
      <c r="RLM14" s="12"/>
      <c r="RLN14" s="12"/>
      <c r="RME14" s="12"/>
      <c r="RMF14" s="12"/>
      <c r="RMW14" s="12"/>
      <c r="RMX14" s="12"/>
      <c r="RNO14" s="12"/>
      <c r="RNP14" s="12"/>
      <c r="ROG14" s="12"/>
      <c r="ROH14" s="12"/>
      <c r="ROY14" s="12"/>
      <c r="ROZ14" s="12"/>
      <c r="RPQ14" s="12"/>
      <c r="RPR14" s="12"/>
      <c r="RQI14" s="12"/>
      <c r="RQJ14" s="12"/>
      <c r="RRA14" s="12"/>
      <c r="RRB14" s="12"/>
      <c r="RRS14" s="12"/>
      <c r="RRT14" s="12"/>
      <c r="RSK14" s="12"/>
      <c r="RSL14" s="12"/>
      <c r="RTC14" s="12"/>
      <c r="RTD14" s="12"/>
      <c r="RTU14" s="12"/>
      <c r="RTV14" s="12"/>
      <c r="RUM14" s="12"/>
      <c r="RUN14" s="12"/>
      <c r="RVE14" s="12"/>
      <c r="RVF14" s="12"/>
      <c r="RVW14" s="12"/>
      <c r="RVX14" s="12"/>
      <c r="RWO14" s="12"/>
      <c r="RWP14" s="12"/>
      <c r="RXG14" s="12"/>
      <c r="RXH14" s="12"/>
      <c r="RXY14" s="12"/>
      <c r="RXZ14" s="12"/>
      <c r="RYQ14" s="12"/>
      <c r="RYR14" s="12"/>
      <c r="RZI14" s="12"/>
      <c r="RZJ14" s="12"/>
      <c r="SAA14" s="12"/>
      <c r="SAB14" s="12"/>
      <c r="SAS14" s="12"/>
      <c r="SAT14" s="12"/>
      <c r="SBK14" s="12"/>
      <c r="SBL14" s="12"/>
      <c r="SCC14" s="12"/>
      <c r="SCD14" s="12"/>
      <c r="SCU14" s="12"/>
      <c r="SCV14" s="12"/>
      <c r="SDM14" s="12"/>
      <c r="SDN14" s="12"/>
      <c r="SEE14" s="12"/>
      <c r="SEF14" s="12"/>
      <c r="SEW14" s="12"/>
      <c r="SEX14" s="12"/>
      <c r="SFO14" s="12"/>
      <c r="SFP14" s="12"/>
      <c r="SGG14" s="12"/>
      <c r="SGH14" s="12"/>
      <c r="SGY14" s="12"/>
      <c r="SGZ14" s="12"/>
      <c r="SHQ14" s="12"/>
      <c r="SHR14" s="12"/>
      <c r="SII14" s="12"/>
      <c r="SIJ14" s="12"/>
      <c r="SJA14" s="12"/>
      <c r="SJB14" s="12"/>
      <c r="SJS14" s="12"/>
      <c r="SJT14" s="12"/>
      <c r="SKK14" s="12"/>
      <c r="SKL14" s="12"/>
      <c r="SLC14" s="12"/>
      <c r="SLD14" s="12"/>
      <c r="SLU14" s="12"/>
      <c r="SLV14" s="12"/>
      <c r="SMM14" s="12"/>
      <c r="SMN14" s="12"/>
      <c r="SNE14" s="12"/>
      <c r="SNF14" s="12"/>
      <c r="SNW14" s="12"/>
      <c r="SNX14" s="12"/>
      <c r="SOO14" s="12"/>
      <c r="SOP14" s="12"/>
      <c r="SPG14" s="12"/>
      <c r="SPH14" s="12"/>
      <c r="SPY14" s="12"/>
      <c r="SPZ14" s="12"/>
      <c r="SQQ14" s="12"/>
      <c r="SQR14" s="12"/>
      <c r="SRI14" s="12"/>
      <c r="SRJ14" s="12"/>
      <c r="SSA14" s="12"/>
      <c r="SSB14" s="12"/>
      <c r="SSS14" s="12"/>
      <c r="SST14" s="12"/>
      <c r="STK14" s="12"/>
      <c r="STL14" s="12"/>
      <c r="SUC14" s="12"/>
      <c r="SUD14" s="12"/>
      <c r="SUU14" s="12"/>
      <c r="SUV14" s="12"/>
      <c r="SVM14" s="12"/>
      <c r="SVN14" s="12"/>
      <c r="SWE14" s="12"/>
      <c r="SWF14" s="12"/>
      <c r="SWW14" s="12"/>
      <c r="SWX14" s="12"/>
      <c r="SXO14" s="12"/>
      <c r="SXP14" s="12"/>
      <c r="SYG14" s="12"/>
      <c r="SYH14" s="12"/>
      <c r="SYY14" s="12"/>
      <c r="SYZ14" s="12"/>
      <c r="SZQ14" s="12"/>
      <c r="SZR14" s="12"/>
      <c r="TAI14" s="12"/>
      <c r="TAJ14" s="12"/>
      <c r="TBA14" s="12"/>
      <c r="TBB14" s="12"/>
      <c r="TBS14" s="12"/>
      <c r="TBT14" s="12"/>
      <c r="TCK14" s="12"/>
      <c r="TCL14" s="12"/>
      <c r="TDC14" s="12"/>
      <c r="TDD14" s="12"/>
      <c r="TDU14" s="12"/>
      <c r="TDV14" s="12"/>
      <c r="TEM14" s="12"/>
      <c r="TEN14" s="12"/>
      <c r="TFE14" s="12"/>
      <c r="TFF14" s="12"/>
      <c r="TFW14" s="12"/>
      <c r="TFX14" s="12"/>
      <c r="TGO14" s="12"/>
      <c r="TGP14" s="12"/>
      <c r="THG14" s="12"/>
      <c r="THH14" s="12"/>
      <c r="THY14" s="12"/>
      <c r="THZ14" s="12"/>
      <c r="TIQ14" s="12"/>
      <c r="TIR14" s="12"/>
      <c r="TJI14" s="12"/>
      <c r="TJJ14" s="12"/>
      <c r="TKA14" s="12"/>
      <c r="TKB14" s="12"/>
      <c r="TKS14" s="12"/>
      <c r="TKT14" s="12"/>
      <c r="TLK14" s="12"/>
      <c r="TLL14" s="12"/>
      <c r="TMC14" s="12"/>
      <c r="TMD14" s="12"/>
      <c r="TMU14" s="12"/>
      <c r="TMV14" s="12"/>
      <c r="TNM14" s="12"/>
      <c r="TNN14" s="12"/>
      <c r="TOE14" s="12"/>
      <c r="TOF14" s="12"/>
      <c r="TOW14" s="12"/>
      <c r="TOX14" s="12"/>
      <c r="TPO14" s="12"/>
      <c r="TPP14" s="12"/>
      <c r="TQG14" s="12"/>
      <c r="TQH14" s="12"/>
      <c r="TQY14" s="12"/>
      <c r="TQZ14" s="12"/>
      <c r="TRQ14" s="12"/>
      <c r="TRR14" s="12"/>
      <c r="TSI14" s="12"/>
      <c r="TSJ14" s="12"/>
      <c r="TTA14" s="12"/>
      <c r="TTB14" s="12"/>
      <c r="TTS14" s="12"/>
      <c r="TTT14" s="12"/>
      <c r="TUK14" s="12"/>
      <c r="TUL14" s="12"/>
      <c r="TVC14" s="12"/>
      <c r="TVD14" s="12"/>
      <c r="TVU14" s="12"/>
      <c r="TVV14" s="12"/>
      <c r="TWM14" s="12"/>
      <c r="TWN14" s="12"/>
      <c r="TXE14" s="12"/>
      <c r="TXF14" s="12"/>
      <c r="TXW14" s="12"/>
      <c r="TXX14" s="12"/>
      <c r="TYO14" s="12"/>
      <c r="TYP14" s="12"/>
      <c r="TZG14" s="12"/>
      <c r="TZH14" s="12"/>
      <c r="TZY14" s="12"/>
      <c r="TZZ14" s="12"/>
      <c r="UAQ14" s="12"/>
      <c r="UAR14" s="12"/>
      <c r="UBI14" s="12"/>
      <c r="UBJ14" s="12"/>
      <c r="UCA14" s="12"/>
      <c r="UCB14" s="12"/>
      <c r="UCS14" s="12"/>
      <c r="UCT14" s="12"/>
      <c r="UDK14" s="12"/>
      <c r="UDL14" s="12"/>
      <c r="UEC14" s="12"/>
      <c r="UED14" s="12"/>
      <c r="UEU14" s="12"/>
      <c r="UEV14" s="12"/>
      <c r="UFM14" s="12"/>
      <c r="UFN14" s="12"/>
      <c r="UGE14" s="12"/>
      <c r="UGF14" s="12"/>
      <c r="UGW14" s="12"/>
      <c r="UGX14" s="12"/>
      <c r="UHO14" s="12"/>
      <c r="UHP14" s="12"/>
      <c r="UIG14" s="12"/>
      <c r="UIH14" s="12"/>
      <c r="UIY14" s="12"/>
      <c r="UIZ14" s="12"/>
      <c r="UJQ14" s="12"/>
      <c r="UJR14" s="12"/>
      <c r="UKI14" s="12"/>
      <c r="UKJ14" s="12"/>
      <c r="ULA14" s="12"/>
      <c r="ULB14" s="12"/>
      <c r="ULS14" s="12"/>
      <c r="ULT14" s="12"/>
      <c r="UMK14" s="12"/>
      <c r="UML14" s="12"/>
      <c r="UNC14" s="12"/>
      <c r="UND14" s="12"/>
      <c r="UNU14" s="12"/>
      <c r="UNV14" s="12"/>
      <c r="UOM14" s="12"/>
      <c r="UON14" s="12"/>
      <c r="UPE14" s="12"/>
      <c r="UPF14" s="12"/>
      <c r="UPW14" s="12"/>
      <c r="UPX14" s="12"/>
      <c r="UQO14" s="12"/>
      <c r="UQP14" s="12"/>
      <c r="URG14" s="12"/>
      <c r="URH14" s="12"/>
      <c r="URY14" s="12"/>
      <c r="URZ14" s="12"/>
      <c r="USQ14" s="12"/>
      <c r="USR14" s="12"/>
      <c r="UTI14" s="12"/>
      <c r="UTJ14" s="12"/>
      <c r="UUA14" s="12"/>
      <c r="UUB14" s="12"/>
      <c r="UUS14" s="12"/>
      <c r="UUT14" s="12"/>
      <c r="UVK14" s="12"/>
      <c r="UVL14" s="12"/>
      <c r="UWC14" s="12"/>
      <c r="UWD14" s="12"/>
      <c r="UWU14" s="12"/>
      <c r="UWV14" s="12"/>
      <c r="UXM14" s="12"/>
      <c r="UXN14" s="12"/>
      <c r="UYE14" s="12"/>
      <c r="UYF14" s="12"/>
      <c r="UYW14" s="12"/>
      <c r="UYX14" s="12"/>
      <c r="UZO14" s="12"/>
      <c r="UZP14" s="12"/>
      <c r="VAG14" s="12"/>
      <c r="VAH14" s="12"/>
      <c r="VAY14" s="12"/>
      <c r="VAZ14" s="12"/>
      <c r="VBQ14" s="12"/>
      <c r="VBR14" s="12"/>
      <c r="VCI14" s="12"/>
      <c r="VCJ14" s="12"/>
      <c r="VDA14" s="12"/>
      <c r="VDB14" s="12"/>
      <c r="VDS14" s="12"/>
      <c r="VDT14" s="12"/>
      <c r="VEK14" s="12"/>
      <c r="VEL14" s="12"/>
      <c r="VFC14" s="12"/>
      <c r="VFD14" s="12"/>
      <c r="VFU14" s="12"/>
      <c r="VFV14" s="12"/>
      <c r="VGM14" s="12"/>
      <c r="VGN14" s="12"/>
      <c r="VHE14" s="12"/>
      <c r="VHF14" s="12"/>
      <c r="VHW14" s="12"/>
      <c r="VHX14" s="12"/>
      <c r="VIO14" s="12"/>
      <c r="VIP14" s="12"/>
      <c r="VJG14" s="12"/>
      <c r="VJH14" s="12"/>
      <c r="VJY14" s="12"/>
      <c r="VJZ14" s="12"/>
      <c r="VKQ14" s="12"/>
      <c r="VKR14" s="12"/>
      <c r="VLI14" s="12"/>
      <c r="VLJ14" s="12"/>
      <c r="VMA14" s="12"/>
      <c r="VMB14" s="12"/>
      <c r="VMS14" s="12"/>
      <c r="VMT14" s="12"/>
      <c r="VNK14" s="12"/>
      <c r="VNL14" s="12"/>
      <c r="VOC14" s="12"/>
      <c r="VOD14" s="12"/>
      <c r="VOU14" s="12"/>
      <c r="VOV14" s="12"/>
      <c r="VPM14" s="12"/>
      <c r="VPN14" s="12"/>
      <c r="VQE14" s="12"/>
      <c r="VQF14" s="12"/>
      <c r="VQW14" s="12"/>
      <c r="VQX14" s="12"/>
      <c r="VRO14" s="12"/>
      <c r="VRP14" s="12"/>
      <c r="VSG14" s="12"/>
      <c r="VSH14" s="12"/>
      <c r="VSY14" s="12"/>
      <c r="VSZ14" s="12"/>
      <c r="VTQ14" s="12"/>
      <c r="VTR14" s="12"/>
      <c r="VUI14" s="12"/>
      <c r="VUJ14" s="12"/>
      <c r="VVA14" s="12"/>
      <c r="VVB14" s="12"/>
      <c r="VVS14" s="12"/>
      <c r="VVT14" s="12"/>
      <c r="VWK14" s="12"/>
      <c r="VWL14" s="12"/>
      <c r="VXC14" s="12"/>
      <c r="VXD14" s="12"/>
      <c r="VXU14" s="12"/>
      <c r="VXV14" s="12"/>
      <c r="VYM14" s="12"/>
      <c r="VYN14" s="12"/>
      <c r="VZE14" s="12"/>
      <c r="VZF14" s="12"/>
      <c r="VZW14" s="12"/>
      <c r="VZX14" s="12"/>
      <c r="WAO14" s="12"/>
      <c r="WAP14" s="12"/>
      <c r="WBG14" s="12"/>
      <c r="WBH14" s="12"/>
      <c r="WBY14" s="12"/>
      <c r="WBZ14" s="12"/>
      <c r="WCQ14" s="12"/>
      <c r="WCR14" s="12"/>
      <c r="WDI14" s="12"/>
      <c r="WDJ14" s="12"/>
      <c r="WEA14" s="12"/>
      <c r="WEB14" s="12"/>
      <c r="WES14" s="12"/>
      <c r="WET14" s="12"/>
      <c r="WFK14" s="12"/>
      <c r="WFL14" s="12"/>
      <c r="WGC14" s="12"/>
      <c r="WGD14" s="12"/>
      <c r="WGU14" s="12"/>
      <c r="WGV14" s="12"/>
      <c r="WHM14" s="12"/>
      <c r="WHN14" s="12"/>
      <c r="WIE14" s="12"/>
      <c r="WIF14" s="12"/>
      <c r="WIW14" s="12"/>
      <c r="WIX14" s="12"/>
      <c r="WJO14" s="12"/>
      <c r="WJP14" s="12"/>
      <c r="WKG14" s="12"/>
      <c r="WKH14" s="12"/>
      <c r="WKY14" s="12"/>
      <c r="WKZ14" s="12"/>
      <c r="WLQ14" s="12"/>
      <c r="WLR14" s="12"/>
      <c r="WMI14" s="12"/>
      <c r="WMJ14" s="12"/>
      <c r="WNA14" s="12"/>
      <c r="WNB14" s="12"/>
      <c r="WNS14" s="12"/>
      <c r="WNT14" s="12"/>
      <c r="WOK14" s="12"/>
      <c r="WOL14" s="12"/>
      <c r="WPC14" s="12"/>
      <c r="WPD14" s="12"/>
      <c r="WPU14" s="12"/>
      <c r="WPV14" s="12"/>
      <c r="WQM14" s="12"/>
      <c r="WQN14" s="12"/>
      <c r="WRE14" s="12"/>
      <c r="WRF14" s="12"/>
      <c r="WRW14" s="12"/>
      <c r="WRX14" s="12"/>
      <c r="WSO14" s="12"/>
      <c r="WSP14" s="12"/>
      <c r="WTG14" s="12"/>
      <c r="WTH14" s="12"/>
      <c r="WTY14" s="12"/>
      <c r="WTZ14" s="12"/>
      <c r="WUQ14" s="12"/>
      <c r="WUR14" s="12"/>
      <c r="WVI14" s="12"/>
      <c r="WVJ14" s="12"/>
      <c r="WWA14" s="12"/>
      <c r="WWB14" s="12"/>
      <c r="WWS14" s="12"/>
      <c r="WWT14" s="12"/>
      <c r="WXK14" s="12"/>
      <c r="WXL14" s="12"/>
      <c r="WYC14" s="12"/>
      <c r="WYD14" s="12"/>
      <c r="WYU14" s="12"/>
      <c r="WYV14" s="12"/>
      <c r="WZM14" s="12"/>
      <c r="WZN14" s="12"/>
      <c r="XAE14" s="12"/>
      <c r="XAF14" s="12"/>
      <c r="XAW14" s="12"/>
      <c r="XAX14" s="12"/>
      <c r="XBO14" s="12"/>
      <c r="XBP14" s="12"/>
      <c r="XCG14" s="12"/>
      <c r="XCH14" s="12"/>
      <c r="XCY14" s="12"/>
      <c r="XCZ14" s="12"/>
      <c r="XDQ14" s="12"/>
      <c r="XDR14" s="12"/>
      <c r="XEI14" s="12"/>
      <c r="XEJ14" s="12"/>
      <c r="XFA14" s="12"/>
      <c r="XFB14" s="12"/>
    </row>
    <row r="15" spans="1:1010 1027:2036 2053:3062 3079:4088 4105:5114 5131:6140 6157:7166 7183:8192 8209:9200 9217:10226 10243:11252 11269:12278 12295:13304 13321:14330 14347:15356 15373:16382" x14ac:dyDescent="0.35">
      <c r="A15" s="181" t="s">
        <v>32</v>
      </c>
      <c r="B15" s="181" t="s">
        <v>33</v>
      </c>
      <c r="C15" s="198">
        <v>80.61</v>
      </c>
      <c r="D15" s="198">
        <v>73.849999999999994</v>
      </c>
      <c r="E15" s="198">
        <v>69.106999999999999</v>
      </c>
      <c r="F15" s="198">
        <v>75.551000000000002</v>
      </c>
      <c r="G15" s="198">
        <v>84.603999999999999</v>
      </c>
      <c r="H15" s="198">
        <v>93.608999999999995</v>
      </c>
      <c r="I15" s="198">
        <v>138.19999999999999</v>
      </c>
      <c r="J15" s="198">
        <v>144.774</v>
      </c>
      <c r="K15" s="198">
        <v>116.601</v>
      </c>
      <c r="L15" s="198">
        <v>113.027</v>
      </c>
      <c r="M15" s="117"/>
      <c r="N15" s="117"/>
      <c r="O15" s="117"/>
      <c r="P15" s="117"/>
      <c r="Q15" s="117"/>
      <c r="R15" s="117"/>
      <c r="T15" s="12"/>
      <c r="U15" s="12"/>
    </row>
    <row r="16" spans="1:1010 1027:2036 2053:3062 3079:4088 4105:5114 5131:6140 6157:7166 7183:8192 8209:9200 9217:10226 10243:11252 11269:12278 12295:13304 13321:14330 14347:15356 15373:16382" x14ac:dyDescent="0.35">
      <c r="A16" s="181" t="s">
        <v>34</v>
      </c>
      <c r="B16" s="181" t="s">
        <v>35</v>
      </c>
      <c r="C16" s="198">
        <v>0</v>
      </c>
      <c r="D16" s="198">
        <v>0</v>
      </c>
      <c r="E16" s="198">
        <v>0</v>
      </c>
      <c r="F16" s="198">
        <v>0</v>
      </c>
      <c r="G16" s="198">
        <v>0</v>
      </c>
      <c r="H16" s="198">
        <v>0</v>
      </c>
      <c r="I16" s="198">
        <v>0</v>
      </c>
      <c r="J16" s="198">
        <v>0</v>
      </c>
      <c r="K16" s="198">
        <v>0</v>
      </c>
      <c r="L16" s="198">
        <v>0</v>
      </c>
      <c r="M16" s="117"/>
      <c r="N16" s="117"/>
      <c r="O16" s="117"/>
      <c r="P16" s="117"/>
      <c r="Q16" s="117"/>
      <c r="R16" s="117"/>
      <c r="T16" s="12"/>
      <c r="U16" s="12"/>
    </row>
    <row r="17" spans="1:1010 1027:2036 2053:3062 3079:4088 4105:5114 5131:6140 6157:7166 7183:8192 8209:9200 9217:10226 10243:11252 11269:12278 12295:13304 13321:14330 14347:15356 15373:16382" x14ac:dyDescent="0.35">
      <c r="A17" s="23" t="s">
        <v>29</v>
      </c>
      <c r="B17" s="23"/>
      <c r="C17" s="321">
        <f t="shared" ref="C17:L17" si="3">IF(AND(C15="",C16=""),0,ROUND(SUM(C15:C16)-IF(C14="",0,C14),1))</f>
        <v>0</v>
      </c>
      <c r="D17" s="321">
        <f t="shared" si="3"/>
        <v>0</v>
      </c>
      <c r="E17" s="321">
        <f t="shared" si="3"/>
        <v>0</v>
      </c>
      <c r="F17" s="321">
        <f t="shared" si="3"/>
        <v>0</v>
      </c>
      <c r="G17" s="321">
        <f t="shared" si="3"/>
        <v>0</v>
      </c>
      <c r="H17" s="321">
        <f t="shared" si="3"/>
        <v>0</v>
      </c>
      <c r="I17" s="321">
        <f t="shared" si="3"/>
        <v>0</v>
      </c>
      <c r="J17" s="321">
        <f t="shared" si="3"/>
        <v>0</v>
      </c>
      <c r="K17" s="321">
        <f t="shared" si="3"/>
        <v>0</v>
      </c>
      <c r="L17" s="321">
        <f t="shared" si="3"/>
        <v>0</v>
      </c>
      <c r="M17" s="118"/>
      <c r="N17" s="118"/>
      <c r="O17" s="118"/>
      <c r="P17" s="118"/>
      <c r="Q17" s="118"/>
      <c r="R17" s="118"/>
      <c r="T17" s="12"/>
      <c r="U17" s="12"/>
    </row>
    <row r="18" spans="1:1010 1027:2036 2053:3062 3079:4088 4105:5114 5131:6140 6157:7166 7183:8192 8209:9200 9217:10226 10243:11252 11269:12278 12295:13304 13321:14330 14347:15356 15373:16382" x14ac:dyDescent="0.35">
      <c r="A18" s="23"/>
      <c r="B18" s="23"/>
      <c r="C18" s="321"/>
      <c r="D18" s="321"/>
      <c r="E18" s="321"/>
      <c r="F18" s="321"/>
      <c r="G18" s="321"/>
      <c r="H18" s="321"/>
      <c r="I18" s="321"/>
      <c r="J18" s="321"/>
      <c r="K18" s="321"/>
      <c r="L18" s="321"/>
      <c r="M18" s="118"/>
      <c r="N18" s="118"/>
      <c r="O18" s="118"/>
      <c r="P18" s="118"/>
      <c r="Q18" s="118"/>
      <c r="R18" s="118"/>
      <c r="T18" s="12"/>
      <c r="U18" s="12"/>
    </row>
    <row r="19" spans="1:1010 1027:2036 2053:3062 3079:4088 4105:5114 5131:6140 6157:7166 7183:8192 8209:9200 9217:10226 10243:11252 11269:12278 12295:13304 13321:14330 14347:15356 15373:16382" x14ac:dyDescent="0.35">
      <c r="A19" s="183" t="s">
        <v>36</v>
      </c>
      <c r="B19" s="183" t="s">
        <v>37</v>
      </c>
      <c r="C19" s="184"/>
      <c r="D19" s="184"/>
      <c r="E19" s="184"/>
      <c r="F19" s="184"/>
      <c r="G19" s="184"/>
      <c r="H19" s="184"/>
      <c r="I19" s="184"/>
      <c r="J19" s="184"/>
      <c r="K19" s="184"/>
      <c r="L19" s="184"/>
      <c r="M19" s="312" t="str">
        <f>IF(OR(K19=0,K19=""),"",L19/K19-1)</f>
        <v/>
      </c>
      <c r="N19" s="118"/>
      <c r="O19" s="118"/>
      <c r="P19" s="118"/>
      <c r="Q19" s="118"/>
      <c r="R19" s="118"/>
      <c r="T19" s="12"/>
      <c r="U19" s="12"/>
    </row>
    <row r="20" spans="1:1010 1027:2036 2053:3062 3079:4088 4105:5114 5131:6140 6157:7166 7183:8192 8209:9200 9217:10226 10243:11252 11269:12278 12295:13304 13321:14330 14347:15356 15373:16382" s="11" customFormat="1" x14ac:dyDescent="0.35">
      <c r="A20" s="183" t="s">
        <v>38</v>
      </c>
      <c r="B20" s="183" t="s">
        <v>39</v>
      </c>
      <c r="C20" s="184">
        <v>74.75</v>
      </c>
      <c r="D20" s="184">
        <v>86.155000000000001</v>
      </c>
      <c r="E20" s="184">
        <v>79.233000000000004</v>
      </c>
      <c r="F20" s="184">
        <v>92.287000000000006</v>
      </c>
      <c r="G20" s="184">
        <v>104.792</v>
      </c>
      <c r="H20" s="184">
        <v>145.244</v>
      </c>
      <c r="I20" s="184">
        <v>193.77600000000001</v>
      </c>
      <c r="J20" s="184">
        <v>155.93199999999999</v>
      </c>
      <c r="K20" s="184">
        <v>154.453</v>
      </c>
      <c r="L20" s="184">
        <v>136.85900000000001</v>
      </c>
      <c r="M20" s="312">
        <f>IF(OR(K20=0,K20=""),"",L20/K20-1)</f>
        <v>-0.1139116753963989</v>
      </c>
      <c r="N20" s="117"/>
      <c r="O20" s="117"/>
      <c r="P20" s="117"/>
      <c r="Q20" s="117"/>
      <c r="R20" s="117"/>
      <c r="S20" s="12"/>
      <c r="T20" s="12"/>
      <c r="AK20" s="12"/>
      <c r="AL20" s="12"/>
      <c r="BC20" s="12"/>
      <c r="BD20" s="12"/>
      <c r="BU20" s="12"/>
      <c r="BV20" s="12"/>
      <c r="CM20" s="12"/>
      <c r="CN20" s="12"/>
      <c r="DE20" s="12"/>
      <c r="DF20" s="12"/>
      <c r="DW20" s="12"/>
      <c r="DX20" s="12"/>
      <c r="EO20" s="12"/>
      <c r="EP20" s="12"/>
      <c r="FG20" s="12"/>
      <c r="FH20" s="12"/>
      <c r="FY20" s="12"/>
      <c r="FZ20" s="12"/>
      <c r="GQ20" s="12"/>
      <c r="GR20" s="12"/>
      <c r="HI20" s="12"/>
      <c r="HJ20" s="12"/>
      <c r="IA20" s="12"/>
      <c r="IB20" s="12"/>
      <c r="IS20" s="12"/>
      <c r="IT20" s="12"/>
      <c r="JK20" s="12"/>
      <c r="JL20" s="12"/>
      <c r="KC20" s="12"/>
      <c r="KD20" s="12"/>
      <c r="KU20" s="12"/>
      <c r="KV20" s="12"/>
      <c r="LM20" s="12"/>
      <c r="LN20" s="12"/>
      <c r="ME20" s="12"/>
      <c r="MF20" s="12"/>
      <c r="MW20" s="12"/>
      <c r="MX20" s="12"/>
      <c r="NO20" s="12"/>
      <c r="NP20" s="12"/>
      <c r="OG20" s="12"/>
      <c r="OH20" s="12"/>
      <c r="OY20" s="12"/>
      <c r="OZ20" s="12"/>
      <c r="PQ20" s="12"/>
      <c r="PR20" s="12"/>
      <c r="QI20" s="12"/>
      <c r="QJ20" s="12"/>
      <c r="RA20" s="12"/>
      <c r="RB20" s="12"/>
      <c r="RS20" s="12"/>
      <c r="RT20" s="12"/>
      <c r="SK20" s="12"/>
      <c r="SL20" s="12"/>
      <c r="TC20" s="12"/>
      <c r="TD20" s="12"/>
      <c r="TU20" s="12"/>
      <c r="TV20" s="12"/>
      <c r="UM20" s="12"/>
      <c r="UN20" s="12"/>
      <c r="VE20" s="12"/>
      <c r="VF20" s="12"/>
      <c r="VW20" s="12"/>
      <c r="VX20" s="12"/>
      <c r="WO20" s="12"/>
      <c r="WP20" s="12"/>
      <c r="XG20" s="12"/>
      <c r="XH20" s="12"/>
      <c r="XY20" s="12"/>
      <c r="XZ20" s="12"/>
      <c r="YQ20" s="12"/>
      <c r="YR20" s="12"/>
      <c r="ZI20" s="12"/>
      <c r="ZJ20" s="12"/>
      <c r="AAA20" s="12"/>
      <c r="AAB20" s="12"/>
      <c r="AAS20" s="12"/>
      <c r="AAT20" s="12"/>
      <c r="ABK20" s="12"/>
      <c r="ABL20" s="12"/>
      <c r="ACC20" s="12"/>
      <c r="ACD20" s="12"/>
      <c r="ACU20" s="12"/>
      <c r="ACV20" s="12"/>
      <c r="ADM20" s="12"/>
      <c r="ADN20" s="12"/>
      <c r="AEE20" s="12"/>
      <c r="AEF20" s="12"/>
      <c r="AEW20" s="12"/>
      <c r="AEX20" s="12"/>
      <c r="AFO20" s="12"/>
      <c r="AFP20" s="12"/>
      <c r="AGG20" s="12"/>
      <c r="AGH20" s="12"/>
      <c r="AGY20" s="12"/>
      <c r="AGZ20" s="12"/>
      <c r="AHQ20" s="12"/>
      <c r="AHR20" s="12"/>
      <c r="AII20" s="12"/>
      <c r="AIJ20" s="12"/>
      <c r="AJA20" s="12"/>
      <c r="AJB20" s="12"/>
      <c r="AJS20" s="12"/>
      <c r="AJT20" s="12"/>
      <c r="AKK20" s="12"/>
      <c r="AKL20" s="12"/>
      <c r="ALC20" s="12"/>
      <c r="ALD20" s="12"/>
      <c r="ALU20" s="12"/>
      <c r="ALV20" s="12"/>
      <c r="AMM20" s="12"/>
      <c r="AMN20" s="12"/>
      <c r="ANE20" s="12"/>
      <c r="ANF20" s="12"/>
      <c r="ANW20" s="12"/>
      <c r="ANX20" s="12"/>
      <c r="AOO20" s="12"/>
      <c r="AOP20" s="12"/>
      <c r="APG20" s="12"/>
      <c r="APH20" s="12"/>
      <c r="APY20" s="12"/>
      <c r="APZ20" s="12"/>
      <c r="AQQ20" s="12"/>
      <c r="AQR20" s="12"/>
      <c r="ARI20" s="12"/>
      <c r="ARJ20" s="12"/>
      <c r="ASA20" s="12"/>
      <c r="ASB20" s="12"/>
      <c r="ASS20" s="12"/>
      <c r="AST20" s="12"/>
      <c r="ATK20" s="12"/>
      <c r="ATL20" s="12"/>
      <c r="AUC20" s="12"/>
      <c r="AUD20" s="12"/>
      <c r="AUU20" s="12"/>
      <c r="AUV20" s="12"/>
      <c r="AVM20" s="12"/>
      <c r="AVN20" s="12"/>
      <c r="AWE20" s="12"/>
      <c r="AWF20" s="12"/>
      <c r="AWW20" s="12"/>
      <c r="AWX20" s="12"/>
      <c r="AXO20" s="12"/>
      <c r="AXP20" s="12"/>
      <c r="AYG20" s="12"/>
      <c r="AYH20" s="12"/>
      <c r="AYY20" s="12"/>
      <c r="AYZ20" s="12"/>
      <c r="AZQ20" s="12"/>
      <c r="AZR20" s="12"/>
      <c r="BAI20" s="12"/>
      <c r="BAJ20" s="12"/>
      <c r="BBA20" s="12"/>
      <c r="BBB20" s="12"/>
      <c r="BBS20" s="12"/>
      <c r="BBT20" s="12"/>
      <c r="BCK20" s="12"/>
      <c r="BCL20" s="12"/>
      <c r="BDC20" s="12"/>
      <c r="BDD20" s="12"/>
      <c r="BDU20" s="12"/>
      <c r="BDV20" s="12"/>
      <c r="BEM20" s="12"/>
      <c r="BEN20" s="12"/>
      <c r="BFE20" s="12"/>
      <c r="BFF20" s="12"/>
      <c r="BFW20" s="12"/>
      <c r="BFX20" s="12"/>
      <c r="BGO20" s="12"/>
      <c r="BGP20" s="12"/>
      <c r="BHG20" s="12"/>
      <c r="BHH20" s="12"/>
      <c r="BHY20" s="12"/>
      <c r="BHZ20" s="12"/>
      <c r="BIQ20" s="12"/>
      <c r="BIR20" s="12"/>
      <c r="BJI20" s="12"/>
      <c r="BJJ20" s="12"/>
      <c r="BKA20" s="12"/>
      <c r="BKB20" s="12"/>
      <c r="BKS20" s="12"/>
      <c r="BKT20" s="12"/>
      <c r="BLK20" s="12"/>
      <c r="BLL20" s="12"/>
      <c r="BMC20" s="12"/>
      <c r="BMD20" s="12"/>
      <c r="BMU20" s="12"/>
      <c r="BMV20" s="12"/>
      <c r="BNM20" s="12"/>
      <c r="BNN20" s="12"/>
      <c r="BOE20" s="12"/>
      <c r="BOF20" s="12"/>
      <c r="BOW20" s="12"/>
      <c r="BOX20" s="12"/>
      <c r="BPO20" s="12"/>
      <c r="BPP20" s="12"/>
      <c r="BQG20" s="12"/>
      <c r="BQH20" s="12"/>
      <c r="BQY20" s="12"/>
      <c r="BQZ20" s="12"/>
      <c r="BRQ20" s="12"/>
      <c r="BRR20" s="12"/>
      <c r="BSI20" s="12"/>
      <c r="BSJ20" s="12"/>
      <c r="BTA20" s="12"/>
      <c r="BTB20" s="12"/>
      <c r="BTS20" s="12"/>
      <c r="BTT20" s="12"/>
      <c r="BUK20" s="12"/>
      <c r="BUL20" s="12"/>
      <c r="BVC20" s="12"/>
      <c r="BVD20" s="12"/>
      <c r="BVU20" s="12"/>
      <c r="BVV20" s="12"/>
      <c r="BWM20" s="12"/>
      <c r="BWN20" s="12"/>
      <c r="BXE20" s="12"/>
      <c r="BXF20" s="12"/>
      <c r="BXW20" s="12"/>
      <c r="BXX20" s="12"/>
      <c r="BYO20" s="12"/>
      <c r="BYP20" s="12"/>
      <c r="BZG20" s="12"/>
      <c r="BZH20" s="12"/>
      <c r="BZY20" s="12"/>
      <c r="BZZ20" s="12"/>
      <c r="CAQ20" s="12"/>
      <c r="CAR20" s="12"/>
      <c r="CBI20" s="12"/>
      <c r="CBJ20" s="12"/>
      <c r="CCA20" s="12"/>
      <c r="CCB20" s="12"/>
      <c r="CCS20" s="12"/>
      <c r="CCT20" s="12"/>
      <c r="CDK20" s="12"/>
      <c r="CDL20" s="12"/>
      <c r="CEC20" s="12"/>
      <c r="CED20" s="12"/>
      <c r="CEU20" s="12"/>
      <c r="CEV20" s="12"/>
      <c r="CFM20" s="12"/>
      <c r="CFN20" s="12"/>
      <c r="CGE20" s="12"/>
      <c r="CGF20" s="12"/>
      <c r="CGW20" s="12"/>
      <c r="CGX20" s="12"/>
      <c r="CHO20" s="12"/>
      <c r="CHP20" s="12"/>
      <c r="CIG20" s="12"/>
      <c r="CIH20" s="12"/>
      <c r="CIY20" s="12"/>
      <c r="CIZ20" s="12"/>
      <c r="CJQ20" s="12"/>
      <c r="CJR20" s="12"/>
      <c r="CKI20" s="12"/>
      <c r="CKJ20" s="12"/>
      <c r="CLA20" s="12"/>
      <c r="CLB20" s="12"/>
      <c r="CLS20" s="12"/>
      <c r="CLT20" s="12"/>
      <c r="CMK20" s="12"/>
      <c r="CML20" s="12"/>
      <c r="CNC20" s="12"/>
      <c r="CND20" s="12"/>
      <c r="CNU20" s="12"/>
      <c r="CNV20" s="12"/>
      <c r="COM20" s="12"/>
      <c r="CON20" s="12"/>
      <c r="CPE20" s="12"/>
      <c r="CPF20" s="12"/>
      <c r="CPW20" s="12"/>
      <c r="CPX20" s="12"/>
      <c r="CQO20" s="12"/>
      <c r="CQP20" s="12"/>
      <c r="CRG20" s="12"/>
      <c r="CRH20" s="12"/>
      <c r="CRY20" s="12"/>
      <c r="CRZ20" s="12"/>
      <c r="CSQ20" s="12"/>
      <c r="CSR20" s="12"/>
      <c r="CTI20" s="12"/>
      <c r="CTJ20" s="12"/>
      <c r="CUA20" s="12"/>
      <c r="CUB20" s="12"/>
      <c r="CUS20" s="12"/>
      <c r="CUT20" s="12"/>
      <c r="CVK20" s="12"/>
      <c r="CVL20" s="12"/>
      <c r="CWC20" s="12"/>
      <c r="CWD20" s="12"/>
      <c r="CWU20" s="12"/>
      <c r="CWV20" s="12"/>
      <c r="CXM20" s="12"/>
      <c r="CXN20" s="12"/>
      <c r="CYE20" s="12"/>
      <c r="CYF20" s="12"/>
      <c r="CYW20" s="12"/>
      <c r="CYX20" s="12"/>
      <c r="CZO20" s="12"/>
      <c r="CZP20" s="12"/>
      <c r="DAG20" s="12"/>
      <c r="DAH20" s="12"/>
      <c r="DAY20" s="12"/>
      <c r="DAZ20" s="12"/>
      <c r="DBQ20" s="12"/>
      <c r="DBR20" s="12"/>
      <c r="DCI20" s="12"/>
      <c r="DCJ20" s="12"/>
      <c r="DDA20" s="12"/>
      <c r="DDB20" s="12"/>
      <c r="DDS20" s="12"/>
      <c r="DDT20" s="12"/>
      <c r="DEK20" s="12"/>
      <c r="DEL20" s="12"/>
      <c r="DFC20" s="12"/>
      <c r="DFD20" s="12"/>
      <c r="DFU20" s="12"/>
      <c r="DFV20" s="12"/>
      <c r="DGM20" s="12"/>
      <c r="DGN20" s="12"/>
      <c r="DHE20" s="12"/>
      <c r="DHF20" s="12"/>
      <c r="DHW20" s="12"/>
      <c r="DHX20" s="12"/>
      <c r="DIO20" s="12"/>
      <c r="DIP20" s="12"/>
      <c r="DJG20" s="12"/>
      <c r="DJH20" s="12"/>
      <c r="DJY20" s="12"/>
      <c r="DJZ20" s="12"/>
      <c r="DKQ20" s="12"/>
      <c r="DKR20" s="12"/>
      <c r="DLI20" s="12"/>
      <c r="DLJ20" s="12"/>
      <c r="DMA20" s="12"/>
      <c r="DMB20" s="12"/>
      <c r="DMS20" s="12"/>
      <c r="DMT20" s="12"/>
      <c r="DNK20" s="12"/>
      <c r="DNL20" s="12"/>
      <c r="DOC20" s="12"/>
      <c r="DOD20" s="12"/>
      <c r="DOU20" s="12"/>
      <c r="DOV20" s="12"/>
      <c r="DPM20" s="12"/>
      <c r="DPN20" s="12"/>
      <c r="DQE20" s="12"/>
      <c r="DQF20" s="12"/>
      <c r="DQW20" s="12"/>
      <c r="DQX20" s="12"/>
      <c r="DRO20" s="12"/>
      <c r="DRP20" s="12"/>
      <c r="DSG20" s="12"/>
      <c r="DSH20" s="12"/>
      <c r="DSY20" s="12"/>
      <c r="DSZ20" s="12"/>
      <c r="DTQ20" s="12"/>
      <c r="DTR20" s="12"/>
      <c r="DUI20" s="12"/>
      <c r="DUJ20" s="12"/>
      <c r="DVA20" s="12"/>
      <c r="DVB20" s="12"/>
      <c r="DVS20" s="12"/>
      <c r="DVT20" s="12"/>
      <c r="DWK20" s="12"/>
      <c r="DWL20" s="12"/>
      <c r="DXC20" s="12"/>
      <c r="DXD20" s="12"/>
      <c r="DXU20" s="12"/>
      <c r="DXV20" s="12"/>
      <c r="DYM20" s="12"/>
      <c r="DYN20" s="12"/>
      <c r="DZE20" s="12"/>
      <c r="DZF20" s="12"/>
      <c r="DZW20" s="12"/>
      <c r="DZX20" s="12"/>
      <c r="EAO20" s="12"/>
      <c r="EAP20" s="12"/>
      <c r="EBG20" s="12"/>
      <c r="EBH20" s="12"/>
      <c r="EBY20" s="12"/>
      <c r="EBZ20" s="12"/>
      <c r="ECQ20" s="12"/>
      <c r="ECR20" s="12"/>
      <c r="EDI20" s="12"/>
      <c r="EDJ20" s="12"/>
      <c r="EEA20" s="12"/>
      <c r="EEB20" s="12"/>
      <c r="EES20" s="12"/>
      <c r="EET20" s="12"/>
      <c r="EFK20" s="12"/>
      <c r="EFL20" s="12"/>
      <c r="EGC20" s="12"/>
      <c r="EGD20" s="12"/>
      <c r="EGU20" s="12"/>
      <c r="EGV20" s="12"/>
      <c r="EHM20" s="12"/>
      <c r="EHN20" s="12"/>
      <c r="EIE20" s="12"/>
      <c r="EIF20" s="12"/>
      <c r="EIW20" s="12"/>
      <c r="EIX20" s="12"/>
      <c r="EJO20" s="12"/>
      <c r="EJP20" s="12"/>
      <c r="EKG20" s="12"/>
      <c r="EKH20" s="12"/>
      <c r="EKY20" s="12"/>
      <c r="EKZ20" s="12"/>
      <c r="ELQ20" s="12"/>
      <c r="ELR20" s="12"/>
      <c r="EMI20" s="12"/>
      <c r="EMJ20" s="12"/>
      <c r="ENA20" s="12"/>
      <c r="ENB20" s="12"/>
      <c r="ENS20" s="12"/>
      <c r="ENT20" s="12"/>
      <c r="EOK20" s="12"/>
      <c r="EOL20" s="12"/>
      <c r="EPC20" s="12"/>
      <c r="EPD20" s="12"/>
      <c r="EPU20" s="12"/>
      <c r="EPV20" s="12"/>
      <c r="EQM20" s="12"/>
      <c r="EQN20" s="12"/>
      <c r="ERE20" s="12"/>
      <c r="ERF20" s="12"/>
      <c r="ERW20" s="12"/>
      <c r="ERX20" s="12"/>
      <c r="ESO20" s="12"/>
      <c r="ESP20" s="12"/>
      <c r="ETG20" s="12"/>
      <c r="ETH20" s="12"/>
      <c r="ETY20" s="12"/>
      <c r="ETZ20" s="12"/>
      <c r="EUQ20" s="12"/>
      <c r="EUR20" s="12"/>
      <c r="EVI20" s="12"/>
      <c r="EVJ20" s="12"/>
      <c r="EWA20" s="12"/>
      <c r="EWB20" s="12"/>
      <c r="EWS20" s="12"/>
      <c r="EWT20" s="12"/>
      <c r="EXK20" s="12"/>
      <c r="EXL20" s="12"/>
      <c r="EYC20" s="12"/>
      <c r="EYD20" s="12"/>
      <c r="EYU20" s="12"/>
      <c r="EYV20" s="12"/>
      <c r="EZM20" s="12"/>
      <c r="EZN20" s="12"/>
      <c r="FAE20" s="12"/>
      <c r="FAF20" s="12"/>
      <c r="FAW20" s="12"/>
      <c r="FAX20" s="12"/>
      <c r="FBO20" s="12"/>
      <c r="FBP20" s="12"/>
      <c r="FCG20" s="12"/>
      <c r="FCH20" s="12"/>
      <c r="FCY20" s="12"/>
      <c r="FCZ20" s="12"/>
      <c r="FDQ20" s="12"/>
      <c r="FDR20" s="12"/>
      <c r="FEI20" s="12"/>
      <c r="FEJ20" s="12"/>
      <c r="FFA20" s="12"/>
      <c r="FFB20" s="12"/>
      <c r="FFS20" s="12"/>
      <c r="FFT20" s="12"/>
      <c r="FGK20" s="12"/>
      <c r="FGL20" s="12"/>
      <c r="FHC20" s="12"/>
      <c r="FHD20" s="12"/>
      <c r="FHU20" s="12"/>
      <c r="FHV20" s="12"/>
      <c r="FIM20" s="12"/>
      <c r="FIN20" s="12"/>
      <c r="FJE20" s="12"/>
      <c r="FJF20" s="12"/>
      <c r="FJW20" s="12"/>
      <c r="FJX20" s="12"/>
      <c r="FKO20" s="12"/>
      <c r="FKP20" s="12"/>
      <c r="FLG20" s="12"/>
      <c r="FLH20" s="12"/>
      <c r="FLY20" s="12"/>
      <c r="FLZ20" s="12"/>
      <c r="FMQ20" s="12"/>
      <c r="FMR20" s="12"/>
      <c r="FNI20" s="12"/>
      <c r="FNJ20" s="12"/>
      <c r="FOA20" s="12"/>
      <c r="FOB20" s="12"/>
      <c r="FOS20" s="12"/>
      <c r="FOT20" s="12"/>
      <c r="FPK20" s="12"/>
      <c r="FPL20" s="12"/>
      <c r="FQC20" s="12"/>
      <c r="FQD20" s="12"/>
      <c r="FQU20" s="12"/>
      <c r="FQV20" s="12"/>
      <c r="FRM20" s="12"/>
      <c r="FRN20" s="12"/>
      <c r="FSE20" s="12"/>
      <c r="FSF20" s="12"/>
      <c r="FSW20" s="12"/>
      <c r="FSX20" s="12"/>
      <c r="FTO20" s="12"/>
      <c r="FTP20" s="12"/>
      <c r="FUG20" s="12"/>
      <c r="FUH20" s="12"/>
      <c r="FUY20" s="12"/>
      <c r="FUZ20" s="12"/>
      <c r="FVQ20" s="12"/>
      <c r="FVR20" s="12"/>
      <c r="FWI20" s="12"/>
      <c r="FWJ20" s="12"/>
      <c r="FXA20" s="12"/>
      <c r="FXB20" s="12"/>
      <c r="FXS20" s="12"/>
      <c r="FXT20" s="12"/>
      <c r="FYK20" s="12"/>
      <c r="FYL20" s="12"/>
      <c r="FZC20" s="12"/>
      <c r="FZD20" s="12"/>
      <c r="FZU20" s="12"/>
      <c r="FZV20" s="12"/>
      <c r="GAM20" s="12"/>
      <c r="GAN20" s="12"/>
      <c r="GBE20" s="12"/>
      <c r="GBF20" s="12"/>
      <c r="GBW20" s="12"/>
      <c r="GBX20" s="12"/>
      <c r="GCO20" s="12"/>
      <c r="GCP20" s="12"/>
      <c r="GDG20" s="12"/>
      <c r="GDH20" s="12"/>
      <c r="GDY20" s="12"/>
      <c r="GDZ20" s="12"/>
      <c r="GEQ20" s="12"/>
      <c r="GER20" s="12"/>
      <c r="GFI20" s="12"/>
      <c r="GFJ20" s="12"/>
      <c r="GGA20" s="12"/>
      <c r="GGB20" s="12"/>
      <c r="GGS20" s="12"/>
      <c r="GGT20" s="12"/>
      <c r="GHK20" s="12"/>
      <c r="GHL20" s="12"/>
      <c r="GIC20" s="12"/>
      <c r="GID20" s="12"/>
      <c r="GIU20" s="12"/>
      <c r="GIV20" s="12"/>
      <c r="GJM20" s="12"/>
      <c r="GJN20" s="12"/>
      <c r="GKE20" s="12"/>
      <c r="GKF20" s="12"/>
      <c r="GKW20" s="12"/>
      <c r="GKX20" s="12"/>
      <c r="GLO20" s="12"/>
      <c r="GLP20" s="12"/>
      <c r="GMG20" s="12"/>
      <c r="GMH20" s="12"/>
      <c r="GMY20" s="12"/>
      <c r="GMZ20" s="12"/>
      <c r="GNQ20" s="12"/>
      <c r="GNR20" s="12"/>
      <c r="GOI20" s="12"/>
      <c r="GOJ20" s="12"/>
      <c r="GPA20" s="12"/>
      <c r="GPB20" s="12"/>
      <c r="GPS20" s="12"/>
      <c r="GPT20" s="12"/>
      <c r="GQK20" s="12"/>
      <c r="GQL20" s="12"/>
      <c r="GRC20" s="12"/>
      <c r="GRD20" s="12"/>
      <c r="GRU20" s="12"/>
      <c r="GRV20" s="12"/>
      <c r="GSM20" s="12"/>
      <c r="GSN20" s="12"/>
      <c r="GTE20" s="12"/>
      <c r="GTF20" s="12"/>
      <c r="GTW20" s="12"/>
      <c r="GTX20" s="12"/>
      <c r="GUO20" s="12"/>
      <c r="GUP20" s="12"/>
      <c r="GVG20" s="12"/>
      <c r="GVH20" s="12"/>
      <c r="GVY20" s="12"/>
      <c r="GVZ20" s="12"/>
      <c r="GWQ20" s="12"/>
      <c r="GWR20" s="12"/>
      <c r="GXI20" s="12"/>
      <c r="GXJ20" s="12"/>
      <c r="GYA20" s="12"/>
      <c r="GYB20" s="12"/>
      <c r="GYS20" s="12"/>
      <c r="GYT20" s="12"/>
      <c r="GZK20" s="12"/>
      <c r="GZL20" s="12"/>
      <c r="HAC20" s="12"/>
      <c r="HAD20" s="12"/>
      <c r="HAU20" s="12"/>
      <c r="HAV20" s="12"/>
      <c r="HBM20" s="12"/>
      <c r="HBN20" s="12"/>
      <c r="HCE20" s="12"/>
      <c r="HCF20" s="12"/>
      <c r="HCW20" s="12"/>
      <c r="HCX20" s="12"/>
      <c r="HDO20" s="12"/>
      <c r="HDP20" s="12"/>
      <c r="HEG20" s="12"/>
      <c r="HEH20" s="12"/>
      <c r="HEY20" s="12"/>
      <c r="HEZ20" s="12"/>
      <c r="HFQ20" s="12"/>
      <c r="HFR20" s="12"/>
      <c r="HGI20" s="12"/>
      <c r="HGJ20" s="12"/>
      <c r="HHA20" s="12"/>
      <c r="HHB20" s="12"/>
      <c r="HHS20" s="12"/>
      <c r="HHT20" s="12"/>
      <c r="HIK20" s="12"/>
      <c r="HIL20" s="12"/>
      <c r="HJC20" s="12"/>
      <c r="HJD20" s="12"/>
      <c r="HJU20" s="12"/>
      <c r="HJV20" s="12"/>
      <c r="HKM20" s="12"/>
      <c r="HKN20" s="12"/>
      <c r="HLE20" s="12"/>
      <c r="HLF20" s="12"/>
      <c r="HLW20" s="12"/>
      <c r="HLX20" s="12"/>
      <c r="HMO20" s="12"/>
      <c r="HMP20" s="12"/>
      <c r="HNG20" s="12"/>
      <c r="HNH20" s="12"/>
      <c r="HNY20" s="12"/>
      <c r="HNZ20" s="12"/>
      <c r="HOQ20" s="12"/>
      <c r="HOR20" s="12"/>
      <c r="HPI20" s="12"/>
      <c r="HPJ20" s="12"/>
      <c r="HQA20" s="12"/>
      <c r="HQB20" s="12"/>
      <c r="HQS20" s="12"/>
      <c r="HQT20" s="12"/>
      <c r="HRK20" s="12"/>
      <c r="HRL20" s="12"/>
      <c r="HSC20" s="12"/>
      <c r="HSD20" s="12"/>
      <c r="HSU20" s="12"/>
      <c r="HSV20" s="12"/>
      <c r="HTM20" s="12"/>
      <c r="HTN20" s="12"/>
      <c r="HUE20" s="12"/>
      <c r="HUF20" s="12"/>
      <c r="HUW20" s="12"/>
      <c r="HUX20" s="12"/>
      <c r="HVO20" s="12"/>
      <c r="HVP20" s="12"/>
      <c r="HWG20" s="12"/>
      <c r="HWH20" s="12"/>
      <c r="HWY20" s="12"/>
      <c r="HWZ20" s="12"/>
      <c r="HXQ20" s="12"/>
      <c r="HXR20" s="12"/>
      <c r="HYI20" s="12"/>
      <c r="HYJ20" s="12"/>
      <c r="HZA20" s="12"/>
      <c r="HZB20" s="12"/>
      <c r="HZS20" s="12"/>
      <c r="HZT20" s="12"/>
      <c r="IAK20" s="12"/>
      <c r="IAL20" s="12"/>
      <c r="IBC20" s="12"/>
      <c r="IBD20" s="12"/>
      <c r="IBU20" s="12"/>
      <c r="IBV20" s="12"/>
      <c r="ICM20" s="12"/>
      <c r="ICN20" s="12"/>
      <c r="IDE20" s="12"/>
      <c r="IDF20" s="12"/>
      <c r="IDW20" s="12"/>
      <c r="IDX20" s="12"/>
      <c r="IEO20" s="12"/>
      <c r="IEP20" s="12"/>
      <c r="IFG20" s="12"/>
      <c r="IFH20" s="12"/>
      <c r="IFY20" s="12"/>
      <c r="IFZ20" s="12"/>
      <c r="IGQ20" s="12"/>
      <c r="IGR20" s="12"/>
      <c r="IHI20" s="12"/>
      <c r="IHJ20" s="12"/>
      <c r="IIA20" s="12"/>
      <c r="IIB20" s="12"/>
      <c r="IIS20" s="12"/>
      <c r="IIT20" s="12"/>
      <c r="IJK20" s="12"/>
      <c r="IJL20" s="12"/>
      <c r="IKC20" s="12"/>
      <c r="IKD20" s="12"/>
      <c r="IKU20" s="12"/>
      <c r="IKV20" s="12"/>
      <c r="ILM20" s="12"/>
      <c r="ILN20" s="12"/>
      <c r="IME20" s="12"/>
      <c r="IMF20" s="12"/>
      <c r="IMW20" s="12"/>
      <c r="IMX20" s="12"/>
      <c r="INO20" s="12"/>
      <c r="INP20" s="12"/>
      <c r="IOG20" s="12"/>
      <c r="IOH20" s="12"/>
      <c r="IOY20" s="12"/>
      <c r="IOZ20" s="12"/>
      <c r="IPQ20" s="12"/>
      <c r="IPR20" s="12"/>
      <c r="IQI20" s="12"/>
      <c r="IQJ20" s="12"/>
      <c r="IRA20" s="12"/>
      <c r="IRB20" s="12"/>
      <c r="IRS20" s="12"/>
      <c r="IRT20" s="12"/>
      <c r="ISK20" s="12"/>
      <c r="ISL20" s="12"/>
      <c r="ITC20" s="12"/>
      <c r="ITD20" s="12"/>
      <c r="ITU20" s="12"/>
      <c r="ITV20" s="12"/>
      <c r="IUM20" s="12"/>
      <c r="IUN20" s="12"/>
      <c r="IVE20" s="12"/>
      <c r="IVF20" s="12"/>
      <c r="IVW20" s="12"/>
      <c r="IVX20" s="12"/>
      <c r="IWO20" s="12"/>
      <c r="IWP20" s="12"/>
      <c r="IXG20" s="12"/>
      <c r="IXH20" s="12"/>
      <c r="IXY20" s="12"/>
      <c r="IXZ20" s="12"/>
      <c r="IYQ20" s="12"/>
      <c r="IYR20" s="12"/>
      <c r="IZI20" s="12"/>
      <c r="IZJ20" s="12"/>
      <c r="JAA20" s="12"/>
      <c r="JAB20" s="12"/>
      <c r="JAS20" s="12"/>
      <c r="JAT20" s="12"/>
      <c r="JBK20" s="12"/>
      <c r="JBL20" s="12"/>
      <c r="JCC20" s="12"/>
      <c r="JCD20" s="12"/>
      <c r="JCU20" s="12"/>
      <c r="JCV20" s="12"/>
      <c r="JDM20" s="12"/>
      <c r="JDN20" s="12"/>
      <c r="JEE20" s="12"/>
      <c r="JEF20" s="12"/>
      <c r="JEW20" s="12"/>
      <c r="JEX20" s="12"/>
      <c r="JFO20" s="12"/>
      <c r="JFP20" s="12"/>
      <c r="JGG20" s="12"/>
      <c r="JGH20" s="12"/>
      <c r="JGY20" s="12"/>
      <c r="JGZ20" s="12"/>
      <c r="JHQ20" s="12"/>
      <c r="JHR20" s="12"/>
      <c r="JII20" s="12"/>
      <c r="JIJ20" s="12"/>
      <c r="JJA20" s="12"/>
      <c r="JJB20" s="12"/>
      <c r="JJS20" s="12"/>
      <c r="JJT20" s="12"/>
      <c r="JKK20" s="12"/>
      <c r="JKL20" s="12"/>
      <c r="JLC20" s="12"/>
      <c r="JLD20" s="12"/>
      <c r="JLU20" s="12"/>
      <c r="JLV20" s="12"/>
      <c r="JMM20" s="12"/>
      <c r="JMN20" s="12"/>
      <c r="JNE20" s="12"/>
      <c r="JNF20" s="12"/>
      <c r="JNW20" s="12"/>
      <c r="JNX20" s="12"/>
      <c r="JOO20" s="12"/>
      <c r="JOP20" s="12"/>
      <c r="JPG20" s="12"/>
      <c r="JPH20" s="12"/>
      <c r="JPY20" s="12"/>
      <c r="JPZ20" s="12"/>
      <c r="JQQ20" s="12"/>
      <c r="JQR20" s="12"/>
      <c r="JRI20" s="12"/>
      <c r="JRJ20" s="12"/>
      <c r="JSA20" s="12"/>
      <c r="JSB20" s="12"/>
      <c r="JSS20" s="12"/>
      <c r="JST20" s="12"/>
      <c r="JTK20" s="12"/>
      <c r="JTL20" s="12"/>
      <c r="JUC20" s="12"/>
      <c r="JUD20" s="12"/>
      <c r="JUU20" s="12"/>
      <c r="JUV20" s="12"/>
      <c r="JVM20" s="12"/>
      <c r="JVN20" s="12"/>
      <c r="JWE20" s="12"/>
      <c r="JWF20" s="12"/>
      <c r="JWW20" s="12"/>
      <c r="JWX20" s="12"/>
      <c r="JXO20" s="12"/>
      <c r="JXP20" s="12"/>
      <c r="JYG20" s="12"/>
      <c r="JYH20" s="12"/>
      <c r="JYY20" s="12"/>
      <c r="JYZ20" s="12"/>
      <c r="JZQ20" s="12"/>
      <c r="JZR20" s="12"/>
      <c r="KAI20" s="12"/>
      <c r="KAJ20" s="12"/>
      <c r="KBA20" s="12"/>
      <c r="KBB20" s="12"/>
      <c r="KBS20" s="12"/>
      <c r="KBT20" s="12"/>
      <c r="KCK20" s="12"/>
      <c r="KCL20" s="12"/>
      <c r="KDC20" s="12"/>
      <c r="KDD20" s="12"/>
      <c r="KDU20" s="12"/>
      <c r="KDV20" s="12"/>
      <c r="KEM20" s="12"/>
      <c r="KEN20" s="12"/>
      <c r="KFE20" s="12"/>
      <c r="KFF20" s="12"/>
      <c r="KFW20" s="12"/>
      <c r="KFX20" s="12"/>
      <c r="KGO20" s="12"/>
      <c r="KGP20" s="12"/>
      <c r="KHG20" s="12"/>
      <c r="KHH20" s="12"/>
      <c r="KHY20" s="12"/>
      <c r="KHZ20" s="12"/>
      <c r="KIQ20" s="12"/>
      <c r="KIR20" s="12"/>
      <c r="KJI20" s="12"/>
      <c r="KJJ20" s="12"/>
      <c r="KKA20" s="12"/>
      <c r="KKB20" s="12"/>
      <c r="KKS20" s="12"/>
      <c r="KKT20" s="12"/>
      <c r="KLK20" s="12"/>
      <c r="KLL20" s="12"/>
      <c r="KMC20" s="12"/>
      <c r="KMD20" s="12"/>
      <c r="KMU20" s="12"/>
      <c r="KMV20" s="12"/>
      <c r="KNM20" s="12"/>
      <c r="KNN20" s="12"/>
      <c r="KOE20" s="12"/>
      <c r="KOF20" s="12"/>
      <c r="KOW20" s="12"/>
      <c r="KOX20" s="12"/>
      <c r="KPO20" s="12"/>
      <c r="KPP20" s="12"/>
      <c r="KQG20" s="12"/>
      <c r="KQH20" s="12"/>
      <c r="KQY20" s="12"/>
      <c r="KQZ20" s="12"/>
      <c r="KRQ20" s="12"/>
      <c r="KRR20" s="12"/>
      <c r="KSI20" s="12"/>
      <c r="KSJ20" s="12"/>
      <c r="KTA20" s="12"/>
      <c r="KTB20" s="12"/>
      <c r="KTS20" s="12"/>
      <c r="KTT20" s="12"/>
      <c r="KUK20" s="12"/>
      <c r="KUL20" s="12"/>
      <c r="KVC20" s="12"/>
      <c r="KVD20" s="12"/>
      <c r="KVU20" s="12"/>
      <c r="KVV20" s="12"/>
      <c r="KWM20" s="12"/>
      <c r="KWN20" s="12"/>
      <c r="KXE20" s="12"/>
      <c r="KXF20" s="12"/>
      <c r="KXW20" s="12"/>
      <c r="KXX20" s="12"/>
      <c r="KYO20" s="12"/>
      <c r="KYP20" s="12"/>
      <c r="KZG20" s="12"/>
      <c r="KZH20" s="12"/>
      <c r="KZY20" s="12"/>
      <c r="KZZ20" s="12"/>
      <c r="LAQ20" s="12"/>
      <c r="LAR20" s="12"/>
      <c r="LBI20" s="12"/>
      <c r="LBJ20" s="12"/>
      <c r="LCA20" s="12"/>
      <c r="LCB20" s="12"/>
      <c r="LCS20" s="12"/>
      <c r="LCT20" s="12"/>
      <c r="LDK20" s="12"/>
      <c r="LDL20" s="12"/>
      <c r="LEC20" s="12"/>
      <c r="LED20" s="12"/>
      <c r="LEU20" s="12"/>
      <c r="LEV20" s="12"/>
      <c r="LFM20" s="12"/>
      <c r="LFN20" s="12"/>
      <c r="LGE20" s="12"/>
      <c r="LGF20" s="12"/>
      <c r="LGW20" s="12"/>
      <c r="LGX20" s="12"/>
      <c r="LHO20" s="12"/>
      <c r="LHP20" s="12"/>
      <c r="LIG20" s="12"/>
      <c r="LIH20" s="12"/>
      <c r="LIY20" s="12"/>
      <c r="LIZ20" s="12"/>
      <c r="LJQ20" s="12"/>
      <c r="LJR20" s="12"/>
      <c r="LKI20" s="12"/>
      <c r="LKJ20" s="12"/>
      <c r="LLA20" s="12"/>
      <c r="LLB20" s="12"/>
      <c r="LLS20" s="12"/>
      <c r="LLT20" s="12"/>
      <c r="LMK20" s="12"/>
      <c r="LML20" s="12"/>
      <c r="LNC20" s="12"/>
      <c r="LND20" s="12"/>
      <c r="LNU20" s="12"/>
      <c r="LNV20" s="12"/>
      <c r="LOM20" s="12"/>
      <c r="LON20" s="12"/>
      <c r="LPE20" s="12"/>
      <c r="LPF20" s="12"/>
      <c r="LPW20" s="12"/>
      <c r="LPX20" s="12"/>
      <c r="LQO20" s="12"/>
      <c r="LQP20" s="12"/>
      <c r="LRG20" s="12"/>
      <c r="LRH20" s="12"/>
      <c r="LRY20" s="12"/>
      <c r="LRZ20" s="12"/>
      <c r="LSQ20" s="12"/>
      <c r="LSR20" s="12"/>
      <c r="LTI20" s="12"/>
      <c r="LTJ20" s="12"/>
      <c r="LUA20" s="12"/>
      <c r="LUB20" s="12"/>
      <c r="LUS20" s="12"/>
      <c r="LUT20" s="12"/>
      <c r="LVK20" s="12"/>
      <c r="LVL20" s="12"/>
      <c r="LWC20" s="12"/>
      <c r="LWD20" s="12"/>
      <c r="LWU20" s="12"/>
      <c r="LWV20" s="12"/>
      <c r="LXM20" s="12"/>
      <c r="LXN20" s="12"/>
      <c r="LYE20" s="12"/>
      <c r="LYF20" s="12"/>
      <c r="LYW20" s="12"/>
      <c r="LYX20" s="12"/>
      <c r="LZO20" s="12"/>
      <c r="LZP20" s="12"/>
      <c r="MAG20" s="12"/>
      <c r="MAH20" s="12"/>
      <c r="MAY20" s="12"/>
      <c r="MAZ20" s="12"/>
      <c r="MBQ20" s="12"/>
      <c r="MBR20" s="12"/>
      <c r="MCI20" s="12"/>
      <c r="MCJ20" s="12"/>
      <c r="MDA20" s="12"/>
      <c r="MDB20" s="12"/>
      <c r="MDS20" s="12"/>
      <c r="MDT20" s="12"/>
      <c r="MEK20" s="12"/>
      <c r="MEL20" s="12"/>
      <c r="MFC20" s="12"/>
      <c r="MFD20" s="12"/>
      <c r="MFU20" s="12"/>
      <c r="MFV20" s="12"/>
      <c r="MGM20" s="12"/>
      <c r="MGN20" s="12"/>
      <c r="MHE20" s="12"/>
      <c r="MHF20" s="12"/>
      <c r="MHW20" s="12"/>
      <c r="MHX20" s="12"/>
      <c r="MIO20" s="12"/>
      <c r="MIP20" s="12"/>
      <c r="MJG20" s="12"/>
      <c r="MJH20" s="12"/>
      <c r="MJY20" s="12"/>
      <c r="MJZ20" s="12"/>
      <c r="MKQ20" s="12"/>
      <c r="MKR20" s="12"/>
      <c r="MLI20" s="12"/>
      <c r="MLJ20" s="12"/>
      <c r="MMA20" s="12"/>
      <c r="MMB20" s="12"/>
      <c r="MMS20" s="12"/>
      <c r="MMT20" s="12"/>
      <c r="MNK20" s="12"/>
      <c r="MNL20" s="12"/>
      <c r="MOC20" s="12"/>
      <c r="MOD20" s="12"/>
      <c r="MOU20" s="12"/>
      <c r="MOV20" s="12"/>
      <c r="MPM20" s="12"/>
      <c r="MPN20" s="12"/>
      <c r="MQE20" s="12"/>
      <c r="MQF20" s="12"/>
      <c r="MQW20" s="12"/>
      <c r="MQX20" s="12"/>
      <c r="MRO20" s="12"/>
      <c r="MRP20" s="12"/>
      <c r="MSG20" s="12"/>
      <c r="MSH20" s="12"/>
      <c r="MSY20" s="12"/>
      <c r="MSZ20" s="12"/>
      <c r="MTQ20" s="12"/>
      <c r="MTR20" s="12"/>
      <c r="MUI20" s="12"/>
      <c r="MUJ20" s="12"/>
      <c r="MVA20" s="12"/>
      <c r="MVB20" s="12"/>
      <c r="MVS20" s="12"/>
      <c r="MVT20" s="12"/>
      <c r="MWK20" s="12"/>
      <c r="MWL20" s="12"/>
      <c r="MXC20" s="12"/>
      <c r="MXD20" s="12"/>
      <c r="MXU20" s="12"/>
      <c r="MXV20" s="12"/>
      <c r="MYM20" s="12"/>
      <c r="MYN20" s="12"/>
      <c r="MZE20" s="12"/>
      <c r="MZF20" s="12"/>
      <c r="MZW20" s="12"/>
      <c r="MZX20" s="12"/>
      <c r="NAO20" s="12"/>
      <c r="NAP20" s="12"/>
      <c r="NBG20" s="12"/>
      <c r="NBH20" s="12"/>
      <c r="NBY20" s="12"/>
      <c r="NBZ20" s="12"/>
      <c r="NCQ20" s="12"/>
      <c r="NCR20" s="12"/>
      <c r="NDI20" s="12"/>
      <c r="NDJ20" s="12"/>
      <c r="NEA20" s="12"/>
      <c r="NEB20" s="12"/>
      <c r="NES20" s="12"/>
      <c r="NET20" s="12"/>
      <c r="NFK20" s="12"/>
      <c r="NFL20" s="12"/>
      <c r="NGC20" s="12"/>
      <c r="NGD20" s="12"/>
      <c r="NGU20" s="12"/>
      <c r="NGV20" s="12"/>
      <c r="NHM20" s="12"/>
      <c r="NHN20" s="12"/>
      <c r="NIE20" s="12"/>
      <c r="NIF20" s="12"/>
      <c r="NIW20" s="12"/>
      <c r="NIX20" s="12"/>
      <c r="NJO20" s="12"/>
      <c r="NJP20" s="12"/>
      <c r="NKG20" s="12"/>
      <c r="NKH20" s="12"/>
      <c r="NKY20" s="12"/>
      <c r="NKZ20" s="12"/>
      <c r="NLQ20" s="12"/>
      <c r="NLR20" s="12"/>
      <c r="NMI20" s="12"/>
      <c r="NMJ20" s="12"/>
      <c r="NNA20" s="12"/>
      <c r="NNB20" s="12"/>
      <c r="NNS20" s="12"/>
      <c r="NNT20" s="12"/>
      <c r="NOK20" s="12"/>
      <c r="NOL20" s="12"/>
      <c r="NPC20" s="12"/>
      <c r="NPD20" s="12"/>
      <c r="NPU20" s="12"/>
      <c r="NPV20" s="12"/>
      <c r="NQM20" s="12"/>
      <c r="NQN20" s="12"/>
      <c r="NRE20" s="12"/>
      <c r="NRF20" s="12"/>
      <c r="NRW20" s="12"/>
      <c r="NRX20" s="12"/>
      <c r="NSO20" s="12"/>
      <c r="NSP20" s="12"/>
      <c r="NTG20" s="12"/>
      <c r="NTH20" s="12"/>
      <c r="NTY20" s="12"/>
      <c r="NTZ20" s="12"/>
      <c r="NUQ20" s="12"/>
      <c r="NUR20" s="12"/>
      <c r="NVI20" s="12"/>
      <c r="NVJ20" s="12"/>
      <c r="NWA20" s="12"/>
      <c r="NWB20" s="12"/>
      <c r="NWS20" s="12"/>
      <c r="NWT20" s="12"/>
      <c r="NXK20" s="12"/>
      <c r="NXL20" s="12"/>
      <c r="NYC20" s="12"/>
      <c r="NYD20" s="12"/>
      <c r="NYU20" s="12"/>
      <c r="NYV20" s="12"/>
      <c r="NZM20" s="12"/>
      <c r="NZN20" s="12"/>
      <c r="OAE20" s="12"/>
      <c r="OAF20" s="12"/>
      <c r="OAW20" s="12"/>
      <c r="OAX20" s="12"/>
      <c r="OBO20" s="12"/>
      <c r="OBP20" s="12"/>
      <c r="OCG20" s="12"/>
      <c r="OCH20" s="12"/>
      <c r="OCY20" s="12"/>
      <c r="OCZ20" s="12"/>
      <c r="ODQ20" s="12"/>
      <c r="ODR20" s="12"/>
      <c r="OEI20" s="12"/>
      <c r="OEJ20" s="12"/>
      <c r="OFA20" s="12"/>
      <c r="OFB20" s="12"/>
      <c r="OFS20" s="12"/>
      <c r="OFT20" s="12"/>
      <c r="OGK20" s="12"/>
      <c r="OGL20" s="12"/>
      <c r="OHC20" s="12"/>
      <c r="OHD20" s="12"/>
      <c r="OHU20" s="12"/>
      <c r="OHV20" s="12"/>
      <c r="OIM20" s="12"/>
      <c r="OIN20" s="12"/>
      <c r="OJE20" s="12"/>
      <c r="OJF20" s="12"/>
      <c r="OJW20" s="12"/>
      <c r="OJX20" s="12"/>
      <c r="OKO20" s="12"/>
      <c r="OKP20" s="12"/>
      <c r="OLG20" s="12"/>
      <c r="OLH20" s="12"/>
      <c r="OLY20" s="12"/>
      <c r="OLZ20" s="12"/>
      <c r="OMQ20" s="12"/>
      <c r="OMR20" s="12"/>
      <c r="ONI20" s="12"/>
      <c r="ONJ20" s="12"/>
      <c r="OOA20" s="12"/>
      <c r="OOB20" s="12"/>
      <c r="OOS20" s="12"/>
      <c r="OOT20" s="12"/>
      <c r="OPK20" s="12"/>
      <c r="OPL20" s="12"/>
      <c r="OQC20" s="12"/>
      <c r="OQD20" s="12"/>
      <c r="OQU20" s="12"/>
      <c r="OQV20" s="12"/>
      <c r="ORM20" s="12"/>
      <c r="ORN20" s="12"/>
      <c r="OSE20" s="12"/>
      <c r="OSF20" s="12"/>
      <c r="OSW20" s="12"/>
      <c r="OSX20" s="12"/>
      <c r="OTO20" s="12"/>
      <c r="OTP20" s="12"/>
      <c r="OUG20" s="12"/>
      <c r="OUH20" s="12"/>
      <c r="OUY20" s="12"/>
      <c r="OUZ20" s="12"/>
      <c r="OVQ20" s="12"/>
      <c r="OVR20" s="12"/>
      <c r="OWI20" s="12"/>
      <c r="OWJ20" s="12"/>
      <c r="OXA20" s="12"/>
      <c r="OXB20" s="12"/>
      <c r="OXS20" s="12"/>
      <c r="OXT20" s="12"/>
      <c r="OYK20" s="12"/>
      <c r="OYL20" s="12"/>
      <c r="OZC20" s="12"/>
      <c r="OZD20" s="12"/>
      <c r="OZU20" s="12"/>
      <c r="OZV20" s="12"/>
      <c r="PAM20" s="12"/>
      <c r="PAN20" s="12"/>
      <c r="PBE20" s="12"/>
      <c r="PBF20" s="12"/>
      <c r="PBW20" s="12"/>
      <c r="PBX20" s="12"/>
      <c r="PCO20" s="12"/>
      <c r="PCP20" s="12"/>
      <c r="PDG20" s="12"/>
      <c r="PDH20" s="12"/>
      <c r="PDY20" s="12"/>
      <c r="PDZ20" s="12"/>
      <c r="PEQ20" s="12"/>
      <c r="PER20" s="12"/>
      <c r="PFI20" s="12"/>
      <c r="PFJ20" s="12"/>
      <c r="PGA20" s="12"/>
      <c r="PGB20" s="12"/>
      <c r="PGS20" s="12"/>
      <c r="PGT20" s="12"/>
      <c r="PHK20" s="12"/>
      <c r="PHL20" s="12"/>
      <c r="PIC20" s="12"/>
      <c r="PID20" s="12"/>
      <c r="PIU20" s="12"/>
      <c r="PIV20" s="12"/>
      <c r="PJM20" s="12"/>
      <c r="PJN20" s="12"/>
      <c r="PKE20" s="12"/>
      <c r="PKF20" s="12"/>
      <c r="PKW20" s="12"/>
      <c r="PKX20" s="12"/>
      <c r="PLO20" s="12"/>
      <c r="PLP20" s="12"/>
      <c r="PMG20" s="12"/>
      <c r="PMH20" s="12"/>
      <c r="PMY20" s="12"/>
      <c r="PMZ20" s="12"/>
      <c r="PNQ20" s="12"/>
      <c r="PNR20" s="12"/>
      <c r="POI20" s="12"/>
      <c r="POJ20" s="12"/>
      <c r="PPA20" s="12"/>
      <c r="PPB20" s="12"/>
      <c r="PPS20" s="12"/>
      <c r="PPT20" s="12"/>
      <c r="PQK20" s="12"/>
      <c r="PQL20" s="12"/>
      <c r="PRC20" s="12"/>
      <c r="PRD20" s="12"/>
      <c r="PRU20" s="12"/>
      <c r="PRV20" s="12"/>
      <c r="PSM20" s="12"/>
      <c r="PSN20" s="12"/>
      <c r="PTE20" s="12"/>
      <c r="PTF20" s="12"/>
      <c r="PTW20" s="12"/>
      <c r="PTX20" s="12"/>
      <c r="PUO20" s="12"/>
      <c r="PUP20" s="12"/>
      <c r="PVG20" s="12"/>
      <c r="PVH20" s="12"/>
      <c r="PVY20" s="12"/>
      <c r="PVZ20" s="12"/>
      <c r="PWQ20" s="12"/>
      <c r="PWR20" s="12"/>
      <c r="PXI20" s="12"/>
      <c r="PXJ20" s="12"/>
      <c r="PYA20" s="12"/>
      <c r="PYB20" s="12"/>
      <c r="PYS20" s="12"/>
      <c r="PYT20" s="12"/>
      <c r="PZK20" s="12"/>
      <c r="PZL20" s="12"/>
      <c r="QAC20" s="12"/>
      <c r="QAD20" s="12"/>
      <c r="QAU20" s="12"/>
      <c r="QAV20" s="12"/>
      <c r="QBM20" s="12"/>
      <c r="QBN20" s="12"/>
      <c r="QCE20" s="12"/>
      <c r="QCF20" s="12"/>
      <c r="QCW20" s="12"/>
      <c r="QCX20" s="12"/>
      <c r="QDO20" s="12"/>
      <c r="QDP20" s="12"/>
      <c r="QEG20" s="12"/>
      <c r="QEH20" s="12"/>
      <c r="QEY20" s="12"/>
      <c r="QEZ20" s="12"/>
      <c r="QFQ20" s="12"/>
      <c r="QFR20" s="12"/>
      <c r="QGI20" s="12"/>
      <c r="QGJ20" s="12"/>
      <c r="QHA20" s="12"/>
      <c r="QHB20" s="12"/>
      <c r="QHS20" s="12"/>
      <c r="QHT20" s="12"/>
      <c r="QIK20" s="12"/>
      <c r="QIL20" s="12"/>
      <c r="QJC20" s="12"/>
      <c r="QJD20" s="12"/>
      <c r="QJU20" s="12"/>
      <c r="QJV20" s="12"/>
      <c r="QKM20" s="12"/>
      <c r="QKN20" s="12"/>
      <c r="QLE20" s="12"/>
      <c r="QLF20" s="12"/>
      <c r="QLW20" s="12"/>
      <c r="QLX20" s="12"/>
      <c r="QMO20" s="12"/>
      <c r="QMP20" s="12"/>
      <c r="QNG20" s="12"/>
      <c r="QNH20" s="12"/>
      <c r="QNY20" s="12"/>
      <c r="QNZ20" s="12"/>
      <c r="QOQ20" s="12"/>
      <c r="QOR20" s="12"/>
      <c r="QPI20" s="12"/>
      <c r="QPJ20" s="12"/>
      <c r="QQA20" s="12"/>
      <c r="QQB20" s="12"/>
      <c r="QQS20" s="12"/>
      <c r="QQT20" s="12"/>
      <c r="QRK20" s="12"/>
      <c r="QRL20" s="12"/>
      <c r="QSC20" s="12"/>
      <c r="QSD20" s="12"/>
      <c r="QSU20" s="12"/>
      <c r="QSV20" s="12"/>
      <c r="QTM20" s="12"/>
      <c r="QTN20" s="12"/>
      <c r="QUE20" s="12"/>
      <c r="QUF20" s="12"/>
      <c r="QUW20" s="12"/>
      <c r="QUX20" s="12"/>
      <c r="QVO20" s="12"/>
      <c r="QVP20" s="12"/>
      <c r="QWG20" s="12"/>
      <c r="QWH20" s="12"/>
      <c r="QWY20" s="12"/>
      <c r="QWZ20" s="12"/>
      <c r="QXQ20" s="12"/>
      <c r="QXR20" s="12"/>
      <c r="QYI20" s="12"/>
      <c r="QYJ20" s="12"/>
      <c r="QZA20" s="12"/>
      <c r="QZB20" s="12"/>
      <c r="QZS20" s="12"/>
      <c r="QZT20" s="12"/>
      <c r="RAK20" s="12"/>
      <c r="RAL20" s="12"/>
      <c r="RBC20" s="12"/>
      <c r="RBD20" s="12"/>
      <c r="RBU20" s="12"/>
      <c r="RBV20" s="12"/>
      <c r="RCM20" s="12"/>
      <c r="RCN20" s="12"/>
      <c r="RDE20" s="12"/>
      <c r="RDF20" s="12"/>
      <c r="RDW20" s="12"/>
      <c r="RDX20" s="12"/>
      <c r="REO20" s="12"/>
      <c r="REP20" s="12"/>
      <c r="RFG20" s="12"/>
      <c r="RFH20" s="12"/>
      <c r="RFY20" s="12"/>
      <c r="RFZ20" s="12"/>
      <c r="RGQ20" s="12"/>
      <c r="RGR20" s="12"/>
      <c r="RHI20" s="12"/>
      <c r="RHJ20" s="12"/>
      <c r="RIA20" s="12"/>
      <c r="RIB20" s="12"/>
      <c r="RIS20" s="12"/>
      <c r="RIT20" s="12"/>
      <c r="RJK20" s="12"/>
      <c r="RJL20" s="12"/>
      <c r="RKC20" s="12"/>
      <c r="RKD20" s="12"/>
      <c r="RKU20" s="12"/>
      <c r="RKV20" s="12"/>
      <c r="RLM20" s="12"/>
      <c r="RLN20" s="12"/>
      <c r="RME20" s="12"/>
      <c r="RMF20" s="12"/>
      <c r="RMW20" s="12"/>
      <c r="RMX20" s="12"/>
      <c r="RNO20" s="12"/>
      <c r="RNP20" s="12"/>
      <c r="ROG20" s="12"/>
      <c r="ROH20" s="12"/>
      <c r="ROY20" s="12"/>
      <c r="ROZ20" s="12"/>
      <c r="RPQ20" s="12"/>
      <c r="RPR20" s="12"/>
      <c r="RQI20" s="12"/>
      <c r="RQJ20" s="12"/>
      <c r="RRA20" s="12"/>
      <c r="RRB20" s="12"/>
      <c r="RRS20" s="12"/>
      <c r="RRT20" s="12"/>
      <c r="RSK20" s="12"/>
      <c r="RSL20" s="12"/>
      <c r="RTC20" s="12"/>
      <c r="RTD20" s="12"/>
      <c r="RTU20" s="12"/>
      <c r="RTV20" s="12"/>
      <c r="RUM20" s="12"/>
      <c r="RUN20" s="12"/>
      <c r="RVE20" s="12"/>
      <c r="RVF20" s="12"/>
      <c r="RVW20" s="12"/>
      <c r="RVX20" s="12"/>
      <c r="RWO20" s="12"/>
      <c r="RWP20" s="12"/>
      <c r="RXG20" s="12"/>
      <c r="RXH20" s="12"/>
      <c r="RXY20" s="12"/>
      <c r="RXZ20" s="12"/>
      <c r="RYQ20" s="12"/>
      <c r="RYR20" s="12"/>
      <c r="RZI20" s="12"/>
      <c r="RZJ20" s="12"/>
      <c r="SAA20" s="12"/>
      <c r="SAB20" s="12"/>
      <c r="SAS20" s="12"/>
      <c r="SAT20" s="12"/>
      <c r="SBK20" s="12"/>
      <c r="SBL20" s="12"/>
      <c r="SCC20" s="12"/>
      <c r="SCD20" s="12"/>
      <c r="SCU20" s="12"/>
      <c r="SCV20" s="12"/>
      <c r="SDM20" s="12"/>
      <c r="SDN20" s="12"/>
      <c r="SEE20" s="12"/>
      <c r="SEF20" s="12"/>
      <c r="SEW20" s="12"/>
      <c r="SEX20" s="12"/>
      <c r="SFO20" s="12"/>
      <c r="SFP20" s="12"/>
      <c r="SGG20" s="12"/>
      <c r="SGH20" s="12"/>
      <c r="SGY20" s="12"/>
      <c r="SGZ20" s="12"/>
      <c r="SHQ20" s="12"/>
      <c r="SHR20" s="12"/>
      <c r="SII20" s="12"/>
      <c r="SIJ20" s="12"/>
      <c r="SJA20" s="12"/>
      <c r="SJB20" s="12"/>
      <c r="SJS20" s="12"/>
      <c r="SJT20" s="12"/>
      <c r="SKK20" s="12"/>
      <c r="SKL20" s="12"/>
      <c r="SLC20" s="12"/>
      <c r="SLD20" s="12"/>
      <c r="SLU20" s="12"/>
      <c r="SLV20" s="12"/>
      <c r="SMM20" s="12"/>
      <c r="SMN20" s="12"/>
      <c r="SNE20" s="12"/>
      <c r="SNF20" s="12"/>
      <c r="SNW20" s="12"/>
      <c r="SNX20" s="12"/>
      <c r="SOO20" s="12"/>
      <c r="SOP20" s="12"/>
      <c r="SPG20" s="12"/>
      <c r="SPH20" s="12"/>
      <c r="SPY20" s="12"/>
      <c r="SPZ20" s="12"/>
      <c r="SQQ20" s="12"/>
      <c r="SQR20" s="12"/>
      <c r="SRI20" s="12"/>
      <c r="SRJ20" s="12"/>
      <c r="SSA20" s="12"/>
      <c r="SSB20" s="12"/>
      <c r="SSS20" s="12"/>
      <c r="SST20" s="12"/>
      <c r="STK20" s="12"/>
      <c r="STL20" s="12"/>
      <c r="SUC20" s="12"/>
      <c r="SUD20" s="12"/>
      <c r="SUU20" s="12"/>
      <c r="SUV20" s="12"/>
      <c r="SVM20" s="12"/>
      <c r="SVN20" s="12"/>
      <c r="SWE20" s="12"/>
      <c r="SWF20" s="12"/>
      <c r="SWW20" s="12"/>
      <c r="SWX20" s="12"/>
      <c r="SXO20" s="12"/>
      <c r="SXP20" s="12"/>
      <c r="SYG20" s="12"/>
      <c r="SYH20" s="12"/>
      <c r="SYY20" s="12"/>
      <c r="SYZ20" s="12"/>
      <c r="SZQ20" s="12"/>
      <c r="SZR20" s="12"/>
      <c r="TAI20" s="12"/>
      <c r="TAJ20" s="12"/>
      <c r="TBA20" s="12"/>
      <c r="TBB20" s="12"/>
      <c r="TBS20" s="12"/>
      <c r="TBT20" s="12"/>
      <c r="TCK20" s="12"/>
      <c r="TCL20" s="12"/>
      <c r="TDC20" s="12"/>
      <c r="TDD20" s="12"/>
      <c r="TDU20" s="12"/>
      <c r="TDV20" s="12"/>
      <c r="TEM20" s="12"/>
      <c r="TEN20" s="12"/>
      <c r="TFE20" s="12"/>
      <c r="TFF20" s="12"/>
      <c r="TFW20" s="12"/>
      <c r="TFX20" s="12"/>
      <c r="TGO20" s="12"/>
      <c r="TGP20" s="12"/>
      <c r="THG20" s="12"/>
      <c r="THH20" s="12"/>
      <c r="THY20" s="12"/>
      <c r="THZ20" s="12"/>
      <c r="TIQ20" s="12"/>
      <c r="TIR20" s="12"/>
      <c r="TJI20" s="12"/>
      <c r="TJJ20" s="12"/>
      <c r="TKA20" s="12"/>
      <c r="TKB20" s="12"/>
      <c r="TKS20" s="12"/>
      <c r="TKT20" s="12"/>
      <c r="TLK20" s="12"/>
      <c r="TLL20" s="12"/>
      <c r="TMC20" s="12"/>
      <c r="TMD20" s="12"/>
      <c r="TMU20" s="12"/>
      <c r="TMV20" s="12"/>
      <c r="TNM20" s="12"/>
      <c r="TNN20" s="12"/>
      <c r="TOE20" s="12"/>
      <c r="TOF20" s="12"/>
      <c r="TOW20" s="12"/>
      <c r="TOX20" s="12"/>
      <c r="TPO20" s="12"/>
      <c r="TPP20" s="12"/>
      <c r="TQG20" s="12"/>
      <c r="TQH20" s="12"/>
      <c r="TQY20" s="12"/>
      <c r="TQZ20" s="12"/>
      <c r="TRQ20" s="12"/>
      <c r="TRR20" s="12"/>
      <c r="TSI20" s="12"/>
      <c r="TSJ20" s="12"/>
      <c r="TTA20" s="12"/>
      <c r="TTB20" s="12"/>
      <c r="TTS20" s="12"/>
      <c r="TTT20" s="12"/>
      <c r="TUK20" s="12"/>
      <c r="TUL20" s="12"/>
      <c r="TVC20" s="12"/>
      <c r="TVD20" s="12"/>
      <c r="TVU20" s="12"/>
      <c r="TVV20" s="12"/>
      <c r="TWM20" s="12"/>
      <c r="TWN20" s="12"/>
      <c r="TXE20" s="12"/>
      <c r="TXF20" s="12"/>
      <c r="TXW20" s="12"/>
      <c r="TXX20" s="12"/>
      <c r="TYO20" s="12"/>
      <c r="TYP20" s="12"/>
      <c r="TZG20" s="12"/>
      <c r="TZH20" s="12"/>
      <c r="TZY20" s="12"/>
      <c r="TZZ20" s="12"/>
      <c r="UAQ20" s="12"/>
      <c r="UAR20" s="12"/>
      <c r="UBI20" s="12"/>
      <c r="UBJ20" s="12"/>
      <c r="UCA20" s="12"/>
      <c r="UCB20" s="12"/>
      <c r="UCS20" s="12"/>
      <c r="UCT20" s="12"/>
      <c r="UDK20" s="12"/>
      <c r="UDL20" s="12"/>
      <c r="UEC20" s="12"/>
      <c r="UED20" s="12"/>
      <c r="UEU20" s="12"/>
      <c r="UEV20" s="12"/>
      <c r="UFM20" s="12"/>
      <c r="UFN20" s="12"/>
      <c r="UGE20" s="12"/>
      <c r="UGF20" s="12"/>
      <c r="UGW20" s="12"/>
      <c r="UGX20" s="12"/>
      <c r="UHO20" s="12"/>
      <c r="UHP20" s="12"/>
      <c r="UIG20" s="12"/>
      <c r="UIH20" s="12"/>
      <c r="UIY20" s="12"/>
      <c r="UIZ20" s="12"/>
      <c r="UJQ20" s="12"/>
      <c r="UJR20" s="12"/>
      <c r="UKI20" s="12"/>
      <c r="UKJ20" s="12"/>
      <c r="ULA20" s="12"/>
      <c r="ULB20" s="12"/>
      <c r="ULS20" s="12"/>
      <c r="ULT20" s="12"/>
      <c r="UMK20" s="12"/>
      <c r="UML20" s="12"/>
      <c r="UNC20" s="12"/>
      <c r="UND20" s="12"/>
      <c r="UNU20" s="12"/>
      <c r="UNV20" s="12"/>
      <c r="UOM20" s="12"/>
      <c r="UON20" s="12"/>
      <c r="UPE20" s="12"/>
      <c r="UPF20" s="12"/>
      <c r="UPW20" s="12"/>
      <c r="UPX20" s="12"/>
      <c r="UQO20" s="12"/>
      <c r="UQP20" s="12"/>
      <c r="URG20" s="12"/>
      <c r="URH20" s="12"/>
      <c r="URY20" s="12"/>
      <c r="URZ20" s="12"/>
      <c r="USQ20" s="12"/>
      <c r="USR20" s="12"/>
      <c r="UTI20" s="12"/>
      <c r="UTJ20" s="12"/>
      <c r="UUA20" s="12"/>
      <c r="UUB20" s="12"/>
      <c r="UUS20" s="12"/>
      <c r="UUT20" s="12"/>
      <c r="UVK20" s="12"/>
      <c r="UVL20" s="12"/>
      <c r="UWC20" s="12"/>
      <c r="UWD20" s="12"/>
      <c r="UWU20" s="12"/>
      <c r="UWV20" s="12"/>
      <c r="UXM20" s="12"/>
      <c r="UXN20" s="12"/>
      <c r="UYE20" s="12"/>
      <c r="UYF20" s="12"/>
      <c r="UYW20" s="12"/>
      <c r="UYX20" s="12"/>
      <c r="UZO20" s="12"/>
      <c r="UZP20" s="12"/>
      <c r="VAG20" s="12"/>
      <c r="VAH20" s="12"/>
      <c r="VAY20" s="12"/>
      <c r="VAZ20" s="12"/>
      <c r="VBQ20" s="12"/>
      <c r="VBR20" s="12"/>
      <c r="VCI20" s="12"/>
      <c r="VCJ20" s="12"/>
      <c r="VDA20" s="12"/>
      <c r="VDB20" s="12"/>
      <c r="VDS20" s="12"/>
      <c r="VDT20" s="12"/>
      <c r="VEK20" s="12"/>
      <c r="VEL20" s="12"/>
      <c r="VFC20" s="12"/>
      <c r="VFD20" s="12"/>
      <c r="VFU20" s="12"/>
      <c r="VFV20" s="12"/>
      <c r="VGM20" s="12"/>
      <c r="VGN20" s="12"/>
      <c r="VHE20" s="12"/>
      <c r="VHF20" s="12"/>
      <c r="VHW20" s="12"/>
      <c r="VHX20" s="12"/>
      <c r="VIO20" s="12"/>
      <c r="VIP20" s="12"/>
      <c r="VJG20" s="12"/>
      <c r="VJH20" s="12"/>
      <c r="VJY20" s="12"/>
      <c r="VJZ20" s="12"/>
      <c r="VKQ20" s="12"/>
      <c r="VKR20" s="12"/>
      <c r="VLI20" s="12"/>
      <c r="VLJ20" s="12"/>
      <c r="VMA20" s="12"/>
      <c r="VMB20" s="12"/>
      <c r="VMS20" s="12"/>
      <c r="VMT20" s="12"/>
      <c r="VNK20" s="12"/>
      <c r="VNL20" s="12"/>
      <c r="VOC20" s="12"/>
      <c r="VOD20" s="12"/>
      <c r="VOU20" s="12"/>
      <c r="VOV20" s="12"/>
      <c r="VPM20" s="12"/>
      <c r="VPN20" s="12"/>
      <c r="VQE20" s="12"/>
      <c r="VQF20" s="12"/>
      <c r="VQW20" s="12"/>
      <c r="VQX20" s="12"/>
      <c r="VRO20" s="12"/>
      <c r="VRP20" s="12"/>
      <c r="VSG20" s="12"/>
      <c r="VSH20" s="12"/>
      <c r="VSY20" s="12"/>
      <c r="VSZ20" s="12"/>
      <c r="VTQ20" s="12"/>
      <c r="VTR20" s="12"/>
      <c r="VUI20" s="12"/>
      <c r="VUJ20" s="12"/>
      <c r="VVA20" s="12"/>
      <c r="VVB20" s="12"/>
      <c r="VVS20" s="12"/>
      <c r="VVT20" s="12"/>
      <c r="VWK20" s="12"/>
      <c r="VWL20" s="12"/>
      <c r="VXC20" s="12"/>
      <c r="VXD20" s="12"/>
      <c r="VXU20" s="12"/>
      <c r="VXV20" s="12"/>
      <c r="VYM20" s="12"/>
      <c r="VYN20" s="12"/>
      <c r="VZE20" s="12"/>
      <c r="VZF20" s="12"/>
      <c r="VZW20" s="12"/>
      <c r="VZX20" s="12"/>
      <c r="WAO20" s="12"/>
      <c r="WAP20" s="12"/>
      <c r="WBG20" s="12"/>
      <c r="WBH20" s="12"/>
      <c r="WBY20" s="12"/>
      <c r="WBZ20" s="12"/>
      <c r="WCQ20" s="12"/>
      <c r="WCR20" s="12"/>
      <c r="WDI20" s="12"/>
      <c r="WDJ20" s="12"/>
      <c r="WEA20" s="12"/>
      <c r="WEB20" s="12"/>
      <c r="WES20" s="12"/>
      <c r="WET20" s="12"/>
      <c r="WFK20" s="12"/>
      <c r="WFL20" s="12"/>
      <c r="WGC20" s="12"/>
      <c r="WGD20" s="12"/>
      <c r="WGU20" s="12"/>
      <c r="WGV20" s="12"/>
      <c r="WHM20" s="12"/>
      <c r="WHN20" s="12"/>
      <c r="WIE20" s="12"/>
      <c r="WIF20" s="12"/>
      <c r="WIW20" s="12"/>
      <c r="WIX20" s="12"/>
      <c r="WJO20" s="12"/>
      <c r="WJP20" s="12"/>
      <c r="WKG20" s="12"/>
      <c r="WKH20" s="12"/>
      <c r="WKY20" s="12"/>
      <c r="WKZ20" s="12"/>
      <c r="WLQ20" s="12"/>
      <c r="WLR20" s="12"/>
      <c r="WMI20" s="12"/>
      <c r="WMJ20" s="12"/>
      <c r="WNA20" s="12"/>
      <c r="WNB20" s="12"/>
      <c r="WNS20" s="12"/>
      <c r="WNT20" s="12"/>
      <c r="WOK20" s="12"/>
      <c r="WOL20" s="12"/>
      <c r="WPC20" s="12"/>
      <c r="WPD20" s="12"/>
      <c r="WPU20" s="12"/>
      <c r="WPV20" s="12"/>
      <c r="WQM20" s="12"/>
      <c r="WQN20" s="12"/>
      <c r="WRE20" s="12"/>
      <c r="WRF20" s="12"/>
      <c r="WRW20" s="12"/>
      <c r="WRX20" s="12"/>
      <c r="WSO20" s="12"/>
      <c r="WSP20" s="12"/>
      <c r="WTG20" s="12"/>
      <c r="WTH20" s="12"/>
      <c r="WTY20" s="12"/>
      <c r="WTZ20" s="12"/>
      <c r="WUQ20" s="12"/>
      <c r="WUR20" s="12"/>
      <c r="WVI20" s="12"/>
      <c r="WVJ20" s="12"/>
      <c r="WWA20" s="12"/>
      <c r="WWB20" s="12"/>
      <c r="WWS20" s="12"/>
      <c r="WWT20" s="12"/>
      <c r="WXK20" s="12"/>
      <c r="WXL20" s="12"/>
      <c r="WYC20" s="12"/>
      <c r="WYD20" s="12"/>
      <c r="WYU20" s="12"/>
      <c r="WYV20" s="12"/>
      <c r="WZM20" s="12"/>
      <c r="WZN20" s="12"/>
      <c r="XAE20" s="12"/>
      <c r="XAF20" s="12"/>
      <c r="XAW20" s="12"/>
      <c r="XAX20" s="12"/>
      <c r="XBO20" s="12"/>
      <c r="XBP20" s="12"/>
      <c r="XCG20" s="12"/>
      <c r="XCH20" s="12"/>
      <c r="XCY20" s="12"/>
      <c r="XCZ20" s="12"/>
      <c r="XDQ20" s="12"/>
      <c r="XDR20" s="12"/>
      <c r="XEI20" s="12"/>
      <c r="XEJ20" s="12"/>
      <c r="XFA20" s="12"/>
      <c r="XFB20" s="12"/>
    </row>
    <row r="21" spans="1:1010 1027:2036 2053:3062 3079:4088 4105:5114 5131:6140 6157:7166 7183:8192 8209:9200 9217:10226 10243:11252 11269:12278 12295:13304 13321:14330 14347:15356 15373:16382" x14ac:dyDescent="0.35">
      <c r="A21" s="181" t="s">
        <v>40</v>
      </c>
      <c r="B21" s="181" t="s">
        <v>41</v>
      </c>
      <c r="C21" s="198">
        <v>26.599</v>
      </c>
      <c r="D21" s="198">
        <v>31.158000000000001</v>
      </c>
      <c r="E21" s="198">
        <v>36.316000000000003</v>
      </c>
      <c r="F21" s="198">
        <v>49.046999999999997</v>
      </c>
      <c r="G21" s="198">
        <v>51.204999999999998</v>
      </c>
      <c r="H21" s="198">
        <v>69.962000000000003</v>
      </c>
      <c r="I21" s="198">
        <v>93.468999999999994</v>
      </c>
      <c r="J21" s="198">
        <v>83.908000000000001</v>
      </c>
      <c r="K21" s="198">
        <v>84.724999999999994</v>
      </c>
      <c r="L21" s="198">
        <v>70.510000000000005</v>
      </c>
      <c r="M21" s="117"/>
      <c r="N21" s="117"/>
      <c r="O21" s="117"/>
      <c r="P21" s="117"/>
      <c r="Q21" s="117"/>
      <c r="R21" s="117"/>
      <c r="T21" s="12"/>
      <c r="U21" s="12"/>
    </row>
    <row r="22" spans="1:1010 1027:2036 2053:3062 3079:4088 4105:5114 5131:6140 6157:7166 7183:8192 8209:9200 9217:10226 10243:11252 11269:12278 12295:13304 13321:14330 14347:15356 15373:16382" x14ac:dyDescent="0.35">
      <c r="A22" s="181" t="s">
        <v>42</v>
      </c>
      <c r="B22" s="181" t="s">
        <v>43</v>
      </c>
      <c r="C22" s="198">
        <v>5.742</v>
      </c>
      <c r="D22" s="198">
        <v>7.1130000000000004</v>
      </c>
      <c r="E22" s="198">
        <v>9.1760000000000002</v>
      </c>
      <c r="F22" s="198">
        <v>4.5140000000000002</v>
      </c>
      <c r="G22" s="198">
        <v>6.4640000000000004</v>
      </c>
      <c r="H22" s="198">
        <v>8.3010000000000002</v>
      </c>
      <c r="I22" s="198">
        <v>12.603</v>
      </c>
      <c r="J22" s="198">
        <v>7.82</v>
      </c>
      <c r="K22" s="198">
        <v>10.192</v>
      </c>
      <c r="L22" s="198">
        <v>7.1859999999999999</v>
      </c>
      <c r="M22" s="117"/>
      <c r="N22" s="117"/>
      <c r="O22" s="117"/>
      <c r="P22" s="117"/>
      <c r="Q22" s="117"/>
      <c r="R22" s="117"/>
      <c r="T22" s="12"/>
      <c r="U22" s="12"/>
    </row>
    <row r="23" spans="1:1010 1027:2036 2053:3062 3079:4088 4105:5114 5131:6140 6157:7166 7183:8192 8209:9200 9217:10226 10243:11252 11269:12278 12295:13304 13321:14330 14347:15356 15373:16382" x14ac:dyDescent="0.35">
      <c r="A23" s="181" t="s">
        <v>44</v>
      </c>
      <c r="B23" s="181" t="s">
        <v>45</v>
      </c>
      <c r="C23" s="198">
        <v>47.805</v>
      </c>
      <c r="D23" s="198">
        <v>52.381999999999998</v>
      </c>
      <c r="E23" s="198">
        <v>40.197000000000003</v>
      </c>
      <c r="F23" s="198">
        <v>46.811999999999998</v>
      </c>
      <c r="G23" s="198">
        <v>51.683999999999997</v>
      </c>
      <c r="H23" s="198">
        <v>75.052999999999997</v>
      </c>
      <c r="I23" s="198">
        <v>110.02200000000001</v>
      </c>
      <c r="J23" s="198">
        <v>86.793000000000006</v>
      </c>
      <c r="K23" s="198">
        <v>80.876999999999995</v>
      </c>
      <c r="L23" s="198">
        <v>78.631</v>
      </c>
      <c r="M23" s="117"/>
      <c r="N23" s="117"/>
      <c r="O23" s="117"/>
      <c r="P23" s="117"/>
      <c r="Q23" s="117"/>
      <c r="R23" s="117"/>
      <c r="T23" s="12"/>
      <c r="U23" s="12"/>
    </row>
    <row r="24" spans="1:1010 1027:2036 2053:3062 3079:4088 4105:5114 5131:6140 6157:7166 7183:8192 8209:9200 9217:10226 10243:11252 11269:12278 12295:13304 13321:14330 14347:15356 15373:16382" x14ac:dyDescent="0.35">
      <c r="A24" s="181" t="s">
        <v>46</v>
      </c>
      <c r="B24" s="181" t="s">
        <v>47</v>
      </c>
      <c r="C24" s="198">
        <v>-5.3959999999999999</v>
      </c>
      <c r="D24" s="198">
        <v>-4.4980000000000002</v>
      </c>
      <c r="E24" s="198">
        <v>-6.4560000000000004</v>
      </c>
      <c r="F24" s="198">
        <v>-8.0860000000000003</v>
      </c>
      <c r="G24" s="198">
        <v>-4.5609999999999999</v>
      </c>
      <c r="H24" s="198">
        <v>-8.0719999999999992</v>
      </c>
      <c r="I24" s="198">
        <v>-22.318000000000001</v>
      </c>
      <c r="J24" s="198">
        <v>-22.588999999999999</v>
      </c>
      <c r="K24" s="198">
        <v>-21.341000000000001</v>
      </c>
      <c r="L24" s="198">
        <v>-19.468</v>
      </c>
      <c r="M24" s="117"/>
      <c r="N24" s="117"/>
      <c r="O24" s="117"/>
      <c r="P24" s="117"/>
      <c r="Q24" s="117"/>
      <c r="R24" s="117"/>
      <c r="T24" s="12"/>
      <c r="U24" s="12"/>
    </row>
    <row r="25" spans="1:1010 1027:2036 2053:3062 3079:4088 4105:5114 5131:6140 6157:7166 7183:8192 8209:9200 9217:10226 10243:11252 11269:12278 12295:13304 13321:14330 14347:15356 15373:16382" x14ac:dyDescent="0.35">
      <c r="A25" s="23" t="s">
        <v>29</v>
      </c>
      <c r="B25" s="23"/>
      <c r="C25" s="321">
        <f t="shared" ref="C25:L25" si="4">IF(AND(C21="",C22="",C23="",C24=""),0,ROUND(SUM(C21:C24)-IF(C20="",0,C20),1))</f>
        <v>0</v>
      </c>
      <c r="D25" s="321">
        <f t="shared" si="4"/>
        <v>0</v>
      </c>
      <c r="E25" s="321">
        <f t="shared" si="4"/>
        <v>0</v>
      </c>
      <c r="F25" s="321">
        <f t="shared" si="4"/>
        <v>0</v>
      </c>
      <c r="G25" s="321">
        <f t="shared" si="4"/>
        <v>0</v>
      </c>
      <c r="H25" s="321">
        <f t="shared" si="4"/>
        <v>0</v>
      </c>
      <c r="I25" s="321">
        <f t="shared" si="4"/>
        <v>0</v>
      </c>
      <c r="J25" s="321">
        <f t="shared" si="4"/>
        <v>0</v>
      </c>
      <c r="K25" s="321">
        <f t="shared" si="4"/>
        <v>0</v>
      </c>
      <c r="L25" s="321">
        <f t="shared" si="4"/>
        <v>0</v>
      </c>
      <c r="M25" s="118"/>
      <c r="N25" s="118"/>
      <c r="O25" s="118"/>
      <c r="P25" s="118"/>
      <c r="Q25" s="118"/>
      <c r="R25" s="118"/>
      <c r="T25" s="12"/>
      <c r="U25" s="12"/>
    </row>
    <row r="26" spans="1:1010 1027:2036 2053:3062 3079:4088 4105:5114 5131:6140 6157:7166 7183:8192 8209:9200 9217:10226 10243:11252 11269:12278 12295:13304 13321:14330 14347:15356 15373:16382" s="11" customFormat="1" x14ac:dyDescent="0.35">
      <c r="A26" s="183" t="s">
        <v>48</v>
      </c>
      <c r="B26" s="183" t="s">
        <v>49</v>
      </c>
      <c r="C26" s="184">
        <v>20.169</v>
      </c>
      <c r="D26" s="184">
        <v>11.308999999999999</v>
      </c>
      <c r="E26" s="184">
        <v>21.923999999999999</v>
      </c>
      <c r="F26" s="184">
        <v>18.448</v>
      </c>
      <c r="G26" s="184">
        <v>17.625</v>
      </c>
      <c r="H26" s="184">
        <v>30.539000000000001</v>
      </c>
      <c r="I26" s="184">
        <v>28.617000000000001</v>
      </c>
      <c r="J26" s="184">
        <v>20.466999999999999</v>
      </c>
      <c r="K26" s="184">
        <v>31.279</v>
      </c>
      <c r="L26" s="184">
        <v>32.302999999999997</v>
      </c>
      <c r="M26" s="312">
        <f>IF(OR(K26=0,K26=""),"",L26/K26-1)</f>
        <v>3.2737619489114023E-2</v>
      </c>
      <c r="N26" s="117"/>
      <c r="O26" s="117"/>
      <c r="P26" s="117"/>
      <c r="Q26" s="117"/>
      <c r="R26" s="117"/>
      <c r="S26" s="12"/>
      <c r="T26" s="12"/>
      <c r="AK26" s="12"/>
      <c r="AL26" s="12"/>
      <c r="BC26" s="12"/>
      <c r="BD26" s="12"/>
      <c r="BU26" s="12"/>
      <c r="BV26" s="12"/>
      <c r="CM26" s="12"/>
      <c r="CN26" s="12"/>
      <c r="DE26" s="12"/>
      <c r="DF26" s="12"/>
      <c r="DW26" s="12"/>
      <c r="DX26" s="12"/>
      <c r="EO26" s="12"/>
      <c r="EP26" s="12"/>
      <c r="FG26" s="12"/>
      <c r="FH26" s="12"/>
      <c r="FY26" s="12"/>
      <c r="FZ26" s="12"/>
      <c r="GQ26" s="12"/>
      <c r="GR26" s="12"/>
      <c r="HI26" s="12"/>
      <c r="HJ26" s="12"/>
      <c r="IA26" s="12"/>
      <c r="IB26" s="12"/>
      <c r="IS26" s="12"/>
      <c r="IT26" s="12"/>
      <c r="JK26" s="12"/>
      <c r="JL26" s="12"/>
      <c r="KC26" s="12"/>
      <c r="KD26" s="12"/>
      <c r="KU26" s="12"/>
      <c r="KV26" s="12"/>
      <c r="LM26" s="12"/>
      <c r="LN26" s="12"/>
      <c r="ME26" s="12"/>
      <c r="MF26" s="12"/>
      <c r="MW26" s="12"/>
      <c r="MX26" s="12"/>
      <c r="NO26" s="12"/>
      <c r="NP26" s="12"/>
      <c r="OG26" s="12"/>
      <c r="OH26" s="12"/>
      <c r="OY26" s="12"/>
      <c r="OZ26" s="12"/>
      <c r="PQ26" s="12"/>
      <c r="PR26" s="12"/>
      <c r="QI26" s="12"/>
      <c r="QJ26" s="12"/>
      <c r="RA26" s="12"/>
      <c r="RB26" s="12"/>
      <c r="RS26" s="12"/>
      <c r="RT26" s="12"/>
      <c r="SK26" s="12"/>
      <c r="SL26" s="12"/>
      <c r="TC26" s="12"/>
      <c r="TD26" s="12"/>
      <c r="TU26" s="12"/>
      <c r="TV26" s="12"/>
      <c r="UM26" s="12"/>
      <c r="UN26" s="12"/>
      <c r="VE26" s="12"/>
      <c r="VF26" s="12"/>
      <c r="VW26" s="12"/>
      <c r="VX26" s="12"/>
      <c r="WO26" s="12"/>
      <c r="WP26" s="12"/>
      <c r="XG26" s="12"/>
      <c r="XH26" s="12"/>
      <c r="XY26" s="12"/>
      <c r="XZ26" s="12"/>
      <c r="YQ26" s="12"/>
      <c r="YR26" s="12"/>
      <c r="ZI26" s="12"/>
      <c r="ZJ26" s="12"/>
      <c r="AAA26" s="12"/>
      <c r="AAB26" s="12"/>
      <c r="AAS26" s="12"/>
      <c r="AAT26" s="12"/>
      <c r="ABK26" s="12"/>
      <c r="ABL26" s="12"/>
      <c r="ACC26" s="12"/>
      <c r="ACD26" s="12"/>
      <c r="ACU26" s="12"/>
      <c r="ACV26" s="12"/>
      <c r="ADM26" s="12"/>
      <c r="ADN26" s="12"/>
      <c r="AEE26" s="12"/>
      <c r="AEF26" s="12"/>
      <c r="AEW26" s="12"/>
      <c r="AEX26" s="12"/>
      <c r="AFO26" s="12"/>
      <c r="AFP26" s="12"/>
      <c r="AGG26" s="12"/>
      <c r="AGH26" s="12"/>
      <c r="AGY26" s="12"/>
      <c r="AGZ26" s="12"/>
      <c r="AHQ26" s="12"/>
      <c r="AHR26" s="12"/>
      <c r="AII26" s="12"/>
      <c r="AIJ26" s="12"/>
      <c r="AJA26" s="12"/>
      <c r="AJB26" s="12"/>
      <c r="AJS26" s="12"/>
      <c r="AJT26" s="12"/>
      <c r="AKK26" s="12"/>
      <c r="AKL26" s="12"/>
      <c r="ALC26" s="12"/>
      <c r="ALD26" s="12"/>
      <c r="ALU26" s="12"/>
      <c r="ALV26" s="12"/>
      <c r="AMM26" s="12"/>
      <c r="AMN26" s="12"/>
      <c r="ANE26" s="12"/>
      <c r="ANF26" s="12"/>
      <c r="ANW26" s="12"/>
      <c r="ANX26" s="12"/>
      <c r="AOO26" s="12"/>
      <c r="AOP26" s="12"/>
      <c r="APG26" s="12"/>
      <c r="APH26" s="12"/>
      <c r="APY26" s="12"/>
      <c r="APZ26" s="12"/>
      <c r="AQQ26" s="12"/>
      <c r="AQR26" s="12"/>
      <c r="ARI26" s="12"/>
      <c r="ARJ26" s="12"/>
      <c r="ASA26" s="12"/>
      <c r="ASB26" s="12"/>
      <c r="ASS26" s="12"/>
      <c r="AST26" s="12"/>
      <c r="ATK26" s="12"/>
      <c r="ATL26" s="12"/>
      <c r="AUC26" s="12"/>
      <c r="AUD26" s="12"/>
      <c r="AUU26" s="12"/>
      <c r="AUV26" s="12"/>
      <c r="AVM26" s="12"/>
      <c r="AVN26" s="12"/>
      <c r="AWE26" s="12"/>
      <c r="AWF26" s="12"/>
      <c r="AWW26" s="12"/>
      <c r="AWX26" s="12"/>
      <c r="AXO26" s="12"/>
      <c r="AXP26" s="12"/>
      <c r="AYG26" s="12"/>
      <c r="AYH26" s="12"/>
      <c r="AYY26" s="12"/>
      <c r="AYZ26" s="12"/>
      <c r="AZQ26" s="12"/>
      <c r="AZR26" s="12"/>
      <c r="BAI26" s="12"/>
      <c r="BAJ26" s="12"/>
      <c r="BBA26" s="12"/>
      <c r="BBB26" s="12"/>
      <c r="BBS26" s="12"/>
      <c r="BBT26" s="12"/>
      <c r="BCK26" s="12"/>
      <c r="BCL26" s="12"/>
      <c r="BDC26" s="12"/>
      <c r="BDD26" s="12"/>
      <c r="BDU26" s="12"/>
      <c r="BDV26" s="12"/>
      <c r="BEM26" s="12"/>
      <c r="BEN26" s="12"/>
      <c r="BFE26" s="12"/>
      <c r="BFF26" s="12"/>
      <c r="BFW26" s="12"/>
      <c r="BFX26" s="12"/>
      <c r="BGO26" s="12"/>
      <c r="BGP26" s="12"/>
      <c r="BHG26" s="12"/>
      <c r="BHH26" s="12"/>
      <c r="BHY26" s="12"/>
      <c r="BHZ26" s="12"/>
      <c r="BIQ26" s="12"/>
      <c r="BIR26" s="12"/>
      <c r="BJI26" s="12"/>
      <c r="BJJ26" s="12"/>
      <c r="BKA26" s="12"/>
      <c r="BKB26" s="12"/>
      <c r="BKS26" s="12"/>
      <c r="BKT26" s="12"/>
      <c r="BLK26" s="12"/>
      <c r="BLL26" s="12"/>
      <c r="BMC26" s="12"/>
      <c r="BMD26" s="12"/>
      <c r="BMU26" s="12"/>
      <c r="BMV26" s="12"/>
      <c r="BNM26" s="12"/>
      <c r="BNN26" s="12"/>
      <c r="BOE26" s="12"/>
      <c r="BOF26" s="12"/>
      <c r="BOW26" s="12"/>
      <c r="BOX26" s="12"/>
      <c r="BPO26" s="12"/>
      <c r="BPP26" s="12"/>
      <c r="BQG26" s="12"/>
      <c r="BQH26" s="12"/>
      <c r="BQY26" s="12"/>
      <c r="BQZ26" s="12"/>
      <c r="BRQ26" s="12"/>
      <c r="BRR26" s="12"/>
      <c r="BSI26" s="12"/>
      <c r="BSJ26" s="12"/>
      <c r="BTA26" s="12"/>
      <c r="BTB26" s="12"/>
      <c r="BTS26" s="12"/>
      <c r="BTT26" s="12"/>
      <c r="BUK26" s="12"/>
      <c r="BUL26" s="12"/>
      <c r="BVC26" s="12"/>
      <c r="BVD26" s="12"/>
      <c r="BVU26" s="12"/>
      <c r="BVV26" s="12"/>
      <c r="BWM26" s="12"/>
      <c r="BWN26" s="12"/>
      <c r="BXE26" s="12"/>
      <c r="BXF26" s="12"/>
      <c r="BXW26" s="12"/>
      <c r="BXX26" s="12"/>
      <c r="BYO26" s="12"/>
      <c r="BYP26" s="12"/>
      <c r="BZG26" s="12"/>
      <c r="BZH26" s="12"/>
      <c r="BZY26" s="12"/>
      <c r="BZZ26" s="12"/>
      <c r="CAQ26" s="12"/>
      <c r="CAR26" s="12"/>
      <c r="CBI26" s="12"/>
      <c r="CBJ26" s="12"/>
      <c r="CCA26" s="12"/>
      <c r="CCB26" s="12"/>
      <c r="CCS26" s="12"/>
      <c r="CCT26" s="12"/>
      <c r="CDK26" s="12"/>
      <c r="CDL26" s="12"/>
      <c r="CEC26" s="12"/>
      <c r="CED26" s="12"/>
      <c r="CEU26" s="12"/>
      <c r="CEV26" s="12"/>
      <c r="CFM26" s="12"/>
      <c r="CFN26" s="12"/>
      <c r="CGE26" s="12"/>
      <c r="CGF26" s="12"/>
      <c r="CGW26" s="12"/>
      <c r="CGX26" s="12"/>
      <c r="CHO26" s="12"/>
      <c r="CHP26" s="12"/>
      <c r="CIG26" s="12"/>
      <c r="CIH26" s="12"/>
      <c r="CIY26" s="12"/>
      <c r="CIZ26" s="12"/>
      <c r="CJQ26" s="12"/>
      <c r="CJR26" s="12"/>
      <c r="CKI26" s="12"/>
      <c r="CKJ26" s="12"/>
      <c r="CLA26" s="12"/>
      <c r="CLB26" s="12"/>
      <c r="CLS26" s="12"/>
      <c r="CLT26" s="12"/>
      <c r="CMK26" s="12"/>
      <c r="CML26" s="12"/>
      <c r="CNC26" s="12"/>
      <c r="CND26" s="12"/>
      <c r="CNU26" s="12"/>
      <c r="CNV26" s="12"/>
      <c r="COM26" s="12"/>
      <c r="CON26" s="12"/>
      <c r="CPE26" s="12"/>
      <c r="CPF26" s="12"/>
      <c r="CPW26" s="12"/>
      <c r="CPX26" s="12"/>
      <c r="CQO26" s="12"/>
      <c r="CQP26" s="12"/>
      <c r="CRG26" s="12"/>
      <c r="CRH26" s="12"/>
      <c r="CRY26" s="12"/>
      <c r="CRZ26" s="12"/>
      <c r="CSQ26" s="12"/>
      <c r="CSR26" s="12"/>
      <c r="CTI26" s="12"/>
      <c r="CTJ26" s="12"/>
      <c r="CUA26" s="12"/>
      <c r="CUB26" s="12"/>
      <c r="CUS26" s="12"/>
      <c r="CUT26" s="12"/>
      <c r="CVK26" s="12"/>
      <c r="CVL26" s="12"/>
      <c r="CWC26" s="12"/>
      <c r="CWD26" s="12"/>
      <c r="CWU26" s="12"/>
      <c r="CWV26" s="12"/>
      <c r="CXM26" s="12"/>
      <c r="CXN26" s="12"/>
      <c r="CYE26" s="12"/>
      <c r="CYF26" s="12"/>
      <c r="CYW26" s="12"/>
      <c r="CYX26" s="12"/>
      <c r="CZO26" s="12"/>
      <c r="CZP26" s="12"/>
      <c r="DAG26" s="12"/>
      <c r="DAH26" s="12"/>
      <c r="DAY26" s="12"/>
      <c r="DAZ26" s="12"/>
      <c r="DBQ26" s="12"/>
      <c r="DBR26" s="12"/>
      <c r="DCI26" s="12"/>
      <c r="DCJ26" s="12"/>
      <c r="DDA26" s="12"/>
      <c r="DDB26" s="12"/>
      <c r="DDS26" s="12"/>
      <c r="DDT26" s="12"/>
      <c r="DEK26" s="12"/>
      <c r="DEL26" s="12"/>
      <c r="DFC26" s="12"/>
      <c r="DFD26" s="12"/>
      <c r="DFU26" s="12"/>
      <c r="DFV26" s="12"/>
      <c r="DGM26" s="12"/>
      <c r="DGN26" s="12"/>
      <c r="DHE26" s="12"/>
      <c r="DHF26" s="12"/>
      <c r="DHW26" s="12"/>
      <c r="DHX26" s="12"/>
      <c r="DIO26" s="12"/>
      <c r="DIP26" s="12"/>
      <c r="DJG26" s="12"/>
      <c r="DJH26" s="12"/>
      <c r="DJY26" s="12"/>
      <c r="DJZ26" s="12"/>
      <c r="DKQ26" s="12"/>
      <c r="DKR26" s="12"/>
      <c r="DLI26" s="12"/>
      <c r="DLJ26" s="12"/>
      <c r="DMA26" s="12"/>
      <c r="DMB26" s="12"/>
      <c r="DMS26" s="12"/>
      <c r="DMT26" s="12"/>
      <c r="DNK26" s="12"/>
      <c r="DNL26" s="12"/>
      <c r="DOC26" s="12"/>
      <c r="DOD26" s="12"/>
      <c r="DOU26" s="12"/>
      <c r="DOV26" s="12"/>
      <c r="DPM26" s="12"/>
      <c r="DPN26" s="12"/>
      <c r="DQE26" s="12"/>
      <c r="DQF26" s="12"/>
      <c r="DQW26" s="12"/>
      <c r="DQX26" s="12"/>
      <c r="DRO26" s="12"/>
      <c r="DRP26" s="12"/>
      <c r="DSG26" s="12"/>
      <c r="DSH26" s="12"/>
      <c r="DSY26" s="12"/>
      <c r="DSZ26" s="12"/>
      <c r="DTQ26" s="12"/>
      <c r="DTR26" s="12"/>
      <c r="DUI26" s="12"/>
      <c r="DUJ26" s="12"/>
      <c r="DVA26" s="12"/>
      <c r="DVB26" s="12"/>
      <c r="DVS26" s="12"/>
      <c r="DVT26" s="12"/>
      <c r="DWK26" s="12"/>
      <c r="DWL26" s="12"/>
      <c r="DXC26" s="12"/>
      <c r="DXD26" s="12"/>
      <c r="DXU26" s="12"/>
      <c r="DXV26" s="12"/>
      <c r="DYM26" s="12"/>
      <c r="DYN26" s="12"/>
      <c r="DZE26" s="12"/>
      <c r="DZF26" s="12"/>
      <c r="DZW26" s="12"/>
      <c r="DZX26" s="12"/>
      <c r="EAO26" s="12"/>
      <c r="EAP26" s="12"/>
      <c r="EBG26" s="12"/>
      <c r="EBH26" s="12"/>
      <c r="EBY26" s="12"/>
      <c r="EBZ26" s="12"/>
      <c r="ECQ26" s="12"/>
      <c r="ECR26" s="12"/>
      <c r="EDI26" s="12"/>
      <c r="EDJ26" s="12"/>
      <c r="EEA26" s="12"/>
      <c r="EEB26" s="12"/>
      <c r="EES26" s="12"/>
      <c r="EET26" s="12"/>
      <c r="EFK26" s="12"/>
      <c r="EFL26" s="12"/>
      <c r="EGC26" s="12"/>
      <c r="EGD26" s="12"/>
      <c r="EGU26" s="12"/>
      <c r="EGV26" s="12"/>
      <c r="EHM26" s="12"/>
      <c r="EHN26" s="12"/>
      <c r="EIE26" s="12"/>
      <c r="EIF26" s="12"/>
      <c r="EIW26" s="12"/>
      <c r="EIX26" s="12"/>
      <c r="EJO26" s="12"/>
      <c r="EJP26" s="12"/>
      <c r="EKG26" s="12"/>
      <c r="EKH26" s="12"/>
      <c r="EKY26" s="12"/>
      <c r="EKZ26" s="12"/>
      <c r="ELQ26" s="12"/>
      <c r="ELR26" s="12"/>
      <c r="EMI26" s="12"/>
      <c r="EMJ26" s="12"/>
      <c r="ENA26" s="12"/>
      <c r="ENB26" s="12"/>
      <c r="ENS26" s="12"/>
      <c r="ENT26" s="12"/>
      <c r="EOK26" s="12"/>
      <c r="EOL26" s="12"/>
      <c r="EPC26" s="12"/>
      <c r="EPD26" s="12"/>
      <c r="EPU26" s="12"/>
      <c r="EPV26" s="12"/>
      <c r="EQM26" s="12"/>
      <c r="EQN26" s="12"/>
      <c r="ERE26" s="12"/>
      <c r="ERF26" s="12"/>
      <c r="ERW26" s="12"/>
      <c r="ERX26" s="12"/>
      <c r="ESO26" s="12"/>
      <c r="ESP26" s="12"/>
      <c r="ETG26" s="12"/>
      <c r="ETH26" s="12"/>
      <c r="ETY26" s="12"/>
      <c r="ETZ26" s="12"/>
      <c r="EUQ26" s="12"/>
      <c r="EUR26" s="12"/>
      <c r="EVI26" s="12"/>
      <c r="EVJ26" s="12"/>
      <c r="EWA26" s="12"/>
      <c r="EWB26" s="12"/>
      <c r="EWS26" s="12"/>
      <c r="EWT26" s="12"/>
      <c r="EXK26" s="12"/>
      <c r="EXL26" s="12"/>
      <c r="EYC26" s="12"/>
      <c r="EYD26" s="12"/>
      <c r="EYU26" s="12"/>
      <c r="EYV26" s="12"/>
      <c r="EZM26" s="12"/>
      <c r="EZN26" s="12"/>
      <c r="FAE26" s="12"/>
      <c r="FAF26" s="12"/>
      <c r="FAW26" s="12"/>
      <c r="FAX26" s="12"/>
      <c r="FBO26" s="12"/>
      <c r="FBP26" s="12"/>
      <c r="FCG26" s="12"/>
      <c r="FCH26" s="12"/>
      <c r="FCY26" s="12"/>
      <c r="FCZ26" s="12"/>
      <c r="FDQ26" s="12"/>
      <c r="FDR26" s="12"/>
      <c r="FEI26" s="12"/>
      <c r="FEJ26" s="12"/>
      <c r="FFA26" s="12"/>
      <c r="FFB26" s="12"/>
      <c r="FFS26" s="12"/>
      <c r="FFT26" s="12"/>
      <c r="FGK26" s="12"/>
      <c r="FGL26" s="12"/>
      <c r="FHC26" s="12"/>
      <c r="FHD26" s="12"/>
      <c r="FHU26" s="12"/>
      <c r="FHV26" s="12"/>
      <c r="FIM26" s="12"/>
      <c r="FIN26" s="12"/>
      <c r="FJE26" s="12"/>
      <c r="FJF26" s="12"/>
      <c r="FJW26" s="12"/>
      <c r="FJX26" s="12"/>
      <c r="FKO26" s="12"/>
      <c r="FKP26" s="12"/>
      <c r="FLG26" s="12"/>
      <c r="FLH26" s="12"/>
      <c r="FLY26" s="12"/>
      <c r="FLZ26" s="12"/>
      <c r="FMQ26" s="12"/>
      <c r="FMR26" s="12"/>
      <c r="FNI26" s="12"/>
      <c r="FNJ26" s="12"/>
      <c r="FOA26" s="12"/>
      <c r="FOB26" s="12"/>
      <c r="FOS26" s="12"/>
      <c r="FOT26" s="12"/>
      <c r="FPK26" s="12"/>
      <c r="FPL26" s="12"/>
      <c r="FQC26" s="12"/>
      <c r="FQD26" s="12"/>
      <c r="FQU26" s="12"/>
      <c r="FQV26" s="12"/>
      <c r="FRM26" s="12"/>
      <c r="FRN26" s="12"/>
      <c r="FSE26" s="12"/>
      <c r="FSF26" s="12"/>
      <c r="FSW26" s="12"/>
      <c r="FSX26" s="12"/>
      <c r="FTO26" s="12"/>
      <c r="FTP26" s="12"/>
      <c r="FUG26" s="12"/>
      <c r="FUH26" s="12"/>
      <c r="FUY26" s="12"/>
      <c r="FUZ26" s="12"/>
      <c r="FVQ26" s="12"/>
      <c r="FVR26" s="12"/>
      <c r="FWI26" s="12"/>
      <c r="FWJ26" s="12"/>
      <c r="FXA26" s="12"/>
      <c r="FXB26" s="12"/>
      <c r="FXS26" s="12"/>
      <c r="FXT26" s="12"/>
      <c r="FYK26" s="12"/>
      <c r="FYL26" s="12"/>
      <c r="FZC26" s="12"/>
      <c r="FZD26" s="12"/>
      <c r="FZU26" s="12"/>
      <c r="FZV26" s="12"/>
      <c r="GAM26" s="12"/>
      <c r="GAN26" s="12"/>
      <c r="GBE26" s="12"/>
      <c r="GBF26" s="12"/>
      <c r="GBW26" s="12"/>
      <c r="GBX26" s="12"/>
      <c r="GCO26" s="12"/>
      <c r="GCP26" s="12"/>
      <c r="GDG26" s="12"/>
      <c r="GDH26" s="12"/>
      <c r="GDY26" s="12"/>
      <c r="GDZ26" s="12"/>
      <c r="GEQ26" s="12"/>
      <c r="GER26" s="12"/>
      <c r="GFI26" s="12"/>
      <c r="GFJ26" s="12"/>
      <c r="GGA26" s="12"/>
      <c r="GGB26" s="12"/>
      <c r="GGS26" s="12"/>
      <c r="GGT26" s="12"/>
      <c r="GHK26" s="12"/>
      <c r="GHL26" s="12"/>
      <c r="GIC26" s="12"/>
      <c r="GID26" s="12"/>
      <c r="GIU26" s="12"/>
      <c r="GIV26" s="12"/>
      <c r="GJM26" s="12"/>
      <c r="GJN26" s="12"/>
      <c r="GKE26" s="12"/>
      <c r="GKF26" s="12"/>
      <c r="GKW26" s="12"/>
      <c r="GKX26" s="12"/>
      <c r="GLO26" s="12"/>
      <c r="GLP26" s="12"/>
      <c r="GMG26" s="12"/>
      <c r="GMH26" s="12"/>
      <c r="GMY26" s="12"/>
      <c r="GMZ26" s="12"/>
      <c r="GNQ26" s="12"/>
      <c r="GNR26" s="12"/>
      <c r="GOI26" s="12"/>
      <c r="GOJ26" s="12"/>
      <c r="GPA26" s="12"/>
      <c r="GPB26" s="12"/>
      <c r="GPS26" s="12"/>
      <c r="GPT26" s="12"/>
      <c r="GQK26" s="12"/>
      <c r="GQL26" s="12"/>
      <c r="GRC26" s="12"/>
      <c r="GRD26" s="12"/>
      <c r="GRU26" s="12"/>
      <c r="GRV26" s="12"/>
      <c r="GSM26" s="12"/>
      <c r="GSN26" s="12"/>
      <c r="GTE26" s="12"/>
      <c r="GTF26" s="12"/>
      <c r="GTW26" s="12"/>
      <c r="GTX26" s="12"/>
      <c r="GUO26" s="12"/>
      <c r="GUP26" s="12"/>
      <c r="GVG26" s="12"/>
      <c r="GVH26" s="12"/>
      <c r="GVY26" s="12"/>
      <c r="GVZ26" s="12"/>
      <c r="GWQ26" s="12"/>
      <c r="GWR26" s="12"/>
      <c r="GXI26" s="12"/>
      <c r="GXJ26" s="12"/>
      <c r="GYA26" s="12"/>
      <c r="GYB26" s="12"/>
      <c r="GYS26" s="12"/>
      <c r="GYT26" s="12"/>
      <c r="GZK26" s="12"/>
      <c r="GZL26" s="12"/>
      <c r="HAC26" s="12"/>
      <c r="HAD26" s="12"/>
      <c r="HAU26" s="12"/>
      <c r="HAV26" s="12"/>
      <c r="HBM26" s="12"/>
      <c r="HBN26" s="12"/>
      <c r="HCE26" s="12"/>
      <c r="HCF26" s="12"/>
      <c r="HCW26" s="12"/>
      <c r="HCX26" s="12"/>
      <c r="HDO26" s="12"/>
      <c r="HDP26" s="12"/>
      <c r="HEG26" s="12"/>
      <c r="HEH26" s="12"/>
      <c r="HEY26" s="12"/>
      <c r="HEZ26" s="12"/>
      <c r="HFQ26" s="12"/>
      <c r="HFR26" s="12"/>
      <c r="HGI26" s="12"/>
      <c r="HGJ26" s="12"/>
      <c r="HHA26" s="12"/>
      <c r="HHB26" s="12"/>
      <c r="HHS26" s="12"/>
      <c r="HHT26" s="12"/>
      <c r="HIK26" s="12"/>
      <c r="HIL26" s="12"/>
      <c r="HJC26" s="12"/>
      <c r="HJD26" s="12"/>
      <c r="HJU26" s="12"/>
      <c r="HJV26" s="12"/>
      <c r="HKM26" s="12"/>
      <c r="HKN26" s="12"/>
      <c r="HLE26" s="12"/>
      <c r="HLF26" s="12"/>
      <c r="HLW26" s="12"/>
      <c r="HLX26" s="12"/>
      <c r="HMO26" s="12"/>
      <c r="HMP26" s="12"/>
      <c r="HNG26" s="12"/>
      <c r="HNH26" s="12"/>
      <c r="HNY26" s="12"/>
      <c r="HNZ26" s="12"/>
      <c r="HOQ26" s="12"/>
      <c r="HOR26" s="12"/>
      <c r="HPI26" s="12"/>
      <c r="HPJ26" s="12"/>
      <c r="HQA26" s="12"/>
      <c r="HQB26" s="12"/>
      <c r="HQS26" s="12"/>
      <c r="HQT26" s="12"/>
      <c r="HRK26" s="12"/>
      <c r="HRL26" s="12"/>
      <c r="HSC26" s="12"/>
      <c r="HSD26" s="12"/>
      <c r="HSU26" s="12"/>
      <c r="HSV26" s="12"/>
      <c r="HTM26" s="12"/>
      <c r="HTN26" s="12"/>
      <c r="HUE26" s="12"/>
      <c r="HUF26" s="12"/>
      <c r="HUW26" s="12"/>
      <c r="HUX26" s="12"/>
      <c r="HVO26" s="12"/>
      <c r="HVP26" s="12"/>
      <c r="HWG26" s="12"/>
      <c r="HWH26" s="12"/>
      <c r="HWY26" s="12"/>
      <c r="HWZ26" s="12"/>
      <c r="HXQ26" s="12"/>
      <c r="HXR26" s="12"/>
      <c r="HYI26" s="12"/>
      <c r="HYJ26" s="12"/>
      <c r="HZA26" s="12"/>
      <c r="HZB26" s="12"/>
      <c r="HZS26" s="12"/>
      <c r="HZT26" s="12"/>
      <c r="IAK26" s="12"/>
      <c r="IAL26" s="12"/>
      <c r="IBC26" s="12"/>
      <c r="IBD26" s="12"/>
      <c r="IBU26" s="12"/>
      <c r="IBV26" s="12"/>
      <c r="ICM26" s="12"/>
      <c r="ICN26" s="12"/>
      <c r="IDE26" s="12"/>
      <c r="IDF26" s="12"/>
      <c r="IDW26" s="12"/>
      <c r="IDX26" s="12"/>
      <c r="IEO26" s="12"/>
      <c r="IEP26" s="12"/>
      <c r="IFG26" s="12"/>
      <c r="IFH26" s="12"/>
      <c r="IFY26" s="12"/>
      <c r="IFZ26" s="12"/>
      <c r="IGQ26" s="12"/>
      <c r="IGR26" s="12"/>
      <c r="IHI26" s="12"/>
      <c r="IHJ26" s="12"/>
      <c r="IIA26" s="12"/>
      <c r="IIB26" s="12"/>
      <c r="IIS26" s="12"/>
      <c r="IIT26" s="12"/>
      <c r="IJK26" s="12"/>
      <c r="IJL26" s="12"/>
      <c r="IKC26" s="12"/>
      <c r="IKD26" s="12"/>
      <c r="IKU26" s="12"/>
      <c r="IKV26" s="12"/>
      <c r="ILM26" s="12"/>
      <c r="ILN26" s="12"/>
      <c r="IME26" s="12"/>
      <c r="IMF26" s="12"/>
      <c r="IMW26" s="12"/>
      <c r="IMX26" s="12"/>
      <c r="INO26" s="12"/>
      <c r="INP26" s="12"/>
      <c r="IOG26" s="12"/>
      <c r="IOH26" s="12"/>
      <c r="IOY26" s="12"/>
      <c r="IOZ26" s="12"/>
      <c r="IPQ26" s="12"/>
      <c r="IPR26" s="12"/>
      <c r="IQI26" s="12"/>
      <c r="IQJ26" s="12"/>
      <c r="IRA26" s="12"/>
      <c r="IRB26" s="12"/>
      <c r="IRS26" s="12"/>
      <c r="IRT26" s="12"/>
      <c r="ISK26" s="12"/>
      <c r="ISL26" s="12"/>
      <c r="ITC26" s="12"/>
      <c r="ITD26" s="12"/>
      <c r="ITU26" s="12"/>
      <c r="ITV26" s="12"/>
      <c r="IUM26" s="12"/>
      <c r="IUN26" s="12"/>
      <c r="IVE26" s="12"/>
      <c r="IVF26" s="12"/>
      <c r="IVW26" s="12"/>
      <c r="IVX26" s="12"/>
      <c r="IWO26" s="12"/>
      <c r="IWP26" s="12"/>
      <c r="IXG26" s="12"/>
      <c r="IXH26" s="12"/>
      <c r="IXY26" s="12"/>
      <c r="IXZ26" s="12"/>
      <c r="IYQ26" s="12"/>
      <c r="IYR26" s="12"/>
      <c r="IZI26" s="12"/>
      <c r="IZJ26" s="12"/>
      <c r="JAA26" s="12"/>
      <c r="JAB26" s="12"/>
      <c r="JAS26" s="12"/>
      <c r="JAT26" s="12"/>
      <c r="JBK26" s="12"/>
      <c r="JBL26" s="12"/>
      <c r="JCC26" s="12"/>
      <c r="JCD26" s="12"/>
      <c r="JCU26" s="12"/>
      <c r="JCV26" s="12"/>
      <c r="JDM26" s="12"/>
      <c r="JDN26" s="12"/>
      <c r="JEE26" s="12"/>
      <c r="JEF26" s="12"/>
      <c r="JEW26" s="12"/>
      <c r="JEX26" s="12"/>
      <c r="JFO26" s="12"/>
      <c r="JFP26" s="12"/>
      <c r="JGG26" s="12"/>
      <c r="JGH26" s="12"/>
      <c r="JGY26" s="12"/>
      <c r="JGZ26" s="12"/>
      <c r="JHQ26" s="12"/>
      <c r="JHR26" s="12"/>
      <c r="JII26" s="12"/>
      <c r="JIJ26" s="12"/>
      <c r="JJA26" s="12"/>
      <c r="JJB26" s="12"/>
      <c r="JJS26" s="12"/>
      <c r="JJT26" s="12"/>
      <c r="JKK26" s="12"/>
      <c r="JKL26" s="12"/>
      <c r="JLC26" s="12"/>
      <c r="JLD26" s="12"/>
      <c r="JLU26" s="12"/>
      <c r="JLV26" s="12"/>
      <c r="JMM26" s="12"/>
      <c r="JMN26" s="12"/>
      <c r="JNE26" s="12"/>
      <c r="JNF26" s="12"/>
      <c r="JNW26" s="12"/>
      <c r="JNX26" s="12"/>
      <c r="JOO26" s="12"/>
      <c r="JOP26" s="12"/>
      <c r="JPG26" s="12"/>
      <c r="JPH26" s="12"/>
      <c r="JPY26" s="12"/>
      <c r="JPZ26" s="12"/>
      <c r="JQQ26" s="12"/>
      <c r="JQR26" s="12"/>
      <c r="JRI26" s="12"/>
      <c r="JRJ26" s="12"/>
      <c r="JSA26" s="12"/>
      <c r="JSB26" s="12"/>
      <c r="JSS26" s="12"/>
      <c r="JST26" s="12"/>
      <c r="JTK26" s="12"/>
      <c r="JTL26" s="12"/>
      <c r="JUC26" s="12"/>
      <c r="JUD26" s="12"/>
      <c r="JUU26" s="12"/>
      <c r="JUV26" s="12"/>
      <c r="JVM26" s="12"/>
      <c r="JVN26" s="12"/>
      <c r="JWE26" s="12"/>
      <c r="JWF26" s="12"/>
      <c r="JWW26" s="12"/>
      <c r="JWX26" s="12"/>
      <c r="JXO26" s="12"/>
      <c r="JXP26" s="12"/>
      <c r="JYG26" s="12"/>
      <c r="JYH26" s="12"/>
      <c r="JYY26" s="12"/>
      <c r="JYZ26" s="12"/>
      <c r="JZQ26" s="12"/>
      <c r="JZR26" s="12"/>
      <c r="KAI26" s="12"/>
      <c r="KAJ26" s="12"/>
      <c r="KBA26" s="12"/>
      <c r="KBB26" s="12"/>
      <c r="KBS26" s="12"/>
      <c r="KBT26" s="12"/>
      <c r="KCK26" s="12"/>
      <c r="KCL26" s="12"/>
      <c r="KDC26" s="12"/>
      <c r="KDD26" s="12"/>
      <c r="KDU26" s="12"/>
      <c r="KDV26" s="12"/>
      <c r="KEM26" s="12"/>
      <c r="KEN26" s="12"/>
      <c r="KFE26" s="12"/>
      <c r="KFF26" s="12"/>
      <c r="KFW26" s="12"/>
      <c r="KFX26" s="12"/>
      <c r="KGO26" s="12"/>
      <c r="KGP26" s="12"/>
      <c r="KHG26" s="12"/>
      <c r="KHH26" s="12"/>
      <c r="KHY26" s="12"/>
      <c r="KHZ26" s="12"/>
      <c r="KIQ26" s="12"/>
      <c r="KIR26" s="12"/>
      <c r="KJI26" s="12"/>
      <c r="KJJ26" s="12"/>
      <c r="KKA26" s="12"/>
      <c r="KKB26" s="12"/>
      <c r="KKS26" s="12"/>
      <c r="KKT26" s="12"/>
      <c r="KLK26" s="12"/>
      <c r="KLL26" s="12"/>
      <c r="KMC26" s="12"/>
      <c r="KMD26" s="12"/>
      <c r="KMU26" s="12"/>
      <c r="KMV26" s="12"/>
      <c r="KNM26" s="12"/>
      <c r="KNN26" s="12"/>
      <c r="KOE26" s="12"/>
      <c r="KOF26" s="12"/>
      <c r="KOW26" s="12"/>
      <c r="KOX26" s="12"/>
      <c r="KPO26" s="12"/>
      <c r="KPP26" s="12"/>
      <c r="KQG26" s="12"/>
      <c r="KQH26" s="12"/>
      <c r="KQY26" s="12"/>
      <c r="KQZ26" s="12"/>
      <c r="KRQ26" s="12"/>
      <c r="KRR26" s="12"/>
      <c r="KSI26" s="12"/>
      <c r="KSJ26" s="12"/>
      <c r="KTA26" s="12"/>
      <c r="KTB26" s="12"/>
      <c r="KTS26" s="12"/>
      <c r="KTT26" s="12"/>
      <c r="KUK26" s="12"/>
      <c r="KUL26" s="12"/>
      <c r="KVC26" s="12"/>
      <c r="KVD26" s="12"/>
      <c r="KVU26" s="12"/>
      <c r="KVV26" s="12"/>
      <c r="KWM26" s="12"/>
      <c r="KWN26" s="12"/>
      <c r="KXE26" s="12"/>
      <c r="KXF26" s="12"/>
      <c r="KXW26" s="12"/>
      <c r="KXX26" s="12"/>
      <c r="KYO26" s="12"/>
      <c r="KYP26" s="12"/>
      <c r="KZG26" s="12"/>
      <c r="KZH26" s="12"/>
      <c r="KZY26" s="12"/>
      <c r="KZZ26" s="12"/>
      <c r="LAQ26" s="12"/>
      <c r="LAR26" s="12"/>
      <c r="LBI26" s="12"/>
      <c r="LBJ26" s="12"/>
      <c r="LCA26" s="12"/>
      <c r="LCB26" s="12"/>
      <c r="LCS26" s="12"/>
      <c r="LCT26" s="12"/>
      <c r="LDK26" s="12"/>
      <c r="LDL26" s="12"/>
      <c r="LEC26" s="12"/>
      <c r="LED26" s="12"/>
      <c r="LEU26" s="12"/>
      <c r="LEV26" s="12"/>
      <c r="LFM26" s="12"/>
      <c r="LFN26" s="12"/>
      <c r="LGE26" s="12"/>
      <c r="LGF26" s="12"/>
      <c r="LGW26" s="12"/>
      <c r="LGX26" s="12"/>
      <c r="LHO26" s="12"/>
      <c r="LHP26" s="12"/>
      <c r="LIG26" s="12"/>
      <c r="LIH26" s="12"/>
      <c r="LIY26" s="12"/>
      <c r="LIZ26" s="12"/>
      <c r="LJQ26" s="12"/>
      <c r="LJR26" s="12"/>
      <c r="LKI26" s="12"/>
      <c r="LKJ26" s="12"/>
      <c r="LLA26" s="12"/>
      <c r="LLB26" s="12"/>
      <c r="LLS26" s="12"/>
      <c r="LLT26" s="12"/>
      <c r="LMK26" s="12"/>
      <c r="LML26" s="12"/>
      <c r="LNC26" s="12"/>
      <c r="LND26" s="12"/>
      <c r="LNU26" s="12"/>
      <c r="LNV26" s="12"/>
      <c r="LOM26" s="12"/>
      <c r="LON26" s="12"/>
      <c r="LPE26" s="12"/>
      <c r="LPF26" s="12"/>
      <c r="LPW26" s="12"/>
      <c r="LPX26" s="12"/>
      <c r="LQO26" s="12"/>
      <c r="LQP26" s="12"/>
      <c r="LRG26" s="12"/>
      <c r="LRH26" s="12"/>
      <c r="LRY26" s="12"/>
      <c r="LRZ26" s="12"/>
      <c r="LSQ26" s="12"/>
      <c r="LSR26" s="12"/>
      <c r="LTI26" s="12"/>
      <c r="LTJ26" s="12"/>
      <c r="LUA26" s="12"/>
      <c r="LUB26" s="12"/>
      <c r="LUS26" s="12"/>
      <c r="LUT26" s="12"/>
      <c r="LVK26" s="12"/>
      <c r="LVL26" s="12"/>
      <c r="LWC26" s="12"/>
      <c r="LWD26" s="12"/>
      <c r="LWU26" s="12"/>
      <c r="LWV26" s="12"/>
      <c r="LXM26" s="12"/>
      <c r="LXN26" s="12"/>
      <c r="LYE26" s="12"/>
      <c r="LYF26" s="12"/>
      <c r="LYW26" s="12"/>
      <c r="LYX26" s="12"/>
      <c r="LZO26" s="12"/>
      <c r="LZP26" s="12"/>
      <c r="MAG26" s="12"/>
      <c r="MAH26" s="12"/>
      <c r="MAY26" s="12"/>
      <c r="MAZ26" s="12"/>
      <c r="MBQ26" s="12"/>
      <c r="MBR26" s="12"/>
      <c r="MCI26" s="12"/>
      <c r="MCJ26" s="12"/>
      <c r="MDA26" s="12"/>
      <c r="MDB26" s="12"/>
      <c r="MDS26" s="12"/>
      <c r="MDT26" s="12"/>
      <c r="MEK26" s="12"/>
      <c r="MEL26" s="12"/>
      <c r="MFC26" s="12"/>
      <c r="MFD26" s="12"/>
      <c r="MFU26" s="12"/>
      <c r="MFV26" s="12"/>
      <c r="MGM26" s="12"/>
      <c r="MGN26" s="12"/>
      <c r="MHE26" s="12"/>
      <c r="MHF26" s="12"/>
      <c r="MHW26" s="12"/>
      <c r="MHX26" s="12"/>
      <c r="MIO26" s="12"/>
      <c r="MIP26" s="12"/>
      <c r="MJG26" s="12"/>
      <c r="MJH26" s="12"/>
      <c r="MJY26" s="12"/>
      <c r="MJZ26" s="12"/>
      <c r="MKQ26" s="12"/>
      <c r="MKR26" s="12"/>
      <c r="MLI26" s="12"/>
      <c r="MLJ26" s="12"/>
      <c r="MMA26" s="12"/>
      <c r="MMB26" s="12"/>
      <c r="MMS26" s="12"/>
      <c r="MMT26" s="12"/>
      <c r="MNK26" s="12"/>
      <c r="MNL26" s="12"/>
      <c r="MOC26" s="12"/>
      <c r="MOD26" s="12"/>
      <c r="MOU26" s="12"/>
      <c r="MOV26" s="12"/>
      <c r="MPM26" s="12"/>
      <c r="MPN26" s="12"/>
      <c r="MQE26" s="12"/>
      <c r="MQF26" s="12"/>
      <c r="MQW26" s="12"/>
      <c r="MQX26" s="12"/>
      <c r="MRO26" s="12"/>
      <c r="MRP26" s="12"/>
      <c r="MSG26" s="12"/>
      <c r="MSH26" s="12"/>
      <c r="MSY26" s="12"/>
      <c r="MSZ26" s="12"/>
      <c r="MTQ26" s="12"/>
      <c r="MTR26" s="12"/>
      <c r="MUI26" s="12"/>
      <c r="MUJ26" s="12"/>
      <c r="MVA26" s="12"/>
      <c r="MVB26" s="12"/>
      <c r="MVS26" s="12"/>
      <c r="MVT26" s="12"/>
      <c r="MWK26" s="12"/>
      <c r="MWL26" s="12"/>
      <c r="MXC26" s="12"/>
      <c r="MXD26" s="12"/>
      <c r="MXU26" s="12"/>
      <c r="MXV26" s="12"/>
      <c r="MYM26" s="12"/>
      <c r="MYN26" s="12"/>
      <c r="MZE26" s="12"/>
      <c r="MZF26" s="12"/>
      <c r="MZW26" s="12"/>
      <c r="MZX26" s="12"/>
      <c r="NAO26" s="12"/>
      <c r="NAP26" s="12"/>
      <c r="NBG26" s="12"/>
      <c r="NBH26" s="12"/>
      <c r="NBY26" s="12"/>
      <c r="NBZ26" s="12"/>
      <c r="NCQ26" s="12"/>
      <c r="NCR26" s="12"/>
      <c r="NDI26" s="12"/>
      <c r="NDJ26" s="12"/>
      <c r="NEA26" s="12"/>
      <c r="NEB26" s="12"/>
      <c r="NES26" s="12"/>
      <c r="NET26" s="12"/>
      <c r="NFK26" s="12"/>
      <c r="NFL26" s="12"/>
      <c r="NGC26" s="12"/>
      <c r="NGD26" s="12"/>
      <c r="NGU26" s="12"/>
      <c r="NGV26" s="12"/>
      <c r="NHM26" s="12"/>
      <c r="NHN26" s="12"/>
      <c r="NIE26" s="12"/>
      <c r="NIF26" s="12"/>
      <c r="NIW26" s="12"/>
      <c r="NIX26" s="12"/>
      <c r="NJO26" s="12"/>
      <c r="NJP26" s="12"/>
      <c r="NKG26" s="12"/>
      <c r="NKH26" s="12"/>
      <c r="NKY26" s="12"/>
      <c r="NKZ26" s="12"/>
      <c r="NLQ26" s="12"/>
      <c r="NLR26" s="12"/>
      <c r="NMI26" s="12"/>
      <c r="NMJ26" s="12"/>
      <c r="NNA26" s="12"/>
      <c r="NNB26" s="12"/>
      <c r="NNS26" s="12"/>
      <c r="NNT26" s="12"/>
      <c r="NOK26" s="12"/>
      <c r="NOL26" s="12"/>
      <c r="NPC26" s="12"/>
      <c r="NPD26" s="12"/>
      <c r="NPU26" s="12"/>
      <c r="NPV26" s="12"/>
      <c r="NQM26" s="12"/>
      <c r="NQN26" s="12"/>
      <c r="NRE26" s="12"/>
      <c r="NRF26" s="12"/>
      <c r="NRW26" s="12"/>
      <c r="NRX26" s="12"/>
      <c r="NSO26" s="12"/>
      <c r="NSP26" s="12"/>
      <c r="NTG26" s="12"/>
      <c r="NTH26" s="12"/>
      <c r="NTY26" s="12"/>
      <c r="NTZ26" s="12"/>
      <c r="NUQ26" s="12"/>
      <c r="NUR26" s="12"/>
      <c r="NVI26" s="12"/>
      <c r="NVJ26" s="12"/>
      <c r="NWA26" s="12"/>
      <c r="NWB26" s="12"/>
      <c r="NWS26" s="12"/>
      <c r="NWT26" s="12"/>
      <c r="NXK26" s="12"/>
      <c r="NXL26" s="12"/>
      <c r="NYC26" s="12"/>
      <c r="NYD26" s="12"/>
      <c r="NYU26" s="12"/>
      <c r="NYV26" s="12"/>
      <c r="NZM26" s="12"/>
      <c r="NZN26" s="12"/>
      <c r="OAE26" s="12"/>
      <c r="OAF26" s="12"/>
      <c r="OAW26" s="12"/>
      <c r="OAX26" s="12"/>
      <c r="OBO26" s="12"/>
      <c r="OBP26" s="12"/>
      <c r="OCG26" s="12"/>
      <c r="OCH26" s="12"/>
      <c r="OCY26" s="12"/>
      <c r="OCZ26" s="12"/>
      <c r="ODQ26" s="12"/>
      <c r="ODR26" s="12"/>
      <c r="OEI26" s="12"/>
      <c r="OEJ26" s="12"/>
      <c r="OFA26" s="12"/>
      <c r="OFB26" s="12"/>
      <c r="OFS26" s="12"/>
      <c r="OFT26" s="12"/>
      <c r="OGK26" s="12"/>
      <c r="OGL26" s="12"/>
      <c r="OHC26" s="12"/>
      <c r="OHD26" s="12"/>
      <c r="OHU26" s="12"/>
      <c r="OHV26" s="12"/>
      <c r="OIM26" s="12"/>
      <c r="OIN26" s="12"/>
      <c r="OJE26" s="12"/>
      <c r="OJF26" s="12"/>
      <c r="OJW26" s="12"/>
      <c r="OJX26" s="12"/>
      <c r="OKO26" s="12"/>
      <c r="OKP26" s="12"/>
      <c r="OLG26" s="12"/>
      <c r="OLH26" s="12"/>
      <c r="OLY26" s="12"/>
      <c r="OLZ26" s="12"/>
      <c r="OMQ26" s="12"/>
      <c r="OMR26" s="12"/>
      <c r="ONI26" s="12"/>
      <c r="ONJ26" s="12"/>
      <c r="OOA26" s="12"/>
      <c r="OOB26" s="12"/>
      <c r="OOS26" s="12"/>
      <c r="OOT26" s="12"/>
      <c r="OPK26" s="12"/>
      <c r="OPL26" s="12"/>
      <c r="OQC26" s="12"/>
      <c r="OQD26" s="12"/>
      <c r="OQU26" s="12"/>
      <c r="OQV26" s="12"/>
      <c r="ORM26" s="12"/>
      <c r="ORN26" s="12"/>
      <c r="OSE26" s="12"/>
      <c r="OSF26" s="12"/>
      <c r="OSW26" s="12"/>
      <c r="OSX26" s="12"/>
      <c r="OTO26" s="12"/>
      <c r="OTP26" s="12"/>
      <c r="OUG26" s="12"/>
      <c r="OUH26" s="12"/>
      <c r="OUY26" s="12"/>
      <c r="OUZ26" s="12"/>
      <c r="OVQ26" s="12"/>
      <c r="OVR26" s="12"/>
      <c r="OWI26" s="12"/>
      <c r="OWJ26" s="12"/>
      <c r="OXA26" s="12"/>
      <c r="OXB26" s="12"/>
      <c r="OXS26" s="12"/>
      <c r="OXT26" s="12"/>
      <c r="OYK26" s="12"/>
      <c r="OYL26" s="12"/>
      <c r="OZC26" s="12"/>
      <c r="OZD26" s="12"/>
      <c r="OZU26" s="12"/>
      <c r="OZV26" s="12"/>
      <c r="PAM26" s="12"/>
      <c r="PAN26" s="12"/>
      <c r="PBE26" s="12"/>
      <c r="PBF26" s="12"/>
      <c r="PBW26" s="12"/>
      <c r="PBX26" s="12"/>
      <c r="PCO26" s="12"/>
      <c r="PCP26" s="12"/>
      <c r="PDG26" s="12"/>
      <c r="PDH26" s="12"/>
      <c r="PDY26" s="12"/>
      <c r="PDZ26" s="12"/>
      <c r="PEQ26" s="12"/>
      <c r="PER26" s="12"/>
      <c r="PFI26" s="12"/>
      <c r="PFJ26" s="12"/>
      <c r="PGA26" s="12"/>
      <c r="PGB26" s="12"/>
      <c r="PGS26" s="12"/>
      <c r="PGT26" s="12"/>
      <c r="PHK26" s="12"/>
      <c r="PHL26" s="12"/>
      <c r="PIC26" s="12"/>
      <c r="PID26" s="12"/>
      <c r="PIU26" s="12"/>
      <c r="PIV26" s="12"/>
      <c r="PJM26" s="12"/>
      <c r="PJN26" s="12"/>
      <c r="PKE26" s="12"/>
      <c r="PKF26" s="12"/>
      <c r="PKW26" s="12"/>
      <c r="PKX26" s="12"/>
      <c r="PLO26" s="12"/>
      <c r="PLP26" s="12"/>
      <c r="PMG26" s="12"/>
      <c r="PMH26" s="12"/>
      <c r="PMY26" s="12"/>
      <c r="PMZ26" s="12"/>
      <c r="PNQ26" s="12"/>
      <c r="PNR26" s="12"/>
      <c r="POI26" s="12"/>
      <c r="POJ26" s="12"/>
      <c r="PPA26" s="12"/>
      <c r="PPB26" s="12"/>
      <c r="PPS26" s="12"/>
      <c r="PPT26" s="12"/>
      <c r="PQK26" s="12"/>
      <c r="PQL26" s="12"/>
      <c r="PRC26" s="12"/>
      <c r="PRD26" s="12"/>
      <c r="PRU26" s="12"/>
      <c r="PRV26" s="12"/>
      <c r="PSM26" s="12"/>
      <c r="PSN26" s="12"/>
      <c r="PTE26" s="12"/>
      <c r="PTF26" s="12"/>
      <c r="PTW26" s="12"/>
      <c r="PTX26" s="12"/>
      <c r="PUO26" s="12"/>
      <c r="PUP26" s="12"/>
      <c r="PVG26" s="12"/>
      <c r="PVH26" s="12"/>
      <c r="PVY26" s="12"/>
      <c r="PVZ26" s="12"/>
      <c r="PWQ26" s="12"/>
      <c r="PWR26" s="12"/>
      <c r="PXI26" s="12"/>
      <c r="PXJ26" s="12"/>
      <c r="PYA26" s="12"/>
      <c r="PYB26" s="12"/>
      <c r="PYS26" s="12"/>
      <c r="PYT26" s="12"/>
      <c r="PZK26" s="12"/>
      <c r="PZL26" s="12"/>
      <c r="QAC26" s="12"/>
      <c r="QAD26" s="12"/>
      <c r="QAU26" s="12"/>
      <c r="QAV26" s="12"/>
      <c r="QBM26" s="12"/>
      <c r="QBN26" s="12"/>
      <c r="QCE26" s="12"/>
      <c r="QCF26" s="12"/>
      <c r="QCW26" s="12"/>
      <c r="QCX26" s="12"/>
      <c r="QDO26" s="12"/>
      <c r="QDP26" s="12"/>
      <c r="QEG26" s="12"/>
      <c r="QEH26" s="12"/>
      <c r="QEY26" s="12"/>
      <c r="QEZ26" s="12"/>
      <c r="QFQ26" s="12"/>
      <c r="QFR26" s="12"/>
      <c r="QGI26" s="12"/>
      <c r="QGJ26" s="12"/>
      <c r="QHA26" s="12"/>
      <c r="QHB26" s="12"/>
      <c r="QHS26" s="12"/>
      <c r="QHT26" s="12"/>
      <c r="QIK26" s="12"/>
      <c r="QIL26" s="12"/>
      <c r="QJC26" s="12"/>
      <c r="QJD26" s="12"/>
      <c r="QJU26" s="12"/>
      <c r="QJV26" s="12"/>
      <c r="QKM26" s="12"/>
      <c r="QKN26" s="12"/>
      <c r="QLE26" s="12"/>
      <c r="QLF26" s="12"/>
      <c r="QLW26" s="12"/>
      <c r="QLX26" s="12"/>
      <c r="QMO26" s="12"/>
      <c r="QMP26" s="12"/>
      <c r="QNG26" s="12"/>
      <c r="QNH26" s="12"/>
      <c r="QNY26" s="12"/>
      <c r="QNZ26" s="12"/>
      <c r="QOQ26" s="12"/>
      <c r="QOR26" s="12"/>
      <c r="QPI26" s="12"/>
      <c r="QPJ26" s="12"/>
      <c r="QQA26" s="12"/>
      <c r="QQB26" s="12"/>
      <c r="QQS26" s="12"/>
      <c r="QQT26" s="12"/>
      <c r="QRK26" s="12"/>
      <c r="QRL26" s="12"/>
      <c r="QSC26" s="12"/>
      <c r="QSD26" s="12"/>
      <c r="QSU26" s="12"/>
      <c r="QSV26" s="12"/>
      <c r="QTM26" s="12"/>
      <c r="QTN26" s="12"/>
      <c r="QUE26" s="12"/>
      <c r="QUF26" s="12"/>
      <c r="QUW26" s="12"/>
      <c r="QUX26" s="12"/>
      <c r="QVO26" s="12"/>
      <c r="QVP26" s="12"/>
      <c r="QWG26" s="12"/>
      <c r="QWH26" s="12"/>
      <c r="QWY26" s="12"/>
      <c r="QWZ26" s="12"/>
      <c r="QXQ26" s="12"/>
      <c r="QXR26" s="12"/>
      <c r="QYI26" s="12"/>
      <c r="QYJ26" s="12"/>
      <c r="QZA26" s="12"/>
      <c r="QZB26" s="12"/>
      <c r="QZS26" s="12"/>
      <c r="QZT26" s="12"/>
      <c r="RAK26" s="12"/>
      <c r="RAL26" s="12"/>
      <c r="RBC26" s="12"/>
      <c r="RBD26" s="12"/>
      <c r="RBU26" s="12"/>
      <c r="RBV26" s="12"/>
      <c r="RCM26" s="12"/>
      <c r="RCN26" s="12"/>
      <c r="RDE26" s="12"/>
      <c r="RDF26" s="12"/>
      <c r="RDW26" s="12"/>
      <c r="RDX26" s="12"/>
      <c r="REO26" s="12"/>
      <c r="REP26" s="12"/>
      <c r="RFG26" s="12"/>
      <c r="RFH26" s="12"/>
      <c r="RFY26" s="12"/>
      <c r="RFZ26" s="12"/>
      <c r="RGQ26" s="12"/>
      <c r="RGR26" s="12"/>
      <c r="RHI26" s="12"/>
      <c r="RHJ26" s="12"/>
      <c r="RIA26" s="12"/>
      <c r="RIB26" s="12"/>
      <c r="RIS26" s="12"/>
      <c r="RIT26" s="12"/>
      <c r="RJK26" s="12"/>
      <c r="RJL26" s="12"/>
      <c r="RKC26" s="12"/>
      <c r="RKD26" s="12"/>
      <c r="RKU26" s="12"/>
      <c r="RKV26" s="12"/>
      <c r="RLM26" s="12"/>
      <c r="RLN26" s="12"/>
      <c r="RME26" s="12"/>
      <c r="RMF26" s="12"/>
      <c r="RMW26" s="12"/>
      <c r="RMX26" s="12"/>
      <c r="RNO26" s="12"/>
      <c r="RNP26" s="12"/>
      <c r="ROG26" s="12"/>
      <c r="ROH26" s="12"/>
      <c r="ROY26" s="12"/>
      <c r="ROZ26" s="12"/>
      <c r="RPQ26" s="12"/>
      <c r="RPR26" s="12"/>
      <c r="RQI26" s="12"/>
      <c r="RQJ26" s="12"/>
      <c r="RRA26" s="12"/>
      <c r="RRB26" s="12"/>
      <c r="RRS26" s="12"/>
      <c r="RRT26" s="12"/>
      <c r="RSK26" s="12"/>
      <c r="RSL26" s="12"/>
      <c r="RTC26" s="12"/>
      <c r="RTD26" s="12"/>
      <c r="RTU26" s="12"/>
      <c r="RTV26" s="12"/>
      <c r="RUM26" s="12"/>
      <c r="RUN26" s="12"/>
      <c r="RVE26" s="12"/>
      <c r="RVF26" s="12"/>
      <c r="RVW26" s="12"/>
      <c r="RVX26" s="12"/>
      <c r="RWO26" s="12"/>
      <c r="RWP26" s="12"/>
      <c r="RXG26" s="12"/>
      <c r="RXH26" s="12"/>
      <c r="RXY26" s="12"/>
      <c r="RXZ26" s="12"/>
      <c r="RYQ26" s="12"/>
      <c r="RYR26" s="12"/>
      <c r="RZI26" s="12"/>
      <c r="RZJ26" s="12"/>
      <c r="SAA26" s="12"/>
      <c r="SAB26" s="12"/>
      <c r="SAS26" s="12"/>
      <c r="SAT26" s="12"/>
      <c r="SBK26" s="12"/>
      <c r="SBL26" s="12"/>
      <c r="SCC26" s="12"/>
      <c r="SCD26" s="12"/>
      <c r="SCU26" s="12"/>
      <c r="SCV26" s="12"/>
      <c r="SDM26" s="12"/>
      <c r="SDN26" s="12"/>
      <c r="SEE26" s="12"/>
      <c r="SEF26" s="12"/>
      <c r="SEW26" s="12"/>
      <c r="SEX26" s="12"/>
      <c r="SFO26" s="12"/>
      <c r="SFP26" s="12"/>
      <c r="SGG26" s="12"/>
      <c r="SGH26" s="12"/>
      <c r="SGY26" s="12"/>
      <c r="SGZ26" s="12"/>
      <c r="SHQ26" s="12"/>
      <c r="SHR26" s="12"/>
      <c r="SII26" s="12"/>
      <c r="SIJ26" s="12"/>
      <c r="SJA26" s="12"/>
      <c r="SJB26" s="12"/>
      <c r="SJS26" s="12"/>
      <c r="SJT26" s="12"/>
      <c r="SKK26" s="12"/>
      <c r="SKL26" s="12"/>
      <c r="SLC26" s="12"/>
      <c r="SLD26" s="12"/>
      <c r="SLU26" s="12"/>
      <c r="SLV26" s="12"/>
      <c r="SMM26" s="12"/>
      <c r="SMN26" s="12"/>
      <c r="SNE26" s="12"/>
      <c r="SNF26" s="12"/>
      <c r="SNW26" s="12"/>
      <c r="SNX26" s="12"/>
      <c r="SOO26" s="12"/>
      <c r="SOP26" s="12"/>
      <c r="SPG26" s="12"/>
      <c r="SPH26" s="12"/>
      <c r="SPY26" s="12"/>
      <c r="SPZ26" s="12"/>
      <c r="SQQ26" s="12"/>
      <c r="SQR26" s="12"/>
      <c r="SRI26" s="12"/>
      <c r="SRJ26" s="12"/>
      <c r="SSA26" s="12"/>
      <c r="SSB26" s="12"/>
      <c r="SSS26" s="12"/>
      <c r="SST26" s="12"/>
      <c r="STK26" s="12"/>
      <c r="STL26" s="12"/>
      <c r="SUC26" s="12"/>
      <c r="SUD26" s="12"/>
      <c r="SUU26" s="12"/>
      <c r="SUV26" s="12"/>
      <c r="SVM26" s="12"/>
      <c r="SVN26" s="12"/>
      <c r="SWE26" s="12"/>
      <c r="SWF26" s="12"/>
      <c r="SWW26" s="12"/>
      <c r="SWX26" s="12"/>
      <c r="SXO26" s="12"/>
      <c r="SXP26" s="12"/>
      <c r="SYG26" s="12"/>
      <c r="SYH26" s="12"/>
      <c r="SYY26" s="12"/>
      <c r="SYZ26" s="12"/>
      <c r="SZQ26" s="12"/>
      <c r="SZR26" s="12"/>
      <c r="TAI26" s="12"/>
      <c r="TAJ26" s="12"/>
      <c r="TBA26" s="12"/>
      <c r="TBB26" s="12"/>
      <c r="TBS26" s="12"/>
      <c r="TBT26" s="12"/>
      <c r="TCK26" s="12"/>
      <c r="TCL26" s="12"/>
      <c r="TDC26" s="12"/>
      <c r="TDD26" s="12"/>
      <c r="TDU26" s="12"/>
      <c r="TDV26" s="12"/>
      <c r="TEM26" s="12"/>
      <c r="TEN26" s="12"/>
      <c r="TFE26" s="12"/>
      <c r="TFF26" s="12"/>
      <c r="TFW26" s="12"/>
      <c r="TFX26" s="12"/>
      <c r="TGO26" s="12"/>
      <c r="TGP26" s="12"/>
      <c r="THG26" s="12"/>
      <c r="THH26" s="12"/>
      <c r="THY26" s="12"/>
      <c r="THZ26" s="12"/>
      <c r="TIQ26" s="12"/>
      <c r="TIR26" s="12"/>
      <c r="TJI26" s="12"/>
      <c r="TJJ26" s="12"/>
      <c r="TKA26" s="12"/>
      <c r="TKB26" s="12"/>
      <c r="TKS26" s="12"/>
      <c r="TKT26" s="12"/>
      <c r="TLK26" s="12"/>
      <c r="TLL26" s="12"/>
      <c r="TMC26" s="12"/>
      <c r="TMD26" s="12"/>
      <c r="TMU26" s="12"/>
      <c r="TMV26" s="12"/>
      <c r="TNM26" s="12"/>
      <c r="TNN26" s="12"/>
      <c r="TOE26" s="12"/>
      <c r="TOF26" s="12"/>
      <c r="TOW26" s="12"/>
      <c r="TOX26" s="12"/>
      <c r="TPO26" s="12"/>
      <c r="TPP26" s="12"/>
      <c r="TQG26" s="12"/>
      <c r="TQH26" s="12"/>
      <c r="TQY26" s="12"/>
      <c r="TQZ26" s="12"/>
      <c r="TRQ26" s="12"/>
      <c r="TRR26" s="12"/>
      <c r="TSI26" s="12"/>
      <c r="TSJ26" s="12"/>
      <c r="TTA26" s="12"/>
      <c r="TTB26" s="12"/>
      <c r="TTS26" s="12"/>
      <c r="TTT26" s="12"/>
      <c r="TUK26" s="12"/>
      <c r="TUL26" s="12"/>
      <c r="TVC26" s="12"/>
      <c r="TVD26" s="12"/>
      <c r="TVU26" s="12"/>
      <c r="TVV26" s="12"/>
      <c r="TWM26" s="12"/>
      <c r="TWN26" s="12"/>
      <c r="TXE26" s="12"/>
      <c r="TXF26" s="12"/>
      <c r="TXW26" s="12"/>
      <c r="TXX26" s="12"/>
      <c r="TYO26" s="12"/>
      <c r="TYP26" s="12"/>
      <c r="TZG26" s="12"/>
      <c r="TZH26" s="12"/>
      <c r="TZY26" s="12"/>
      <c r="TZZ26" s="12"/>
      <c r="UAQ26" s="12"/>
      <c r="UAR26" s="12"/>
      <c r="UBI26" s="12"/>
      <c r="UBJ26" s="12"/>
      <c r="UCA26" s="12"/>
      <c r="UCB26" s="12"/>
      <c r="UCS26" s="12"/>
      <c r="UCT26" s="12"/>
      <c r="UDK26" s="12"/>
      <c r="UDL26" s="12"/>
      <c r="UEC26" s="12"/>
      <c r="UED26" s="12"/>
      <c r="UEU26" s="12"/>
      <c r="UEV26" s="12"/>
      <c r="UFM26" s="12"/>
      <c r="UFN26" s="12"/>
      <c r="UGE26" s="12"/>
      <c r="UGF26" s="12"/>
      <c r="UGW26" s="12"/>
      <c r="UGX26" s="12"/>
      <c r="UHO26" s="12"/>
      <c r="UHP26" s="12"/>
      <c r="UIG26" s="12"/>
      <c r="UIH26" s="12"/>
      <c r="UIY26" s="12"/>
      <c r="UIZ26" s="12"/>
      <c r="UJQ26" s="12"/>
      <c r="UJR26" s="12"/>
      <c r="UKI26" s="12"/>
      <c r="UKJ26" s="12"/>
      <c r="ULA26" s="12"/>
      <c r="ULB26" s="12"/>
      <c r="ULS26" s="12"/>
      <c r="ULT26" s="12"/>
      <c r="UMK26" s="12"/>
      <c r="UML26" s="12"/>
      <c r="UNC26" s="12"/>
      <c r="UND26" s="12"/>
      <c r="UNU26" s="12"/>
      <c r="UNV26" s="12"/>
      <c r="UOM26" s="12"/>
      <c r="UON26" s="12"/>
      <c r="UPE26" s="12"/>
      <c r="UPF26" s="12"/>
      <c r="UPW26" s="12"/>
      <c r="UPX26" s="12"/>
      <c r="UQO26" s="12"/>
      <c r="UQP26" s="12"/>
      <c r="URG26" s="12"/>
      <c r="URH26" s="12"/>
      <c r="URY26" s="12"/>
      <c r="URZ26" s="12"/>
      <c r="USQ26" s="12"/>
      <c r="USR26" s="12"/>
      <c r="UTI26" s="12"/>
      <c r="UTJ26" s="12"/>
      <c r="UUA26" s="12"/>
      <c r="UUB26" s="12"/>
      <c r="UUS26" s="12"/>
      <c r="UUT26" s="12"/>
      <c r="UVK26" s="12"/>
      <c r="UVL26" s="12"/>
      <c r="UWC26" s="12"/>
      <c r="UWD26" s="12"/>
      <c r="UWU26" s="12"/>
      <c r="UWV26" s="12"/>
      <c r="UXM26" s="12"/>
      <c r="UXN26" s="12"/>
      <c r="UYE26" s="12"/>
      <c r="UYF26" s="12"/>
      <c r="UYW26" s="12"/>
      <c r="UYX26" s="12"/>
      <c r="UZO26" s="12"/>
      <c r="UZP26" s="12"/>
      <c r="VAG26" s="12"/>
      <c r="VAH26" s="12"/>
      <c r="VAY26" s="12"/>
      <c r="VAZ26" s="12"/>
      <c r="VBQ26" s="12"/>
      <c r="VBR26" s="12"/>
      <c r="VCI26" s="12"/>
      <c r="VCJ26" s="12"/>
      <c r="VDA26" s="12"/>
      <c r="VDB26" s="12"/>
      <c r="VDS26" s="12"/>
      <c r="VDT26" s="12"/>
      <c r="VEK26" s="12"/>
      <c r="VEL26" s="12"/>
      <c r="VFC26" s="12"/>
      <c r="VFD26" s="12"/>
      <c r="VFU26" s="12"/>
      <c r="VFV26" s="12"/>
      <c r="VGM26" s="12"/>
      <c r="VGN26" s="12"/>
      <c r="VHE26" s="12"/>
      <c r="VHF26" s="12"/>
      <c r="VHW26" s="12"/>
      <c r="VHX26" s="12"/>
      <c r="VIO26" s="12"/>
      <c r="VIP26" s="12"/>
      <c r="VJG26" s="12"/>
      <c r="VJH26" s="12"/>
      <c r="VJY26" s="12"/>
      <c r="VJZ26" s="12"/>
      <c r="VKQ26" s="12"/>
      <c r="VKR26" s="12"/>
      <c r="VLI26" s="12"/>
      <c r="VLJ26" s="12"/>
      <c r="VMA26" s="12"/>
      <c r="VMB26" s="12"/>
      <c r="VMS26" s="12"/>
      <c r="VMT26" s="12"/>
      <c r="VNK26" s="12"/>
      <c r="VNL26" s="12"/>
      <c r="VOC26" s="12"/>
      <c r="VOD26" s="12"/>
      <c r="VOU26" s="12"/>
      <c r="VOV26" s="12"/>
      <c r="VPM26" s="12"/>
      <c r="VPN26" s="12"/>
      <c r="VQE26" s="12"/>
      <c r="VQF26" s="12"/>
      <c r="VQW26" s="12"/>
      <c r="VQX26" s="12"/>
      <c r="VRO26" s="12"/>
      <c r="VRP26" s="12"/>
      <c r="VSG26" s="12"/>
      <c r="VSH26" s="12"/>
      <c r="VSY26" s="12"/>
      <c r="VSZ26" s="12"/>
      <c r="VTQ26" s="12"/>
      <c r="VTR26" s="12"/>
      <c r="VUI26" s="12"/>
      <c r="VUJ26" s="12"/>
      <c r="VVA26" s="12"/>
      <c r="VVB26" s="12"/>
      <c r="VVS26" s="12"/>
      <c r="VVT26" s="12"/>
      <c r="VWK26" s="12"/>
      <c r="VWL26" s="12"/>
      <c r="VXC26" s="12"/>
      <c r="VXD26" s="12"/>
      <c r="VXU26" s="12"/>
      <c r="VXV26" s="12"/>
      <c r="VYM26" s="12"/>
      <c r="VYN26" s="12"/>
      <c r="VZE26" s="12"/>
      <c r="VZF26" s="12"/>
      <c r="VZW26" s="12"/>
      <c r="VZX26" s="12"/>
      <c r="WAO26" s="12"/>
      <c r="WAP26" s="12"/>
      <c r="WBG26" s="12"/>
      <c r="WBH26" s="12"/>
      <c r="WBY26" s="12"/>
      <c r="WBZ26" s="12"/>
      <c r="WCQ26" s="12"/>
      <c r="WCR26" s="12"/>
      <c r="WDI26" s="12"/>
      <c r="WDJ26" s="12"/>
      <c r="WEA26" s="12"/>
      <c r="WEB26" s="12"/>
      <c r="WES26" s="12"/>
      <c r="WET26" s="12"/>
      <c r="WFK26" s="12"/>
      <c r="WFL26" s="12"/>
      <c r="WGC26" s="12"/>
      <c r="WGD26" s="12"/>
      <c r="WGU26" s="12"/>
      <c r="WGV26" s="12"/>
      <c r="WHM26" s="12"/>
      <c r="WHN26" s="12"/>
      <c r="WIE26" s="12"/>
      <c r="WIF26" s="12"/>
      <c r="WIW26" s="12"/>
      <c r="WIX26" s="12"/>
      <c r="WJO26" s="12"/>
      <c r="WJP26" s="12"/>
      <c r="WKG26" s="12"/>
      <c r="WKH26" s="12"/>
      <c r="WKY26" s="12"/>
      <c r="WKZ26" s="12"/>
      <c r="WLQ26" s="12"/>
      <c r="WLR26" s="12"/>
      <c r="WMI26" s="12"/>
      <c r="WMJ26" s="12"/>
      <c r="WNA26" s="12"/>
      <c r="WNB26" s="12"/>
      <c r="WNS26" s="12"/>
      <c r="WNT26" s="12"/>
      <c r="WOK26" s="12"/>
      <c r="WOL26" s="12"/>
      <c r="WPC26" s="12"/>
      <c r="WPD26" s="12"/>
      <c r="WPU26" s="12"/>
      <c r="WPV26" s="12"/>
      <c r="WQM26" s="12"/>
      <c r="WQN26" s="12"/>
      <c r="WRE26" s="12"/>
      <c r="WRF26" s="12"/>
      <c r="WRW26" s="12"/>
      <c r="WRX26" s="12"/>
      <c r="WSO26" s="12"/>
      <c r="WSP26" s="12"/>
      <c r="WTG26" s="12"/>
      <c r="WTH26" s="12"/>
      <c r="WTY26" s="12"/>
      <c r="WTZ26" s="12"/>
      <c r="WUQ26" s="12"/>
      <c r="WUR26" s="12"/>
      <c r="WVI26" s="12"/>
      <c r="WVJ26" s="12"/>
      <c r="WWA26" s="12"/>
      <c r="WWB26" s="12"/>
      <c r="WWS26" s="12"/>
      <c r="WWT26" s="12"/>
      <c r="WXK26" s="12"/>
      <c r="WXL26" s="12"/>
      <c r="WYC26" s="12"/>
      <c r="WYD26" s="12"/>
      <c r="WYU26" s="12"/>
      <c r="WYV26" s="12"/>
      <c r="WZM26" s="12"/>
      <c r="WZN26" s="12"/>
      <c r="XAE26" s="12"/>
      <c r="XAF26" s="12"/>
      <c r="XAW26" s="12"/>
      <c r="XAX26" s="12"/>
      <c r="XBO26" s="12"/>
      <c r="XBP26" s="12"/>
      <c r="XCG26" s="12"/>
      <c r="XCH26" s="12"/>
      <c r="XCY26" s="12"/>
      <c r="XCZ26" s="12"/>
      <c r="XDQ26" s="12"/>
      <c r="XDR26" s="12"/>
      <c r="XEI26" s="12"/>
      <c r="XEJ26" s="12"/>
      <c r="XFA26" s="12"/>
      <c r="XFB26" s="12"/>
    </row>
    <row r="27" spans="1:1010 1027:2036 2053:3062 3079:4088 4105:5114 5131:6140 6157:7166 7183:8192 8209:9200 9217:10226 10243:11252 11269:12278 12295:13304 13321:14330 14347:15356 15373:16382" x14ac:dyDescent="0.35">
      <c r="A27" s="181" t="s">
        <v>50</v>
      </c>
      <c r="B27" s="181" t="s">
        <v>51</v>
      </c>
      <c r="C27" s="198">
        <v>3.6709999999999998</v>
      </c>
      <c r="D27" s="198">
        <v>4.3840000000000003</v>
      </c>
      <c r="E27" s="198">
        <v>3.883</v>
      </c>
      <c r="F27" s="198"/>
      <c r="G27" s="198"/>
      <c r="H27" s="198"/>
      <c r="I27" s="198"/>
      <c r="J27" s="198"/>
      <c r="K27" s="198"/>
      <c r="L27" s="198"/>
      <c r="M27" s="117"/>
      <c r="N27" s="117"/>
      <c r="O27" s="117"/>
      <c r="P27" s="117"/>
      <c r="Q27" s="117"/>
      <c r="R27" s="117"/>
      <c r="T27" s="6"/>
      <c r="U27" s="6"/>
    </row>
    <row r="28" spans="1:1010 1027:2036 2053:3062 3079:4088 4105:5114 5131:6140 6157:7166 7183:8192 8209:9200 9217:10226 10243:11252 11269:12278 12295:13304 13321:14330 14347:15356 15373:16382" x14ac:dyDescent="0.35">
      <c r="A28" s="181" t="s">
        <v>52</v>
      </c>
      <c r="B28" s="181" t="s">
        <v>53</v>
      </c>
      <c r="C28" s="198">
        <v>7.2999999999999995E-2</v>
      </c>
      <c r="D28" s="198">
        <v>8.9999999999999993E-3</v>
      </c>
      <c r="E28" s="198">
        <v>0.89800000000000002</v>
      </c>
      <c r="F28" s="198">
        <v>1.1120000000000001</v>
      </c>
      <c r="G28" s="198">
        <v>2.1000000000000001E-2</v>
      </c>
      <c r="H28" s="198">
        <v>0</v>
      </c>
      <c r="I28" s="198">
        <v>0</v>
      </c>
      <c r="J28" s="198">
        <v>0</v>
      </c>
      <c r="K28" s="198"/>
      <c r="L28" s="198">
        <v>0</v>
      </c>
      <c r="M28" s="117"/>
      <c r="N28" s="117"/>
      <c r="O28" s="117"/>
      <c r="P28" s="117"/>
      <c r="Q28" s="117"/>
      <c r="R28" s="117"/>
      <c r="T28" s="12"/>
      <c r="U28" s="12"/>
    </row>
    <row r="29" spans="1:1010 1027:2036 2053:3062 3079:4088 4105:5114 5131:6140 6157:7166 7183:8192 8209:9200 9217:10226 10243:11252 11269:12278 12295:13304 13321:14330 14347:15356 15373:16382" x14ac:dyDescent="0.35">
      <c r="A29" s="181" t="s">
        <v>54</v>
      </c>
      <c r="B29" s="181" t="s">
        <v>55</v>
      </c>
      <c r="C29" s="198"/>
      <c r="D29" s="198"/>
      <c r="E29" s="198">
        <v>10.837</v>
      </c>
      <c r="F29" s="198">
        <v>2.7440000000000002</v>
      </c>
      <c r="G29" s="198">
        <v>0</v>
      </c>
      <c r="H29" s="198">
        <v>0</v>
      </c>
      <c r="I29" s="198">
        <v>0</v>
      </c>
      <c r="J29" s="198"/>
      <c r="K29" s="198"/>
      <c r="L29" s="198"/>
      <c r="M29" s="117"/>
      <c r="N29" s="117"/>
      <c r="O29" s="117"/>
      <c r="P29" s="117"/>
      <c r="Q29" s="117"/>
      <c r="R29" s="117"/>
      <c r="T29" s="12"/>
      <c r="U29" s="12"/>
    </row>
    <row r="30" spans="1:1010 1027:2036 2053:3062 3079:4088 4105:5114 5131:6140 6157:7166 7183:8192 8209:9200 9217:10226 10243:11252 11269:12278 12295:13304 13321:14330 14347:15356 15373:16382" s="105" customFormat="1" x14ac:dyDescent="0.35">
      <c r="A30" s="181" t="s">
        <v>56</v>
      </c>
      <c r="B30" s="181" t="s">
        <v>57</v>
      </c>
      <c r="C30" s="198"/>
      <c r="D30" s="198"/>
      <c r="E30" s="198"/>
      <c r="F30" s="198"/>
      <c r="G30" s="198"/>
      <c r="H30" s="198"/>
      <c r="I30" s="198"/>
      <c r="J30" s="198"/>
      <c r="K30" s="198"/>
      <c r="L30" s="198"/>
      <c r="M30" s="119"/>
      <c r="N30" s="119"/>
      <c r="O30" s="119"/>
      <c r="P30" s="119"/>
      <c r="Q30" s="119"/>
      <c r="R30" s="119"/>
      <c r="T30" s="6"/>
      <c r="U30" s="6"/>
    </row>
    <row r="31" spans="1:1010 1027:2036 2053:3062 3079:4088 4105:5114 5131:6140 6157:7166 7183:8192 8209:9200 9217:10226 10243:11252 11269:12278 12295:13304 13321:14330 14347:15356 15373:16382" x14ac:dyDescent="0.35">
      <c r="A31" s="181" t="s">
        <v>58</v>
      </c>
      <c r="B31" s="181" t="s">
        <v>59</v>
      </c>
      <c r="C31" s="198"/>
      <c r="D31" s="198"/>
      <c r="E31" s="198"/>
      <c r="F31" s="198"/>
      <c r="G31" s="198"/>
      <c r="H31" s="198"/>
      <c r="I31" s="198"/>
      <c r="J31" s="198"/>
      <c r="K31" s="198"/>
      <c r="L31" s="198"/>
      <c r="M31" s="117"/>
      <c r="N31" s="117"/>
      <c r="O31" s="117"/>
      <c r="P31" s="117"/>
      <c r="Q31" s="117"/>
      <c r="R31" s="117"/>
      <c r="T31" s="12"/>
      <c r="U31" s="12"/>
    </row>
    <row r="32" spans="1:1010 1027:2036 2053:3062 3079:4088 4105:5114 5131:6140 6157:7166 7183:8192 8209:9200 9217:10226 10243:11252 11269:12278 12295:13304 13321:14330 14347:15356 15373:16382" x14ac:dyDescent="0.35">
      <c r="A32" s="181" t="s">
        <v>60</v>
      </c>
      <c r="B32" s="181" t="s">
        <v>61</v>
      </c>
      <c r="C32" s="198"/>
      <c r="D32" s="198"/>
      <c r="E32" s="198"/>
      <c r="F32" s="198"/>
      <c r="G32" s="198"/>
      <c r="H32" s="198"/>
      <c r="I32" s="198"/>
      <c r="J32" s="198"/>
      <c r="K32" s="198"/>
      <c r="L32" s="198"/>
      <c r="M32" s="117"/>
      <c r="N32" s="117"/>
      <c r="O32" s="117"/>
      <c r="P32" s="117"/>
      <c r="Q32" s="117"/>
      <c r="R32" s="117"/>
      <c r="T32" s="12"/>
      <c r="U32" s="12"/>
    </row>
    <row r="33" spans="1:1010 1027:2036 2053:3062 3079:4088 4105:5114 5131:6140 6157:7166 7183:8192 8209:9200 9217:10226 10243:11252 11269:12278 12295:13304 13321:14330 14347:15356 15373:16382" x14ac:dyDescent="0.35">
      <c r="A33" s="181" t="s">
        <v>62</v>
      </c>
      <c r="B33" s="181" t="s">
        <v>63</v>
      </c>
      <c r="C33" s="198">
        <v>16.425000000000001</v>
      </c>
      <c r="D33" s="198">
        <v>6.9160000000000004</v>
      </c>
      <c r="E33" s="198">
        <v>6.306</v>
      </c>
      <c r="F33" s="198">
        <v>14.592000000000001</v>
      </c>
      <c r="G33" s="198">
        <v>17.603999999999999</v>
      </c>
      <c r="H33" s="198">
        <v>30.539000000000001</v>
      </c>
      <c r="I33" s="198">
        <v>28.617000000000001</v>
      </c>
      <c r="J33" s="198">
        <v>20.466999999999999</v>
      </c>
      <c r="K33" s="198">
        <v>31.279</v>
      </c>
      <c r="L33" s="198">
        <v>32.302999999999997</v>
      </c>
      <c r="M33" s="117"/>
      <c r="N33" s="117"/>
      <c r="O33" s="117"/>
      <c r="P33" s="117"/>
      <c r="Q33" s="117"/>
      <c r="R33" s="117"/>
      <c r="T33" s="12"/>
      <c r="U33" s="12"/>
    </row>
    <row r="34" spans="1:1010 1027:2036 2053:3062 3079:4088 4105:5114 5131:6140 6157:7166 7183:8192 8209:9200 9217:10226 10243:11252 11269:12278 12295:13304 13321:14330 14347:15356 15373:16382" x14ac:dyDescent="0.35">
      <c r="A34" s="23" t="s">
        <v>29</v>
      </c>
      <c r="B34" s="13"/>
      <c r="C34" s="321">
        <f t="shared" ref="C34:L34" si="5">ROUND(SUM(C27:C33)-IF(C26="",0,C26),1)</f>
        <v>0</v>
      </c>
      <c r="D34" s="321">
        <f t="shared" si="5"/>
        <v>0</v>
      </c>
      <c r="E34" s="321">
        <f t="shared" si="5"/>
        <v>0</v>
      </c>
      <c r="F34" s="321">
        <f t="shared" si="5"/>
        <v>0</v>
      </c>
      <c r="G34" s="321">
        <f t="shared" si="5"/>
        <v>0</v>
      </c>
      <c r="H34" s="321">
        <f t="shared" si="5"/>
        <v>0</v>
      </c>
      <c r="I34" s="321">
        <f t="shared" si="5"/>
        <v>0</v>
      </c>
      <c r="J34" s="321">
        <f t="shared" si="5"/>
        <v>0</v>
      </c>
      <c r="K34" s="321">
        <f t="shared" si="5"/>
        <v>0</v>
      </c>
      <c r="L34" s="321">
        <f t="shared" si="5"/>
        <v>0</v>
      </c>
      <c r="M34" s="118"/>
      <c r="N34" s="118"/>
      <c r="O34" s="118"/>
      <c r="P34" s="118"/>
      <c r="Q34" s="118"/>
      <c r="R34" s="118"/>
      <c r="T34" s="12"/>
      <c r="U34" s="12"/>
    </row>
    <row r="35" spans="1:1010 1027:2036 2053:3062 3079:4088 4105:5114 5131:6140 6157:7166 7183:8192 8209:9200 9217:10226 10243:11252 11269:12278 12295:13304 13321:14330 14347:15356 15373:16382" x14ac:dyDescent="0.35">
      <c r="A35" s="189" t="s">
        <v>64</v>
      </c>
      <c r="B35" s="189" t="s">
        <v>65</v>
      </c>
      <c r="C35" s="205">
        <v>276.77499999999998</v>
      </c>
      <c r="D35" s="205">
        <v>292.93400000000003</v>
      </c>
      <c r="E35" s="205">
        <v>331.05099999999999</v>
      </c>
      <c r="F35" s="205">
        <v>313.49</v>
      </c>
      <c r="G35" s="205">
        <v>347.935</v>
      </c>
      <c r="H35" s="205">
        <v>416.10300000000001</v>
      </c>
      <c r="I35" s="205">
        <v>477.101</v>
      </c>
      <c r="J35" s="205">
        <v>487.48399999999998</v>
      </c>
      <c r="K35" s="205">
        <v>493.21199999999999</v>
      </c>
      <c r="L35" s="205">
        <v>532.76400000000001</v>
      </c>
      <c r="M35" s="312">
        <f>IF(OR(K35=0,K35=""),"",L35/K35-1)</f>
        <v>8.0192696041458955E-2</v>
      </c>
      <c r="N35" s="120"/>
      <c r="O35" s="120"/>
      <c r="P35" s="120"/>
      <c r="Q35" s="120"/>
      <c r="R35" s="120"/>
      <c r="T35" s="5"/>
      <c r="U35" s="5"/>
    </row>
    <row r="36" spans="1:1010 1027:2036 2053:3062 3079:4088 4105:5114 5131:6140 6157:7166 7183:8192 8209:9200 9217:10226 10243:11252 11269:12278 12295:13304 13321:14330 14347:15356 15373:16382" x14ac:dyDescent="0.35">
      <c r="A36" s="24" t="s">
        <v>29</v>
      </c>
      <c r="B36" s="24"/>
      <c r="C36" s="175">
        <f t="shared" ref="C36:L36" si="6">ROUND(IF(C10="",0,C10)+IF(C14="",0,C14)+IF(C19="",0,C19)+IF(C20="",0,C20)+IF(C26="",0,C26)-IF(C35="",0,C35),1)</f>
        <v>0</v>
      </c>
      <c r="D36" s="175">
        <f t="shared" si="6"/>
        <v>0</v>
      </c>
      <c r="E36" s="175">
        <f t="shared" si="6"/>
        <v>0</v>
      </c>
      <c r="F36" s="175">
        <f t="shared" si="6"/>
        <v>0</v>
      </c>
      <c r="G36" s="175">
        <f t="shared" si="6"/>
        <v>0</v>
      </c>
      <c r="H36" s="175">
        <f t="shared" si="6"/>
        <v>0</v>
      </c>
      <c r="I36" s="175">
        <f t="shared" si="6"/>
        <v>0</v>
      </c>
      <c r="J36" s="175">
        <f t="shared" si="6"/>
        <v>0</v>
      </c>
      <c r="K36" s="175">
        <f t="shared" si="6"/>
        <v>0</v>
      </c>
      <c r="L36" s="175">
        <f t="shared" si="6"/>
        <v>0</v>
      </c>
      <c r="M36" s="121"/>
      <c r="N36" s="121"/>
      <c r="O36" s="121"/>
      <c r="P36" s="121"/>
      <c r="Q36" s="121"/>
      <c r="R36" s="121"/>
      <c r="T36" s="5"/>
      <c r="U36" s="5"/>
    </row>
    <row r="37" spans="1:1010 1027:2036 2053:3062 3079:4088 4105:5114 5131:6140 6157:7166 7183:8192 8209:9200 9217:10226 10243:11252 11269:12278 12295:13304 13321:14330 14347:15356 15373:16382" x14ac:dyDescent="0.35">
      <c r="A37" s="183" t="s">
        <v>66</v>
      </c>
      <c r="B37" s="183" t="s">
        <v>67</v>
      </c>
      <c r="C37" s="184">
        <v>77.626999999999995</v>
      </c>
      <c r="D37" s="184">
        <v>74.498000000000005</v>
      </c>
      <c r="E37" s="184">
        <v>57.247999999999998</v>
      </c>
      <c r="F37" s="184">
        <v>68.968000000000004</v>
      </c>
      <c r="G37" s="184">
        <v>79.581000000000003</v>
      </c>
      <c r="H37" s="184">
        <v>91.997</v>
      </c>
      <c r="I37" s="184">
        <v>94.471999999999994</v>
      </c>
      <c r="J37" s="184">
        <v>99.680999999999997</v>
      </c>
      <c r="K37" s="184">
        <v>112.815</v>
      </c>
      <c r="L37" s="184">
        <v>142.30699999999999</v>
      </c>
      <c r="M37" s="312">
        <f>IF(OR(K37=0,K37=""),"",L37/K37-1)</f>
        <v>0.26141913752603818</v>
      </c>
      <c r="N37" s="121"/>
      <c r="O37" s="121"/>
      <c r="P37" s="121"/>
      <c r="Q37" s="121"/>
      <c r="R37" s="121"/>
      <c r="T37" s="5"/>
      <c r="U37" s="5"/>
    </row>
    <row r="38" spans="1:1010 1027:2036 2053:3062 3079:4088 4105:5114 5131:6140 6157:7166 7183:8192 8209:9200 9217:10226 10243:11252 11269:12278 12295:13304 13321:14330 14347:15356 15373:16382" s="11" customFormat="1" x14ac:dyDescent="0.35">
      <c r="A38" s="183" t="s">
        <v>68</v>
      </c>
      <c r="B38" s="183" t="s">
        <v>69</v>
      </c>
      <c r="C38" s="184">
        <v>77.626999999999995</v>
      </c>
      <c r="D38" s="184">
        <v>74.498000000000005</v>
      </c>
      <c r="E38" s="184">
        <v>57.247999999999998</v>
      </c>
      <c r="F38" s="184">
        <v>68.968000000000004</v>
      </c>
      <c r="G38" s="184">
        <v>107.038</v>
      </c>
      <c r="H38" s="184">
        <v>110.27800000000001</v>
      </c>
      <c r="I38" s="184">
        <v>113.65300000000001</v>
      </c>
      <c r="J38" s="184">
        <v>116.717</v>
      </c>
      <c r="K38" s="184">
        <v>128.50800000000001</v>
      </c>
      <c r="L38" s="184">
        <v>160.40299999999999</v>
      </c>
      <c r="M38" s="312"/>
      <c r="N38" s="117"/>
      <c r="O38" s="117"/>
      <c r="P38" s="117"/>
      <c r="Q38" s="117"/>
      <c r="R38" s="117"/>
      <c r="S38" s="12"/>
      <c r="T38" s="12"/>
      <c r="AK38" s="12"/>
      <c r="AL38" s="12"/>
      <c r="BC38" s="12"/>
      <c r="BD38" s="12"/>
      <c r="BU38" s="12"/>
      <c r="BV38" s="12"/>
      <c r="CM38" s="12"/>
      <c r="CN38" s="12"/>
      <c r="DE38" s="12"/>
      <c r="DF38" s="12"/>
      <c r="DW38" s="12"/>
      <c r="DX38" s="12"/>
      <c r="EO38" s="12"/>
      <c r="EP38" s="12"/>
      <c r="FG38" s="12"/>
      <c r="FH38" s="12"/>
      <c r="FY38" s="12"/>
      <c r="FZ38" s="12"/>
      <c r="GQ38" s="12"/>
      <c r="GR38" s="12"/>
      <c r="HI38" s="12"/>
      <c r="HJ38" s="12"/>
      <c r="IA38" s="12"/>
      <c r="IB38" s="12"/>
      <c r="IS38" s="12"/>
      <c r="IT38" s="12"/>
      <c r="JK38" s="12"/>
      <c r="JL38" s="12"/>
      <c r="KC38" s="12"/>
      <c r="KD38" s="12"/>
      <c r="KU38" s="12"/>
      <c r="KV38" s="12"/>
      <c r="LM38" s="12"/>
      <c r="LN38" s="12"/>
      <c r="ME38" s="12"/>
      <c r="MF38" s="12"/>
      <c r="MW38" s="12"/>
      <c r="MX38" s="12"/>
      <c r="NO38" s="12"/>
      <c r="NP38" s="12"/>
      <c r="OG38" s="12"/>
      <c r="OH38" s="12"/>
      <c r="OY38" s="12"/>
      <c r="OZ38" s="12"/>
      <c r="PQ38" s="12"/>
      <c r="PR38" s="12"/>
      <c r="QI38" s="12"/>
      <c r="QJ38" s="12"/>
      <c r="RA38" s="12"/>
      <c r="RB38" s="12"/>
      <c r="RS38" s="12"/>
      <c r="RT38" s="12"/>
      <c r="SK38" s="12"/>
      <c r="SL38" s="12"/>
      <c r="TC38" s="12"/>
      <c r="TD38" s="12"/>
      <c r="TU38" s="12"/>
      <c r="TV38" s="12"/>
      <c r="UM38" s="12"/>
      <c r="UN38" s="12"/>
      <c r="VE38" s="12"/>
      <c r="VF38" s="12"/>
      <c r="VW38" s="12"/>
      <c r="VX38" s="12"/>
      <c r="WO38" s="12"/>
      <c r="WP38" s="12"/>
      <c r="XG38" s="12"/>
      <c r="XH38" s="12"/>
      <c r="XY38" s="12"/>
      <c r="XZ38" s="12"/>
      <c r="YQ38" s="12"/>
      <c r="YR38" s="12"/>
      <c r="ZI38" s="12"/>
      <c r="ZJ38" s="12"/>
      <c r="AAA38" s="12"/>
      <c r="AAB38" s="12"/>
      <c r="AAS38" s="12"/>
      <c r="AAT38" s="12"/>
      <c r="ABK38" s="12"/>
      <c r="ABL38" s="12"/>
      <c r="ACC38" s="12"/>
      <c r="ACD38" s="12"/>
      <c r="ACU38" s="12"/>
      <c r="ACV38" s="12"/>
      <c r="ADM38" s="12"/>
      <c r="ADN38" s="12"/>
      <c r="AEE38" s="12"/>
      <c r="AEF38" s="12"/>
      <c r="AEW38" s="12"/>
      <c r="AEX38" s="12"/>
      <c r="AFO38" s="12"/>
      <c r="AFP38" s="12"/>
      <c r="AGG38" s="12"/>
      <c r="AGH38" s="12"/>
      <c r="AGY38" s="12"/>
      <c r="AGZ38" s="12"/>
      <c r="AHQ38" s="12"/>
      <c r="AHR38" s="12"/>
      <c r="AII38" s="12"/>
      <c r="AIJ38" s="12"/>
      <c r="AJA38" s="12"/>
      <c r="AJB38" s="12"/>
      <c r="AJS38" s="12"/>
      <c r="AJT38" s="12"/>
      <c r="AKK38" s="12"/>
      <c r="AKL38" s="12"/>
      <c r="ALC38" s="12"/>
      <c r="ALD38" s="12"/>
      <c r="ALU38" s="12"/>
      <c r="ALV38" s="12"/>
      <c r="AMM38" s="12"/>
      <c r="AMN38" s="12"/>
      <c r="ANE38" s="12"/>
      <c r="ANF38" s="12"/>
      <c r="ANW38" s="12"/>
      <c r="ANX38" s="12"/>
      <c r="AOO38" s="12"/>
      <c r="AOP38" s="12"/>
      <c r="APG38" s="12"/>
      <c r="APH38" s="12"/>
      <c r="APY38" s="12"/>
      <c r="APZ38" s="12"/>
      <c r="AQQ38" s="12"/>
      <c r="AQR38" s="12"/>
      <c r="ARI38" s="12"/>
      <c r="ARJ38" s="12"/>
      <c r="ASA38" s="12"/>
      <c r="ASB38" s="12"/>
      <c r="ASS38" s="12"/>
      <c r="AST38" s="12"/>
      <c r="ATK38" s="12"/>
      <c r="ATL38" s="12"/>
      <c r="AUC38" s="12"/>
      <c r="AUD38" s="12"/>
      <c r="AUU38" s="12"/>
      <c r="AUV38" s="12"/>
      <c r="AVM38" s="12"/>
      <c r="AVN38" s="12"/>
      <c r="AWE38" s="12"/>
      <c r="AWF38" s="12"/>
      <c r="AWW38" s="12"/>
      <c r="AWX38" s="12"/>
      <c r="AXO38" s="12"/>
      <c r="AXP38" s="12"/>
      <c r="AYG38" s="12"/>
      <c r="AYH38" s="12"/>
      <c r="AYY38" s="12"/>
      <c r="AYZ38" s="12"/>
      <c r="AZQ38" s="12"/>
      <c r="AZR38" s="12"/>
      <c r="BAI38" s="12"/>
      <c r="BAJ38" s="12"/>
      <c r="BBA38" s="12"/>
      <c r="BBB38" s="12"/>
      <c r="BBS38" s="12"/>
      <c r="BBT38" s="12"/>
      <c r="BCK38" s="12"/>
      <c r="BCL38" s="12"/>
      <c r="BDC38" s="12"/>
      <c r="BDD38" s="12"/>
      <c r="BDU38" s="12"/>
      <c r="BDV38" s="12"/>
      <c r="BEM38" s="12"/>
      <c r="BEN38" s="12"/>
      <c r="BFE38" s="12"/>
      <c r="BFF38" s="12"/>
      <c r="BFW38" s="12"/>
      <c r="BFX38" s="12"/>
      <c r="BGO38" s="12"/>
      <c r="BGP38" s="12"/>
      <c r="BHG38" s="12"/>
      <c r="BHH38" s="12"/>
      <c r="BHY38" s="12"/>
      <c r="BHZ38" s="12"/>
      <c r="BIQ38" s="12"/>
      <c r="BIR38" s="12"/>
      <c r="BJI38" s="12"/>
      <c r="BJJ38" s="12"/>
      <c r="BKA38" s="12"/>
      <c r="BKB38" s="12"/>
      <c r="BKS38" s="12"/>
      <c r="BKT38" s="12"/>
      <c r="BLK38" s="12"/>
      <c r="BLL38" s="12"/>
      <c r="BMC38" s="12"/>
      <c r="BMD38" s="12"/>
      <c r="BMU38" s="12"/>
      <c r="BMV38" s="12"/>
      <c r="BNM38" s="12"/>
      <c r="BNN38" s="12"/>
      <c r="BOE38" s="12"/>
      <c r="BOF38" s="12"/>
      <c r="BOW38" s="12"/>
      <c r="BOX38" s="12"/>
      <c r="BPO38" s="12"/>
      <c r="BPP38" s="12"/>
      <c r="BQG38" s="12"/>
      <c r="BQH38" s="12"/>
      <c r="BQY38" s="12"/>
      <c r="BQZ38" s="12"/>
      <c r="BRQ38" s="12"/>
      <c r="BRR38" s="12"/>
      <c r="BSI38" s="12"/>
      <c r="BSJ38" s="12"/>
      <c r="BTA38" s="12"/>
      <c r="BTB38" s="12"/>
      <c r="BTS38" s="12"/>
      <c r="BTT38" s="12"/>
      <c r="BUK38" s="12"/>
      <c r="BUL38" s="12"/>
      <c r="BVC38" s="12"/>
      <c r="BVD38" s="12"/>
      <c r="BVU38" s="12"/>
      <c r="BVV38" s="12"/>
      <c r="BWM38" s="12"/>
      <c r="BWN38" s="12"/>
      <c r="BXE38" s="12"/>
      <c r="BXF38" s="12"/>
      <c r="BXW38" s="12"/>
      <c r="BXX38" s="12"/>
      <c r="BYO38" s="12"/>
      <c r="BYP38" s="12"/>
      <c r="BZG38" s="12"/>
      <c r="BZH38" s="12"/>
      <c r="BZY38" s="12"/>
      <c r="BZZ38" s="12"/>
      <c r="CAQ38" s="12"/>
      <c r="CAR38" s="12"/>
      <c r="CBI38" s="12"/>
      <c r="CBJ38" s="12"/>
      <c r="CCA38" s="12"/>
      <c r="CCB38" s="12"/>
      <c r="CCS38" s="12"/>
      <c r="CCT38" s="12"/>
      <c r="CDK38" s="12"/>
      <c r="CDL38" s="12"/>
      <c r="CEC38" s="12"/>
      <c r="CED38" s="12"/>
      <c r="CEU38" s="12"/>
      <c r="CEV38" s="12"/>
      <c r="CFM38" s="12"/>
      <c r="CFN38" s="12"/>
      <c r="CGE38" s="12"/>
      <c r="CGF38" s="12"/>
      <c r="CGW38" s="12"/>
      <c r="CGX38" s="12"/>
      <c r="CHO38" s="12"/>
      <c r="CHP38" s="12"/>
      <c r="CIG38" s="12"/>
      <c r="CIH38" s="12"/>
      <c r="CIY38" s="12"/>
      <c r="CIZ38" s="12"/>
      <c r="CJQ38" s="12"/>
      <c r="CJR38" s="12"/>
      <c r="CKI38" s="12"/>
      <c r="CKJ38" s="12"/>
      <c r="CLA38" s="12"/>
      <c r="CLB38" s="12"/>
      <c r="CLS38" s="12"/>
      <c r="CLT38" s="12"/>
      <c r="CMK38" s="12"/>
      <c r="CML38" s="12"/>
      <c r="CNC38" s="12"/>
      <c r="CND38" s="12"/>
      <c r="CNU38" s="12"/>
      <c r="CNV38" s="12"/>
      <c r="COM38" s="12"/>
      <c r="CON38" s="12"/>
      <c r="CPE38" s="12"/>
      <c r="CPF38" s="12"/>
      <c r="CPW38" s="12"/>
      <c r="CPX38" s="12"/>
      <c r="CQO38" s="12"/>
      <c r="CQP38" s="12"/>
      <c r="CRG38" s="12"/>
      <c r="CRH38" s="12"/>
      <c r="CRY38" s="12"/>
      <c r="CRZ38" s="12"/>
      <c r="CSQ38" s="12"/>
      <c r="CSR38" s="12"/>
      <c r="CTI38" s="12"/>
      <c r="CTJ38" s="12"/>
      <c r="CUA38" s="12"/>
      <c r="CUB38" s="12"/>
      <c r="CUS38" s="12"/>
      <c r="CUT38" s="12"/>
      <c r="CVK38" s="12"/>
      <c r="CVL38" s="12"/>
      <c r="CWC38" s="12"/>
      <c r="CWD38" s="12"/>
      <c r="CWU38" s="12"/>
      <c r="CWV38" s="12"/>
      <c r="CXM38" s="12"/>
      <c r="CXN38" s="12"/>
      <c r="CYE38" s="12"/>
      <c r="CYF38" s="12"/>
      <c r="CYW38" s="12"/>
      <c r="CYX38" s="12"/>
      <c r="CZO38" s="12"/>
      <c r="CZP38" s="12"/>
      <c r="DAG38" s="12"/>
      <c r="DAH38" s="12"/>
      <c r="DAY38" s="12"/>
      <c r="DAZ38" s="12"/>
      <c r="DBQ38" s="12"/>
      <c r="DBR38" s="12"/>
      <c r="DCI38" s="12"/>
      <c r="DCJ38" s="12"/>
      <c r="DDA38" s="12"/>
      <c r="DDB38" s="12"/>
      <c r="DDS38" s="12"/>
      <c r="DDT38" s="12"/>
      <c r="DEK38" s="12"/>
      <c r="DEL38" s="12"/>
      <c r="DFC38" s="12"/>
      <c r="DFD38" s="12"/>
      <c r="DFU38" s="12"/>
      <c r="DFV38" s="12"/>
      <c r="DGM38" s="12"/>
      <c r="DGN38" s="12"/>
      <c r="DHE38" s="12"/>
      <c r="DHF38" s="12"/>
      <c r="DHW38" s="12"/>
      <c r="DHX38" s="12"/>
      <c r="DIO38" s="12"/>
      <c r="DIP38" s="12"/>
      <c r="DJG38" s="12"/>
      <c r="DJH38" s="12"/>
      <c r="DJY38" s="12"/>
      <c r="DJZ38" s="12"/>
      <c r="DKQ38" s="12"/>
      <c r="DKR38" s="12"/>
      <c r="DLI38" s="12"/>
      <c r="DLJ38" s="12"/>
      <c r="DMA38" s="12"/>
      <c r="DMB38" s="12"/>
      <c r="DMS38" s="12"/>
      <c r="DMT38" s="12"/>
      <c r="DNK38" s="12"/>
      <c r="DNL38" s="12"/>
      <c r="DOC38" s="12"/>
      <c r="DOD38" s="12"/>
      <c r="DOU38" s="12"/>
      <c r="DOV38" s="12"/>
      <c r="DPM38" s="12"/>
      <c r="DPN38" s="12"/>
      <c r="DQE38" s="12"/>
      <c r="DQF38" s="12"/>
      <c r="DQW38" s="12"/>
      <c r="DQX38" s="12"/>
      <c r="DRO38" s="12"/>
      <c r="DRP38" s="12"/>
      <c r="DSG38" s="12"/>
      <c r="DSH38" s="12"/>
      <c r="DSY38" s="12"/>
      <c r="DSZ38" s="12"/>
      <c r="DTQ38" s="12"/>
      <c r="DTR38" s="12"/>
      <c r="DUI38" s="12"/>
      <c r="DUJ38" s="12"/>
      <c r="DVA38" s="12"/>
      <c r="DVB38" s="12"/>
      <c r="DVS38" s="12"/>
      <c r="DVT38" s="12"/>
      <c r="DWK38" s="12"/>
      <c r="DWL38" s="12"/>
      <c r="DXC38" s="12"/>
      <c r="DXD38" s="12"/>
      <c r="DXU38" s="12"/>
      <c r="DXV38" s="12"/>
      <c r="DYM38" s="12"/>
      <c r="DYN38" s="12"/>
      <c r="DZE38" s="12"/>
      <c r="DZF38" s="12"/>
      <c r="DZW38" s="12"/>
      <c r="DZX38" s="12"/>
      <c r="EAO38" s="12"/>
      <c r="EAP38" s="12"/>
      <c r="EBG38" s="12"/>
      <c r="EBH38" s="12"/>
      <c r="EBY38" s="12"/>
      <c r="EBZ38" s="12"/>
      <c r="ECQ38" s="12"/>
      <c r="ECR38" s="12"/>
      <c r="EDI38" s="12"/>
      <c r="EDJ38" s="12"/>
      <c r="EEA38" s="12"/>
      <c r="EEB38" s="12"/>
      <c r="EES38" s="12"/>
      <c r="EET38" s="12"/>
      <c r="EFK38" s="12"/>
      <c r="EFL38" s="12"/>
      <c r="EGC38" s="12"/>
      <c r="EGD38" s="12"/>
      <c r="EGU38" s="12"/>
      <c r="EGV38" s="12"/>
      <c r="EHM38" s="12"/>
      <c r="EHN38" s="12"/>
      <c r="EIE38" s="12"/>
      <c r="EIF38" s="12"/>
      <c r="EIW38" s="12"/>
      <c r="EIX38" s="12"/>
      <c r="EJO38" s="12"/>
      <c r="EJP38" s="12"/>
      <c r="EKG38" s="12"/>
      <c r="EKH38" s="12"/>
      <c r="EKY38" s="12"/>
      <c r="EKZ38" s="12"/>
      <c r="ELQ38" s="12"/>
      <c r="ELR38" s="12"/>
      <c r="EMI38" s="12"/>
      <c r="EMJ38" s="12"/>
      <c r="ENA38" s="12"/>
      <c r="ENB38" s="12"/>
      <c r="ENS38" s="12"/>
      <c r="ENT38" s="12"/>
      <c r="EOK38" s="12"/>
      <c r="EOL38" s="12"/>
      <c r="EPC38" s="12"/>
      <c r="EPD38" s="12"/>
      <c r="EPU38" s="12"/>
      <c r="EPV38" s="12"/>
      <c r="EQM38" s="12"/>
      <c r="EQN38" s="12"/>
      <c r="ERE38" s="12"/>
      <c r="ERF38" s="12"/>
      <c r="ERW38" s="12"/>
      <c r="ERX38" s="12"/>
      <c r="ESO38" s="12"/>
      <c r="ESP38" s="12"/>
      <c r="ETG38" s="12"/>
      <c r="ETH38" s="12"/>
      <c r="ETY38" s="12"/>
      <c r="ETZ38" s="12"/>
      <c r="EUQ38" s="12"/>
      <c r="EUR38" s="12"/>
      <c r="EVI38" s="12"/>
      <c r="EVJ38" s="12"/>
      <c r="EWA38" s="12"/>
      <c r="EWB38" s="12"/>
      <c r="EWS38" s="12"/>
      <c r="EWT38" s="12"/>
      <c r="EXK38" s="12"/>
      <c r="EXL38" s="12"/>
      <c r="EYC38" s="12"/>
      <c r="EYD38" s="12"/>
      <c r="EYU38" s="12"/>
      <c r="EYV38" s="12"/>
      <c r="EZM38" s="12"/>
      <c r="EZN38" s="12"/>
      <c r="FAE38" s="12"/>
      <c r="FAF38" s="12"/>
      <c r="FAW38" s="12"/>
      <c r="FAX38" s="12"/>
      <c r="FBO38" s="12"/>
      <c r="FBP38" s="12"/>
      <c r="FCG38" s="12"/>
      <c r="FCH38" s="12"/>
      <c r="FCY38" s="12"/>
      <c r="FCZ38" s="12"/>
      <c r="FDQ38" s="12"/>
      <c r="FDR38" s="12"/>
      <c r="FEI38" s="12"/>
      <c r="FEJ38" s="12"/>
      <c r="FFA38" s="12"/>
      <c r="FFB38" s="12"/>
      <c r="FFS38" s="12"/>
      <c r="FFT38" s="12"/>
      <c r="FGK38" s="12"/>
      <c r="FGL38" s="12"/>
      <c r="FHC38" s="12"/>
      <c r="FHD38" s="12"/>
      <c r="FHU38" s="12"/>
      <c r="FHV38" s="12"/>
      <c r="FIM38" s="12"/>
      <c r="FIN38" s="12"/>
      <c r="FJE38" s="12"/>
      <c r="FJF38" s="12"/>
      <c r="FJW38" s="12"/>
      <c r="FJX38" s="12"/>
      <c r="FKO38" s="12"/>
      <c r="FKP38" s="12"/>
      <c r="FLG38" s="12"/>
      <c r="FLH38" s="12"/>
      <c r="FLY38" s="12"/>
      <c r="FLZ38" s="12"/>
      <c r="FMQ38" s="12"/>
      <c r="FMR38" s="12"/>
      <c r="FNI38" s="12"/>
      <c r="FNJ38" s="12"/>
      <c r="FOA38" s="12"/>
      <c r="FOB38" s="12"/>
      <c r="FOS38" s="12"/>
      <c r="FOT38" s="12"/>
      <c r="FPK38" s="12"/>
      <c r="FPL38" s="12"/>
      <c r="FQC38" s="12"/>
      <c r="FQD38" s="12"/>
      <c r="FQU38" s="12"/>
      <c r="FQV38" s="12"/>
      <c r="FRM38" s="12"/>
      <c r="FRN38" s="12"/>
      <c r="FSE38" s="12"/>
      <c r="FSF38" s="12"/>
      <c r="FSW38" s="12"/>
      <c r="FSX38" s="12"/>
      <c r="FTO38" s="12"/>
      <c r="FTP38" s="12"/>
      <c r="FUG38" s="12"/>
      <c r="FUH38" s="12"/>
      <c r="FUY38" s="12"/>
      <c r="FUZ38" s="12"/>
      <c r="FVQ38" s="12"/>
      <c r="FVR38" s="12"/>
      <c r="FWI38" s="12"/>
      <c r="FWJ38" s="12"/>
      <c r="FXA38" s="12"/>
      <c r="FXB38" s="12"/>
      <c r="FXS38" s="12"/>
      <c r="FXT38" s="12"/>
      <c r="FYK38" s="12"/>
      <c r="FYL38" s="12"/>
      <c r="FZC38" s="12"/>
      <c r="FZD38" s="12"/>
      <c r="FZU38" s="12"/>
      <c r="FZV38" s="12"/>
      <c r="GAM38" s="12"/>
      <c r="GAN38" s="12"/>
      <c r="GBE38" s="12"/>
      <c r="GBF38" s="12"/>
      <c r="GBW38" s="12"/>
      <c r="GBX38" s="12"/>
      <c r="GCO38" s="12"/>
      <c r="GCP38" s="12"/>
      <c r="GDG38" s="12"/>
      <c r="GDH38" s="12"/>
      <c r="GDY38" s="12"/>
      <c r="GDZ38" s="12"/>
      <c r="GEQ38" s="12"/>
      <c r="GER38" s="12"/>
      <c r="GFI38" s="12"/>
      <c r="GFJ38" s="12"/>
      <c r="GGA38" s="12"/>
      <c r="GGB38" s="12"/>
      <c r="GGS38" s="12"/>
      <c r="GGT38" s="12"/>
      <c r="GHK38" s="12"/>
      <c r="GHL38" s="12"/>
      <c r="GIC38" s="12"/>
      <c r="GID38" s="12"/>
      <c r="GIU38" s="12"/>
      <c r="GIV38" s="12"/>
      <c r="GJM38" s="12"/>
      <c r="GJN38" s="12"/>
      <c r="GKE38" s="12"/>
      <c r="GKF38" s="12"/>
      <c r="GKW38" s="12"/>
      <c r="GKX38" s="12"/>
      <c r="GLO38" s="12"/>
      <c r="GLP38" s="12"/>
      <c r="GMG38" s="12"/>
      <c r="GMH38" s="12"/>
      <c r="GMY38" s="12"/>
      <c r="GMZ38" s="12"/>
      <c r="GNQ38" s="12"/>
      <c r="GNR38" s="12"/>
      <c r="GOI38" s="12"/>
      <c r="GOJ38" s="12"/>
      <c r="GPA38" s="12"/>
      <c r="GPB38" s="12"/>
      <c r="GPS38" s="12"/>
      <c r="GPT38" s="12"/>
      <c r="GQK38" s="12"/>
      <c r="GQL38" s="12"/>
      <c r="GRC38" s="12"/>
      <c r="GRD38" s="12"/>
      <c r="GRU38" s="12"/>
      <c r="GRV38" s="12"/>
      <c r="GSM38" s="12"/>
      <c r="GSN38" s="12"/>
      <c r="GTE38" s="12"/>
      <c r="GTF38" s="12"/>
      <c r="GTW38" s="12"/>
      <c r="GTX38" s="12"/>
      <c r="GUO38" s="12"/>
      <c r="GUP38" s="12"/>
      <c r="GVG38" s="12"/>
      <c r="GVH38" s="12"/>
      <c r="GVY38" s="12"/>
      <c r="GVZ38" s="12"/>
      <c r="GWQ38" s="12"/>
      <c r="GWR38" s="12"/>
      <c r="GXI38" s="12"/>
      <c r="GXJ38" s="12"/>
      <c r="GYA38" s="12"/>
      <c r="GYB38" s="12"/>
      <c r="GYS38" s="12"/>
      <c r="GYT38" s="12"/>
      <c r="GZK38" s="12"/>
      <c r="GZL38" s="12"/>
      <c r="HAC38" s="12"/>
      <c r="HAD38" s="12"/>
      <c r="HAU38" s="12"/>
      <c r="HAV38" s="12"/>
      <c r="HBM38" s="12"/>
      <c r="HBN38" s="12"/>
      <c r="HCE38" s="12"/>
      <c r="HCF38" s="12"/>
      <c r="HCW38" s="12"/>
      <c r="HCX38" s="12"/>
      <c r="HDO38" s="12"/>
      <c r="HDP38" s="12"/>
      <c r="HEG38" s="12"/>
      <c r="HEH38" s="12"/>
      <c r="HEY38" s="12"/>
      <c r="HEZ38" s="12"/>
      <c r="HFQ38" s="12"/>
      <c r="HFR38" s="12"/>
      <c r="HGI38" s="12"/>
      <c r="HGJ38" s="12"/>
      <c r="HHA38" s="12"/>
      <c r="HHB38" s="12"/>
      <c r="HHS38" s="12"/>
      <c r="HHT38" s="12"/>
      <c r="HIK38" s="12"/>
      <c r="HIL38" s="12"/>
      <c r="HJC38" s="12"/>
      <c r="HJD38" s="12"/>
      <c r="HJU38" s="12"/>
      <c r="HJV38" s="12"/>
      <c r="HKM38" s="12"/>
      <c r="HKN38" s="12"/>
      <c r="HLE38" s="12"/>
      <c r="HLF38" s="12"/>
      <c r="HLW38" s="12"/>
      <c r="HLX38" s="12"/>
      <c r="HMO38" s="12"/>
      <c r="HMP38" s="12"/>
      <c r="HNG38" s="12"/>
      <c r="HNH38" s="12"/>
      <c r="HNY38" s="12"/>
      <c r="HNZ38" s="12"/>
      <c r="HOQ38" s="12"/>
      <c r="HOR38" s="12"/>
      <c r="HPI38" s="12"/>
      <c r="HPJ38" s="12"/>
      <c r="HQA38" s="12"/>
      <c r="HQB38" s="12"/>
      <c r="HQS38" s="12"/>
      <c r="HQT38" s="12"/>
      <c r="HRK38" s="12"/>
      <c r="HRL38" s="12"/>
      <c r="HSC38" s="12"/>
      <c r="HSD38" s="12"/>
      <c r="HSU38" s="12"/>
      <c r="HSV38" s="12"/>
      <c r="HTM38" s="12"/>
      <c r="HTN38" s="12"/>
      <c r="HUE38" s="12"/>
      <c r="HUF38" s="12"/>
      <c r="HUW38" s="12"/>
      <c r="HUX38" s="12"/>
      <c r="HVO38" s="12"/>
      <c r="HVP38" s="12"/>
      <c r="HWG38" s="12"/>
      <c r="HWH38" s="12"/>
      <c r="HWY38" s="12"/>
      <c r="HWZ38" s="12"/>
      <c r="HXQ38" s="12"/>
      <c r="HXR38" s="12"/>
      <c r="HYI38" s="12"/>
      <c r="HYJ38" s="12"/>
      <c r="HZA38" s="12"/>
      <c r="HZB38" s="12"/>
      <c r="HZS38" s="12"/>
      <c r="HZT38" s="12"/>
      <c r="IAK38" s="12"/>
      <c r="IAL38" s="12"/>
      <c r="IBC38" s="12"/>
      <c r="IBD38" s="12"/>
      <c r="IBU38" s="12"/>
      <c r="IBV38" s="12"/>
      <c r="ICM38" s="12"/>
      <c r="ICN38" s="12"/>
      <c r="IDE38" s="12"/>
      <c r="IDF38" s="12"/>
      <c r="IDW38" s="12"/>
      <c r="IDX38" s="12"/>
      <c r="IEO38" s="12"/>
      <c r="IEP38" s="12"/>
      <c r="IFG38" s="12"/>
      <c r="IFH38" s="12"/>
      <c r="IFY38" s="12"/>
      <c r="IFZ38" s="12"/>
      <c r="IGQ38" s="12"/>
      <c r="IGR38" s="12"/>
      <c r="IHI38" s="12"/>
      <c r="IHJ38" s="12"/>
      <c r="IIA38" s="12"/>
      <c r="IIB38" s="12"/>
      <c r="IIS38" s="12"/>
      <c r="IIT38" s="12"/>
      <c r="IJK38" s="12"/>
      <c r="IJL38" s="12"/>
      <c r="IKC38" s="12"/>
      <c r="IKD38" s="12"/>
      <c r="IKU38" s="12"/>
      <c r="IKV38" s="12"/>
      <c r="ILM38" s="12"/>
      <c r="ILN38" s="12"/>
      <c r="IME38" s="12"/>
      <c r="IMF38" s="12"/>
      <c r="IMW38" s="12"/>
      <c r="IMX38" s="12"/>
      <c r="INO38" s="12"/>
      <c r="INP38" s="12"/>
      <c r="IOG38" s="12"/>
      <c r="IOH38" s="12"/>
      <c r="IOY38" s="12"/>
      <c r="IOZ38" s="12"/>
      <c r="IPQ38" s="12"/>
      <c r="IPR38" s="12"/>
      <c r="IQI38" s="12"/>
      <c r="IQJ38" s="12"/>
      <c r="IRA38" s="12"/>
      <c r="IRB38" s="12"/>
      <c r="IRS38" s="12"/>
      <c r="IRT38" s="12"/>
      <c r="ISK38" s="12"/>
      <c r="ISL38" s="12"/>
      <c r="ITC38" s="12"/>
      <c r="ITD38" s="12"/>
      <c r="ITU38" s="12"/>
      <c r="ITV38" s="12"/>
      <c r="IUM38" s="12"/>
      <c r="IUN38" s="12"/>
      <c r="IVE38" s="12"/>
      <c r="IVF38" s="12"/>
      <c r="IVW38" s="12"/>
      <c r="IVX38" s="12"/>
      <c r="IWO38" s="12"/>
      <c r="IWP38" s="12"/>
      <c r="IXG38" s="12"/>
      <c r="IXH38" s="12"/>
      <c r="IXY38" s="12"/>
      <c r="IXZ38" s="12"/>
      <c r="IYQ38" s="12"/>
      <c r="IYR38" s="12"/>
      <c r="IZI38" s="12"/>
      <c r="IZJ38" s="12"/>
      <c r="JAA38" s="12"/>
      <c r="JAB38" s="12"/>
      <c r="JAS38" s="12"/>
      <c r="JAT38" s="12"/>
      <c r="JBK38" s="12"/>
      <c r="JBL38" s="12"/>
      <c r="JCC38" s="12"/>
      <c r="JCD38" s="12"/>
      <c r="JCU38" s="12"/>
      <c r="JCV38" s="12"/>
      <c r="JDM38" s="12"/>
      <c r="JDN38" s="12"/>
      <c r="JEE38" s="12"/>
      <c r="JEF38" s="12"/>
      <c r="JEW38" s="12"/>
      <c r="JEX38" s="12"/>
      <c r="JFO38" s="12"/>
      <c r="JFP38" s="12"/>
      <c r="JGG38" s="12"/>
      <c r="JGH38" s="12"/>
      <c r="JGY38" s="12"/>
      <c r="JGZ38" s="12"/>
      <c r="JHQ38" s="12"/>
      <c r="JHR38" s="12"/>
      <c r="JII38" s="12"/>
      <c r="JIJ38" s="12"/>
      <c r="JJA38" s="12"/>
      <c r="JJB38" s="12"/>
      <c r="JJS38" s="12"/>
      <c r="JJT38" s="12"/>
      <c r="JKK38" s="12"/>
      <c r="JKL38" s="12"/>
      <c r="JLC38" s="12"/>
      <c r="JLD38" s="12"/>
      <c r="JLU38" s="12"/>
      <c r="JLV38" s="12"/>
      <c r="JMM38" s="12"/>
      <c r="JMN38" s="12"/>
      <c r="JNE38" s="12"/>
      <c r="JNF38" s="12"/>
      <c r="JNW38" s="12"/>
      <c r="JNX38" s="12"/>
      <c r="JOO38" s="12"/>
      <c r="JOP38" s="12"/>
      <c r="JPG38" s="12"/>
      <c r="JPH38" s="12"/>
      <c r="JPY38" s="12"/>
      <c r="JPZ38" s="12"/>
      <c r="JQQ38" s="12"/>
      <c r="JQR38" s="12"/>
      <c r="JRI38" s="12"/>
      <c r="JRJ38" s="12"/>
      <c r="JSA38" s="12"/>
      <c r="JSB38" s="12"/>
      <c r="JSS38" s="12"/>
      <c r="JST38" s="12"/>
      <c r="JTK38" s="12"/>
      <c r="JTL38" s="12"/>
      <c r="JUC38" s="12"/>
      <c r="JUD38" s="12"/>
      <c r="JUU38" s="12"/>
      <c r="JUV38" s="12"/>
      <c r="JVM38" s="12"/>
      <c r="JVN38" s="12"/>
      <c r="JWE38" s="12"/>
      <c r="JWF38" s="12"/>
      <c r="JWW38" s="12"/>
      <c r="JWX38" s="12"/>
      <c r="JXO38" s="12"/>
      <c r="JXP38" s="12"/>
      <c r="JYG38" s="12"/>
      <c r="JYH38" s="12"/>
      <c r="JYY38" s="12"/>
      <c r="JYZ38" s="12"/>
      <c r="JZQ38" s="12"/>
      <c r="JZR38" s="12"/>
      <c r="KAI38" s="12"/>
      <c r="KAJ38" s="12"/>
      <c r="KBA38" s="12"/>
      <c r="KBB38" s="12"/>
      <c r="KBS38" s="12"/>
      <c r="KBT38" s="12"/>
      <c r="KCK38" s="12"/>
      <c r="KCL38" s="12"/>
      <c r="KDC38" s="12"/>
      <c r="KDD38" s="12"/>
      <c r="KDU38" s="12"/>
      <c r="KDV38" s="12"/>
      <c r="KEM38" s="12"/>
      <c r="KEN38" s="12"/>
      <c r="KFE38" s="12"/>
      <c r="KFF38" s="12"/>
      <c r="KFW38" s="12"/>
      <c r="KFX38" s="12"/>
      <c r="KGO38" s="12"/>
      <c r="KGP38" s="12"/>
      <c r="KHG38" s="12"/>
      <c r="KHH38" s="12"/>
      <c r="KHY38" s="12"/>
      <c r="KHZ38" s="12"/>
      <c r="KIQ38" s="12"/>
      <c r="KIR38" s="12"/>
      <c r="KJI38" s="12"/>
      <c r="KJJ38" s="12"/>
      <c r="KKA38" s="12"/>
      <c r="KKB38" s="12"/>
      <c r="KKS38" s="12"/>
      <c r="KKT38" s="12"/>
      <c r="KLK38" s="12"/>
      <c r="KLL38" s="12"/>
      <c r="KMC38" s="12"/>
      <c r="KMD38" s="12"/>
      <c r="KMU38" s="12"/>
      <c r="KMV38" s="12"/>
      <c r="KNM38" s="12"/>
      <c r="KNN38" s="12"/>
      <c r="KOE38" s="12"/>
      <c r="KOF38" s="12"/>
      <c r="KOW38" s="12"/>
      <c r="KOX38" s="12"/>
      <c r="KPO38" s="12"/>
      <c r="KPP38" s="12"/>
      <c r="KQG38" s="12"/>
      <c r="KQH38" s="12"/>
      <c r="KQY38" s="12"/>
      <c r="KQZ38" s="12"/>
      <c r="KRQ38" s="12"/>
      <c r="KRR38" s="12"/>
      <c r="KSI38" s="12"/>
      <c r="KSJ38" s="12"/>
      <c r="KTA38" s="12"/>
      <c r="KTB38" s="12"/>
      <c r="KTS38" s="12"/>
      <c r="KTT38" s="12"/>
      <c r="KUK38" s="12"/>
      <c r="KUL38" s="12"/>
      <c r="KVC38" s="12"/>
      <c r="KVD38" s="12"/>
      <c r="KVU38" s="12"/>
      <c r="KVV38" s="12"/>
      <c r="KWM38" s="12"/>
      <c r="KWN38" s="12"/>
      <c r="KXE38" s="12"/>
      <c r="KXF38" s="12"/>
      <c r="KXW38" s="12"/>
      <c r="KXX38" s="12"/>
      <c r="KYO38" s="12"/>
      <c r="KYP38" s="12"/>
      <c r="KZG38" s="12"/>
      <c r="KZH38" s="12"/>
      <c r="KZY38" s="12"/>
      <c r="KZZ38" s="12"/>
      <c r="LAQ38" s="12"/>
      <c r="LAR38" s="12"/>
      <c r="LBI38" s="12"/>
      <c r="LBJ38" s="12"/>
      <c r="LCA38" s="12"/>
      <c r="LCB38" s="12"/>
      <c r="LCS38" s="12"/>
      <c r="LCT38" s="12"/>
      <c r="LDK38" s="12"/>
      <c r="LDL38" s="12"/>
      <c r="LEC38" s="12"/>
      <c r="LED38" s="12"/>
      <c r="LEU38" s="12"/>
      <c r="LEV38" s="12"/>
      <c r="LFM38" s="12"/>
      <c r="LFN38" s="12"/>
      <c r="LGE38" s="12"/>
      <c r="LGF38" s="12"/>
      <c r="LGW38" s="12"/>
      <c r="LGX38" s="12"/>
      <c r="LHO38" s="12"/>
      <c r="LHP38" s="12"/>
      <c r="LIG38" s="12"/>
      <c r="LIH38" s="12"/>
      <c r="LIY38" s="12"/>
      <c r="LIZ38" s="12"/>
      <c r="LJQ38" s="12"/>
      <c r="LJR38" s="12"/>
      <c r="LKI38" s="12"/>
      <c r="LKJ38" s="12"/>
      <c r="LLA38" s="12"/>
      <c r="LLB38" s="12"/>
      <c r="LLS38" s="12"/>
      <c r="LLT38" s="12"/>
      <c r="LMK38" s="12"/>
      <c r="LML38" s="12"/>
      <c r="LNC38" s="12"/>
      <c r="LND38" s="12"/>
      <c r="LNU38" s="12"/>
      <c r="LNV38" s="12"/>
      <c r="LOM38" s="12"/>
      <c r="LON38" s="12"/>
      <c r="LPE38" s="12"/>
      <c r="LPF38" s="12"/>
      <c r="LPW38" s="12"/>
      <c r="LPX38" s="12"/>
      <c r="LQO38" s="12"/>
      <c r="LQP38" s="12"/>
      <c r="LRG38" s="12"/>
      <c r="LRH38" s="12"/>
      <c r="LRY38" s="12"/>
      <c r="LRZ38" s="12"/>
      <c r="LSQ38" s="12"/>
      <c r="LSR38" s="12"/>
      <c r="LTI38" s="12"/>
      <c r="LTJ38" s="12"/>
      <c r="LUA38" s="12"/>
      <c r="LUB38" s="12"/>
      <c r="LUS38" s="12"/>
      <c r="LUT38" s="12"/>
      <c r="LVK38" s="12"/>
      <c r="LVL38" s="12"/>
      <c r="LWC38" s="12"/>
      <c r="LWD38" s="12"/>
      <c r="LWU38" s="12"/>
      <c r="LWV38" s="12"/>
      <c r="LXM38" s="12"/>
      <c r="LXN38" s="12"/>
      <c r="LYE38" s="12"/>
      <c r="LYF38" s="12"/>
      <c r="LYW38" s="12"/>
      <c r="LYX38" s="12"/>
      <c r="LZO38" s="12"/>
      <c r="LZP38" s="12"/>
      <c r="MAG38" s="12"/>
      <c r="MAH38" s="12"/>
      <c r="MAY38" s="12"/>
      <c r="MAZ38" s="12"/>
      <c r="MBQ38" s="12"/>
      <c r="MBR38" s="12"/>
      <c r="MCI38" s="12"/>
      <c r="MCJ38" s="12"/>
      <c r="MDA38" s="12"/>
      <c r="MDB38" s="12"/>
      <c r="MDS38" s="12"/>
      <c r="MDT38" s="12"/>
      <c r="MEK38" s="12"/>
      <c r="MEL38" s="12"/>
      <c r="MFC38" s="12"/>
      <c r="MFD38" s="12"/>
      <c r="MFU38" s="12"/>
      <c r="MFV38" s="12"/>
      <c r="MGM38" s="12"/>
      <c r="MGN38" s="12"/>
      <c r="MHE38" s="12"/>
      <c r="MHF38" s="12"/>
      <c r="MHW38" s="12"/>
      <c r="MHX38" s="12"/>
      <c r="MIO38" s="12"/>
      <c r="MIP38" s="12"/>
      <c r="MJG38" s="12"/>
      <c r="MJH38" s="12"/>
      <c r="MJY38" s="12"/>
      <c r="MJZ38" s="12"/>
      <c r="MKQ38" s="12"/>
      <c r="MKR38" s="12"/>
      <c r="MLI38" s="12"/>
      <c r="MLJ38" s="12"/>
      <c r="MMA38" s="12"/>
      <c r="MMB38" s="12"/>
      <c r="MMS38" s="12"/>
      <c r="MMT38" s="12"/>
      <c r="MNK38" s="12"/>
      <c r="MNL38" s="12"/>
      <c r="MOC38" s="12"/>
      <c r="MOD38" s="12"/>
      <c r="MOU38" s="12"/>
      <c r="MOV38" s="12"/>
      <c r="MPM38" s="12"/>
      <c r="MPN38" s="12"/>
      <c r="MQE38" s="12"/>
      <c r="MQF38" s="12"/>
      <c r="MQW38" s="12"/>
      <c r="MQX38" s="12"/>
      <c r="MRO38" s="12"/>
      <c r="MRP38" s="12"/>
      <c r="MSG38" s="12"/>
      <c r="MSH38" s="12"/>
      <c r="MSY38" s="12"/>
      <c r="MSZ38" s="12"/>
      <c r="MTQ38" s="12"/>
      <c r="MTR38" s="12"/>
      <c r="MUI38" s="12"/>
      <c r="MUJ38" s="12"/>
      <c r="MVA38" s="12"/>
      <c r="MVB38" s="12"/>
      <c r="MVS38" s="12"/>
      <c r="MVT38" s="12"/>
      <c r="MWK38" s="12"/>
      <c r="MWL38" s="12"/>
      <c r="MXC38" s="12"/>
      <c r="MXD38" s="12"/>
      <c r="MXU38" s="12"/>
      <c r="MXV38" s="12"/>
      <c r="MYM38" s="12"/>
      <c r="MYN38" s="12"/>
      <c r="MZE38" s="12"/>
      <c r="MZF38" s="12"/>
      <c r="MZW38" s="12"/>
      <c r="MZX38" s="12"/>
      <c r="NAO38" s="12"/>
      <c r="NAP38" s="12"/>
      <c r="NBG38" s="12"/>
      <c r="NBH38" s="12"/>
      <c r="NBY38" s="12"/>
      <c r="NBZ38" s="12"/>
      <c r="NCQ38" s="12"/>
      <c r="NCR38" s="12"/>
      <c r="NDI38" s="12"/>
      <c r="NDJ38" s="12"/>
      <c r="NEA38" s="12"/>
      <c r="NEB38" s="12"/>
      <c r="NES38" s="12"/>
      <c r="NET38" s="12"/>
      <c r="NFK38" s="12"/>
      <c r="NFL38" s="12"/>
      <c r="NGC38" s="12"/>
      <c r="NGD38" s="12"/>
      <c r="NGU38" s="12"/>
      <c r="NGV38" s="12"/>
      <c r="NHM38" s="12"/>
      <c r="NHN38" s="12"/>
      <c r="NIE38" s="12"/>
      <c r="NIF38" s="12"/>
      <c r="NIW38" s="12"/>
      <c r="NIX38" s="12"/>
      <c r="NJO38" s="12"/>
      <c r="NJP38" s="12"/>
      <c r="NKG38" s="12"/>
      <c r="NKH38" s="12"/>
      <c r="NKY38" s="12"/>
      <c r="NKZ38" s="12"/>
      <c r="NLQ38" s="12"/>
      <c r="NLR38" s="12"/>
      <c r="NMI38" s="12"/>
      <c r="NMJ38" s="12"/>
      <c r="NNA38" s="12"/>
      <c r="NNB38" s="12"/>
      <c r="NNS38" s="12"/>
      <c r="NNT38" s="12"/>
      <c r="NOK38" s="12"/>
      <c r="NOL38" s="12"/>
      <c r="NPC38" s="12"/>
      <c r="NPD38" s="12"/>
      <c r="NPU38" s="12"/>
      <c r="NPV38" s="12"/>
      <c r="NQM38" s="12"/>
      <c r="NQN38" s="12"/>
      <c r="NRE38" s="12"/>
      <c r="NRF38" s="12"/>
      <c r="NRW38" s="12"/>
      <c r="NRX38" s="12"/>
      <c r="NSO38" s="12"/>
      <c r="NSP38" s="12"/>
      <c r="NTG38" s="12"/>
      <c r="NTH38" s="12"/>
      <c r="NTY38" s="12"/>
      <c r="NTZ38" s="12"/>
      <c r="NUQ38" s="12"/>
      <c r="NUR38" s="12"/>
      <c r="NVI38" s="12"/>
      <c r="NVJ38" s="12"/>
      <c r="NWA38" s="12"/>
      <c r="NWB38" s="12"/>
      <c r="NWS38" s="12"/>
      <c r="NWT38" s="12"/>
      <c r="NXK38" s="12"/>
      <c r="NXL38" s="12"/>
      <c r="NYC38" s="12"/>
      <c r="NYD38" s="12"/>
      <c r="NYU38" s="12"/>
      <c r="NYV38" s="12"/>
      <c r="NZM38" s="12"/>
      <c r="NZN38" s="12"/>
      <c r="OAE38" s="12"/>
      <c r="OAF38" s="12"/>
      <c r="OAW38" s="12"/>
      <c r="OAX38" s="12"/>
      <c r="OBO38" s="12"/>
      <c r="OBP38" s="12"/>
      <c r="OCG38" s="12"/>
      <c r="OCH38" s="12"/>
      <c r="OCY38" s="12"/>
      <c r="OCZ38" s="12"/>
      <c r="ODQ38" s="12"/>
      <c r="ODR38" s="12"/>
      <c r="OEI38" s="12"/>
      <c r="OEJ38" s="12"/>
      <c r="OFA38" s="12"/>
      <c r="OFB38" s="12"/>
      <c r="OFS38" s="12"/>
      <c r="OFT38" s="12"/>
      <c r="OGK38" s="12"/>
      <c r="OGL38" s="12"/>
      <c r="OHC38" s="12"/>
      <c r="OHD38" s="12"/>
      <c r="OHU38" s="12"/>
      <c r="OHV38" s="12"/>
      <c r="OIM38" s="12"/>
      <c r="OIN38" s="12"/>
      <c r="OJE38" s="12"/>
      <c r="OJF38" s="12"/>
      <c r="OJW38" s="12"/>
      <c r="OJX38" s="12"/>
      <c r="OKO38" s="12"/>
      <c r="OKP38" s="12"/>
      <c r="OLG38" s="12"/>
      <c r="OLH38" s="12"/>
      <c r="OLY38" s="12"/>
      <c r="OLZ38" s="12"/>
      <c r="OMQ38" s="12"/>
      <c r="OMR38" s="12"/>
      <c r="ONI38" s="12"/>
      <c r="ONJ38" s="12"/>
      <c r="OOA38" s="12"/>
      <c r="OOB38" s="12"/>
      <c r="OOS38" s="12"/>
      <c r="OOT38" s="12"/>
      <c r="OPK38" s="12"/>
      <c r="OPL38" s="12"/>
      <c r="OQC38" s="12"/>
      <c r="OQD38" s="12"/>
      <c r="OQU38" s="12"/>
      <c r="OQV38" s="12"/>
      <c r="ORM38" s="12"/>
      <c r="ORN38" s="12"/>
      <c r="OSE38" s="12"/>
      <c r="OSF38" s="12"/>
      <c r="OSW38" s="12"/>
      <c r="OSX38" s="12"/>
      <c r="OTO38" s="12"/>
      <c r="OTP38" s="12"/>
      <c r="OUG38" s="12"/>
      <c r="OUH38" s="12"/>
      <c r="OUY38" s="12"/>
      <c r="OUZ38" s="12"/>
      <c r="OVQ38" s="12"/>
      <c r="OVR38" s="12"/>
      <c r="OWI38" s="12"/>
      <c r="OWJ38" s="12"/>
      <c r="OXA38" s="12"/>
      <c r="OXB38" s="12"/>
      <c r="OXS38" s="12"/>
      <c r="OXT38" s="12"/>
      <c r="OYK38" s="12"/>
      <c r="OYL38" s="12"/>
      <c r="OZC38" s="12"/>
      <c r="OZD38" s="12"/>
      <c r="OZU38" s="12"/>
      <c r="OZV38" s="12"/>
      <c r="PAM38" s="12"/>
      <c r="PAN38" s="12"/>
      <c r="PBE38" s="12"/>
      <c r="PBF38" s="12"/>
      <c r="PBW38" s="12"/>
      <c r="PBX38" s="12"/>
      <c r="PCO38" s="12"/>
      <c r="PCP38" s="12"/>
      <c r="PDG38" s="12"/>
      <c r="PDH38" s="12"/>
      <c r="PDY38" s="12"/>
      <c r="PDZ38" s="12"/>
      <c r="PEQ38" s="12"/>
      <c r="PER38" s="12"/>
      <c r="PFI38" s="12"/>
      <c r="PFJ38" s="12"/>
      <c r="PGA38" s="12"/>
      <c r="PGB38" s="12"/>
      <c r="PGS38" s="12"/>
      <c r="PGT38" s="12"/>
      <c r="PHK38" s="12"/>
      <c r="PHL38" s="12"/>
      <c r="PIC38" s="12"/>
      <c r="PID38" s="12"/>
      <c r="PIU38" s="12"/>
      <c r="PIV38" s="12"/>
      <c r="PJM38" s="12"/>
      <c r="PJN38" s="12"/>
      <c r="PKE38" s="12"/>
      <c r="PKF38" s="12"/>
      <c r="PKW38" s="12"/>
      <c r="PKX38" s="12"/>
      <c r="PLO38" s="12"/>
      <c r="PLP38" s="12"/>
      <c r="PMG38" s="12"/>
      <c r="PMH38" s="12"/>
      <c r="PMY38" s="12"/>
      <c r="PMZ38" s="12"/>
      <c r="PNQ38" s="12"/>
      <c r="PNR38" s="12"/>
      <c r="POI38" s="12"/>
      <c r="POJ38" s="12"/>
      <c r="PPA38" s="12"/>
      <c r="PPB38" s="12"/>
      <c r="PPS38" s="12"/>
      <c r="PPT38" s="12"/>
      <c r="PQK38" s="12"/>
      <c r="PQL38" s="12"/>
      <c r="PRC38" s="12"/>
      <c r="PRD38" s="12"/>
      <c r="PRU38" s="12"/>
      <c r="PRV38" s="12"/>
      <c r="PSM38" s="12"/>
      <c r="PSN38" s="12"/>
      <c r="PTE38" s="12"/>
      <c r="PTF38" s="12"/>
      <c r="PTW38" s="12"/>
      <c r="PTX38" s="12"/>
      <c r="PUO38" s="12"/>
      <c r="PUP38" s="12"/>
      <c r="PVG38" s="12"/>
      <c r="PVH38" s="12"/>
      <c r="PVY38" s="12"/>
      <c r="PVZ38" s="12"/>
      <c r="PWQ38" s="12"/>
      <c r="PWR38" s="12"/>
      <c r="PXI38" s="12"/>
      <c r="PXJ38" s="12"/>
      <c r="PYA38" s="12"/>
      <c r="PYB38" s="12"/>
      <c r="PYS38" s="12"/>
      <c r="PYT38" s="12"/>
      <c r="PZK38" s="12"/>
      <c r="PZL38" s="12"/>
      <c r="QAC38" s="12"/>
      <c r="QAD38" s="12"/>
      <c r="QAU38" s="12"/>
      <c r="QAV38" s="12"/>
      <c r="QBM38" s="12"/>
      <c r="QBN38" s="12"/>
      <c r="QCE38" s="12"/>
      <c r="QCF38" s="12"/>
      <c r="QCW38" s="12"/>
      <c r="QCX38" s="12"/>
      <c r="QDO38" s="12"/>
      <c r="QDP38" s="12"/>
      <c r="QEG38" s="12"/>
      <c r="QEH38" s="12"/>
      <c r="QEY38" s="12"/>
      <c r="QEZ38" s="12"/>
      <c r="QFQ38" s="12"/>
      <c r="QFR38" s="12"/>
      <c r="QGI38" s="12"/>
      <c r="QGJ38" s="12"/>
      <c r="QHA38" s="12"/>
      <c r="QHB38" s="12"/>
      <c r="QHS38" s="12"/>
      <c r="QHT38" s="12"/>
      <c r="QIK38" s="12"/>
      <c r="QIL38" s="12"/>
      <c r="QJC38" s="12"/>
      <c r="QJD38" s="12"/>
      <c r="QJU38" s="12"/>
      <c r="QJV38" s="12"/>
      <c r="QKM38" s="12"/>
      <c r="QKN38" s="12"/>
      <c r="QLE38" s="12"/>
      <c r="QLF38" s="12"/>
      <c r="QLW38" s="12"/>
      <c r="QLX38" s="12"/>
      <c r="QMO38" s="12"/>
      <c r="QMP38" s="12"/>
      <c r="QNG38" s="12"/>
      <c r="QNH38" s="12"/>
      <c r="QNY38" s="12"/>
      <c r="QNZ38" s="12"/>
      <c r="QOQ38" s="12"/>
      <c r="QOR38" s="12"/>
      <c r="QPI38" s="12"/>
      <c r="QPJ38" s="12"/>
      <c r="QQA38" s="12"/>
      <c r="QQB38" s="12"/>
      <c r="QQS38" s="12"/>
      <c r="QQT38" s="12"/>
      <c r="QRK38" s="12"/>
      <c r="QRL38" s="12"/>
      <c r="QSC38" s="12"/>
      <c r="QSD38" s="12"/>
      <c r="QSU38" s="12"/>
      <c r="QSV38" s="12"/>
      <c r="QTM38" s="12"/>
      <c r="QTN38" s="12"/>
      <c r="QUE38" s="12"/>
      <c r="QUF38" s="12"/>
      <c r="QUW38" s="12"/>
      <c r="QUX38" s="12"/>
      <c r="QVO38" s="12"/>
      <c r="QVP38" s="12"/>
      <c r="QWG38" s="12"/>
      <c r="QWH38" s="12"/>
      <c r="QWY38" s="12"/>
      <c r="QWZ38" s="12"/>
      <c r="QXQ38" s="12"/>
      <c r="QXR38" s="12"/>
      <c r="QYI38" s="12"/>
      <c r="QYJ38" s="12"/>
      <c r="QZA38" s="12"/>
      <c r="QZB38" s="12"/>
      <c r="QZS38" s="12"/>
      <c r="QZT38" s="12"/>
      <c r="RAK38" s="12"/>
      <c r="RAL38" s="12"/>
      <c r="RBC38" s="12"/>
      <c r="RBD38" s="12"/>
      <c r="RBU38" s="12"/>
      <c r="RBV38" s="12"/>
      <c r="RCM38" s="12"/>
      <c r="RCN38" s="12"/>
      <c r="RDE38" s="12"/>
      <c r="RDF38" s="12"/>
      <c r="RDW38" s="12"/>
      <c r="RDX38" s="12"/>
      <c r="REO38" s="12"/>
      <c r="REP38" s="12"/>
      <c r="RFG38" s="12"/>
      <c r="RFH38" s="12"/>
      <c r="RFY38" s="12"/>
      <c r="RFZ38" s="12"/>
      <c r="RGQ38" s="12"/>
      <c r="RGR38" s="12"/>
      <c r="RHI38" s="12"/>
      <c r="RHJ38" s="12"/>
      <c r="RIA38" s="12"/>
      <c r="RIB38" s="12"/>
      <c r="RIS38" s="12"/>
      <c r="RIT38" s="12"/>
      <c r="RJK38" s="12"/>
      <c r="RJL38" s="12"/>
      <c r="RKC38" s="12"/>
      <c r="RKD38" s="12"/>
      <c r="RKU38" s="12"/>
      <c r="RKV38" s="12"/>
      <c r="RLM38" s="12"/>
      <c r="RLN38" s="12"/>
      <c r="RME38" s="12"/>
      <c r="RMF38" s="12"/>
      <c r="RMW38" s="12"/>
      <c r="RMX38" s="12"/>
      <c r="RNO38" s="12"/>
      <c r="RNP38" s="12"/>
      <c r="ROG38" s="12"/>
      <c r="ROH38" s="12"/>
      <c r="ROY38" s="12"/>
      <c r="ROZ38" s="12"/>
      <c r="RPQ38" s="12"/>
      <c r="RPR38" s="12"/>
      <c r="RQI38" s="12"/>
      <c r="RQJ38" s="12"/>
      <c r="RRA38" s="12"/>
      <c r="RRB38" s="12"/>
      <c r="RRS38" s="12"/>
      <c r="RRT38" s="12"/>
      <c r="RSK38" s="12"/>
      <c r="RSL38" s="12"/>
      <c r="RTC38" s="12"/>
      <c r="RTD38" s="12"/>
      <c r="RTU38" s="12"/>
      <c r="RTV38" s="12"/>
      <c r="RUM38" s="12"/>
      <c r="RUN38" s="12"/>
      <c r="RVE38" s="12"/>
      <c r="RVF38" s="12"/>
      <c r="RVW38" s="12"/>
      <c r="RVX38" s="12"/>
      <c r="RWO38" s="12"/>
      <c r="RWP38" s="12"/>
      <c r="RXG38" s="12"/>
      <c r="RXH38" s="12"/>
      <c r="RXY38" s="12"/>
      <c r="RXZ38" s="12"/>
      <c r="RYQ38" s="12"/>
      <c r="RYR38" s="12"/>
      <c r="RZI38" s="12"/>
      <c r="RZJ38" s="12"/>
      <c r="SAA38" s="12"/>
      <c r="SAB38" s="12"/>
      <c r="SAS38" s="12"/>
      <c r="SAT38" s="12"/>
      <c r="SBK38" s="12"/>
      <c r="SBL38" s="12"/>
      <c r="SCC38" s="12"/>
      <c r="SCD38" s="12"/>
      <c r="SCU38" s="12"/>
      <c r="SCV38" s="12"/>
      <c r="SDM38" s="12"/>
      <c r="SDN38" s="12"/>
      <c r="SEE38" s="12"/>
      <c r="SEF38" s="12"/>
      <c r="SEW38" s="12"/>
      <c r="SEX38" s="12"/>
      <c r="SFO38" s="12"/>
      <c r="SFP38" s="12"/>
      <c r="SGG38" s="12"/>
      <c r="SGH38" s="12"/>
      <c r="SGY38" s="12"/>
      <c r="SGZ38" s="12"/>
      <c r="SHQ38" s="12"/>
      <c r="SHR38" s="12"/>
      <c r="SII38" s="12"/>
      <c r="SIJ38" s="12"/>
      <c r="SJA38" s="12"/>
      <c r="SJB38" s="12"/>
      <c r="SJS38" s="12"/>
      <c r="SJT38" s="12"/>
      <c r="SKK38" s="12"/>
      <c r="SKL38" s="12"/>
      <c r="SLC38" s="12"/>
      <c r="SLD38" s="12"/>
      <c r="SLU38" s="12"/>
      <c r="SLV38" s="12"/>
      <c r="SMM38" s="12"/>
      <c r="SMN38" s="12"/>
      <c r="SNE38" s="12"/>
      <c r="SNF38" s="12"/>
      <c r="SNW38" s="12"/>
      <c r="SNX38" s="12"/>
      <c r="SOO38" s="12"/>
      <c r="SOP38" s="12"/>
      <c r="SPG38" s="12"/>
      <c r="SPH38" s="12"/>
      <c r="SPY38" s="12"/>
      <c r="SPZ38" s="12"/>
      <c r="SQQ38" s="12"/>
      <c r="SQR38" s="12"/>
      <c r="SRI38" s="12"/>
      <c r="SRJ38" s="12"/>
      <c r="SSA38" s="12"/>
      <c r="SSB38" s="12"/>
      <c r="SSS38" s="12"/>
      <c r="SST38" s="12"/>
      <c r="STK38" s="12"/>
      <c r="STL38" s="12"/>
      <c r="SUC38" s="12"/>
      <c r="SUD38" s="12"/>
      <c r="SUU38" s="12"/>
      <c r="SUV38" s="12"/>
      <c r="SVM38" s="12"/>
      <c r="SVN38" s="12"/>
      <c r="SWE38" s="12"/>
      <c r="SWF38" s="12"/>
      <c r="SWW38" s="12"/>
      <c r="SWX38" s="12"/>
      <c r="SXO38" s="12"/>
      <c r="SXP38" s="12"/>
      <c r="SYG38" s="12"/>
      <c r="SYH38" s="12"/>
      <c r="SYY38" s="12"/>
      <c r="SYZ38" s="12"/>
      <c r="SZQ38" s="12"/>
      <c r="SZR38" s="12"/>
      <c r="TAI38" s="12"/>
      <c r="TAJ38" s="12"/>
      <c r="TBA38" s="12"/>
      <c r="TBB38" s="12"/>
      <c r="TBS38" s="12"/>
      <c r="TBT38" s="12"/>
      <c r="TCK38" s="12"/>
      <c r="TCL38" s="12"/>
      <c r="TDC38" s="12"/>
      <c r="TDD38" s="12"/>
      <c r="TDU38" s="12"/>
      <c r="TDV38" s="12"/>
      <c r="TEM38" s="12"/>
      <c r="TEN38" s="12"/>
      <c r="TFE38" s="12"/>
      <c r="TFF38" s="12"/>
      <c r="TFW38" s="12"/>
      <c r="TFX38" s="12"/>
      <c r="TGO38" s="12"/>
      <c r="TGP38" s="12"/>
      <c r="THG38" s="12"/>
      <c r="THH38" s="12"/>
      <c r="THY38" s="12"/>
      <c r="THZ38" s="12"/>
      <c r="TIQ38" s="12"/>
      <c r="TIR38" s="12"/>
      <c r="TJI38" s="12"/>
      <c r="TJJ38" s="12"/>
      <c r="TKA38" s="12"/>
      <c r="TKB38" s="12"/>
      <c r="TKS38" s="12"/>
      <c r="TKT38" s="12"/>
      <c r="TLK38" s="12"/>
      <c r="TLL38" s="12"/>
      <c r="TMC38" s="12"/>
      <c r="TMD38" s="12"/>
      <c r="TMU38" s="12"/>
      <c r="TMV38" s="12"/>
      <c r="TNM38" s="12"/>
      <c r="TNN38" s="12"/>
      <c r="TOE38" s="12"/>
      <c r="TOF38" s="12"/>
      <c r="TOW38" s="12"/>
      <c r="TOX38" s="12"/>
      <c r="TPO38" s="12"/>
      <c r="TPP38" s="12"/>
      <c r="TQG38" s="12"/>
      <c r="TQH38" s="12"/>
      <c r="TQY38" s="12"/>
      <c r="TQZ38" s="12"/>
      <c r="TRQ38" s="12"/>
      <c r="TRR38" s="12"/>
      <c r="TSI38" s="12"/>
      <c r="TSJ38" s="12"/>
      <c r="TTA38" s="12"/>
      <c r="TTB38" s="12"/>
      <c r="TTS38" s="12"/>
      <c r="TTT38" s="12"/>
      <c r="TUK38" s="12"/>
      <c r="TUL38" s="12"/>
      <c r="TVC38" s="12"/>
      <c r="TVD38" s="12"/>
      <c r="TVU38" s="12"/>
      <c r="TVV38" s="12"/>
      <c r="TWM38" s="12"/>
      <c r="TWN38" s="12"/>
      <c r="TXE38" s="12"/>
      <c r="TXF38" s="12"/>
      <c r="TXW38" s="12"/>
      <c r="TXX38" s="12"/>
      <c r="TYO38" s="12"/>
      <c r="TYP38" s="12"/>
      <c r="TZG38" s="12"/>
      <c r="TZH38" s="12"/>
      <c r="TZY38" s="12"/>
      <c r="TZZ38" s="12"/>
      <c r="UAQ38" s="12"/>
      <c r="UAR38" s="12"/>
      <c r="UBI38" s="12"/>
      <c r="UBJ38" s="12"/>
      <c r="UCA38" s="12"/>
      <c r="UCB38" s="12"/>
      <c r="UCS38" s="12"/>
      <c r="UCT38" s="12"/>
      <c r="UDK38" s="12"/>
      <c r="UDL38" s="12"/>
      <c r="UEC38" s="12"/>
      <c r="UED38" s="12"/>
      <c r="UEU38" s="12"/>
      <c r="UEV38" s="12"/>
      <c r="UFM38" s="12"/>
      <c r="UFN38" s="12"/>
      <c r="UGE38" s="12"/>
      <c r="UGF38" s="12"/>
      <c r="UGW38" s="12"/>
      <c r="UGX38" s="12"/>
      <c r="UHO38" s="12"/>
      <c r="UHP38" s="12"/>
      <c r="UIG38" s="12"/>
      <c r="UIH38" s="12"/>
      <c r="UIY38" s="12"/>
      <c r="UIZ38" s="12"/>
      <c r="UJQ38" s="12"/>
      <c r="UJR38" s="12"/>
      <c r="UKI38" s="12"/>
      <c r="UKJ38" s="12"/>
      <c r="ULA38" s="12"/>
      <c r="ULB38" s="12"/>
      <c r="ULS38" s="12"/>
      <c r="ULT38" s="12"/>
      <c r="UMK38" s="12"/>
      <c r="UML38" s="12"/>
      <c r="UNC38" s="12"/>
      <c r="UND38" s="12"/>
      <c r="UNU38" s="12"/>
      <c r="UNV38" s="12"/>
      <c r="UOM38" s="12"/>
      <c r="UON38" s="12"/>
      <c r="UPE38" s="12"/>
      <c r="UPF38" s="12"/>
      <c r="UPW38" s="12"/>
      <c r="UPX38" s="12"/>
      <c r="UQO38" s="12"/>
      <c r="UQP38" s="12"/>
      <c r="URG38" s="12"/>
      <c r="URH38" s="12"/>
      <c r="URY38" s="12"/>
      <c r="URZ38" s="12"/>
      <c r="USQ38" s="12"/>
      <c r="USR38" s="12"/>
      <c r="UTI38" s="12"/>
      <c r="UTJ38" s="12"/>
      <c r="UUA38" s="12"/>
      <c r="UUB38" s="12"/>
      <c r="UUS38" s="12"/>
      <c r="UUT38" s="12"/>
      <c r="UVK38" s="12"/>
      <c r="UVL38" s="12"/>
      <c r="UWC38" s="12"/>
      <c r="UWD38" s="12"/>
      <c r="UWU38" s="12"/>
      <c r="UWV38" s="12"/>
      <c r="UXM38" s="12"/>
      <c r="UXN38" s="12"/>
      <c r="UYE38" s="12"/>
      <c r="UYF38" s="12"/>
      <c r="UYW38" s="12"/>
      <c r="UYX38" s="12"/>
      <c r="UZO38" s="12"/>
      <c r="UZP38" s="12"/>
      <c r="VAG38" s="12"/>
      <c r="VAH38" s="12"/>
      <c r="VAY38" s="12"/>
      <c r="VAZ38" s="12"/>
      <c r="VBQ38" s="12"/>
      <c r="VBR38" s="12"/>
      <c r="VCI38" s="12"/>
      <c r="VCJ38" s="12"/>
      <c r="VDA38" s="12"/>
      <c r="VDB38" s="12"/>
      <c r="VDS38" s="12"/>
      <c r="VDT38" s="12"/>
      <c r="VEK38" s="12"/>
      <c r="VEL38" s="12"/>
      <c r="VFC38" s="12"/>
      <c r="VFD38" s="12"/>
      <c r="VFU38" s="12"/>
      <c r="VFV38" s="12"/>
      <c r="VGM38" s="12"/>
      <c r="VGN38" s="12"/>
      <c r="VHE38" s="12"/>
      <c r="VHF38" s="12"/>
      <c r="VHW38" s="12"/>
      <c r="VHX38" s="12"/>
      <c r="VIO38" s="12"/>
      <c r="VIP38" s="12"/>
      <c r="VJG38" s="12"/>
      <c r="VJH38" s="12"/>
      <c r="VJY38" s="12"/>
      <c r="VJZ38" s="12"/>
      <c r="VKQ38" s="12"/>
      <c r="VKR38" s="12"/>
      <c r="VLI38" s="12"/>
      <c r="VLJ38" s="12"/>
      <c r="VMA38" s="12"/>
      <c r="VMB38" s="12"/>
      <c r="VMS38" s="12"/>
      <c r="VMT38" s="12"/>
      <c r="VNK38" s="12"/>
      <c r="VNL38" s="12"/>
      <c r="VOC38" s="12"/>
      <c r="VOD38" s="12"/>
      <c r="VOU38" s="12"/>
      <c r="VOV38" s="12"/>
      <c r="VPM38" s="12"/>
      <c r="VPN38" s="12"/>
      <c r="VQE38" s="12"/>
      <c r="VQF38" s="12"/>
      <c r="VQW38" s="12"/>
      <c r="VQX38" s="12"/>
      <c r="VRO38" s="12"/>
      <c r="VRP38" s="12"/>
      <c r="VSG38" s="12"/>
      <c r="VSH38" s="12"/>
      <c r="VSY38" s="12"/>
      <c r="VSZ38" s="12"/>
      <c r="VTQ38" s="12"/>
      <c r="VTR38" s="12"/>
      <c r="VUI38" s="12"/>
      <c r="VUJ38" s="12"/>
      <c r="VVA38" s="12"/>
      <c r="VVB38" s="12"/>
      <c r="VVS38" s="12"/>
      <c r="VVT38" s="12"/>
      <c r="VWK38" s="12"/>
      <c r="VWL38" s="12"/>
      <c r="VXC38" s="12"/>
      <c r="VXD38" s="12"/>
      <c r="VXU38" s="12"/>
      <c r="VXV38" s="12"/>
      <c r="VYM38" s="12"/>
      <c r="VYN38" s="12"/>
      <c r="VZE38" s="12"/>
      <c r="VZF38" s="12"/>
      <c r="VZW38" s="12"/>
      <c r="VZX38" s="12"/>
      <c r="WAO38" s="12"/>
      <c r="WAP38" s="12"/>
      <c r="WBG38" s="12"/>
      <c r="WBH38" s="12"/>
      <c r="WBY38" s="12"/>
      <c r="WBZ38" s="12"/>
      <c r="WCQ38" s="12"/>
      <c r="WCR38" s="12"/>
      <c r="WDI38" s="12"/>
      <c r="WDJ38" s="12"/>
      <c r="WEA38" s="12"/>
      <c r="WEB38" s="12"/>
      <c r="WES38" s="12"/>
      <c r="WET38" s="12"/>
      <c r="WFK38" s="12"/>
      <c r="WFL38" s="12"/>
      <c r="WGC38" s="12"/>
      <c r="WGD38" s="12"/>
      <c r="WGU38" s="12"/>
      <c r="WGV38" s="12"/>
      <c r="WHM38" s="12"/>
      <c r="WHN38" s="12"/>
      <c r="WIE38" s="12"/>
      <c r="WIF38" s="12"/>
      <c r="WIW38" s="12"/>
      <c r="WIX38" s="12"/>
      <c r="WJO38" s="12"/>
      <c r="WJP38" s="12"/>
      <c r="WKG38" s="12"/>
      <c r="WKH38" s="12"/>
      <c r="WKY38" s="12"/>
      <c r="WKZ38" s="12"/>
      <c r="WLQ38" s="12"/>
      <c r="WLR38" s="12"/>
      <c r="WMI38" s="12"/>
      <c r="WMJ38" s="12"/>
      <c r="WNA38" s="12"/>
      <c r="WNB38" s="12"/>
      <c r="WNS38" s="12"/>
      <c r="WNT38" s="12"/>
      <c r="WOK38" s="12"/>
      <c r="WOL38" s="12"/>
      <c r="WPC38" s="12"/>
      <c r="WPD38" s="12"/>
      <c r="WPU38" s="12"/>
      <c r="WPV38" s="12"/>
      <c r="WQM38" s="12"/>
      <c r="WQN38" s="12"/>
      <c r="WRE38" s="12"/>
      <c r="WRF38" s="12"/>
      <c r="WRW38" s="12"/>
      <c r="WRX38" s="12"/>
      <c r="WSO38" s="12"/>
      <c r="WSP38" s="12"/>
      <c r="WTG38" s="12"/>
      <c r="WTH38" s="12"/>
      <c r="WTY38" s="12"/>
      <c r="WTZ38" s="12"/>
      <c r="WUQ38" s="12"/>
      <c r="WUR38" s="12"/>
      <c r="WVI38" s="12"/>
      <c r="WVJ38" s="12"/>
      <c r="WWA38" s="12"/>
      <c r="WWB38" s="12"/>
      <c r="WWS38" s="12"/>
      <c r="WWT38" s="12"/>
      <c r="WXK38" s="12"/>
      <c r="WXL38" s="12"/>
      <c r="WYC38" s="12"/>
      <c r="WYD38" s="12"/>
      <c r="WYU38" s="12"/>
      <c r="WYV38" s="12"/>
      <c r="WZM38" s="12"/>
      <c r="WZN38" s="12"/>
      <c r="XAE38" s="12"/>
      <c r="XAF38" s="12"/>
      <c r="XAW38" s="12"/>
      <c r="XAX38" s="12"/>
      <c r="XBO38" s="12"/>
      <c r="XBP38" s="12"/>
      <c r="XCG38" s="12"/>
      <c r="XCH38" s="12"/>
      <c r="XCY38" s="12"/>
      <c r="XCZ38" s="12"/>
      <c r="XDQ38" s="12"/>
      <c r="XDR38" s="12"/>
      <c r="XEI38" s="12"/>
      <c r="XEJ38" s="12"/>
      <c r="XFA38" s="12"/>
      <c r="XFB38" s="12"/>
    </row>
    <row r="39" spans="1:1010 1027:2036 2053:3062 3079:4088 4105:5114 5131:6140 6157:7166 7183:8192 8209:9200 9217:10226 10243:11252 11269:12278 12295:13304 13321:14330 14347:15356 15373:16382" x14ac:dyDescent="0.35">
      <c r="A39" s="181" t="s">
        <v>70</v>
      </c>
      <c r="B39" s="181" t="s">
        <v>71</v>
      </c>
      <c r="C39" s="198">
        <v>182.696</v>
      </c>
      <c r="D39" s="198">
        <v>189.14</v>
      </c>
      <c r="E39" s="198">
        <v>171.45</v>
      </c>
      <c r="F39" s="198">
        <v>188.69499999999999</v>
      </c>
      <c r="G39" s="198">
        <v>235.56399999999999</v>
      </c>
      <c r="H39" s="198">
        <v>247.28100000000001</v>
      </c>
      <c r="I39" s="198">
        <v>260.16199999999998</v>
      </c>
      <c r="J39" s="198">
        <v>274.77699999999999</v>
      </c>
      <c r="K39" s="198">
        <v>296.30799999999999</v>
      </c>
      <c r="L39" s="198">
        <v>333.15600000000001</v>
      </c>
      <c r="M39" s="117"/>
      <c r="N39" s="117"/>
      <c r="O39" s="117"/>
      <c r="P39" s="117"/>
      <c r="Q39" s="117"/>
      <c r="R39" s="117"/>
      <c r="T39" s="12"/>
      <c r="U39" s="12"/>
    </row>
    <row r="40" spans="1:1010 1027:2036 2053:3062 3079:4088 4105:5114 5131:6140 6157:7166 7183:8192 8209:9200 9217:10226 10243:11252 11269:12278 12295:13304 13321:14330 14347:15356 15373:16382" x14ac:dyDescent="0.35">
      <c r="A40" s="181" t="s">
        <v>72</v>
      </c>
      <c r="B40" s="181" t="s">
        <v>73</v>
      </c>
      <c r="C40" s="198">
        <v>105.069</v>
      </c>
      <c r="D40" s="198">
        <v>114.642</v>
      </c>
      <c r="E40" s="198">
        <v>114.202</v>
      </c>
      <c r="F40" s="198">
        <v>119.727</v>
      </c>
      <c r="G40" s="198">
        <v>128.52600000000001</v>
      </c>
      <c r="H40" s="198">
        <v>137.00299999999999</v>
      </c>
      <c r="I40" s="198">
        <v>146.50899999999999</v>
      </c>
      <c r="J40" s="198">
        <v>158.06</v>
      </c>
      <c r="K40" s="198">
        <v>167.8</v>
      </c>
      <c r="L40" s="198">
        <v>172.75299999999999</v>
      </c>
      <c r="M40" s="117"/>
      <c r="N40" s="117"/>
      <c r="O40" s="117"/>
      <c r="P40" s="117"/>
      <c r="Q40" s="117"/>
      <c r="R40" s="117"/>
      <c r="T40" s="12"/>
      <c r="U40" s="12"/>
    </row>
    <row r="41" spans="1:1010 1027:2036 2053:3062 3079:4088 4105:5114 5131:6140 6157:7166 7183:8192 8209:9200 9217:10226 10243:11252 11269:12278 12295:13304 13321:14330 14347:15356 15373:16382" x14ac:dyDescent="0.35">
      <c r="A41" s="181" t="s">
        <v>74</v>
      </c>
      <c r="B41" s="181"/>
      <c r="C41" s="198">
        <f t="shared" ref="C41:L41" si="7">IF(C38="",0,C38)-IF(C37="",0,C37)</f>
        <v>0</v>
      </c>
      <c r="D41" s="198">
        <f t="shared" si="7"/>
        <v>0</v>
      </c>
      <c r="E41" s="198">
        <f t="shared" si="7"/>
        <v>0</v>
      </c>
      <c r="F41" s="198">
        <f t="shared" si="7"/>
        <v>0</v>
      </c>
      <c r="G41" s="198">
        <f t="shared" si="7"/>
        <v>27.456999999999994</v>
      </c>
      <c r="H41" s="198">
        <f t="shared" si="7"/>
        <v>18.281000000000006</v>
      </c>
      <c r="I41" s="198">
        <f t="shared" si="7"/>
        <v>19.181000000000012</v>
      </c>
      <c r="J41" s="198">
        <f t="shared" si="7"/>
        <v>17.036000000000001</v>
      </c>
      <c r="K41" s="198">
        <f t="shared" si="7"/>
        <v>15.693000000000012</v>
      </c>
      <c r="L41" s="198">
        <f t="shared" si="7"/>
        <v>18.096000000000004</v>
      </c>
      <c r="M41" s="117"/>
      <c r="N41" s="117"/>
      <c r="O41" s="117"/>
      <c r="P41" s="117"/>
      <c r="Q41" s="117"/>
      <c r="R41" s="117"/>
      <c r="T41" s="12"/>
      <c r="U41" s="12"/>
    </row>
    <row r="42" spans="1:1010 1027:2036 2053:3062 3079:4088 4105:5114 5131:6140 6157:7166 7183:8192 8209:9200 9217:10226 10243:11252 11269:12278 12295:13304 13321:14330 14347:15356 15373:16382" x14ac:dyDescent="0.35">
      <c r="A42" s="23" t="s">
        <v>29</v>
      </c>
      <c r="B42" s="23"/>
      <c r="C42" s="174">
        <f t="shared" ref="C42:L42" si="8">ROUND(IF(C39="",0,C39)-IF(C40="",0,C40)-IF(C38="",0,C38),1)</f>
        <v>0</v>
      </c>
      <c r="D42" s="174">
        <f t="shared" si="8"/>
        <v>0</v>
      </c>
      <c r="E42" s="174">
        <f t="shared" si="8"/>
        <v>0</v>
      </c>
      <c r="F42" s="174">
        <f t="shared" si="8"/>
        <v>0</v>
      </c>
      <c r="G42" s="174">
        <f t="shared" si="8"/>
        <v>0</v>
      </c>
      <c r="H42" s="174">
        <f t="shared" si="8"/>
        <v>0</v>
      </c>
      <c r="I42" s="174">
        <f t="shared" si="8"/>
        <v>0</v>
      </c>
      <c r="J42" s="174">
        <f t="shared" si="8"/>
        <v>0</v>
      </c>
      <c r="K42" s="174">
        <f t="shared" si="8"/>
        <v>0</v>
      </c>
      <c r="L42" s="174">
        <f t="shared" si="8"/>
        <v>0</v>
      </c>
      <c r="M42" s="118"/>
      <c r="N42" s="118"/>
      <c r="O42" s="118"/>
      <c r="P42" s="118"/>
      <c r="Q42" s="118"/>
      <c r="R42" s="118"/>
      <c r="T42" s="12"/>
      <c r="U42" s="12"/>
    </row>
    <row r="43" spans="1:1010 1027:2036 2053:3062 3079:4088 4105:5114 5131:6140 6157:7166 7183:8192 8209:9200 9217:10226 10243:11252 11269:12278 12295:13304 13321:14330 14347:15356 15373:16382" s="11" customFormat="1" x14ac:dyDescent="0.35">
      <c r="A43" s="183" t="s">
        <v>75</v>
      </c>
      <c r="B43" s="183" t="s">
        <v>76</v>
      </c>
      <c r="C43" s="184">
        <v>0</v>
      </c>
      <c r="D43" s="184">
        <v>0</v>
      </c>
      <c r="E43" s="184">
        <v>0</v>
      </c>
      <c r="F43" s="184">
        <v>0</v>
      </c>
      <c r="G43" s="184">
        <v>0</v>
      </c>
      <c r="H43" s="184">
        <v>0</v>
      </c>
      <c r="I43" s="184">
        <v>0</v>
      </c>
      <c r="J43" s="184">
        <v>0</v>
      </c>
      <c r="K43" s="184">
        <v>0</v>
      </c>
      <c r="L43" s="184">
        <v>0</v>
      </c>
      <c r="M43" s="312" t="str">
        <f>IF(OR(K43=0,K43=""),"",L43/K43-1)</f>
        <v/>
      </c>
      <c r="N43" s="117"/>
      <c r="O43" s="117"/>
      <c r="P43" s="117"/>
      <c r="Q43" s="117"/>
      <c r="R43" s="117"/>
      <c r="S43" s="12"/>
      <c r="T43" s="12"/>
      <c r="AK43" s="12"/>
      <c r="AL43" s="12"/>
      <c r="BC43" s="12"/>
      <c r="BD43" s="12"/>
      <c r="BU43" s="12"/>
      <c r="BV43" s="12"/>
      <c r="CM43" s="12"/>
      <c r="CN43" s="12"/>
      <c r="DE43" s="12"/>
      <c r="DF43" s="12"/>
      <c r="DW43" s="12"/>
      <c r="DX43" s="12"/>
      <c r="EO43" s="12"/>
      <c r="EP43" s="12"/>
      <c r="FG43" s="12"/>
      <c r="FH43" s="12"/>
      <c r="FY43" s="12"/>
      <c r="FZ43" s="12"/>
      <c r="GQ43" s="12"/>
      <c r="GR43" s="12"/>
      <c r="HI43" s="12"/>
      <c r="HJ43" s="12"/>
      <c r="IA43" s="12"/>
      <c r="IB43" s="12"/>
      <c r="IS43" s="12"/>
      <c r="IT43" s="12"/>
      <c r="JK43" s="12"/>
      <c r="JL43" s="12"/>
      <c r="KC43" s="12"/>
      <c r="KD43" s="12"/>
      <c r="KU43" s="12"/>
      <c r="KV43" s="12"/>
      <c r="LM43" s="12"/>
      <c r="LN43" s="12"/>
      <c r="ME43" s="12"/>
      <c r="MF43" s="12"/>
      <c r="MW43" s="12"/>
      <c r="MX43" s="12"/>
      <c r="NO43" s="12"/>
      <c r="NP43" s="12"/>
      <c r="OG43" s="12"/>
      <c r="OH43" s="12"/>
      <c r="OY43" s="12"/>
      <c r="OZ43" s="12"/>
      <c r="PQ43" s="12"/>
      <c r="PR43" s="12"/>
      <c r="QI43" s="12"/>
      <c r="QJ43" s="12"/>
      <c r="RA43" s="12"/>
      <c r="RB43" s="12"/>
      <c r="RS43" s="12"/>
      <c r="RT43" s="12"/>
      <c r="SK43" s="12"/>
      <c r="SL43" s="12"/>
      <c r="TC43" s="12"/>
      <c r="TD43" s="12"/>
      <c r="TU43" s="12"/>
      <c r="TV43" s="12"/>
      <c r="UM43" s="12"/>
      <c r="UN43" s="12"/>
      <c r="VE43" s="12"/>
      <c r="VF43" s="12"/>
      <c r="VW43" s="12"/>
      <c r="VX43" s="12"/>
      <c r="WO43" s="12"/>
      <c r="WP43" s="12"/>
      <c r="XG43" s="12"/>
      <c r="XH43" s="12"/>
      <c r="XY43" s="12"/>
      <c r="XZ43" s="12"/>
      <c r="YQ43" s="12"/>
      <c r="YR43" s="12"/>
      <c r="ZI43" s="12"/>
      <c r="ZJ43" s="12"/>
      <c r="AAA43" s="12"/>
      <c r="AAB43" s="12"/>
      <c r="AAS43" s="12"/>
      <c r="AAT43" s="12"/>
      <c r="ABK43" s="12"/>
      <c r="ABL43" s="12"/>
      <c r="ACC43" s="12"/>
      <c r="ACD43" s="12"/>
      <c r="ACU43" s="12"/>
      <c r="ACV43" s="12"/>
      <c r="ADM43" s="12"/>
      <c r="ADN43" s="12"/>
      <c r="AEE43" s="12"/>
      <c r="AEF43" s="12"/>
      <c r="AEW43" s="12"/>
      <c r="AEX43" s="12"/>
      <c r="AFO43" s="12"/>
      <c r="AFP43" s="12"/>
      <c r="AGG43" s="12"/>
      <c r="AGH43" s="12"/>
      <c r="AGY43" s="12"/>
      <c r="AGZ43" s="12"/>
      <c r="AHQ43" s="12"/>
      <c r="AHR43" s="12"/>
      <c r="AII43" s="12"/>
      <c r="AIJ43" s="12"/>
      <c r="AJA43" s="12"/>
      <c r="AJB43" s="12"/>
      <c r="AJS43" s="12"/>
      <c r="AJT43" s="12"/>
      <c r="AKK43" s="12"/>
      <c r="AKL43" s="12"/>
      <c r="ALC43" s="12"/>
      <c r="ALD43" s="12"/>
      <c r="ALU43" s="12"/>
      <c r="ALV43" s="12"/>
      <c r="AMM43" s="12"/>
      <c r="AMN43" s="12"/>
      <c r="ANE43" s="12"/>
      <c r="ANF43" s="12"/>
      <c r="ANW43" s="12"/>
      <c r="ANX43" s="12"/>
      <c r="AOO43" s="12"/>
      <c r="AOP43" s="12"/>
      <c r="APG43" s="12"/>
      <c r="APH43" s="12"/>
      <c r="APY43" s="12"/>
      <c r="APZ43" s="12"/>
      <c r="AQQ43" s="12"/>
      <c r="AQR43" s="12"/>
      <c r="ARI43" s="12"/>
      <c r="ARJ43" s="12"/>
      <c r="ASA43" s="12"/>
      <c r="ASB43" s="12"/>
      <c r="ASS43" s="12"/>
      <c r="AST43" s="12"/>
      <c r="ATK43" s="12"/>
      <c r="ATL43" s="12"/>
      <c r="AUC43" s="12"/>
      <c r="AUD43" s="12"/>
      <c r="AUU43" s="12"/>
      <c r="AUV43" s="12"/>
      <c r="AVM43" s="12"/>
      <c r="AVN43" s="12"/>
      <c r="AWE43" s="12"/>
      <c r="AWF43" s="12"/>
      <c r="AWW43" s="12"/>
      <c r="AWX43" s="12"/>
      <c r="AXO43" s="12"/>
      <c r="AXP43" s="12"/>
      <c r="AYG43" s="12"/>
      <c r="AYH43" s="12"/>
      <c r="AYY43" s="12"/>
      <c r="AYZ43" s="12"/>
      <c r="AZQ43" s="12"/>
      <c r="AZR43" s="12"/>
      <c r="BAI43" s="12"/>
      <c r="BAJ43" s="12"/>
      <c r="BBA43" s="12"/>
      <c r="BBB43" s="12"/>
      <c r="BBS43" s="12"/>
      <c r="BBT43" s="12"/>
      <c r="BCK43" s="12"/>
      <c r="BCL43" s="12"/>
      <c r="BDC43" s="12"/>
      <c r="BDD43" s="12"/>
      <c r="BDU43" s="12"/>
      <c r="BDV43" s="12"/>
      <c r="BEM43" s="12"/>
      <c r="BEN43" s="12"/>
      <c r="BFE43" s="12"/>
      <c r="BFF43" s="12"/>
      <c r="BFW43" s="12"/>
      <c r="BFX43" s="12"/>
      <c r="BGO43" s="12"/>
      <c r="BGP43" s="12"/>
      <c r="BHG43" s="12"/>
      <c r="BHH43" s="12"/>
      <c r="BHY43" s="12"/>
      <c r="BHZ43" s="12"/>
      <c r="BIQ43" s="12"/>
      <c r="BIR43" s="12"/>
      <c r="BJI43" s="12"/>
      <c r="BJJ43" s="12"/>
      <c r="BKA43" s="12"/>
      <c r="BKB43" s="12"/>
      <c r="BKS43" s="12"/>
      <c r="BKT43" s="12"/>
      <c r="BLK43" s="12"/>
      <c r="BLL43" s="12"/>
      <c r="BMC43" s="12"/>
      <c r="BMD43" s="12"/>
      <c r="BMU43" s="12"/>
      <c r="BMV43" s="12"/>
      <c r="BNM43" s="12"/>
      <c r="BNN43" s="12"/>
      <c r="BOE43" s="12"/>
      <c r="BOF43" s="12"/>
      <c r="BOW43" s="12"/>
      <c r="BOX43" s="12"/>
      <c r="BPO43" s="12"/>
      <c r="BPP43" s="12"/>
      <c r="BQG43" s="12"/>
      <c r="BQH43" s="12"/>
      <c r="BQY43" s="12"/>
      <c r="BQZ43" s="12"/>
      <c r="BRQ43" s="12"/>
      <c r="BRR43" s="12"/>
      <c r="BSI43" s="12"/>
      <c r="BSJ43" s="12"/>
      <c r="BTA43" s="12"/>
      <c r="BTB43" s="12"/>
      <c r="BTS43" s="12"/>
      <c r="BTT43" s="12"/>
      <c r="BUK43" s="12"/>
      <c r="BUL43" s="12"/>
      <c r="BVC43" s="12"/>
      <c r="BVD43" s="12"/>
      <c r="BVU43" s="12"/>
      <c r="BVV43" s="12"/>
      <c r="BWM43" s="12"/>
      <c r="BWN43" s="12"/>
      <c r="BXE43" s="12"/>
      <c r="BXF43" s="12"/>
      <c r="BXW43" s="12"/>
      <c r="BXX43" s="12"/>
      <c r="BYO43" s="12"/>
      <c r="BYP43" s="12"/>
      <c r="BZG43" s="12"/>
      <c r="BZH43" s="12"/>
      <c r="BZY43" s="12"/>
      <c r="BZZ43" s="12"/>
      <c r="CAQ43" s="12"/>
      <c r="CAR43" s="12"/>
      <c r="CBI43" s="12"/>
      <c r="CBJ43" s="12"/>
      <c r="CCA43" s="12"/>
      <c r="CCB43" s="12"/>
      <c r="CCS43" s="12"/>
      <c r="CCT43" s="12"/>
      <c r="CDK43" s="12"/>
      <c r="CDL43" s="12"/>
      <c r="CEC43" s="12"/>
      <c r="CED43" s="12"/>
      <c r="CEU43" s="12"/>
      <c r="CEV43" s="12"/>
      <c r="CFM43" s="12"/>
      <c r="CFN43" s="12"/>
      <c r="CGE43" s="12"/>
      <c r="CGF43" s="12"/>
      <c r="CGW43" s="12"/>
      <c r="CGX43" s="12"/>
      <c r="CHO43" s="12"/>
      <c r="CHP43" s="12"/>
      <c r="CIG43" s="12"/>
      <c r="CIH43" s="12"/>
      <c r="CIY43" s="12"/>
      <c r="CIZ43" s="12"/>
      <c r="CJQ43" s="12"/>
      <c r="CJR43" s="12"/>
      <c r="CKI43" s="12"/>
      <c r="CKJ43" s="12"/>
      <c r="CLA43" s="12"/>
      <c r="CLB43" s="12"/>
      <c r="CLS43" s="12"/>
      <c r="CLT43" s="12"/>
      <c r="CMK43" s="12"/>
      <c r="CML43" s="12"/>
      <c r="CNC43" s="12"/>
      <c r="CND43" s="12"/>
      <c r="CNU43" s="12"/>
      <c r="CNV43" s="12"/>
      <c r="COM43" s="12"/>
      <c r="CON43" s="12"/>
      <c r="CPE43" s="12"/>
      <c r="CPF43" s="12"/>
      <c r="CPW43" s="12"/>
      <c r="CPX43" s="12"/>
      <c r="CQO43" s="12"/>
      <c r="CQP43" s="12"/>
      <c r="CRG43" s="12"/>
      <c r="CRH43" s="12"/>
      <c r="CRY43" s="12"/>
      <c r="CRZ43" s="12"/>
      <c r="CSQ43" s="12"/>
      <c r="CSR43" s="12"/>
      <c r="CTI43" s="12"/>
      <c r="CTJ43" s="12"/>
      <c r="CUA43" s="12"/>
      <c r="CUB43" s="12"/>
      <c r="CUS43" s="12"/>
      <c r="CUT43" s="12"/>
      <c r="CVK43" s="12"/>
      <c r="CVL43" s="12"/>
      <c r="CWC43" s="12"/>
      <c r="CWD43" s="12"/>
      <c r="CWU43" s="12"/>
      <c r="CWV43" s="12"/>
      <c r="CXM43" s="12"/>
      <c r="CXN43" s="12"/>
      <c r="CYE43" s="12"/>
      <c r="CYF43" s="12"/>
      <c r="CYW43" s="12"/>
      <c r="CYX43" s="12"/>
      <c r="CZO43" s="12"/>
      <c r="CZP43" s="12"/>
      <c r="DAG43" s="12"/>
      <c r="DAH43" s="12"/>
      <c r="DAY43" s="12"/>
      <c r="DAZ43" s="12"/>
      <c r="DBQ43" s="12"/>
      <c r="DBR43" s="12"/>
      <c r="DCI43" s="12"/>
      <c r="DCJ43" s="12"/>
      <c r="DDA43" s="12"/>
      <c r="DDB43" s="12"/>
      <c r="DDS43" s="12"/>
      <c r="DDT43" s="12"/>
      <c r="DEK43" s="12"/>
      <c r="DEL43" s="12"/>
      <c r="DFC43" s="12"/>
      <c r="DFD43" s="12"/>
      <c r="DFU43" s="12"/>
      <c r="DFV43" s="12"/>
      <c r="DGM43" s="12"/>
      <c r="DGN43" s="12"/>
      <c r="DHE43" s="12"/>
      <c r="DHF43" s="12"/>
      <c r="DHW43" s="12"/>
      <c r="DHX43" s="12"/>
      <c r="DIO43" s="12"/>
      <c r="DIP43" s="12"/>
      <c r="DJG43" s="12"/>
      <c r="DJH43" s="12"/>
      <c r="DJY43" s="12"/>
      <c r="DJZ43" s="12"/>
      <c r="DKQ43" s="12"/>
      <c r="DKR43" s="12"/>
      <c r="DLI43" s="12"/>
      <c r="DLJ43" s="12"/>
      <c r="DMA43" s="12"/>
      <c r="DMB43" s="12"/>
      <c r="DMS43" s="12"/>
      <c r="DMT43" s="12"/>
      <c r="DNK43" s="12"/>
      <c r="DNL43" s="12"/>
      <c r="DOC43" s="12"/>
      <c r="DOD43" s="12"/>
      <c r="DOU43" s="12"/>
      <c r="DOV43" s="12"/>
      <c r="DPM43" s="12"/>
      <c r="DPN43" s="12"/>
      <c r="DQE43" s="12"/>
      <c r="DQF43" s="12"/>
      <c r="DQW43" s="12"/>
      <c r="DQX43" s="12"/>
      <c r="DRO43" s="12"/>
      <c r="DRP43" s="12"/>
      <c r="DSG43" s="12"/>
      <c r="DSH43" s="12"/>
      <c r="DSY43" s="12"/>
      <c r="DSZ43" s="12"/>
      <c r="DTQ43" s="12"/>
      <c r="DTR43" s="12"/>
      <c r="DUI43" s="12"/>
      <c r="DUJ43" s="12"/>
      <c r="DVA43" s="12"/>
      <c r="DVB43" s="12"/>
      <c r="DVS43" s="12"/>
      <c r="DVT43" s="12"/>
      <c r="DWK43" s="12"/>
      <c r="DWL43" s="12"/>
      <c r="DXC43" s="12"/>
      <c r="DXD43" s="12"/>
      <c r="DXU43" s="12"/>
      <c r="DXV43" s="12"/>
      <c r="DYM43" s="12"/>
      <c r="DYN43" s="12"/>
      <c r="DZE43" s="12"/>
      <c r="DZF43" s="12"/>
      <c r="DZW43" s="12"/>
      <c r="DZX43" s="12"/>
      <c r="EAO43" s="12"/>
      <c r="EAP43" s="12"/>
      <c r="EBG43" s="12"/>
      <c r="EBH43" s="12"/>
      <c r="EBY43" s="12"/>
      <c r="EBZ43" s="12"/>
      <c r="ECQ43" s="12"/>
      <c r="ECR43" s="12"/>
      <c r="EDI43" s="12"/>
      <c r="EDJ43" s="12"/>
      <c r="EEA43" s="12"/>
      <c r="EEB43" s="12"/>
      <c r="EES43" s="12"/>
      <c r="EET43" s="12"/>
      <c r="EFK43" s="12"/>
      <c r="EFL43" s="12"/>
      <c r="EGC43" s="12"/>
      <c r="EGD43" s="12"/>
      <c r="EGU43" s="12"/>
      <c r="EGV43" s="12"/>
      <c r="EHM43" s="12"/>
      <c r="EHN43" s="12"/>
      <c r="EIE43" s="12"/>
      <c r="EIF43" s="12"/>
      <c r="EIW43" s="12"/>
      <c r="EIX43" s="12"/>
      <c r="EJO43" s="12"/>
      <c r="EJP43" s="12"/>
      <c r="EKG43" s="12"/>
      <c r="EKH43" s="12"/>
      <c r="EKY43" s="12"/>
      <c r="EKZ43" s="12"/>
      <c r="ELQ43" s="12"/>
      <c r="ELR43" s="12"/>
      <c r="EMI43" s="12"/>
      <c r="EMJ43" s="12"/>
      <c r="ENA43" s="12"/>
      <c r="ENB43" s="12"/>
      <c r="ENS43" s="12"/>
      <c r="ENT43" s="12"/>
      <c r="EOK43" s="12"/>
      <c r="EOL43" s="12"/>
      <c r="EPC43" s="12"/>
      <c r="EPD43" s="12"/>
      <c r="EPU43" s="12"/>
      <c r="EPV43" s="12"/>
      <c r="EQM43" s="12"/>
      <c r="EQN43" s="12"/>
      <c r="ERE43" s="12"/>
      <c r="ERF43" s="12"/>
      <c r="ERW43" s="12"/>
      <c r="ERX43" s="12"/>
      <c r="ESO43" s="12"/>
      <c r="ESP43" s="12"/>
      <c r="ETG43" s="12"/>
      <c r="ETH43" s="12"/>
      <c r="ETY43" s="12"/>
      <c r="ETZ43" s="12"/>
      <c r="EUQ43" s="12"/>
      <c r="EUR43" s="12"/>
      <c r="EVI43" s="12"/>
      <c r="EVJ43" s="12"/>
      <c r="EWA43" s="12"/>
      <c r="EWB43" s="12"/>
      <c r="EWS43" s="12"/>
      <c r="EWT43" s="12"/>
      <c r="EXK43" s="12"/>
      <c r="EXL43" s="12"/>
      <c r="EYC43" s="12"/>
      <c r="EYD43" s="12"/>
      <c r="EYU43" s="12"/>
      <c r="EYV43" s="12"/>
      <c r="EZM43" s="12"/>
      <c r="EZN43" s="12"/>
      <c r="FAE43" s="12"/>
      <c r="FAF43" s="12"/>
      <c r="FAW43" s="12"/>
      <c r="FAX43" s="12"/>
      <c r="FBO43" s="12"/>
      <c r="FBP43" s="12"/>
      <c r="FCG43" s="12"/>
      <c r="FCH43" s="12"/>
      <c r="FCY43" s="12"/>
      <c r="FCZ43" s="12"/>
      <c r="FDQ43" s="12"/>
      <c r="FDR43" s="12"/>
      <c r="FEI43" s="12"/>
      <c r="FEJ43" s="12"/>
      <c r="FFA43" s="12"/>
      <c r="FFB43" s="12"/>
      <c r="FFS43" s="12"/>
      <c r="FFT43" s="12"/>
      <c r="FGK43" s="12"/>
      <c r="FGL43" s="12"/>
      <c r="FHC43" s="12"/>
      <c r="FHD43" s="12"/>
      <c r="FHU43" s="12"/>
      <c r="FHV43" s="12"/>
      <c r="FIM43" s="12"/>
      <c r="FIN43" s="12"/>
      <c r="FJE43" s="12"/>
      <c r="FJF43" s="12"/>
      <c r="FJW43" s="12"/>
      <c r="FJX43" s="12"/>
      <c r="FKO43" s="12"/>
      <c r="FKP43" s="12"/>
      <c r="FLG43" s="12"/>
      <c r="FLH43" s="12"/>
      <c r="FLY43" s="12"/>
      <c r="FLZ43" s="12"/>
      <c r="FMQ43" s="12"/>
      <c r="FMR43" s="12"/>
      <c r="FNI43" s="12"/>
      <c r="FNJ43" s="12"/>
      <c r="FOA43" s="12"/>
      <c r="FOB43" s="12"/>
      <c r="FOS43" s="12"/>
      <c r="FOT43" s="12"/>
      <c r="FPK43" s="12"/>
      <c r="FPL43" s="12"/>
      <c r="FQC43" s="12"/>
      <c r="FQD43" s="12"/>
      <c r="FQU43" s="12"/>
      <c r="FQV43" s="12"/>
      <c r="FRM43" s="12"/>
      <c r="FRN43" s="12"/>
      <c r="FSE43" s="12"/>
      <c r="FSF43" s="12"/>
      <c r="FSW43" s="12"/>
      <c r="FSX43" s="12"/>
      <c r="FTO43" s="12"/>
      <c r="FTP43" s="12"/>
      <c r="FUG43" s="12"/>
      <c r="FUH43" s="12"/>
      <c r="FUY43" s="12"/>
      <c r="FUZ43" s="12"/>
      <c r="FVQ43" s="12"/>
      <c r="FVR43" s="12"/>
      <c r="FWI43" s="12"/>
      <c r="FWJ43" s="12"/>
      <c r="FXA43" s="12"/>
      <c r="FXB43" s="12"/>
      <c r="FXS43" s="12"/>
      <c r="FXT43" s="12"/>
      <c r="FYK43" s="12"/>
      <c r="FYL43" s="12"/>
      <c r="FZC43" s="12"/>
      <c r="FZD43" s="12"/>
      <c r="FZU43" s="12"/>
      <c r="FZV43" s="12"/>
      <c r="GAM43" s="12"/>
      <c r="GAN43" s="12"/>
      <c r="GBE43" s="12"/>
      <c r="GBF43" s="12"/>
      <c r="GBW43" s="12"/>
      <c r="GBX43" s="12"/>
      <c r="GCO43" s="12"/>
      <c r="GCP43" s="12"/>
      <c r="GDG43" s="12"/>
      <c r="GDH43" s="12"/>
      <c r="GDY43" s="12"/>
      <c r="GDZ43" s="12"/>
      <c r="GEQ43" s="12"/>
      <c r="GER43" s="12"/>
      <c r="GFI43" s="12"/>
      <c r="GFJ43" s="12"/>
      <c r="GGA43" s="12"/>
      <c r="GGB43" s="12"/>
      <c r="GGS43" s="12"/>
      <c r="GGT43" s="12"/>
      <c r="GHK43" s="12"/>
      <c r="GHL43" s="12"/>
      <c r="GIC43" s="12"/>
      <c r="GID43" s="12"/>
      <c r="GIU43" s="12"/>
      <c r="GIV43" s="12"/>
      <c r="GJM43" s="12"/>
      <c r="GJN43" s="12"/>
      <c r="GKE43" s="12"/>
      <c r="GKF43" s="12"/>
      <c r="GKW43" s="12"/>
      <c r="GKX43" s="12"/>
      <c r="GLO43" s="12"/>
      <c r="GLP43" s="12"/>
      <c r="GMG43" s="12"/>
      <c r="GMH43" s="12"/>
      <c r="GMY43" s="12"/>
      <c r="GMZ43" s="12"/>
      <c r="GNQ43" s="12"/>
      <c r="GNR43" s="12"/>
      <c r="GOI43" s="12"/>
      <c r="GOJ43" s="12"/>
      <c r="GPA43" s="12"/>
      <c r="GPB43" s="12"/>
      <c r="GPS43" s="12"/>
      <c r="GPT43" s="12"/>
      <c r="GQK43" s="12"/>
      <c r="GQL43" s="12"/>
      <c r="GRC43" s="12"/>
      <c r="GRD43" s="12"/>
      <c r="GRU43" s="12"/>
      <c r="GRV43" s="12"/>
      <c r="GSM43" s="12"/>
      <c r="GSN43" s="12"/>
      <c r="GTE43" s="12"/>
      <c r="GTF43" s="12"/>
      <c r="GTW43" s="12"/>
      <c r="GTX43" s="12"/>
      <c r="GUO43" s="12"/>
      <c r="GUP43" s="12"/>
      <c r="GVG43" s="12"/>
      <c r="GVH43" s="12"/>
      <c r="GVY43" s="12"/>
      <c r="GVZ43" s="12"/>
      <c r="GWQ43" s="12"/>
      <c r="GWR43" s="12"/>
      <c r="GXI43" s="12"/>
      <c r="GXJ43" s="12"/>
      <c r="GYA43" s="12"/>
      <c r="GYB43" s="12"/>
      <c r="GYS43" s="12"/>
      <c r="GYT43" s="12"/>
      <c r="GZK43" s="12"/>
      <c r="GZL43" s="12"/>
      <c r="HAC43" s="12"/>
      <c r="HAD43" s="12"/>
      <c r="HAU43" s="12"/>
      <c r="HAV43" s="12"/>
      <c r="HBM43" s="12"/>
      <c r="HBN43" s="12"/>
      <c r="HCE43" s="12"/>
      <c r="HCF43" s="12"/>
      <c r="HCW43" s="12"/>
      <c r="HCX43" s="12"/>
      <c r="HDO43" s="12"/>
      <c r="HDP43" s="12"/>
      <c r="HEG43" s="12"/>
      <c r="HEH43" s="12"/>
      <c r="HEY43" s="12"/>
      <c r="HEZ43" s="12"/>
      <c r="HFQ43" s="12"/>
      <c r="HFR43" s="12"/>
      <c r="HGI43" s="12"/>
      <c r="HGJ43" s="12"/>
      <c r="HHA43" s="12"/>
      <c r="HHB43" s="12"/>
      <c r="HHS43" s="12"/>
      <c r="HHT43" s="12"/>
      <c r="HIK43" s="12"/>
      <c r="HIL43" s="12"/>
      <c r="HJC43" s="12"/>
      <c r="HJD43" s="12"/>
      <c r="HJU43" s="12"/>
      <c r="HJV43" s="12"/>
      <c r="HKM43" s="12"/>
      <c r="HKN43" s="12"/>
      <c r="HLE43" s="12"/>
      <c r="HLF43" s="12"/>
      <c r="HLW43" s="12"/>
      <c r="HLX43" s="12"/>
      <c r="HMO43" s="12"/>
      <c r="HMP43" s="12"/>
      <c r="HNG43" s="12"/>
      <c r="HNH43" s="12"/>
      <c r="HNY43" s="12"/>
      <c r="HNZ43" s="12"/>
      <c r="HOQ43" s="12"/>
      <c r="HOR43" s="12"/>
      <c r="HPI43" s="12"/>
      <c r="HPJ43" s="12"/>
      <c r="HQA43" s="12"/>
      <c r="HQB43" s="12"/>
      <c r="HQS43" s="12"/>
      <c r="HQT43" s="12"/>
      <c r="HRK43" s="12"/>
      <c r="HRL43" s="12"/>
      <c r="HSC43" s="12"/>
      <c r="HSD43" s="12"/>
      <c r="HSU43" s="12"/>
      <c r="HSV43" s="12"/>
      <c r="HTM43" s="12"/>
      <c r="HTN43" s="12"/>
      <c r="HUE43" s="12"/>
      <c r="HUF43" s="12"/>
      <c r="HUW43" s="12"/>
      <c r="HUX43" s="12"/>
      <c r="HVO43" s="12"/>
      <c r="HVP43" s="12"/>
      <c r="HWG43" s="12"/>
      <c r="HWH43" s="12"/>
      <c r="HWY43" s="12"/>
      <c r="HWZ43" s="12"/>
      <c r="HXQ43" s="12"/>
      <c r="HXR43" s="12"/>
      <c r="HYI43" s="12"/>
      <c r="HYJ43" s="12"/>
      <c r="HZA43" s="12"/>
      <c r="HZB43" s="12"/>
      <c r="HZS43" s="12"/>
      <c r="HZT43" s="12"/>
      <c r="IAK43" s="12"/>
      <c r="IAL43" s="12"/>
      <c r="IBC43" s="12"/>
      <c r="IBD43" s="12"/>
      <c r="IBU43" s="12"/>
      <c r="IBV43" s="12"/>
      <c r="ICM43" s="12"/>
      <c r="ICN43" s="12"/>
      <c r="IDE43" s="12"/>
      <c r="IDF43" s="12"/>
      <c r="IDW43" s="12"/>
      <c r="IDX43" s="12"/>
      <c r="IEO43" s="12"/>
      <c r="IEP43" s="12"/>
      <c r="IFG43" s="12"/>
      <c r="IFH43" s="12"/>
      <c r="IFY43" s="12"/>
      <c r="IFZ43" s="12"/>
      <c r="IGQ43" s="12"/>
      <c r="IGR43" s="12"/>
      <c r="IHI43" s="12"/>
      <c r="IHJ43" s="12"/>
      <c r="IIA43" s="12"/>
      <c r="IIB43" s="12"/>
      <c r="IIS43" s="12"/>
      <c r="IIT43" s="12"/>
      <c r="IJK43" s="12"/>
      <c r="IJL43" s="12"/>
      <c r="IKC43" s="12"/>
      <c r="IKD43" s="12"/>
      <c r="IKU43" s="12"/>
      <c r="IKV43" s="12"/>
      <c r="ILM43" s="12"/>
      <c r="ILN43" s="12"/>
      <c r="IME43" s="12"/>
      <c r="IMF43" s="12"/>
      <c r="IMW43" s="12"/>
      <c r="IMX43" s="12"/>
      <c r="INO43" s="12"/>
      <c r="INP43" s="12"/>
      <c r="IOG43" s="12"/>
      <c r="IOH43" s="12"/>
      <c r="IOY43" s="12"/>
      <c r="IOZ43" s="12"/>
      <c r="IPQ43" s="12"/>
      <c r="IPR43" s="12"/>
      <c r="IQI43" s="12"/>
      <c r="IQJ43" s="12"/>
      <c r="IRA43" s="12"/>
      <c r="IRB43" s="12"/>
      <c r="IRS43" s="12"/>
      <c r="IRT43" s="12"/>
      <c r="ISK43" s="12"/>
      <c r="ISL43" s="12"/>
      <c r="ITC43" s="12"/>
      <c r="ITD43" s="12"/>
      <c r="ITU43" s="12"/>
      <c r="ITV43" s="12"/>
      <c r="IUM43" s="12"/>
      <c r="IUN43" s="12"/>
      <c r="IVE43" s="12"/>
      <c r="IVF43" s="12"/>
      <c r="IVW43" s="12"/>
      <c r="IVX43" s="12"/>
      <c r="IWO43" s="12"/>
      <c r="IWP43" s="12"/>
      <c r="IXG43" s="12"/>
      <c r="IXH43" s="12"/>
      <c r="IXY43" s="12"/>
      <c r="IXZ43" s="12"/>
      <c r="IYQ43" s="12"/>
      <c r="IYR43" s="12"/>
      <c r="IZI43" s="12"/>
      <c r="IZJ43" s="12"/>
      <c r="JAA43" s="12"/>
      <c r="JAB43" s="12"/>
      <c r="JAS43" s="12"/>
      <c r="JAT43" s="12"/>
      <c r="JBK43" s="12"/>
      <c r="JBL43" s="12"/>
      <c r="JCC43" s="12"/>
      <c r="JCD43" s="12"/>
      <c r="JCU43" s="12"/>
      <c r="JCV43" s="12"/>
      <c r="JDM43" s="12"/>
      <c r="JDN43" s="12"/>
      <c r="JEE43" s="12"/>
      <c r="JEF43" s="12"/>
      <c r="JEW43" s="12"/>
      <c r="JEX43" s="12"/>
      <c r="JFO43" s="12"/>
      <c r="JFP43" s="12"/>
      <c r="JGG43" s="12"/>
      <c r="JGH43" s="12"/>
      <c r="JGY43" s="12"/>
      <c r="JGZ43" s="12"/>
      <c r="JHQ43" s="12"/>
      <c r="JHR43" s="12"/>
      <c r="JII43" s="12"/>
      <c r="JIJ43" s="12"/>
      <c r="JJA43" s="12"/>
      <c r="JJB43" s="12"/>
      <c r="JJS43" s="12"/>
      <c r="JJT43" s="12"/>
      <c r="JKK43" s="12"/>
      <c r="JKL43" s="12"/>
      <c r="JLC43" s="12"/>
      <c r="JLD43" s="12"/>
      <c r="JLU43" s="12"/>
      <c r="JLV43" s="12"/>
      <c r="JMM43" s="12"/>
      <c r="JMN43" s="12"/>
      <c r="JNE43" s="12"/>
      <c r="JNF43" s="12"/>
      <c r="JNW43" s="12"/>
      <c r="JNX43" s="12"/>
      <c r="JOO43" s="12"/>
      <c r="JOP43" s="12"/>
      <c r="JPG43" s="12"/>
      <c r="JPH43" s="12"/>
      <c r="JPY43" s="12"/>
      <c r="JPZ43" s="12"/>
      <c r="JQQ43" s="12"/>
      <c r="JQR43" s="12"/>
      <c r="JRI43" s="12"/>
      <c r="JRJ43" s="12"/>
      <c r="JSA43" s="12"/>
      <c r="JSB43" s="12"/>
      <c r="JSS43" s="12"/>
      <c r="JST43" s="12"/>
      <c r="JTK43" s="12"/>
      <c r="JTL43" s="12"/>
      <c r="JUC43" s="12"/>
      <c r="JUD43" s="12"/>
      <c r="JUU43" s="12"/>
      <c r="JUV43" s="12"/>
      <c r="JVM43" s="12"/>
      <c r="JVN43" s="12"/>
      <c r="JWE43" s="12"/>
      <c r="JWF43" s="12"/>
      <c r="JWW43" s="12"/>
      <c r="JWX43" s="12"/>
      <c r="JXO43" s="12"/>
      <c r="JXP43" s="12"/>
      <c r="JYG43" s="12"/>
      <c r="JYH43" s="12"/>
      <c r="JYY43" s="12"/>
      <c r="JYZ43" s="12"/>
      <c r="JZQ43" s="12"/>
      <c r="JZR43" s="12"/>
      <c r="KAI43" s="12"/>
      <c r="KAJ43" s="12"/>
      <c r="KBA43" s="12"/>
      <c r="KBB43" s="12"/>
      <c r="KBS43" s="12"/>
      <c r="KBT43" s="12"/>
      <c r="KCK43" s="12"/>
      <c r="KCL43" s="12"/>
      <c r="KDC43" s="12"/>
      <c r="KDD43" s="12"/>
      <c r="KDU43" s="12"/>
      <c r="KDV43" s="12"/>
      <c r="KEM43" s="12"/>
      <c r="KEN43" s="12"/>
      <c r="KFE43" s="12"/>
      <c r="KFF43" s="12"/>
      <c r="KFW43" s="12"/>
      <c r="KFX43" s="12"/>
      <c r="KGO43" s="12"/>
      <c r="KGP43" s="12"/>
      <c r="KHG43" s="12"/>
      <c r="KHH43" s="12"/>
      <c r="KHY43" s="12"/>
      <c r="KHZ43" s="12"/>
      <c r="KIQ43" s="12"/>
      <c r="KIR43" s="12"/>
      <c r="KJI43" s="12"/>
      <c r="KJJ43" s="12"/>
      <c r="KKA43" s="12"/>
      <c r="KKB43" s="12"/>
      <c r="KKS43" s="12"/>
      <c r="KKT43" s="12"/>
      <c r="KLK43" s="12"/>
      <c r="KLL43" s="12"/>
      <c r="KMC43" s="12"/>
      <c r="KMD43" s="12"/>
      <c r="KMU43" s="12"/>
      <c r="KMV43" s="12"/>
      <c r="KNM43" s="12"/>
      <c r="KNN43" s="12"/>
      <c r="KOE43" s="12"/>
      <c r="KOF43" s="12"/>
      <c r="KOW43" s="12"/>
      <c r="KOX43" s="12"/>
      <c r="KPO43" s="12"/>
      <c r="KPP43" s="12"/>
      <c r="KQG43" s="12"/>
      <c r="KQH43" s="12"/>
      <c r="KQY43" s="12"/>
      <c r="KQZ43" s="12"/>
      <c r="KRQ43" s="12"/>
      <c r="KRR43" s="12"/>
      <c r="KSI43" s="12"/>
      <c r="KSJ43" s="12"/>
      <c r="KTA43" s="12"/>
      <c r="KTB43" s="12"/>
      <c r="KTS43" s="12"/>
      <c r="KTT43" s="12"/>
      <c r="KUK43" s="12"/>
      <c r="KUL43" s="12"/>
      <c r="KVC43" s="12"/>
      <c r="KVD43" s="12"/>
      <c r="KVU43" s="12"/>
      <c r="KVV43" s="12"/>
      <c r="KWM43" s="12"/>
      <c r="KWN43" s="12"/>
      <c r="KXE43" s="12"/>
      <c r="KXF43" s="12"/>
      <c r="KXW43" s="12"/>
      <c r="KXX43" s="12"/>
      <c r="KYO43" s="12"/>
      <c r="KYP43" s="12"/>
      <c r="KZG43" s="12"/>
      <c r="KZH43" s="12"/>
      <c r="KZY43" s="12"/>
      <c r="KZZ43" s="12"/>
      <c r="LAQ43" s="12"/>
      <c r="LAR43" s="12"/>
      <c r="LBI43" s="12"/>
      <c r="LBJ43" s="12"/>
      <c r="LCA43" s="12"/>
      <c r="LCB43" s="12"/>
      <c r="LCS43" s="12"/>
      <c r="LCT43" s="12"/>
      <c r="LDK43" s="12"/>
      <c r="LDL43" s="12"/>
      <c r="LEC43" s="12"/>
      <c r="LED43" s="12"/>
      <c r="LEU43" s="12"/>
      <c r="LEV43" s="12"/>
      <c r="LFM43" s="12"/>
      <c r="LFN43" s="12"/>
      <c r="LGE43" s="12"/>
      <c r="LGF43" s="12"/>
      <c r="LGW43" s="12"/>
      <c r="LGX43" s="12"/>
      <c r="LHO43" s="12"/>
      <c r="LHP43" s="12"/>
      <c r="LIG43" s="12"/>
      <c r="LIH43" s="12"/>
      <c r="LIY43" s="12"/>
      <c r="LIZ43" s="12"/>
      <c r="LJQ43" s="12"/>
      <c r="LJR43" s="12"/>
      <c r="LKI43" s="12"/>
      <c r="LKJ43" s="12"/>
      <c r="LLA43" s="12"/>
      <c r="LLB43" s="12"/>
      <c r="LLS43" s="12"/>
      <c r="LLT43" s="12"/>
      <c r="LMK43" s="12"/>
      <c r="LML43" s="12"/>
      <c r="LNC43" s="12"/>
      <c r="LND43" s="12"/>
      <c r="LNU43" s="12"/>
      <c r="LNV43" s="12"/>
      <c r="LOM43" s="12"/>
      <c r="LON43" s="12"/>
      <c r="LPE43" s="12"/>
      <c r="LPF43" s="12"/>
      <c r="LPW43" s="12"/>
      <c r="LPX43" s="12"/>
      <c r="LQO43" s="12"/>
      <c r="LQP43" s="12"/>
      <c r="LRG43" s="12"/>
      <c r="LRH43" s="12"/>
      <c r="LRY43" s="12"/>
      <c r="LRZ43" s="12"/>
      <c r="LSQ43" s="12"/>
      <c r="LSR43" s="12"/>
      <c r="LTI43" s="12"/>
      <c r="LTJ43" s="12"/>
      <c r="LUA43" s="12"/>
      <c r="LUB43" s="12"/>
      <c r="LUS43" s="12"/>
      <c r="LUT43" s="12"/>
      <c r="LVK43" s="12"/>
      <c r="LVL43" s="12"/>
      <c r="LWC43" s="12"/>
      <c r="LWD43" s="12"/>
      <c r="LWU43" s="12"/>
      <c r="LWV43" s="12"/>
      <c r="LXM43" s="12"/>
      <c r="LXN43" s="12"/>
      <c r="LYE43" s="12"/>
      <c r="LYF43" s="12"/>
      <c r="LYW43" s="12"/>
      <c r="LYX43" s="12"/>
      <c r="LZO43" s="12"/>
      <c r="LZP43" s="12"/>
      <c r="MAG43" s="12"/>
      <c r="MAH43" s="12"/>
      <c r="MAY43" s="12"/>
      <c r="MAZ43" s="12"/>
      <c r="MBQ43" s="12"/>
      <c r="MBR43" s="12"/>
      <c r="MCI43" s="12"/>
      <c r="MCJ43" s="12"/>
      <c r="MDA43" s="12"/>
      <c r="MDB43" s="12"/>
      <c r="MDS43" s="12"/>
      <c r="MDT43" s="12"/>
      <c r="MEK43" s="12"/>
      <c r="MEL43" s="12"/>
      <c r="MFC43" s="12"/>
      <c r="MFD43" s="12"/>
      <c r="MFU43" s="12"/>
      <c r="MFV43" s="12"/>
      <c r="MGM43" s="12"/>
      <c r="MGN43" s="12"/>
      <c r="MHE43" s="12"/>
      <c r="MHF43" s="12"/>
      <c r="MHW43" s="12"/>
      <c r="MHX43" s="12"/>
      <c r="MIO43" s="12"/>
      <c r="MIP43" s="12"/>
      <c r="MJG43" s="12"/>
      <c r="MJH43" s="12"/>
      <c r="MJY43" s="12"/>
      <c r="MJZ43" s="12"/>
      <c r="MKQ43" s="12"/>
      <c r="MKR43" s="12"/>
      <c r="MLI43" s="12"/>
      <c r="MLJ43" s="12"/>
      <c r="MMA43" s="12"/>
      <c r="MMB43" s="12"/>
      <c r="MMS43" s="12"/>
      <c r="MMT43" s="12"/>
      <c r="MNK43" s="12"/>
      <c r="MNL43" s="12"/>
      <c r="MOC43" s="12"/>
      <c r="MOD43" s="12"/>
      <c r="MOU43" s="12"/>
      <c r="MOV43" s="12"/>
      <c r="MPM43" s="12"/>
      <c r="MPN43" s="12"/>
      <c r="MQE43" s="12"/>
      <c r="MQF43" s="12"/>
      <c r="MQW43" s="12"/>
      <c r="MQX43" s="12"/>
      <c r="MRO43" s="12"/>
      <c r="MRP43" s="12"/>
      <c r="MSG43" s="12"/>
      <c r="MSH43" s="12"/>
      <c r="MSY43" s="12"/>
      <c r="MSZ43" s="12"/>
      <c r="MTQ43" s="12"/>
      <c r="MTR43" s="12"/>
      <c r="MUI43" s="12"/>
      <c r="MUJ43" s="12"/>
      <c r="MVA43" s="12"/>
      <c r="MVB43" s="12"/>
      <c r="MVS43" s="12"/>
      <c r="MVT43" s="12"/>
      <c r="MWK43" s="12"/>
      <c r="MWL43" s="12"/>
      <c r="MXC43" s="12"/>
      <c r="MXD43" s="12"/>
      <c r="MXU43" s="12"/>
      <c r="MXV43" s="12"/>
      <c r="MYM43" s="12"/>
      <c r="MYN43" s="12"/>
      <c r="MZE43" s="12"/>
      <c r="MZF43" s="12"/>
      <c r="MZW43" s="12"/>
      <c r="MZX43" s="12"/>
      <c r="NAO43" s="12"/>
      <c r="NAP43" s="12"/>
      <c r="NBG43" s="12"/>
      <c r="NBH43" s="12"/>
      <c r="NBY43" s="12"/>
      <c r="NBZ43" s="12"/>
      <c r="NCQ43" s="12"/>
      <c r="NCR43" s="12"/>
      <c r="NDI43" s="12"/>
      <c r="NDJ43" s="12"/>
      <c r="NEA43" s="12"/>
      <c r="NEB43" s="12"/>
      <c r="NES43" s="12"/>
      <c r="NET43" s="12"/>
      <c r="NFK43" s="12"/>
      <c r="NFL43" s="12"/>
      <c r="NGC43" s="12"/>
      <c r="NGD43" s="12"/>
      <c r="NGU43" s="12"/>
      <c r="NGV43" s="12"/>
      <c r="NHM43" s="12"/>
      <c r="NHN43" s="12"/>
      <c r="NIE43" s="12"/>
      <c r="NIF43" s="12"/>
      <c r="NIW43" s="12"/>
      <c r="NIX43" s="12"/>
      <c r="NJO43" s="12"/>
      <c r="NJP43" s="12"/>
      <c r="NKG43" s="12"/>
      <c r="NKH43" s="12"/>
      <c r="NKY43" s="12"/>
      <c r="NKZ43" s="12"/>
      <c r="NLQ43" s="12"/>
      <c r="NLR43" s="12"/>
      <c r="NMI43" s="12"/>
      <c r="NMJ43" s="12"/>
      <c r="NNA43" s="12"/>
      <c r="NNB43" s="12"/>
      <c r="NNS43" s="12"/>
      <c r="NNT43" s="12"/>
      <c r="NOK43" s="12"/>
      <c r="NOL43" s="12"/>
      <c r="NPC43" s="12"/>
      <c r="NPD43" s="12"/>
      <c r="NPU43" s="12"/>
      <c r="NPV43" s="12"/>
      <c r="NQM43" s="12"/>
      <c r="NQN43" s="12"/>
      <c r="NRE43" s="12"/>
      <c r="NRF43" s="12"/>
      <c r="NRW43" s="12"/>
      <c r="NRX43" s="12"/>
      <c r="NSO43" s="12"/>
      <c r="NSP43" s="12"/>
      <c r="NTG43" s="12"/>
      <c r="NTH43" s="12"/>
      <c r="NTY43" s="12"/>
      <c r="NTZ43" s="12"/>
      <c r="NUQ43" s="12"/>
      <c r="NUR43" s="12"/>
      <c r="NVI43" s="12"/>
      <c r="NVJ43" s="12"/>
      <c r="NWA43" s="12"/>
      <c r="NWB43" s="12"/>
      <c r="NWS43" s="12"/>
      <c r="NWT43" s="12"/>
      <c r="NXK43" s="12"/>
      <c r="NXL43" s="12"/>
      <c r="NYC43" s="12"/>
      <c r="NYD43" s="12"/>
      <c r="NYU43" s="12"/>
      <c r="NYV43" s="12"/>
      <c r="NZM43" s="12"/>
      <c r="NZN43" s="12"/>
      <c r="OAE43" s="12"/>
      <c r="OAF43" s="12"/>
      <c r="OAW43" s="12"/>
      <c r="OAX43" s="12"/>
      <c r="OBO43" s="12"/>
      <c r="OBP43" s="12"/>
      <c r="OCG43" s="12"/>
      <c r="OCH43" s="12"/>
      <c r="OCY43" s="12"/>
      <c r="OCZ43" s="12"/>
      <c r="ODQ43" s="12"/>
      <c r="ODR43" s="12"/>
      <c r="OEI43" s="12"/>
      <c r="OEJ43" s="12"/>
      <c r="OFA43" s="12"/>
      <c r="OFB43" s="12"/>
      <c r="OFS43" s="12"/>
      <c r="OFT43" s="12"/>
      <c r="OGK43" s="12"/>
      <c r="OGL43" s="12"/>
      <c r="OHC43" s="12"/>
      <c r="OHD43" s="12"/>
      <c r="OHU43" s="12"/>
      <c r="OHV43" s="12"/>
      <c r="OIM43" s="12"/>
      <c r="OIN43" s="12"/>
      <c r="OJE43" s="12"/>
      <c r="OJF43" s="12"/>
      <c r="OJW43" s="12"/>
      <c r="OJX43" s="12"/>
      <c r="OKO43" s="12"/>
      <c r="OKP43" s="12"/>
      <c r="OLG43" s="12"/>
      <c r="OLH43" s="12"/>
      <c r="OLY43" s="12"/>
      <c r="OLZ43" s="12"/>
      <c r="OMQ43" s="12"/>
      <c r="OMR43" s="12"/>
      <c r="ONI43" s="12"/>
      <c r="ONJ43" s="12"/>
      <c r="OOA43" s="12"/>
      <c r="OOB43" s="12"/>
      <c r="OOS43" s="12"/>
      <c r="OOT43" s="12"/>
      <c r="OPK43" s="12"/>
      <c r="OPL43" s="12"/>
      <c r="OQC43" s="12"/>
      <c r="OQD43" s="12"/>
      <c r="OQU43" s="12"/>
      <c r="OQV43" s="12"/>
      <c r="ORM43" s="12"/>
      <c r="ORN43" s="12"/>
      <c r="OSE43" s="12"/>
      <c r="OSF43" s="12"/>
      <c r="OSW43" s="12"/>
      <c r="OSX43" s="12"/>
      <c r="OTO43" s="12"/>
      <c r="OTP43" s="12"/>
      <c r="OUG43" s="12"/>
      <c r="OUH43" s="12"/>
      <c r="OUY43" s="12"/>
      <c r="OUZ43" s="12"/>
      <c r="OVQ43" s="12"/>
      <c r="OVR43" s="12"/>
      <c r="OWI43" s="12"/>
      <c r="OWJ43" s="12"/>
      <c r="OXA43" s="12"/>
      <c r="OXB43" s="12"/>
      <c r="OXS43" s="12"/>
      <c r="OXT43" s="12"/>
      <c r="OYK43" s="12"/>
      <c r="OYL43" s="12"/>
      <c r="OZC43" s="12"/>
      <c r="OZD43" s="12"/>
      <c r="OZU43" s="12"/>
      <c r="OZV43" s="12"/>
      <c r="PAM43" s="12"/>
      <c r="PAN43" s="12"/>
      <c r="PBE43" s="12"/>
      <c r="PBF43" s="12"/>
      <c r="PBW43" s="12"/>
      <c r="PBX43" s="12"/>
      <c r="PCO43" s="12"/>
      <c r="PCP43" s="12"/>
      <c r="PDG43" s="12"/>
      <c r="PDH43" s="12"/>
      <c r="PDY43" s="12"/>
      <c r="PDZ43" s="12"/>
      <c r="PEQ43" s="12"/>
      <c r="PER43" s="12"/>
      <c r="PFI43" s="12"/>
      <c r="PFJ43" s="12"/>
      <c r="PGA43" s="12"/>
      <c r="PGB43" s="12"/>
      <c r="PGS43" s="12"/>
      <c r="PGT43" s="12"/>
      <c r="PHK43" s="12"/>
      <c r="PHL43" s="12"/>
      <c r="PIC43" s="12"/>
      <c r="PID43" s="12"/>
      <c r="PIU43" s="12"/>
      <c r="PIV43" s="12"/>
      <c r="PJM43" s="12"/>
      <c r="PJN43" s="12"/>
      <c r="PKE43" s="12"/>
      <c r="PKF43" s="12"/>
      <c r="PKW43" s="12"/>
      <c r="PKX43" s="12"/>
      <c r="PLO43" s="12"/>
      <c r="PLP43" s="12"/>
      <c r="PMG43" s="12"/>
      <c r="PMH43" s="12"/>
      <c r="PMY43" s="12"/>
      <c r="PMZ43" s="12"/>
      <c r="PNQ43" s="12"/>
      <c r="PNR43" s="12"/>
      <c r="POI43" s="12"/>
      <c r="POJ43" s="12"/>
      <c r="PPA43" s="12"/>
      <c r="PPB43" s="12"/>
      <c r="PPS43" s="12"/>
      <c r="PPT43" s="12"/>
      <c r="PQK43" s="12"/>
      <c r="PQL43" s="12"/>
      <c r="PRC43" s="12"/>
      <c r="PRD43" s="12"/>
      <c r="PRU43" s="12"/>
      <c r="PRV43" s="12"/>
      <c r="PSM43" s="12"/>
      <c r="PSN43" s="12"/>
      <c r="PTE43" s="12"/>
      <c r="PTF43" s="12"/>
      <c r="PTW43" s="12"/>
      <c r="PTX43" s="12"/>
      <c r="PUO43" s="12"/>
      <c r="PUP43" s="12"/>
      <c r="PVG43" s="12"/>
      <c r="PVH43" s="12"/>
      <c r="PVY43" s="12"/>
      <c r="PVZ43" s="12"/>
      <c r="PWQ43" s="12"/>
      <c r="PWR43" s="12"/>
      <c r="PXI43" s="12"/>
      <c r="PXJ43" s="12"/>
      <c r="PYA43" s="12"/>
      <c r="PYB43" s="12"/>
      <c r="PYS43" s="12"/>
      <c r="PYT43" s="12"/>
      <c r="PZK43" s="12"/>
      <c r="PZL43" s="12"/>
      <c r="QAC43" s="12"/>
      <c r="QAD43" s="12"/>
      <c r="QAU43" s="12"/>
      <c r="QAV43" s="12"/>
      <c r="QBM43" s="12"/>
      <c r="QBN43" s="12"/>
      <c r="QCE43" s="12"/>
      <c r="QCF43" s="12"/>
      <c r="QCW43" s="12"/>
      <c r="QCX43" s="12"/>
      <c r="QDO43" s="12"/>
      <c r="QDP43" s="12"/>
      <c r="QEG43" s="12"/>
      <c r="QEH43" s="12"/>
      <c r="QEY43" s="12"/>
      <c r="QEZ43" s="12"/>
      <c r="QFQ43" s="12"/>
      <c r="QFR43" s="12"/>
      <c r="QGI43" s="12"/>
      <c r="QGJ43" s="12"/>
      <c r="QHA43" s="12"/>
      <c r="QHB43" s="12"/>
      <c r="QHS43" s="12"/>
      <c r="QHT43" s="12"/>
      <c r="QIK43" s="12"/>
      <c r="QIL43" s="12"/>
      <c r="QJC43" s="12"/>
      <c r="QJD43" s="12"/>
      <c r="QJU43" s="12"/>
      <c r="QJV43" s="12"/>
      <c r="QKM43" s="12"/>
      <c r="QKN43" s="12"/>
      <c r="QLE43" s="12"/>
      <c r="QLF43" s="12"/>
      <c r="QLW43" s="12"/>
      <c r="QLX43" s="12"/>
      <c r="QMO43" s="12"/>
      <c r="QMP43" s="12"/>
      <c r="QNG43" s="12"/>
      <c r="QNH43" s="12"/>
      <c r="QNY43" s="12"/>
      <c r="QNZ43" s="12"/>
      <c r="QOQ43" s="12"/>
      <c r="QOR43" s="12"/>
      <c r="QPI43" s="12"/>
      <c r="QPJ43" s="12"/>
      <c r="QQA43" s="12"/>
      <c r="QQB43" s="12"/>
      <c r="QQS43" s="12"/>
      <c r="QQT43" s="12"/>
      <c r="QRK43" s="12"/>
      <c r="QRL43" s="12"/>
      <c r="QSC43" s="12"/>
      <c r="QSD43" s="12"/>
      <c r="QSU43" s="12"/>
      <c r="QSV43" s="12"/>
      <c r="QTM43" s="12"/>
      <c r="QTN43" s="12"/>
      <c r="QUE43" s="12"/>
      <c r="QUF43" s="12"/>
      <c r="QUW43" s="12"/>
      <c r="QUX43" s="12"/>
      <c r="QVO43" s="12"/>
      <c r="QVP43" s="12"/>
      <c r="QWG43" s="12"/>
      <c r="QWH43" s="12"/>
      <c r="QWY43" s="12"/>
      <c r="QWZ43" s="12"/>
      <c r="QXQ43" s="12"/>
      <c r="QXR43" s="12"/>
      <c r="QYI43" s="12"/>
      <c r="QYJ43" s="12"/>
      <c r="QZA43" s="12"/>
      <c r="QZB43" s="12"/>
      <c r="QZS43" s="12"/>
      <c r="QZT43" s="12"/>
      <c r="RAK43" s="12"/>
      <c r="RAL43" s="12"/>
      <c r="RBC43" s="12"/>
      <c r="RBD43" s="12"/>
      <c r="RBU43" s="12"/>
      <c r="RBV43" s="12"/>
      <c r="RCM43" s="12"/>
      <c r="RCN43" s="12"/>
      <c r="RDE43" s="12"/>
      <c r="RDF43" s="12"/>
      <c r="RDW43" s="12"/>
      <c r="RDX43" s="12"/>
      <c r="REO43" s="12"/>
      <c r="REP43" s="12"/>
      <c r="RFG43" s="12"/>
      <c r="RFH43" s="12"/>
      <c r="RFY43" s="12"/>
      <c r="RFZ43" s="12"/>
      <c r="RGQ43" s="12"/>
      <c r="RGR43" s="12"/>
      <c r="RHI43" s="12"/>
      <c r="RHJ43" s="12"/>
      <c r="RIA43" s="12"/>
      <c r="RIB43" s="12"/>
      <c r="RIS43" s="12"/>
      <c r="RIT43" s="12"/>
      <c r="RJK43" s="12"/>
      <c r="RJL43" s="12"/>
      <c r="RKC43" s="12"/>
      <c r="RKD43" s="12"/>
      <c r="RKU43" s="12"/>
      <c r="RKV43" s="12"/>
      <c r="RLM43" s="12"/>
      <c r="RLN43" s="12"/>
      <c r="RME43" s="12"/>
      <c r="RMF43" s="12"/>
      <c r="RMW43" s="12"/>
      <c r="RMX43" s="12"/>
      <c r="RNO43" s="12"/>
      <c r="RNP43" s="12"/>
      <c r="ROG43" s="12"/>
      <c r="ROH43" s="12"/>
      <c r="ROY43" s="12"/>
      <c r="ROZ43" s="12"/>
      <c r="RPQ43" s="12"/>
      <c r="RPR43" s="12"/>
      <c r="RQI43" s="12"/>
      <c r="RQJ43" s="12"/>
      <c r="RRA43" s="12"/>
      <c r="RRB43" s="12"/>
      <c r="RRS43" s="12"/>
      <c r="RRT43" s="12"/>
      <c r="RSK43" s="12"/>
      <c r="RSL43" s="12"/>
      <c r="RTC43" s="12"/>
      <c r="RTD43" s="12"/>
      <c r="RTU43" s="12"/>
      <c r="RTV43" s="12"/>
      <c r="RUM43" s="12"/>
      <c r="RUN43" s="12"/>
      <c r="RVE43" s="12"/>
      <c r="RVF43" s="12"/>
      <c r="RVW43" s="12"/>
      <c r="RVX43" s="12"/>
      <c r="RWO43" s="12"/>
      <c r="RWP43" s="12"/>
      <c r="RXG43" s="12"/>
      <c r="RXH43" s="12"/>
      <c r="RXY43" s="12"/>
      <c r="RXZ43" s="12"/>
      <c r="RYQ43" s="12"/>
      <c r="RYR43" s="12"/>
      <c r="RZI43" s="12"/>
      <c r="RZJ43" s="12"/>
      <c r="SAA43" s="12"/>
      <c r="SAB43" s="12"/>
      <c r="SAS43" s="12"/>
      <c r="SAT43" s="12"/>
      <c r="SBK43" s="12"/>
      <c r="SBL43" s="12"/>
      <c r="SCC43" s="12"/>
      <c r="SCD43" s="12"/>
      <c r="SCU43" s="12"/>
      <c r="SCV43" s="12"/>
      <c r="SDM43" s="12"/>
      <c r="SDN43" s="12"/>
      <c r="SEE43" s="12"/>
      <c r="SEF43" s="12"/>
      <c r="SEW43" s="12"/>
      <c r="SEX43" s="12"/>
      <c r="SFO43" s="12"/>
      <c r="SFP43" s="12"/>
      <c r="SGG43" s="12"/>
      <c r="SGH43" s="12"/>
      <c r="SGY43" s="12"/>
      <c r="SGZ43" s="12"/>
      <c r="SHQ43" s="12"/>
      <c r="SHR43" s="12"/>
      <c r="SII43" s="12"/>
      <c r="SIJ43" s="12"/>
      <c r="SJA43" s="12"/>
      <c r="SJB43" s="12"/>
      <c r="SJS43" s="12"/>
      <c r="SJT43" s="12"/>
      <c r="SKK43" s="12"/>
      <c r="SKL43" s="12"/>
      <c r="SLC43" s="12"/>
      <c r="SLD43" s="12"/>
      <c r="SLU43" s="12"/>
      <c r="SLV43" s="12"/>
      <c r="SMM43" s="12"/>
      <c r="SMN43" s="12"/>
      <c r="SNE43" s="12"/>
      <c r="SNF43" s="12"/>
      <c r="SNW43" s="12"/>
      <c r="SNX43" s="12"/>
      <c r="SOO43" s="12"/>
      <c r="SOP43" s="12"/>
      <c r="SPG43" s="12"/>
      <c r="SPH43" s="12"/>
      <c r="SPY43" s="12"/>
      <c r="SPZ43" s="12"/>
      <c r="SQQ43" s="12"/>
      <c r="SQR43" s="12"/>
      <c r="SRI43" s="12"/>
      <c r="SRJ43" s="12"/>
      <c r="SSA43" s="12"/>
      <c r="SSB43" s="12"/>
      <c r="SSS43" s="12"/>
      <c r="SST43" s="12"/>
      <c r="STK43" s="12"/>
      <c r="STL43" s="12"/>
      <c r="SUC43" s="12"/>
      <c r="SUD43" s="12"/>
      <c r="SUU43" s="12"/>
      <c r="SUV43" s="12"/>
      <c r="SVM43" s="12"/>
      <c r="SVN43" s="12"/>
      <c r="SWE43" s="12"/>
      <c r="SWF43" s="12"/>
      <c r="SWW43" s="12"/>
      <c r="SWX43" s="12"/>
      <c r="SXO43" s="12"/>
      <c r="SXP43" s="12"/>
      <c r="SYG43" s="12"/>
      <c r="SYH43" s="12"/>
      <c r="SYY43" s="12"/>
      <c r="SYZ43" s="12"/>
      <c r="SZQ43" s="12"/>
      <c r="SZR43" s="12"/>
      <c r="TAI43" s="12"/>
      <c r="TAJ43" s="12"/>
      <c r="TBA43" s="12"/>
      <c r="TBB43" s="12"/>
      <c r="TBS43" s="12"/>
      <c r="TBT43" s="12"/>
      <c r="TCK43" s="12"/>
      <c r="TCL43" s="12"/>
      <c r="TDC43" s="12"/>
      <c r="TDD43" s="12"/>
      <c r="TDU43" s="12"/>
      <c r="TDV43" s="12"/>
      <c r="TEM43" s="12"/>
      <c r="TEN43" s="12"/>
      <c r="TFE43" s="12"/>
      <c r="TFF43" s="12"/>
      <c r="TFW43" s="12"/>
      <c r="TFX43" s="12"/>
      <c r="TGO43" s="12"/>
      <c r="TGP43" s="12"/>
      <c r="THG43" s="12"/>
      <c r="THH43" s="12"/>
      <c r="THY43" s="12"/>
      <c r="THZ43" s="12"/>
      <c r="TIQ43" s="12"/>
      <c r="TIR43" s="12"/>
      <c r="TJI43" s="12"/>
      <c r="TJJ43" s="12"/>
      <c r="TKA43" s="12"/>
      <c r="TKB43" s="12"/>
      <c r="TKS43" s="12"/>
      <c r="TKT43" s="12"/>
      <c r="TLK43" s="12"/>
      <c r="TLL43" s="12"/>
      <c r="TMC43" s="12"/>
      <c r="TMD43" s="12"/>
      <c r="TMU43" s="12"/>
      <c r="TMV43" s="12"/>
      <c r="TNM43" s="12"/>
      <c r="TNN43" s="12"/>
      <c r="TOE43" s="12"/>
      <c r="TOF43" s="12"/>
      <c r="TOW43" s="12"/>
      <c r="TOX43" s="12"/>
      <c r="TPO43" s="12"/>
      <c r="TPP43" s="12"/>
      <c r="TQG43" s="12"/>
      <c r="TQH43" s="12"/>
      <c r="TQY43" s="12"/>
      <c r="TQZ43" s="12"/>
      <c r="TRQ43" s="12"/>
      <c r="TRR43" s="12"/>
      <c r="TSI43" s="12"/>
      <c r="TSJ43" s="12"/>
      <c r="TTA43" s="12"/>
      <c r="TTB43" s="12"/>
      <c r="TTS43" s="12"/>
      <c r="TTT43" s="12"/>
      <c r="TUK43" s="12"/>
      <c r="TUL43" s="12"/>
      <c r="TVC43" s="12"/>
      <c r="TVD43" s="12"/>
      <c r="TVU43" s="12"/>
      <c r="TVV43" s="12"/>
      <c r="TWM43" s="12"/>
      <c r="TWN43" s="12"/>
      <c r="TXE43" s="12"/>
      <c r="TXF43" s="12"/>
      <c r="TXW43" s="12"/>
      <c r="TXX43" s="12"/>
      <c r="TYO43" s="12"/>
      <c r="TYP43" s="12"/>
      <c r="TZG43" s="12"/>
      <c r="TZH43" s="12"/>
      <c r="TZY43" s="12"/>
      <c r="TZZ43" s="12"/>
      <c r="UAQ43" s="12"/>
      <c r="UAR43" s="12"/>
      <c r="UBI43" s="12"/>
      <c r="UBJ43" s="12"/>
      <c r="UCA43" s="12"/>
      <c r="UCB43" s="12"/>
      <c r="UCS43" s="12"/>
      <c r="UCT43" s="12"/>
      <c r="UDK43" s="12"/>
      <c r="UDL43" s="12"/>
      <c r="UEC43" s="12"/>
      <c r="UED43" s="12"/>
      <c r="UEU43" s="12"/>
      <c r="UEV43" s="12"/>
      <c r="UFM43" s="12"/>
      <c r="UFN43" s="12"/>
      <c r="UGE43" s="12"/>
      <c r="UGF43" s="12"/>
      <c r="UGW43" s="12"/>
      <c r="UGX43" s="12"/>
      <c r="UHO43" s="12"/>
      <c r="UHP43" s="12"/>
      <c r="UIG43" s="12"/>
      <c r="UIH43" s="12"/>
      <c r="UIY43" s="12"/>
      <c r="UIZ43" s="12"/>
      <c r="UJQ43" s="12"/>
      <c r="UJR43" s="12"/>
      <c r="UKI43" s="12"/>
      <c r="UKJ43" s="12"/>
      <c r="ULA43" s="12"/>
      <c r="ULB43" s="12"/>
      <c r="ULS43" s="12"/>
      <c r="ULT43" s="12"/>
      <c r="UMK43" s="12"/>
      <c r="UML43" s="12"/>
      <c r="UNC43" s="12"/>
      <c r="UND43" s="12"/>
      <c r="UNU43" s="12"/>
      <c r="UNV43" s="12"/>
      <c r="UOM43" s="12"/>
      <c r="UON43" s="12"/>
      <c r="UPE43" s="12"/>
      <c r="UPF43" s="12"/>
      <c r="UPW43" s="12"/>
      <c r="UPX43" s="12"/>
      <c r="UQO43" s="12"/>
      <c r="UQP43" s="12"/>
      <c r="URG43" s="12"/>
      <c r="URH43" s="12"/>
      <c r="URY43" s="12"/>
      <c r="URZ43" s="12"/>
      <c r="USQ43" s="12"/>
      <c r="USR43" s="12"/>
      <c r="UTI43" s="12"/>
      <c r="UTJ43" s="12"/>
      <c r="UUA43" s="12"/>
      <c r="UUB43" s="12"/>
      <c r="UUS43" s="12"/>
      <c r="UUT43" s="12"/>
      <c r="UVK43" s="12"/>
      <c r="UVL43" s="12"/>
      <c r="UWC43" s="12"/>
      <c r="UWD43" s="12"/>
      <c r="UWU43" s="12"/>
      <c r="UWV43" s="12"/>
      <c r="UXM43" s="12"/>
      <c r="UXN43" s="12"/>
      <c r="UYE43" s="12"/>
      <c r="UYF43" s="12"/>
      <c r="UYW43" s="12"/>
      <c r="UYX43" s="12"/>
      <c r="UZO43" s="12"/>
      <c r="UZP43" s="12"/>
      <c r="VAG43" s="12"/>
      <c r="VAH43" s="12"/>
      <c r="VAY43" s="12"/>
      <c r="VAZ43" s="12"/>
      <c r="VBQ43" s="12"/>
      <c r="VBR43" s="12"/>
      <c r="VCI43" s="12"/>
      <c r="VCJ43" s="12"/>
      <c r="VDA43" s="12"/>
      <c r="VDB43" s="12"/>
      <c r="VDS43" s="12"/>
      <c r="VDT43" s="12"/>
      <c r="VEK43" s="12"/>
      <c r="VEL43" s="12"/>
      <c r="VFC43" s="12"/>
      <c r="VFD43" s="12"/>
      <c r="VFU43" s="12"/>
      <c r="VFV43" s="12"/>
      <c r="VGM43" s="12"/>
      <c r="VGN43" s="12"/>
      <c r="VHE43" s="12"/>
      <c r="VHF43" s="12"/>
      <c r="VHW43" s="12"/>
      <c r="VHX43" s="12"/>
      <c r="VIO43" s="12"/>
      <c r="VIP43" s="12"/>
      <c r="VJG43" s="12"/>
      <c r="VJH43" s="12"/>
      <c r="VJY43" s="12"/>
      <c r="VJZ43" s="12"/>
      <c r="VKQ43" s="12"/>
      <c r="VKR43" s="12"/>
      <c r="VLI43" s="12"/>
      <c r="VLJ43" s="12"/>
      <c r="VMA43" s="12"/>
      <c r="VMB43" s="12"/>
      <c r="VMS43" s="12"/>
      <c r="VMT43" s="12"/>
      <c r="VNK43" s="12"/>
      <c r="VNL43" s="12"/>
      <c r="VOC43" s="12"/>
      <c r="VOD43" s="12"/>
      <c r="VOU43" s="12"/>
      <c r="VOV43" s="12"/>
      <c r="VPM43" s="12"/>
      <c r="VPN43" s="12"/>
      <c r="VQE43" s="12"/>
      <c r="VQF43" s="12"/>
      <c r="VQW43" s="12"/>
      <c r="VQX43" s="12"/>
      <c r="VRO43" s="12"/>
      <c r="VRP43" s="12"/>
      <c r="VSG43" s="12"/>
      <c r="VSH43" s="12"/>
      <c r="VSY43" s="12"/>
      <c r="VSZ43" s="12"/>
      <c r="VTQ43" s="12"/>
      <c r="VTR43" s="12"/>
      <c r="VUI43" s="12"/>
      <c r="VUJ43" s="12"/>
      <c r="VVA43" s="12"/>
      <c r="VVB43" s="12"/>
      <c r="VVS43" s="12"/>
      <c r="VVT43" s="12"/>
      <c r="VWK43" s="12"/>
      <c r="VWL43" s="12"/>
      <c r="VXC43" s="12"/>
      <c r="VXD43" s="12"/>
      <c r="VXU43" s="12"/>
      <c r="VXV43" s="12"/>
      <c r="VYM43" s="12"/>
      <c r="VYN43" s="12"/>
      <c r="VZE43" s="12"/>
      <c r="VZF43" s="12"/>
      <c r="VZW43" s="12"/>
      <c r="VZX43" s="12"/>
      <c r="WAO43" s="12"/>
      <c r="WAP43" s="12"/>
      <c r="WBG43" s="12"/>
      <c r="WBH43" s="12"/>
      <c r="WBY43" s="12"/>
      <c r="WBZ43" s="12"/>
      <c r="WCQ43" s="12"/>
      <c r="WCR43" s="12"/>
      <c r="WDI43" s="12"/>
      <c r="WDJ43" s="12"/>
      <c r="WEA43" s="12"/>
      <c r="WEB43" s="12"/>
      <c r="WES43" s="12"/>
      <c r="WET43" s="12"/>
      <c r="WFK43" s="12"/>
      <c r="WFL43" s="12"/>
      <c r="WGC43" s="12"/>
      <c r="WGD43" s="12"/>
      <c r="WGU43" s="12"/>
      <c r="WGV43" s="12"/>
      <c r="WHM43" s="12"/>
      <c r="WHN43" s="12"/>
      <c r="WIE43" s="12"/>
      <c r="WIF43" s="12"/>
      <c r="WIW43" s="12"/>
      <c r="WIX43" s="12"/>
      <c r="WJO43" s="12"/>
      <c r="WJP43" s="12"/>
      <c r="WKG43" s="12"/>
      <c r="WKH43" s="12"/>
      <c r="WKY43" s="12"/>
      <c r="WKZ43" s="12"/>
      <c r="WLQ43" s="12"/>
      <c r="WLR43" s="12"/>
      <c r="WMI43" s="12"/>
      <c r="WMJ43" s="12"/>
      <c r="WNA43" s="12"/>
      <c r="WNB43" s="12"/>
      <c r="WNS43" s="12"/>
      <c r="WNT43" s="12"/>
      <c r="WOK43" s="12"/>
      <c r="WOL43" s="12"/>
      <c r="WPC43" s="12"/>
      <c r="WPD43" s="12"/>
      <c r="WPU43" s="12"/>
      <c r="WPV43" s="12"/>
      <c r="WQM43" s="12"/>
      <c r="WQN43" s="12"/>
      <c r="WRE43" s="12"/>
      <c r="WRF43" s="12"/>
      <c r="WRW43" s="12"/>
      <c r="WRX43" s="12"/>
      <c r="WSO43" s="12"/>
      <c r="WSP43" s="12"/>
      <c r="WTG43" s="12"/>
      <c r="WTH43" s="12"/>
      <c r="WTY43" s="12"/>
      <c r="WTZ43" s="12"/>
      <c r="WUQ43" s="12"/>
      <c r="WUR43" s="12"/>
      <c r="WVI43" s="12"/>
      <c r="WVJ43" s="12"/>
      <c r="WWA43" s="12"/>
      <c r="WWB43" s="12"/>
      <c r="WWS43" s="12"/>
      <c r="WWT43" s="12"/>
      <c r="WXK43" s="12"/>
      <c r="WXL43" s="12"/>
      <c r="WYC43" s="12"/>
      <c r="WYD43" s="12"/>
      <c r="WYU43" s="12"/>
      <c r="WYV43" s="12"/>
      <c r="WZM43" s="12"/>
      <c r="WZN43" s="12"/>
      <c r="XAE43" s="12"/>
      <c r="XAF43" s="12"/>
      <c r="XAW43" s="12"/>
      <c r="XAX43" s="12"/>
      <c r="XBO43" s="12"/>
      <c r="XBP43" s="12"/>
      <c r="XCG43" s="12"/>
      <c r="XCH43" s="12"/>
      <c r="XCY43" s="12"/>
      <c r="XCZ43" s="12"/>
      <c r="XDQ43" s="12"/>
      <c r="XDR43" s="12"/>
      <c r="XEI43" s="12"/>
      <c r="XEJ43" s="12"/>
      <c r="XFA43" s="12"/>
      <c r="XFB43" s="12"/>
    </row>
    <row r="44" spans="1:1010 1027:2036 2053:3062 3079:4088 4105:5114 5131:6140 6157:7166 7183:8192 8209:9200 9217:10226 10243:11252 11269:12278 12295:13304 13321:14330 14347:15356 15373:16382" x14ac:dyDescent="0.35">
      <c r="A44" s="181" t="s">
        <v>77</v>
      </c>
      <c r="B44" s="181" t="s">
        <v>78</v>
      </c>
      <c r="C44" s="198"/>
      <c r="D44" s="198"/>
      <c r="E44" s="198"/>
      <c r="F44" s="198"/>
      <c r="G44" s="198"/>
      <c r="H44" s="198"/>
      <c r="I44" s="198"/>
      <c r="J44" s="198"/>
      <c r="K44" s="198"/>
      <c r="L44" s="198"/>
      <c r="M44" s="117"/>
      <c r="N44" s="117"/>
      <c r="O44" s="117"/>
      <c r="P44" s="117"/>
      <c r="Q44" s="117"/>
      <c r="R44" s="117"/>
    </row>
    <row r="45" spans="1:1010 1027:2036 2053:3062 3079:4088 4105:5114 5131:6140 6157:7166 7183:8192 8209:9200 9217:10226 10243:11252 11269:12278 12295:13304 13321:14330 14347:15356 15373:16382" x14ac:dyDescent="0.35">
      <c r="A45" s="181" t="s">
        <v>79</v>
      </c>
      <c r="B45" s="181" t="s">
        <v>80</v>
      </c>
      <c r="C45" s="198"/>
      <c r="D45" s="198"/>
      <c r="E45" s="198"/>
      <c r="F45" s="198"/>
      <c r="G45" s="198"/>
      <c r="H45" s="198"/>
      <c r="I45" s="198"/>
      <c r="J45" s="198"/>
      <c r="K45" s="198"/>
      <c r="L45" s="198"/>
      <c r="M45" s="117"/>
      <c r="N45" s="117"/>
      <c r="O45" s="117"/>
      <c r="P45" s="117"/>
      <c r="Q45" s="117"/>
      <c r="R45" s="117"/>
      <c r="T45" s="6"/>
      <c r="U45" s="6"/>
    </row>
    <row r="46" spans="1:1010 1027:2036 2053:3062 3079:4088 4105:5114 5131:6140 6157:7166 7183:8192 8209:9200 9217:10226 10243:11252 11269:12278 12295:13304 13321:14330 14347:15356 15373:16382" x14ac:dyDescent="0.35">
      <c r="A46" s="23" t="s">
        <v>29</v>
      </c>
      <c r="B46" s="23"/>
      <c r="C46" s="321">
        <f t="shared" ref="C46:L46" si="9">IF(AND(C44="",C45=""),0,ROUND(SUM(C44:C45)-IF(C43="",0,C43),1))</f>
        <v>0</v>
      </c>
      <c r="D46" s="321">
        <f t="shared" si="9"/>
        <v>0</v>
      </c>
      <c r="E46" s="321">
        <f t="shared" si="9"/>
        <v>0</v>
      </c>
      <c r="F46" s="321">
        <f t="shared" si="9"/>
        <v>0</v>
      </c>
      <c r="G46" s="321">
        <f t="shared" si="9"/>
        <v>0</v>
      </c>
      <c r="H46" s="321">
        <f t="shared" si="9"/>
        <v>0</v>
      </c>
      <c r="I46" s="321">
        <f t="shared" si="9"/>
        <v>0</v>
      </c>
      <c r="J46" s="321">
        <f t="shared" si="9"/>
        <v>0</v>
      </c>
      <c r="K46" s="321">
        <f t="shared" si="9"/>
        <v>0</v>
      </c>
      <c r="L46" s="321">
        <f t="shared" si="9"/>
        <v>0</v>
      </c>
      <c r="M46" s="118"/>
      <c r="N46" s="118"/>
      <c r="O46" s="118"/>
      <c r="P46" s="118"/>
      <c r="Q46" s="118"/>
      <c r="R46" s="118"/>
      <c r="T46" s="6"/>
      <c r="U46" s="6"/>
    </row>
    <row r="47" spans="1:1010 1027:2036 2053:3062 3079:4088 4105:5114 5131:6140 6157:7166 7183:8192 8209:9200 9217:10226 10243:11252 11269:12278 12295:13304 13321:14330 14347:15356 15373:16382" s="11" customFormat="1" x14ac:dyDescent="0.35">
      <c r="A47" s="183" t="s">
        <v>81</v>
      </c>
      <c r="B47" s="183" t="s">
        <v>82</v>
      </c>
      <c r="C47" s="184">
        <v>133.113</v>
      </c>
      <c r="D47" s="184">
        <v>138.6</v>
      </c>
      <c r="E47" s="184">
        <v>111.95699999999999</v>
      </c>
      <c r="F47" s="184">
        <v>117.85599999999999</v>
      </c>
      <c r="G47" s="184">
        <v>115.553</v>
      </c>
      <c r="H47" s="184">
        <v>110.804</v>
      </c>
      <c r="I47" s="184">
        <v>119.899</v>
      </c>
      <c r="J47" s="184">
        <v>141.459</v>
      </c>
      <c r="K47" s="184">
        <v>138.512</v>
      </c>
      <c r="L47" s="184">
        <v>147.66900000000001</v>
      </c>
      <c r="M47" s="312">
        <f>IF(OR(K47=0,K47=""),"",L47/K47-1)</f>
        <v>6.6109795541180683E-2</v>
      </c>
      <c r="N47" s="117"/>
      <c r="O47" s="117"/>
      <c r="P47" s="117"/>
      <c r="Q47" s="117"/>
      <c r="R47" s="117"/>
      <c r="S47" s="12"/>
      <c r="T47" s="12"/>
      <c r="AK47" s="12"/>
      <c r="AL47" s="12"/>
      <c r="BC47" s="12"/>
      <c r="BD47" s="12"/>
      <c r="BU47" s="12"/>
      <c r="BV47" s="12"/>
      <c r="CM47" s="12"/>
      <c r="CN47" s="12"/>
      <c r="DE47" s="12"/>
      <c r="DF47" s="12"/>
      <c r="DW47" s="12"/>
      <c r="DX47" s="12"/>
      <c r="EO47" s="12"/>
      <c r="EP47" s="12"/>
      <c r="FG47" s="12"/>
      <c r="FH47" s="12"/>
      <c r="FY47" s="12"/>
      <c r="FZ47" s="12"/>
      <c r="GQ47" s="12"/>
      <c r="GR47" s="12"/>
      <c r="HI47" s="12"/>
      <c r="HJ47" s="12"/>
      <c r="IA47" s="12"/>
      <c r="IB47" s="12"/>
      <c r="IS47" s="12"/>
      <c r="IT47" s="12"/>
      <c r="JK47" s="12"/>
      <c r="JL47" s="12"/>
      <c r="KC47" s="12"/>
      <c r="KD47" s="12"/>
      <c r="KU47" s="12"/>
      <c r="KV47" s="12"/>
      <c r="LM47" s="12"/>
      <c r="LN47" s="12"/>
      <c r="ME47" s="12"/>
      <c r="MF47" s="12"/>
      <c r="MW47" s="12"/>
      <c r="MX47" s="12"/>
      <c r="NO47" s="12"/>
      <c r="NP47" s="12"/>
      <c r="OG47" s="12"/>
      <c r="OH47" s="12"/>
      <c r="OY47" s="12"/>
      <c r="OZ47" s="12"/>
      <c r="PQ47" s="12"/>
      <c r="PR47" s="12"/>
      <c r="QI47" s="12"/>
      <c r="QJ47" s="12"/>
      <c r="RA47" s="12"/>
      <c r="RB47" s="12"/>
      <c r="RS47" s="12"/>
      <c r="RT47" s="12"/>
      <c r="SK47" s="12"/>
      <c r="SL47" s="12"/>
      <c r="TC47" s="12"/>
      <c r="TD47" s="12"/>
      <c r="TU47" s="12"/>
      <c r="TV47" s="12"/>
      <c r="UM47" s="12"/>
      <c r="UN47" s="12"/>
      <c r="VE47" s="12"/>
      <c r="VF47" s="12"/>
      <c r="VW47" s="12"/>
      <c r="VX47" s="12"/>
      <c r="WO47" s="12"/>
      <c r="WP47" s="12"/>
      <c r="XG47" s="12"/>
      <c r="XH47" s="12"/>
      <c r="XY47" s="12"/>
      <c r="XZ47" s="12"/>
      <c r="YQ47" s="12"/>
      <c r="YR47" s="12"/>
      <c r="ZI47" s="12"/>
      <c r="ZJ47" s="12"/>
      <c r="AAA47" s="12"/>
      <c r="AAB47" s="12"/>
      <c r="AAS47" s="12"/>
      <c r="AAT47" s="12"/>
      <c r="ABK47" s="12"/>
      <c r="ABL47" s="12"/>
      <c r="ACC47" s="12"/>
      <c r="ACD47" s="12"/>
      <c r="ACU47" s="12"/>
      <c r="ACV47" s="12"/>
      <c r="ADM47" s="12"/>
      <c r="ADN47" s="12"/>
      <c r="AEE47" s="12"/>
      <c r="AEF47" s="12"/>
      <c r="AEW47" s="12"/>
      <c r="AEX47" s="12"/>
      <c r="AFO47" s="12"/>
      <c r="AFP47" s="12"/>
      <c r="AGG47" s="12"/>
      <c r="AGH47" s="12"/>
      <c r="AGY47" s="12"/>
      <c r="AGZ47" s="12"/>
      <c r="AHQ47" s="12"/>
      <c r="AHR47" s="12"/>
      <c r="AII47" s="12"/>
      <c r="AIJ47" s="12"/>
      <c r="AJA47" s="12"/>
      <c r="AJB47" s="12"/>
      <c r="AJS47" s="12"/>
      <c r="AJT47" s="12"/>
      <c r="AKK47" s="12"/>
      <c r="AKL47" s="12"/>
      <c r="ALC47" s="12"/>
      <c r="ALD47" s="12"/>
      <c r="ALU47" s="12"/>
      <c r="ALV47" s="12"/>
      <c r="AMM47" s="12"/>
      <c r="AMN47" s="12"/>
      <c r="ANE47" s="12"/>
      <c r="ANF47" s="12"/>
      <c r="ANW47" s="12"/>
      <c r="ANX47" s="12"/>
      <c r="AOO47" s="12"/>
      <c r="AOP47" s="12"/>
      <c r="APG47" s="12"/>
      <c r="APH47" s="12"/>
      <c r="APY47" s="12"/>
      <c r="APZ47" s="12"/>
      <c r="AQQ47" s="12"/>
      <c r="AQR47" s="12"/>
      <c r="ARI47" s="12"/>
      <c r="ARJ47" s="12"/>
      <c r="ASA47" s="12"/>
      <c r="ASB47" s="12"/>
      <c r="ASS47" s="12"/>
      <c r="AST47" s="12"/>
      <c r="ATK47" s="12"/>
      <c r="ATL47" s="12"/>
      <c r="AUC47" s="12"/>
      <c r="AUD47" s="12"/>
      <c r="AUU47" s="12"/>
      <c r="AUV47" s="12"/>
      <c r="AVM47" s="12"/>
      <c r="AVN47" s="12"/>
      <c r="AWE47" s="12"/>
      <c r="AWF47" s="12"/>
      <c r="AWW47" s="12"/>
      <c r="AWX47" s="12"/>
      <c r="AXO47" s="12"/>
      <c r="AXP47" s="12"/>
      <c r="AYG47" s="12"/>
      <c r="AYH47" s="12"/>
      <c r="AYY47" s="12"/>
      <c r="AYZ47" s="12"/>
      <c r="AZQ47" s="12"/>
      <c r="AZR47" s="12"/>
      <c r="BAI47" s="12"/>
      <c r="BAJ47" s="12"/>
      <c r="BBA47" s="12"/>
      <c r="BBB47" s="12"/>
      <c r="BBS47" s="12"/>
      <c r="BBT47" s="12"/>
      <c r="BCK47" s="12"/>
      <c r="BCL47" s="12"/>
      <c r="BDC47" s="12"/>
      <c r="BDD47" s="12"/>
      <c r="BDU47" s="12"/>
      <c r="BDV47" s="12"/>
      <c r="BEM47" s="12"/>
      <c r="BEN47" s="12"/>
      <c r="BFE47" s="12"/>
      <c r="BFF47" s="12"/>
      <c r="BFW47" s="12"/>
      <c r="BFX47" s="12"/>
      <c r="BGO47" s="12"/>
      <c r="BGP47" s="12"/>
      <c r="BHG47" s="12"/>
      <c r="BHH47" s="12"/>
      <c r="BHY47" s="12"/>
      <c r="BHZ47" s="12"/>
      <c r="BIQ47" s="12"/>
      <c r="BIR47" s="12"/>
      <c r="BJI47" s="12"/>
      <c r="BJJ47" s="12"/>
      <c r="BKA47" s="12"/>
      <c r="BKB47" s="12"/>
      <c r="BKS47" s="12"/>
      <c r="BKT47" s="12"/>
      <c r="BLK47" s="12"/>
      <c r="BLL47" s="12"/>
      <c r="BMC47" s="12"/>
      <c r="BMD47" s="12"/>
      <c r="BMU47" s="12"/>
      <c r="BMV47" s="12"/>
      <c r="BNM47" s="12"/>
      <c r="BNN47" s="12"/>
      <c r="BOE47" s="12"/>
      <c r="BOF47" s="12"/>
      <c r="BOW47" s="12"/>
      <c r="BOX47" s="12"/>
      <c r="BPO47" s="12"/>
      <c r="BPP47" s="12"/>
      <c r="BQG47" s="12"/>
      <c r="BQH47" s="12"/>
      <c r="BQY47" s="12"/>
      <c r="BQZ47" s="12"/>
      <c r="BRQ47" s="12"/>
      <c r="BRR47" s="12"/>
      <c r="BSI47" s="12"/>
      <c r="BSJ47" s="12"/>
      <c r="BTA47" s="12"/>
      <c r="BTB47" s="12"/>
      <c r="BTS47" s="12"/>
      <c r="BTT47" s="12"/>
      <c r="BUK47" s="12"/>
      <c r="BUL47" s="12"/>
      <c r="BVC47" s="12"/>
      <c r="BVD47" s="12"/>
      <c r="BVU47" s="12"/>
      <c r="BVV47" s="12"/>
      <c r="BWM47" s="12"/>
      <c r="BWN47" s="12"/>
      <c r="BXE47" s="12"/>
      <c r="BXF47" s="12"/>
      <c r="BXW47" s="12"/>
      <c r="BXX47" s="12"/>
      <c r="BYO47" s="12"/>
      <c r="BYP47" s="12"/>
      <c r="BZG47" s="12"/>
      <c r="BZH47" s="12"/>
      <c r="BZY47" s="12"/>
      <c r="BZZ47" s="12"/>
      <c r="CAQ47" s="12"/>
      <c r="CAR47" s="12"/>
      <c r="CBI47" s="12"/>
      <c r="CBJ47" s="12"/>
      <c r="CCA47" s="12"/>
      <c r="CCB47" s="12"/>
      <c r="CCS47" s="12"/>
      <c r="CCT47" s="12"/>
      <c r="CDK47" s="12"/>
      <c r="CDL47" s="12"/>
      <c r="CEC47" s="12"/>
      <c r="CED47" s="12"/>
      <c r="CEU47" s="12"/>
      <c r="CEV47" s="12"/>
      <c r="CFM47" s="12"/>
      <c r="CFN47" s="12"/>
      <c r="CGE47" s="12"/>
      <c r="CGF47" s="12"/>
      <c r="CGW47" s="12"/>
      <c r="CGX47" s="12"/>
      <c r="CHO47" s="12"/>
      <c r="CHP47" s="12"/>
      <c r="CIG47" s="12"/>
      <c r="CIH47" s="12"/>
      <c r="CIY47" s="12"/>
      <c r="CIZ47" s="12"/>
      <c r="CJQ47" s="12"/>
      <c r="CJR47" s="12"/>
      <c r="CKI47" s="12"/>
      <c r="CKJ47" s="12"/>
      <c r="CLA47" s="12"/>
      <c r="CLB47" s="12"/>
      <c r="CLS47" s="12"/>
      <c r="CLT47" s="12"/>
      <c r="CMK47" s="12"/>
      <c r="CML47" s="12"/>
      <c r="CNC47" s="12"/>
      <c r="CND47" s="12"/>
      <c r="CNU47" s="12"/>
      <c r="CNV47" s="12"/>
      <c r="COM47" s="12"/>
      <c r="CON47" s="12"/>
      <c r="CPE47" s="12"/>
      <c r="CPF47" s="12"/>
      <c r="CPW47" s="12"/>
      <c r="CPX47" s="12"/>
      <c r="CQO47" s="12"/>
      <c r="CQP47" s="12"/>
      <c r="CRG47" s="12"/>
      <c r="CRH47" s="12"/>
      <c r="CRY47" s="12"/>
      <c r="CRZ47" s="12"/>
      <c r="CSQ47" s="12"/>
      <c r="CSR47" s="12"/>
      <c r="CTI47" s="12"/>
      <c r="CTJ47" s="12"/>
      <c r="CUA47" s="12"/>
      <c r="CUB47" s="12"/>
      <c r="CUS47" s="12"/>
      <c r="CUT47" s="12"/>
      <c r="CVK47" s="12"/>
      <c r="CVL47" s="12"/>
      <c r="CWC47" s="12"/>
      <c r="CWD47" s="12"/>
      <c r="CWU47" s="12"/>
      <c r="CWV47" s="12"/>
      <c r="CXM47" s="12"/>
      <c r="CXN47" s="12"/>
      <c r="CYE47" s="12"/>
      <c r="CYF47" s="12"/>
      <c r="CYW47" s="12"/>
      <c r="CYX47" s="12"/>
      <c r="CZO47" s="12"/>
      <c r="CZP47" s="12"/>
      <c r="DAG47" s="12"/>
      <c r="DAH47" s="12"/>
      <c r="DAY47" s="12"/>
      <c r="DAZ47" s="12"/>
      <c r="DBQ47" s="12"/>
      <c r="DBR47" s="12"/>
      <c r="DCI47" s="12"/>
      <c r="DCJ47" s="12"/>
      <c r="DDA47" s="12"/>
      <c r="DDB47" s="12"/>
      <c r="DDS47" s="12"/>
      <c r="DDT47" s="12"/>
      <c r="DEK47" s="12"/>
      <c r="DEL47" s="12"/>
      <c r="DFC47" s="12"/>
      <c r="DFD47" s="12"/>
      <c r="DFU47" s="12"/>
      <c r="DFV47" s="12"/>
      <c r="DGM47" s="12"/>
      <c r="DGN47" s="12"/>
      <c r="DHE47" s="12"/>
      <c r="DHF47" s="12"/>
      <c r="DHW47" s="12"/>
      <c r="DHX47" s="12"/>
      <c r="DIO47" s="12"/>
      <c r="DIP47" s="12"/>
      <c r="DJG47" s="12"/>
      <c r="DJH47" s="12"/>
      <c r="DJY47" s="12"/>
      <c r="DJZ47" s="12"/>
      <c r="DKQ47" s="12"/>
      <c r="DKR47" s="12"/>
      <c r="DLI47" s="12"/>
      <c r="DLJ47" s="12"/>
      <c r="DMA47" s="12"/>
      <c r="DMB47" s="12"/>
      <c r="DMS47" s="12"/>
      <c r="DMT47" s="12"/>
      <c r="DNK47" s="12"/>
      <c r="DNL47" s="12"/>
      <c r="DOC47" s="12"/>
      <c r="DOD47" s="12"/>
      <c r="DOU47" s="12"/>
      <c r="DOV47" s="12"/>
      <c r="DPM47" s="12"/>
      <c r="DPN47" s="12"/>
      <c r="DQE47" s="12"/>
      <c r="DQF47" s="12"/>
      <c r="DQW47" s="12"/>
      <c r="DQX47" s="12"/>
      <c r="DRO47" s="12"/>
      <c r="DRP47" s="12"/>
      <c r="DSG47" s="12"/>
      <c r="DSH47" s="12"/>
      <c r="DSY47" s="12"/>
      <c r="DSZ47" s="12"/>
      <c r="DTQ47" s="12"/>
      <c r="DTR47" s="12"/>
      <c r="DUI47" s="12"/>
      <c r="DUJ47" s="12"/>
      <c r="DVA47" s="12"/>
      <c r="DVB47" s="12"/>
      <c r="DVS47" s="12"/>
      <c r="DVT47" s="12"/>
      <c r="DWK47" s="12"/>
      <c r="DWL47" s="12"/>
      <c r="DXC47" s="12"/>
      <c r="DXD47" s="12"/>
      <c r="DXU47" s="12"/>
      <c r="DXV47" s="12"/>
      <c r="DYM47" s="12"/>
      <c r="DYN47" s="12"/>
      <c r="DZE47" s="12"/>
      <c r="DZF47" s="12"/>
      <c r="DZW47" s="12"/>
      <c r="DZX47" s="12"/>
      <c r="EAO47" s="12"/>
      <c r="EAP47" s="12"/>
      <c r="EBG47" s="12"/>
      <c r="EBH47" s="12"/>
      <c r="EBY47" s="12"/>
      <c r="EBZ47" s="12"/>
      <c r="ECQ47" s="12"/>
      <c r="ECR47" s="12"/>
      <c r="EDI47" s="12"/>
      <c r="EDJ47" s="12"/>
      <c r="EEA47" s="12"/>
      <c r="EEB47" s="12"/>
      <c r="EES47" s="12"/>
      <c r="EET47" s="12"/>
      <c r="EFK47" s="12"/>
      <c r="EFL47" s="12"/>
      <c r="EGC47" s="12"/>
      <c r="EGD47" s="12"/>
      <c r="EGU47" s="12"/>
      <c r="EGV47" s="12"/>
      <c r="EHM47" s="12"/>
      <c r="EHN47" s="12"/>
      <c r="EIE47" s="12"/>
      <c r="EIF47" s="12"/>
      <c r="EIW47" s="12"/>
      <c r="EIX47" s="12"/>
      <c r="EJO47" s="12"/>
      <c r="EJP47" s="12"/>
      <c r="EKG47" s="12"/>
      <c r="EKH47" s="12"/>
      <c r="EKY47" s="12"/>
      <c r="EKZ47" s="12"/>
      <c r="ELQ47" s="12"/>
      <c r="ELR47" s="12"/>
      <c r="EMI47" s="12"/>
      <c r="EMJ47" s="12"/>
      <c r="ENA47" s="12"/>
      <c r="ENB47" s="12"/>
      <c r="ENS47" s="12"/>
      <c r="ENT47" s="12"/>
      <c r="EOK47" s="12"/>
      <c r="EOL47" s="12"/>
      <c r="EPC47" s="12"/>
      <c r="EPD47" s="12"/>
      <c r="EPU47" s="12"/>
      <c r="EPV47" s="12"/>
      <c r="EQM47" s="12"/>
      <c r="EQN47" s="12"/>
      <c r="ERE47" s="12"/>
      <c r="ERF47" s="12"/>
      <c r="ERW47" s="12"/>
      <c r="ERX47" s="12"/>
      <c r="ESO47" s="12"/>
      <c r="ESP47" s="12"/>
      <c r="ETG47" s="12"/>
      <c r="ETH47" s="12"/>
      <c r="ETY47" s="12"/>
      <c r="ETZ47" s="12"/>
      <c r="EUQ47" s="12"/>
      <c r="EUR47" s="12"/>
      <c r="EVI47" s="12"/>
      <c r="EVJ47" s="12"/>
      <c r="EWA47" s="12"/>
      <c r="EWB47" s="12"/>
      <c r="EWS47" s="12"/>
      <c r="EWT47" s="12"/>
      <c r="EXK47" s="12"/>
      <c r="EXL47" s="12"/>
      <c r="EYC47" s="12"/>
      <c r="EYD47" s="12"/>
      <c r="EYU47" s="12"/>
      <c r="EYV47" s="12"/>
      <c r="EZM47" s="12"/>
      <c r="EZN47" s="12"/>
      <c r="FAE47" s="12"/>
      <c r="FAF47" s="12"/>
      <c r="FAW47" s="12"/>
      <c r="FAX47" s="12"/>
      <c r="FBO47" s="12"/>
      <c r="FBP47" s="12"/>
      <c r="FCG47" s="12"/>
      <c r="FCH47" s="12"/>
      <c r="FCY47" s="12"/>
      <c r="FCZ47" s="12"/>
      <c r="FDQ47" s="12"/>
      <c r="FDR47" s="12"/>
      <c r="FEI47" s="12"/>
      <c r="FEJ47" s="12"/>
      <c r="FFA47" s="12"/>
      <c r="FFB47" s="12"/>
      <c r="FFS47" s="12"/>
      <c r="FFT47" s="12"/>
      <c r="FGK47" s="12"/>
      <c r="FGL47" s="12"/>
      <c r="FHC47" s="12"/>
      <c r="FHD47" s="12"/>
      <c r="FHU47" s="12"/>
      <c r="FHV47" s="12"/>
      <c r="FIM47" s="12"/>
      <c r="FIN47" s="12"/>
      <c r="FJE47" s="12"/>
      <c r="FJF47" s="12"/>
      <c r="FJW47" s="12"/>
      <c r="FJX47" s="12"/>
      <c r="FKO47" s="12"/>
      <c r="FKP47" s="12"/>
      <c r="FLG47" s="12"/>
      <c r="FLH47" s="12"/>
      <c r="FLY47" s="12"/>
      <c r="FLZ47" s="12"/>
      <c r="FMQ47" s="12"/>
      <c r="FMR47" s="12"/>
      <c r="FNI47" s="12"/>
      <c r="FNJ47" s="12"/>
      <c r="FOA47" s="12"/>
      <c r="FOB47" s="12"/>
      <c r="FOS47" s="12"/>
      <c r="FOT47" s="12"/>
      <c r="FPK47" s="12"/>
      <c r="FPL47" s="12"/>
      <c r="FQC47" s="12"/>
      <c r="FQD47" s="12"/>
      <c r="FQU47" s="12"/>
      <c r="FQV47" s="12"/>
      <c r="FRM47" s="12"/>
      <c r="FRN47" s="12"/>
      <c r="FSE47" s="12"/>
      <c r="FSF47" s="12"/>
      <c r="FSW47" s="12"/>
      <c r="FSX47" s="12"/>
      <c r="FTO47" s="12"/>
      <c r="FTP47" s="12"/>
      <c r="FUG47" s="12"/>
      <c r="FUH47" s="12"/>
      <c r="FUY47" s="12"/>
      <c r="FUZ47" s="12"/>
      <c r="FVQ47" s="12"/>
      <c r="FVR47" s="12"/>
      <c r="FWI47" s="12"/>
      <c r="FWJ47" s="12"/>
      <c r="FXA47" s="12"/>
      <c r="FXB47" s="12"/>
      <c r="FXS47" s="12"/>
      <c r="FXT47" s="12"/>
      <c r="FYK47" s="12"/>
      <c r="FYL47" s="12"/>
      <c r="FZC47" s="12"/>
      <c r="FZD47" s="12"/>
      <c r="FZU47" s="12"/>
      <c r="FZV47" s="12"/>
      <c r="GAM47" s="12"/>
      <c r="GAN47" s="12"/>
      <c r="GBE47" s="12"/>
      <c r="GBF47" s="12"/>
      <c r="GBW47" s="12"/>
      <c r="GBX47" s="12"/>
      <c r="GCO47" s="12"/>
      <c r="GCP47" s="12"/>
      <c r="GDG47" s="12"/>
      <c r="GDH47" s="12"/>
      <c r="GDY47" s="12"/>
      <c r="GDZ47" s="12"/>
      <c r="GEQ47" s="12"/>
      <c r="GER47" s="12"/>
      <c r="GFI47" s="12"/>
      <c r="GFJ47" s="12"/>
      <c r="GGA47" s="12"/>
      <c r="GGB47" s="12"/>
      <c r="GGS47" s="12"/>
      <c r="GGT47" s="12"/>
      <c r="GHK47" s="12"/>
      <c r="GHL47" s="12"/>
      <c r="GIC47" s="12"/>
      <c r="GID47" s="12"/>
      <c r="GIU47" s="12"/>
      <c r="GIV47" s="12"/>
      <c r="GJM47" s="12"/>
      <c r="GJN47" s="12"/>
      <c r="GKE47" s="12"/>
      <c r="GKF47" s="12"/>
      <c r="GKW47" s="12"/>
      <c r="GKX47" s="12"/>
      <c r="GLO47" s="12"/>
      <c r="GLP47" s="12"/>
      <c r="GMG47" s="12"/>
      <c r="GMH47" s="12"/>
      <c r="GMY47" s="12"/>
      <c r="GMZ47" s="12"/>
      <c r="GNQ47" s="12"/>
      <c r="GNR47" s="12"/>
      <c r="GOI47" s="12"/>
      <c r="GOJ47" s="12"/>
      <c r="GPA47" s="12"/>
      <c r="GPB47" s="12"/>
      <c r="GPS47" s="12"/>
      <c r="GPT47" s="12"/>
      <c r="GQK47" s="12"/>
      <c r="GQL47" s="12"/>
      <c r="GRC47" s="12"/>
      <c r="GRD47" s="12"/>
      <c r="GRU47" s="12"/>
      <c r="GRV47" s="12"/>
      <c r="GSM47" s="12"/>
      <c r="GSN47" s="12"/>
      <c r="GTE47" s="12"/>
      <c r="GTF47" s="12"/>
      <c r="GTW47" s="12"/>
      <c r="GTX47" s="12"/>
      <c r="GUO47" s="12"/>
      <c r="GUP47" s="12"/>
      <c r="GVG47" s="12"/>
      <c r="GVH47" s="12"/>
      <c r="GVY47" s="12"/>
      <c r="GVZ47" s="12"/>
      <c r="GWQ47" s="12"/>
      <c r="GWR47" s="12"/>
      <c r="GXI47" s="12"/>
      <c r="GXJ47" s="12"/>
      <c r="GYA47" s="12"/>
      <c r="GYB47" s="12"/>
      <c r="GYS47" s="12"/>
      <c r="GYT47" s="12"/>
      <c r="GZK47" s="12"/>
      <c r="GZL47" s="12"/>
      <c r="HAC47" s="12"/>
      <c r="HAD47" s="12"/>
      <c r="HAU47" s="12"/>
      <c r="HAV47" s="12"/>
      <c r="HBM47" s="12"/>
      <c r="HBN47" s="12"/>
      <c r="HCE47" s="12"/>
      <c r="HCF47" s="12"/>
      <c r="HCW47" s="12"/>
      <c r="HCX47" s="12"/>
      <c r="HDO47" s="12"/>
      <c r="HDP47" s="12"/>
      <c r="HEG47" s="12"/>
      <c r="HEH47" s="12"/>
      <c r="HEY47" s="12"/>
      <c r="HEZ47" s="12"/>
      <c r="HFQ47" s="12"/>
      <c r="HFR47" s="12"/>
      <c r="HGI47" s="12"/>
      <c r="HGJ47" s="12"/>
      <c r="HHA47" s="12"/>
      <c r="HHB47" s="12"/>
      <c r="HHS47" s="12"/>
      <c r="HHT47" s="12"/>
      <c r="HIK47" s="12"/>
      <c r="HIL47" s="12"/>
      <c r="HJC47" s="12"/>
      <c r="HJD47" s="12"/>
      <c r="HJU47" s="12"/>
      <c r="HJV47" s="12"/>
      <c r="HKM47" s="12"/>
      <c r="HKN47" s="12"/>
      <c r="HLE47" s="12"/>
      <c r="HLF47" s="12"/>
      <c r="HLW47" s="12"/>
      <c r="HLX47" s="12"/>
      <c r="HMO47" s="12"/>
      <c r="HMP47" s="12"/>
      <c r="HNG47" s="12"/>
      <c r="HNH47" s="12"/>
      <c r="HNY47" s="12"/>
      <c r="HNZ47" s="12"/>
      <c r="HOQ47" s="12"/>
      <c r="HOR47" s="12"/>
      <c r="HPI47" s="12"/>
      <c r="HPJ47" s="12"/>
      <c r="HQA47" s="12"/>
      <c r="HQB47" s="12"/>
      <c r="HQS47" s="12"/>
      <c r="HQT47" s="12"/>
      <c r="HRK47" s="12"/>
      <c r="HRL47" s="12"/>
      <c r="HSC47" s="12"/>
      <c r="HSD47" s="12"/>
      <c r="HSU47" s="12"/>
      <c r="HSV47" s="12"/>
      <c r="HTM47" s="12"/>
      <c r="HTN47" s="12"/>
      <c r="HUE47" s="12"/>
      <c r="HUF47" s="12"/>
      <c r="HUW47" s="12"/>
      <c r="HUX47" s="12"/>
      <c r="HVO47" s="12"/>
      <c r="HVP47" s="12"/>
      <c r="HWG47" s="12"/>
      <c r="HWH47" s="12"/>
      <c r="HWY47" s="12"/>
      <c r="HWZ47" s="12"/>
      <c r="HXQ47" s="12"/>
      <c r="HXR47" s="12"/>
      <c r="HYI47" s="12"/>
      <c r="HYJ47" s="12"/>
      <c r="HZA47" s="12"/>
      <c r="HZB47" s="12"/>
      <c r="HZS47" s="12"/>
      <c r="HZT47" s="12"/>
      <c r="IAK47" s="12"/>
      <c r="IAL47" s="12"/>
      <c r="IBC47" s="12"/>
      <c r="IBD47" s="12"/>
      <c r="IBU47" s="12"/>
      <c r="IBV47" s="12"/>
      <c r="ICM47" s="12"/>
      <c r="ICN47" s="12"/>
      <c r="IDE47" s="12"/>
      <c r="IDF47" s="12"/>
      <c r="IDW47" s="12"/>
      <c r="IDX47" s="12"/>
      <c r="IEO47" s="12"/>
      <c r="IEP47" s="12"/>
      <c r="IFG47" s="12"/>
      <c r="IFH47" s="12"/>
      <c r="IFY47" s="12"/>
      <c r="IFZ47" s="12"/>
      <c r="IGQ47" s="12"/>
      <c r="IGR47" s="12"/>
      <c r="IHI47" s="12"/>
      <c r="IHJ47" s="12"/>
      <c r="IIA47" s="12"/>
      <c r="IIB47" s="12"/>
      <c r="IIS47" s="12"/>
      <c r="IIT47" s="12"/>
      <c r="IJK47" s="12"/>
      <c r="IJL47" s="12"/>
      <c r="IKC47" s="12"/>
      <c r="IKD47" s="12"/>
      <c r="IKU47" s="12"/>
      <c r="IKV47" s="12"/>
      <c r="ILM47" s="12"/>
      <c r="ILN47" s="12"/>
      <c r="IME47" s="12"/>
      <c r="IMF47" s="12"/>
      <c r="IMW47" s="12"/>
      <c r="IMX47" s="12"/>
      <c r="INO47" s="12"/>
      <c r="INP47" s="12"/>
      <c r="IOG47" s="12"/>
      <c r="IOH47" s="12"/>
      <c r="IOY47" s="12"/>
      <c r="IOZ47" s="12"/>
      <c r="IPQ47" s="12"/>
      <c r="IPR47" s="12"/>
      <c r="IQI47" s="12"/>
      <c r="IQJ47" s="12"/>
      <c r="IRA47" s="12"/>
      <c r="IRB47" s="12"/>
      <c r="IRS47" s="12"/>
      <c r="IRT47" s="12"/>
      <c r="ISK47" s="12"/>
      <c r="ISL47" s="12"/>
      <c r="ITC47" s="12"/>
      <c r="ITD47" s="12"/>
      <c r="ITU47" s="12"/>
      <c r="ITV47" s="12"/>
      <c r="IUM47" s="12"/>
      <c r="IUN47" s="12"/>
      <c r="IVE47" s="12"/>
      <c r="IVF47" s="12"/>
      <c r="IVW47" s="12"/>
      <c r="IVX47" s="12"/>
      <c r="IWO47" s="12"/>
      <c r="IWP47" s="12"/>
      <c r="IXG47" s="12"/>
      <c r="IXH47" s="12"/>
      <c r="IXY47" s="12"/>
      <c r="IXZ47" s="12"/>
      <c r="IYQ47" s="12"/>
      <c r="IYR47" s="12"/>
      <c r="IZI47" s="12"/>
      <c r="IZJ47" s="12"/>
      <c r="JAA47" s="12"/>
      <c r="JAB47" s="12"/>
      <c r="JAS47" s="12"/>
      <c r="JAT47" s="12"/>
      <c r="JBK47" s="12"/>
      <c r="JBL47" s="12"/>
      <c r="JCC47" s="12"/>
      <c r="JCD47" s="12"/>
      <c r="JCU47" s="12"/>
      <c r="JCV47" s="12"/>
      <c r="JDM47" s="12"/>
      <c r="JDN47" s="12"/>
      <c r="JEE47" s="12"/>
      <c r="JEF47" s="12"/>
      <c r="JEW47" s="12"/>
      <c r="JEX47" s="12"/>
      <c r="JFO47" s="12"/>
      <c r="JFP47" s="12"/>
      <c r="JGG47" s="12"/>
      <c r="JGH47" s="12"/>
      <c r="JGY47" s="12"/>
      <c r="JGZ47" s="12"/>
      <c r="JHQ47" s="12"/>
      <c r="JHR47" s="12"/>
      <c r="JII47" s="12"/>
      <c r="JIJ47" s="12"/>
      <c r="JJA47" s="12"/>
      <c r="JJB47" s="12"/>
      <c r="JJS47" s="12"/>
      <c r="JJT47" s="12"/>
      <c r="JKK47" s="12"/>
      <c r="JKL47" s="12"/>
      <c r="JLC47" s="12"/>
      <c r="JLD47" s="12"/>
      <c r="JLU47" s="12"/>
      <c r="JLV47" s="12"/>
      <c r="JMM47" s="12"/>
      <c r="JMN47" s="12"/>
      <c r="JNE47" s="12"/>
      <c r="JNF47" s="12"/>
      <c r="JNW47" s="12"/>
      <c r="JNX47" s="12"/>
      <c r="JOO47" s="12"/>
      <c r="JOP47" s="12"/>
      <c r="JPG47" s="12"/>
      <c r="JPH47" s="12"/>
      <c r="JPY47" s="12"/>
      <c r="JPZ47" s="12"/>
      <c r="JQQ47" s="12"/>
      <c r="JQR47" s="12"/>
      <c r="JRI47" s="12"/>
      <c r="JRJ47" s="12"/>
      <c r="JSA47" s="12"/>
      <c r="JSB47" s="12"/>
      <c r="JSS47" s="12"/>
      <c r="JST47" s="12"/>
      <c r="JTK47" s="12"/>
      <c r="JTL47" s="12"/>
      <c r="JUC47" s="12"/>
      <c r="JUD47" s="12"/>
      <c r="JUU47" s="12"/>
      <c r="JUV47" s="12"/>
      <c r="JVM47" s="12"/>
      <c r="JVN47" s="12"/>
      <c r="JWE47" s="12"/>
      <c r="JWF47" s="12"/>
      <c r="JWW47" s="12"/>
      <c r="JWX47" s="12"/>
      <c r="JXO47" s="12"/>
      <c r="JXP47" s="12"/>
      <c r="JYG47" s="12"/>
      <c r="JYH47" s="12"/>
      <c r="JYY47" s="12"/>
      <c r="JYZ47" s="12"/>
      <c r="JZQ47" s="12"/>
      <c r="JZR47" s="12"/>
      <c r="KAI47" s="12"/>
      <c r="KAJ47" s="12"/>
      <c r="KBA47" s="12"/>
      <c r="KBB47" s="12"/>
      <c r="KBS47" s="12"/>
      <c r="KBT47" s="12"/>
      <c r="KCK47" s="12"/>
      <c r="KCL47" s="12"/>
      <c r="KDC47" s="12"/>
      <c r="KDD47" s="12"/>
      <c r="KDU47" s="12"/>
      <c r="KDV47" s="12"/>
      <c r="KEM47" s="12"/>
      <c r="KEN47" s="12"/>
      <c r="KFE47" s="12"/>
      <c r="KFF47" s="12"/>
      <c r="KFW47" s="12"/>
      <c r="KFX47" s="12"/>
      <c r="KGO47" s="12"/>
      <c r="KGP47" s="12"/>
      <c r="KHG47" s="12"/>
      <c r="KHH47" s="12"/>
      <c r="KHY47" s="12"/>
      <c r="KHZ47" s="12"/>
      <c r="KIQ47" s="12"/>
      <c r="KIR47" s="12"/>
      <c r="KJI47" s="12"/>
      <c r="KJJ47" s="12"/>
      <c r="KKA47" s="12"/>
      <c r="KKB47" s="12"/>
      <c r="KKS47" s="12"/>
      <c r="KKT47" s="12"/>
      <c r="KLK47" s="12"/>
      <c r="KLL47" s="12"/>
      <c r="KMC47" s="12"/>
      <c r="KMD47" s="12"/>
      <c r="KMU47" s="12"/>
      <c r="KMV47" s="12"/>
      <c r="KNM47" s="12"/>
      <c r="KNN47" s="12"/>
      <c r="KOE47" s="12"/>
      <c r="KOF47" s="12"/>
      <c r="KOW47" s="12"/>
      <c r="KOX47" s="12"/>
      <c r="KPO47" s="12"/>
      <c r="KPP47" s="12"/>
      <c r="KQG47" s="12"/>
      <c r="KQH47" s="12"/>
      <c r="KQY47" s="12"/>
      <c r="KQZ47" s="12"/>
      <c r="KRQ47" s="12"/>
      <c r="KRR47" s="12"/>
      <c r="KSI47" s="12"/>
      <c r="KSJ47" s="12"/>
      <c r="KTA47" s="12"/>
      <c r="KTB47" s="12"/>
      <c r="KTS47" s="12"/>
      <c r="KTT47" s="12"/>
      <c r="KUK47" s="12"/>
      <c r="KUL47" s="12"/>
      <c r="KVC47" s="12"/>
      <c r="KVD47" s="12"/>
      <c r="KVU47" s="12"/>
      <c r="KVV47" s="12"/>
      <c r="KWM47" s="12"/>
      <c r="KWN47" s="12"/>
      <c r="KXE47" s="12"/>
      <c r="KXF47" s="12"/>
      <c r="KXW47" s="12"/>
      <c r="KXX47" s="12"/>
      <c r="KYO47" s="12"/>
      <c r="KYP47" s="12"/>
      <c r="KZG47" s="12"/>
      <c r="KZH47" s="12"/>
      <c r="KZY47" s="12"/>
      <c r="KZZ47" s="12"/>
      <c r="LAQ47" s="12"/>
      <c r="LAR47" s="12"/>
      <c r="LBI47" s="12"/>
      <c r="LBJ47" s="12"/>
      <c r="LCA47" s="12"/>
      <c r="LCB47" s="12"/>
      <c r="LCS47" s="12"/>
      <c r="LCT47" s="12"/>
      <c r="LDK47" s="12"/>
      <c r="LDL47" s="12"/>
      <c r="LEC47" s="12"/>
      <c r="LED47" s="12"/>
      <c r="LEU47" s="12"/>
      <c r="LEV47" s="12"/>
      <c r="LFM47" s="12"/>
      <c r="LFN47" s="12"/>
      <c r="LGE47" s="12"/>
      <c r="LGF47" s="12"/>
      <c r="LGW47" s="12"/>
      <c r="LGX47" s="12"/>
      <c r="LHO47" s="12"/>
      <c r="LHP47" s="12"/>
      <c r="LIG47" s="12"/>
      <c r="LIH47" s="12"/>
      <c r="LIY47" s="12"/>
      <c r="LIZ47" s="12"/>
      <c r="LJQ47" s="12"/>
      <c r="LJR47" s="12"/>
      <c r="LKI47" s="12"/>
      <c r="LKJ47" s="12"/>
      <c r="LLA47" s="12"/>
      <c r="LLB47" s="12"/>
      <c r="LLS47" s="12"/>
      <c r="LLT47" s="12"/>
      <c r="LMK47" s="12"/>
      <c r="LML47" s="12"/>
      <c r="LNC47" s="12"/>
      <c r="LND47" s="12"/>
      <c r="LNU47" s="12"/>
      <c r="LNV47" s="12"/>
      <c r="LOM47" s="12"/>
      <c r="LON47" s="12"/>
      <c r="LPE47" s="12"/>
      <c r="LPF47" s="12"/>
      <c r="LPW47" s="12"/>
      <c r="LPX47" s="12"/>
      <c r="LQO47" s="12"/>
      <c r="LQP47" s="12"/>
      <c r="LRG47" s="12"/>
      <c r="LRH47" s="12"/>
      <c r="LRY47" s="12"/>
      <c r="LRZ47" s="12"/>
      <c r="LSQ47" s="12"/>
      <c r="LSR47" s="12"/>
      <c r="LTI47" s="12"/>
      <c r="LTJ47" s="12"/>
      <c r="LUA47" s="12"/>
      <c r="LUB47" s="12"/>
      <c r="LUS47" s="12"/>
      <c r="LUT47" s="12"/>
      <c r="LVK47" s="12"/>
      <c r="LVL47" s="12"/>
      <c r="LWC47" s="12"/>
      <c r="LWD47" s="12"/>
      <c r="LWU47" s="12"/>
      <c r="LWV47" s="12"/>
      <c r="LXM47" s="12"/>
      <c r="LXN47" s="12"/>
      <c r="LYE47" s="12"/>
      <c r="LYF47" s="12"/>
      <c r="LYW47" s="12"/>
      <c r="LYX47" s="12"/>
      <c r="LZO47" s="12"/>
      <c r="LZP47" s="12"/>
      <c r="MAG47" s="12"/>
      <c r="MAH47" s="12"/>
      <c r="MAY47" s="12"/>
      <c r="MAZ47" s="12"/>
      <c r="MBQ47" s="12"/>
      <c r="MBR47" s="12"/>
      <c r="MCI47" s="12"/>
      <c r="MCJ47" s="12"/>
      <c r="MDA47" s="12"/>
      <c r="MDB47" s="12"/>
      <c r="MDS47" s="12"/>
      <c r="MDT47" s="12"/>
      <c r="MEK47" s="12"/>
      <c r="MEL47" s="12"/>
      <c r="MFC47" s="12"/>
      <c r="MFD47" s="12"/>
      <c r="MFU47" s="12"/>
      <c r="MFV47" s="12"/>
      <c r="MGM47" s="12"/>
      <c r="MGN47" s="12"/>
      <c r="MHE47" s="12"/>
      <c r="MHF47" s="12"/>
      <c r="MHW47" s="12"/>
      <c r="MHX47" s="12"/>
      <c r="MIO47" s="12"/>
      <c r="MIP47" s="12"/>
      <c r="MJG47" s="12"/>
      <c r="MJH47" s="12"/>
      <c r="MJY47" s="12"/>
      <c r="MJZ47" s="12"/>
      <c r="MKQ47" s="12"/>
      <c r="MKR47" s="12"/>
      <c r="MLI47" s="12"/>
      <c r="MLJ47" s="12"/>
      <c r="MMA47" s="12"/>
      <c r="MMB47" s="12"/>
      <c r="MMS47" s="12"/>
      <c r="MMT47" s="12"/>
      <c r="MNK47" s="12"/>
      <c r="MNL47" s="12"/>
      <c r="MOC47" s="12"/>
      <c r="MOD47" s="12"/>
      <c r="MOU47" s="12"/>
      <c r="MOV47" s="12"/>
      <c r="MPM47" s="12"/>
      <c r="MPN47" s="12"/>
      <c r="MQE47" s="12"/>
      <c r="MQF47" s="12"/>
      <c r="MQW47" s="12"/>
      <c r="MQX47" s="12"/>
      <c r="MRO47" s="12"/>
      <c r="MRP47" s="12"/>
      <c r="MSG47" s="12"/>
      <c r="MSH47" s="12"/>
      <c r="MSY47" s="12"/>
      <c r="MSZ47" s="12"/>
      <c r="MTQ47" s="12"/>
      <c r="MTR47" s="12"/>
      <c r="MUI47" s="12"/>
      <c r="MUJ47" s="12"/>
      <c r="MVA47" s="12"/>
      <c r="MVB47" s="12"/>
      <c r="MVS47" s="12"/>
      <c r="MVT47" s="12"/>
      <c r="MWK47" s="12"/>
      <c r="MWL47" s="12"/>
      <c r="MXC47" s="12"/>
      <c r="MXD47" s="12"/>
      <c r="MXU47" s="12"/>
      <c r="MXV47" s="12"/>
      <c r="MYM47" s="12"/>
      <c r="MYN47" s="12"/>
      <c r="MZE47" s="12"/>
      <c r="MZF47" s="12"/>
      <c r="MZW47" s="12"/>
      <c r="MZX47" s="12"/>
      <c r="NAO47" s="12"/>
      <c r="NAP47" s="12"/>
      <c r="NBG47" s="12"/>
      <c r="NBH47" s="12"/>
      <c r="NBY47" s="12"/>
      <c r="NBZ47" s="12"/>
      <c r="NCQ47" s="12"/>
      <c r="NCR47" s="12"/>
      <c r="NDI47" s="12"/>
      <c r="NDJ47" s="12"/>
      <c r="NEA47" s="12"/>
      <c r="NEB47" s="12"/>
      <c r="NES47" s="12"/>
      <c r="NET47" s="12"/>
      <c r="NFK47" s="12"/>
      <c r="NFL47" s="12"/>
      <c r="NGC47" s="12"/>
      <c r="NGD47" s="12"/>
      <c r="NGU47" s="12"/>
      <c r="NGV47" s="12"/>
      <c r="NHM47" s="12"/>
      <c r="NHN47" s="12"/>
      <c r="NIE47" s="12"/>
      <c r="NIF47" s="12"/>
      <c r="NIW47" s="12"/>
      <c r="NIX47" s="12"/>
      <c r="NJO47" s="12"/>
      <c r="NJP47" s="12"/>
      <c r="NKG47" s="12"/>
      <c r="NKH47" s="12"/>
      <c r="NKY47" s="12"/>
      <c r="NKZ47" s="12"/>
      <c r="NLQ47" s="12"/>
      <c r="NLR47" s="12"/>
      <c r="NMI47" s="12"/>
      <c r="NMJ47" s="12"/>
      <c r="NNA47" s="12"/>
      <c r="NNB47" s="12"/>
      <c r="NNS47" s="12"/>
      <c r="NNT47" s="12"/>
      <c r="NOK47" s="12"/>
      <c r="NOL47" s="12"/>
      <c r="NPC47" s="12"/>
      <c r="NPD47" s="12"/>
      <c r="NPU47" s="12"/>
      <c r="NPV47" s="12"/>
      <c r="NQM47" s="12"/>
      <c r="NQN47" s="12"/>
      <c r="NRE47" s="12"/>
      <c r="NRF47" s="12"/>
      <c r="NRW47" s="12"/>
      <c r="NRX47" s="12"/>
      <c r="NSO47" s="12"/>
      <c r="NSP47" s="12"/>
      <c r="NTG47" s="12"/>
      <c r="NTH47" s="12"/>
      <c r="NTY47" s="12"/>
      <c r="NTZ47" s="12"/>
      <c r="NUQ47" s="12"/>
      <c r="NUR47" s="12"/>
      <c r="NVI47" s="12"/>
      <c r="NVJ47" s="12"/>
      <c r="NWA47" s="12"/>
      <c r="NWB47" s="12"/>
      <c r="NWS47" s="12"/>
      <c r="NWT47" s="12"/>
      <c r="NXK47" s="12"/>
      <c r="NXL47" s="12"/>
      <c r="NYC47" s="12"/>
      <c r="NYD47" s="12"/>
      <c r="NYU47" s="12"/>
      <c r="NYV47" s="12"/>
      <c r="NZM47" s="12"/>
      <c r="NZN47" s="12"/>
      <c r="OAE47" s="12"/>
      <c r="OAF47" s="12"/>
      <c r="OAW47" s="12"/>
      <c r="OAX47" s="12"/>
      <c r="OBO47" s="12"/>
      <c r="OBP47" s="12"/>
      <c r="OCG47" s="12"/>
      <c r="OCH47" s="12"/>
      <c r="OCY47" s="12"/>
      <c r="OCZ47" s="12"/>
      <c r="ODQ47" s="12"/>
      <c r="ODR47" s="12"/>
      <c r="OEI47" s="12"/>
      <c r="OEJ47" s="12"/>
      <c r="OFA47" s="12"/>
      <c r="OFB47" s="12"/>
      <c r="OFS47" s="12"/>
      <c r="OFT47" s="12"/>
      <c r="OGK47" s="12"/>
      <c r="OGL47" s="12"/>
      <c r="OHC47" s="12"/>
      <c r="OHD47" s="12"/>
      <c r="OHU47" s="12"/>
      <c r="OHV47" s="12"/>
      <c r="OIM47" s="12"/>
      <c r="OIN47" s="12"/>
      <c r="OJE47" s="12"/>
      <c r="OJF47" s="12"/>
      <c r="OJW47" s="12"/>
      <c r="OJX47" s="12"/>
      <c r="OKO47" s="12"/>
      <c r="OKP47" s="12"/>
      <c r="OLG47" s="12"/>
      <c r="OLH47" s="12"/>
      <c r="OLY47" s="12"/>
      <c r="OLZ47" s="12"/>
      <c r="OMQ47" s="12"/>
      <c r="OMR47" s="12"/>
      <c r="ONI47" s="12"/>
      <c r="ONJ47" s="12"/>
      <c r="OOA47" s="12"/>
      <c r="OOB47" s="12"/>
      <c r="OOS47" s="12"/>
      <c r="OOT47" s="12"/>
      <c r="OPK47" s="12"/>
      <c r="OPL47" s="12"/>
      <c r="OQC47" s="12"/>
      <c r="OQD47" s="12"/>
      <c r="OQU47" s="12"/>
      <c r="OQV47" s="12"/>
      <c r="ORM47" s="12"/>
      <c r="ORN47" s="12"/>
      <c r="OSE47" s="12"/>
      <c r="OSF47" s="12"/>
      <c r="OSW47" s="12"/>
      <c r="OSX47" s="12"/>
      <c r="OTO47" s="12"/>
      <c r="OTP47" s="12"/>
      <c r="OUG47" s="12"/>
      <c r="OUH47" s="12"/>
      <c r="OUY47" s="12"/>
      <c r="OUZ47" s="12"/>
      <c r="OVQ47" s="12"/>
      <c r="OVR47" s="12"/>
      <c r="OWI47" s="12"/>
      <c r="OWJ47" s="12"/>
      <c r="OXA47" s="12"/>
      <c r="OXB47" s="12"/>
      <c r="OXS47" s="12"/>
      <c r="OXT47" s="12"/>
      <c r="OYK47" s="12"/>
      <c r="OYL47" s="12"/>
      <c r="OZC47" s="12"/>
      <c r="OZD47" s="12"/>
      <c r="OZU47" s="12"/>
      <c r="OZV47" s="12"/>
      <c r="PAM47" s="12"/>
      <c r="PAN47" s="12"/>
      <c r="PBE47" s="12"/>
      <c r="PBF47" s="12"/>
      <c r="PBW47" s="12"/>
      <c r="PBX47" s="12"/>
      <c r="PCO47" s="12"/>
      <c r="PCP47" s="12"/>
      <c r="PDG47" s="12"/>
      <c r="PDH47" s="12"/>
      <c r="PDY47" s="12"/>
      <c r="PDZ47" s="12"/>
      <c r="PEQ47" s="12"/>
      <c r="PER47" s="12"/>
      <c r="PFI47" s="12"/>
      <c r="PFJ47" s="12"/>
      <c r="PGA47" s="12"/>
      <c r="PGB47" s="12"/>
      <c r="PGS47" s="12"/>
      <c r="PGT47" s="12"/>
      <c r="PHK47" s="12"/>
      <c r="PHL47" s="12"/>
      <c r="PIC47" s="12"/>
      <c r="PID47" s="12"/>
      <c r="PIU47" s="12"/>
      <c r="PIV47" s="12"/>
      <c r="PJM47" s="12"/>
      <c r="PJN47" s="12"/>
      <c r="PKE47" s="12"/>
      <c r="PKF47" s="12"/>
      <c r="PKW47" s="12"/>
      <c r="PKX47" s="12"/>
      <c r="PLO47" s="12"/>
      <c r="PLP47" s="12"/>
      <c r="PMG47" s="12"/>
      <c r="PMH47" s="12"/>
      <c r="PMY47" s="12"/>
      <c r="PMZ47" s="12"/>
      <c r="PNQ47" s="12"/>
      <c r="PNR47" s="12"/>
      <c r="POI47" s="12"/>
      <c r="POJ47" s="12"/>
      <c r="PPA47" s="12"/>
      <c r="PPB47" s="12"/>
      <c r="PPS47" s="12"/>
      <c r="PPT47" s="12"/>
      <c r="PQK47" s="12"/>
      <c r="PQL47" s="12"/>
      <c r="PRC47" s="12"/>
      <c r="PRD47" s="12"/>
      <c r="PRU47" s="12"/>
      <c r="PRV47" s="12"/>
      <c r="PSM47" s="12"/>
      <c r="PSN47" s="12"/>
      <c r="PTE47" s="12"/>
      <c r="PTF47" s="12"/>
      <c r="PTW47" s="12"/>
      <c r="PTX47" s="12"/>
      <c r="PUO47" s="12"/>
      <c r="PUP47" s="12"/>
      <c r="PVG47" s="12"/>
      <c r="PVH47" s="12"/>
      <c r="PVY47" s="12"/>
      <c r="PVZ47" s="12"/>
      <c r="PWQ47" s="12"/>
      <c r="PWR47" s="12"/>
      <c r="PXI47" s="12"/>
      <c r="PXJ47" s="12"/>
      <c r="PYA47" s="12"/>
      <c r="PYB47" s="12"/>
      <c r="PYS47" s="12"/>
      <c r="PYT47" s="12"/>
      <c r="PZK47" s="12"/>
      <c r="PZL47" s="12"/>
      <c r="QAC47" s="12"/>
      <c r="QAD47" s="12"/>
      <c r="QAU47" s="12"/>
      <c r="QAV47" s="12"/>
      <c r="QBM47" s="12"/>
      <c r="QBN47" s="12"/>
      <c r="QCE47" s="12"/>
      <c r="QCF47" s="12"/>
      <c r="QCW47" s="12"/>
      <c r="QCX47" s="12"/>
      <c r="QDO47" s="12"/>
      <c r="QDP47" s="12"/>
      <c r="QEG47" s="12"/>
      <c r="QEH47" s="12"/>
      <c r="QEY47" s="12"/>
      <c r="QEZ47" s="12"/>
      <c r="QFQ47" s="12"/>
      <c r="QFR47" s="12"/>
      <c r="QGI47" s="12"/>
      <c r="QGJ47" s="12"/>
      <c r="QHA47" s="12"/>
      <c r="QHB47" s="12"/>
      <c r="QHS47" s="12"/>
      <c r="QHT47" s="12"/>
      <c r="QIK47" s="12"/>
      <c r="QIL47" s="12"/>
      <c r="QJC47" s="12"/>
      <c r="QJD47" s="12"/>
      <c r="QJU47" s="12"/>
      <c r="QJV47" s="12"/>
      <c r="QKM47" s="12"/>
      <c r="QKN47" s="12"/>
      <c r="QLE47" s="12"/>
      <c r="QLF47" s="12"/>
      <c r="QLW47" s="12"/>
      <c r="QLX47" s="12"/>
      <c r="QMO47" s="12"/>
      <c r="QMP47" s="12"/>
      <c r="QNG47" s="12"/>
      <c r="QNH47" s="12"/>
      <c r="QNY47" s="12"/>
      <c r="QNZ47" s="12"/>
      <c r="QOQ47" s="12"/>
      <c r="QOR47" s="12"/>
      <c r="QPI47" s="12"/>
      <c r="QPJ47" s="12"/>
      <c r="QQA47" s="12"/>
      <c r="QQB47" s="12"/>
      <c r="QQS47" s="12"/>
      <c r="QQT47" s="12"/>
      <c r="QRK47" s="12"/>
      <c r="QRL47" s="12"/>
      <c r="QSC47" s="12"/>
      <c r="QSD47" s="12"/>
      <c r="QSU47" s="12"/>
      <c r="QSV47" s="12"/>
      <c r="QTM47" s="12"/>
      <c r="QTN47" s="12"/>
      <c r="QUE47" s="12"/>
      <c r="QUF47" s="12"/>
      <c r="QUW47" s="12"/>
      <c r="QUX47" s="12"/>
      <c r="QVO47" s="12"/>
      <c r="QVP47" s="12"/>
      <c r="QWG47" s="12"/>
      <c r="QWH47" s="12"/>
      <c r="QWY47" s="12"/>
      <c r="QWZ47" s="12"/>
      <c r="QXQ47" s="12"/>
      <c r="QXR47" s="12"/>
      <c r="QYI47" s="12"/>
      <c r="QYJ47" s="12"/>
      <c r="QZA47" s="12"/>
      <c r="QZB47" s="12"/>
      <c r="QZS47" s="12"/>
      <c r="QZT47" s="12"/>
      <c r="RAK47" s="12"/>
      <c r="RAL47" s="12"/>
      <c r="RBC47" s="12"/>
      <c r="RBD47" s="12"/>
      <c r="RBU47" s="12"/>
      <c r="RBV47" s="12"/>
      <c r="RCM47" s="12"/>
      <c r="RCN47" s="12"/>
      <c r="RDE47" s="12"/>
      <c r="RDF47" s="12"/>
      <c r="RDW47" s="12"/>
      <c r="RDX47" s="12"/>
      <c r="REO47" s="12"/>
      <c r="REP47" s="12"/>
      <c r="RFG47" s="12"/>
      <c r="RFH47" s="12"/>
      <c r="RFY47" s="12"/>
      <c r="RFZ47" s="12"/>
      <c r="RGQ47" s="12"/>
      <c r="RGR47" s="12"/>
      <c r="RHI47" s="12"/>
      <c r="RHJ47" s="12"/>
      <c r="RIA47" s="12"/>
      <c r="RIB47" s="12"/>
      <c r="RIS47" s="12"/>
      <c r="RIT47" s="12"/>
      <c r="RJK47" s="12"/>
      <c r="RJL47" s="12"/>
      <c r="RKC47" s="12"/>
      <c r="RKD47" s="12"/>
      <c r="RKU47" s="12"/>
      <c r="RKV47" s="12"/>
      <c r="RLM47" s="12"/>
      <c r="RLN47" s="12"/>
      <c r="RME47" s="12"/>
      <c r="RMF47" s="12"/>
      <c r="RMW47" s="12"/>
      <c r="RMX47" s="12"/>
      <c r="RNO47" s="12"/>
      <c r="RNP47" s="12"/>
      <c r="ROG47" s="12"/>
      <c r="ROH47" s="12"/>
      <c r="ROY47" s="12"/>
      <c r="ROZ47" s="12"/>
      <c r="RPQ47" s="12"/>
      <c r="RPR47" s="12"/>
      <c r="RQI47" s="12"/>
      <c r="RQJ47" s="12"/>
      <c r="RRA47" s="12"/>
      <c r="RRB47" s="12"/>
      <c r="RRS47" s="12"/>
      <c r="RRT47" s="12"/>
      <c r="RSK47" s="12"/>
      <c r="RSL47" s="12"/>
      <c r="RTC47" s="12"/>
      <c r="RTD47" s="12"/>
      <c r="RTU47" s="12"/>
      <c r="RTV47" s="12"/>
      <c r="RUM47" s="12"/>
      <c r="RUN47" s="12"/>
      <c r="RVE47" s="12"/>
      <c r="RVF47" s="12"/>
      <c r="RVW47" s="12"/>
      <c r="RVX47" s="12"/>
      <c r="RWO47" s="12"/>
      <c r="RWP47" s="12"/>
      <c r="RXG47" s="12"/>
      <c r="RXH47" s="12"/>
      <c r="RXY47" s="12"/>
      <c r="RXZ47" s="12"/>
      <c r="RYQ47" s="12"/>
      <c r="RYR47" s="12"/>
      <c r="RZI47" s="12"/>
      <c r="RZJ47" s="12"/>
      <c r="SAA47" s="12"/>
      <c r="SAB47" s="12"/>
      <c r="SAS47" s="12"/>
      <c r="SAT47" s="12"/>
      <c r="SBK47" s="12"/>
      <c r="SBL47" s="12"/>
      <c r="SCC47" s="12"/>
      <c r="SCD47" s="12"/>
      <c r="SCU47" s="12"/>
      <c r="SCV47" s="12"/>
      <c r="SDM47" s="12"/>
      <c r="SDN47" s="12"/>
      <c r="SEE47" s="12"/>
      <c r="SEF47" s="12"/>
      <c r="SEW47" s="12"/>
      <c r="SEX47" s="12"/>
      <c r="SFO47" s="12"/>
      <c r="SFP47" s="12"/>
      <c r="SGG47" s="12"/>
      <c r="SGH47" s="12"/>
      <c r="SGY47" s="12"/>
      <c r="SGZ47" s="12"/>
      <c r="SHQ47" s="12"/>
      <c r="SHR47" s="12"/>
      <c r="SII47" s="12"/>
      <c r="SIJ47" s="12"/>
      <c r="SJA47" s="12"/>
      <c r="SJB47" s="12"/>
      <c r="SJS47" s="12"/>
      <c r="SJT47" s="12"/>
      <c r="SKK47" s="12"/>
      <c r="SKL47" s="12"/>
      <c r="SLC47" s="12"/>
      <c r="SLD47" s="12"/>
      <c r="SLU47" s="12"/>
      <c r="SLV47" s="12"/>
      <c r="SMM47" s="12"/>
      <c r="SMN47" s="12"/>
      <c r="SNE47" s="12"/>
      <c r="SNF47" s="12"/>
      <c r="SNW47" s="12"/>
      <c r="SNX47" s="12"/>
      <c r="SOO47" s="12"/>
      <c r="SOP47" s="12"/>
      <c r="SPG47" s="12"/>
      <c r="SPH47" s="12"/>
      <c r="SPY47" s="12"/>
      <c r="SPZ47" s="12"/>
      <c r="SQQ47" s="12"/>
      <c r="SQR47" s="12"/>
      <c r="SRI47" s="12"/>
      <c r="SRJ47" s="12"/>
      <c r="SSA47" s="12"/>
      <c r="SSB47" s="12"/>
      <c r="SSS47" s="12"/>
      <c r="SST47" s="12"/>
      <c r="STK47" s="12"/>
      <c r="STL47" s="12"/>
      <c r="SUC47" s="12"/>
      <c r="SUD47" s="12"/>
      <c r="SUU47" s="12"/>
      <c r="SUV47" s="12"/>
      <c r="SVM47" s="12"/>
      <c r="SVN47" s="12"/>
      <c r="SWE47" s="12"/>
      <c r="SWF47" s="12"/>
      <c r="SWW47" s="12"/>
      <c r="SWX47" s="12"/>
      <c r="SXO47" s="12"/>
      <c r="SXP47" s="12"/>
      <c r="SYG47" s="12"/>
      <c r="SYH47" s="12"/>
      <c r="SYY47" s="12"/>
      <c r="SYZ47" s="12"/>
      <c r="SZQ47" s="12"/>
      <c r="SZR47" s="12"/>
      <c r="TAI47" s="12"/>
      <c r="TAJ47" s="12"/>
      <c r="TBA47" s="12"/>
      <c r="TBB47" s="12"/>
      <c r="TBS47" s="12"/>
      <c r="TBT47" s="12"/>
      <c r="TCK47" s="12"/>
      <c r="TCL47" s="12"/>
      <c r="TDC47" s="12"/>
      <c r="TDD47" s="12"/>
      <c r="TDU47" s="12"/>
      <c r="TDV47" s="12"/>
      <c r="TEM47" s="12"/>
      <c r="TEN47" s="12"/>
      <c r="TFE47" s="12"/>
      <c r="TFF47" s="12"/>
      <c r="TFW47" s="12"/>
      <c r="TFX47" s="12"/>
      <c r="TGO47" s="12"/>
      <c r="TGP47" s="12"/>
      <c r="THG47" s="12"/>
      <c r="THH47" s="12"/>
      <c r="THY47" s="12"/>
      <c r="THZ47" s="12"/>
      <c r="TIQ47" s="12"/>
      <c r="TIR47" s="12"/>
      <c r="TJI47" s="12"/>
      <c r="TJJ47" s="12"/>
      <c r="TKA47" s="12"/>
      <c r="TKB47" s="12"/>
      <c r="TKS47" s="12"/>
      <c r="TKT47" s="12"/>
      <c r="TLK47" s="12"/>
      <c r="TLL47" s="12"/>
      <c r="TMC47" s="12"/>
      <c r="TMD47" s="12"/>
      <c r="TMU47" s="12"/>
      <c r="TMV47" s="12"/>
      <c r="TNM47" s="12"/>
      <c r="TNN47" s="12"/>
      <c r="TOE47" s="12"/>
      <c r="TOF47" s="12"/>
      <c r="TOW47" s="12"/>
      <c r="TOX47" s="12"/>
      <c r="TPO47" s="12"/>
      <c r="TPP47" s="12"/>
      <c r="TQG47" s="12"/>
      <c r="TQH47" s="12"/>
      <c r="TQY47" s="12"/>
      <c r="TQZ47" s="12"/>
      <c r="TRQ47" s="12"/>
      <c r="TRR47" s="12"/>
      <c r="TSI47" s="12"/>
      <c r="TSJ47" s="12"/>
      <c r="TTA47" s="12"/>
      <c r="TTB47" s="12"/>
      <c r="TTS47" s="12"/>
      <c r="TTT47" s="12"/>
      <c r="TUK47" s="12"/>
      <c r="TUL47" s="12"/>
      <c r="TVC47" s="12"/>
      <c r="TVD47" s="12"/>
      <c r="TVU47" s="12"/>
      <c r="TVV47" s="12"/>
      <c r="TWM47" s="12"/>
      <c r="TWN47" s="12"/>
      <c r="TXE47" s="12"/>
      <c r="TXF47" s="12"/>
      <c r="TXW47" s="12"/>
      <c r="TXX47" s="12"/>
      <c r="TYO47" s="12"/>
      <c r="TYP47" s="12"/>
      <c r="TZG47" s="12"/>
      <c r="TZH47" s="12"/>
      <c r="TZY47" s="12"/>
      <c r="TZZ47" s="12"/>
      <c r="UAQ47" s="12"/>
      <c r="UAR47" s="12"/>
      <c r="UBI47" s="12"/>
      <c r="UBJ47" s="12"/>
      <c r="UCA47" s="12"/>
      <c r="UCB47" s="12"/>
      <c r="UCS47" s="12"/>
      <c r="UCT47" s="12"/>
      <c r="UDK47" s="12"/>
      <c r="UDL47" s="12"/>
      <c r="UEC47" s="12"/>
      <c r="UED47" s="12"/>
      <c r="UEU47" s="12"/>
      <c r="UEV47" s="12"/>
      <c r="UFM47" s="12"/>
      <c r="UFN47" s="12"/>
      <c r="UGE47" s="12"/>
      <c r="UGF47" s="12"/>
      <c r="UGW47" s="12"/>
      <c r="UGX47" s="12"/>
      <c r="UHO47" s="12"/>
      <c r="UHP47" s="12"/>
      <c r="UIG47" s="12"/>
      <c r="UIH47" s="12"/>
      <c r="UIY47" s="12"/>
      <c r="UIZ47" s="12"/>
      <c r="UJQ47" s="12"/>
      <c r="UJR47" s="12"/>
      <c r="UKI47" s="12"/>
      <c r="UKJ47" s="12"/>
      <c r="ULA47" s="12"/>
      <c r="ULB47" s="12"/>
      <c r="ULS47" s="12"/>
      <c r="ULT47" s="12"/>
      <c r="UMK47" s="12"/>
      <c r="UML47" s="12"/>
      <c r="UNC47" s="12"/>
      <c r="UND47" s="12"/>
      <c r="UNU47" s="12"/>
      <c r="UNV47" s="12"/>
      <c r="UOM47" s="12"/>
      <c r="UON47" s="12"/>
      <c r="UPE47" s="12"/>
      <c r="UPF47" s="12"/>
      <c r="UPW47" s="12"/>
      <c r="UPX47" s="12"/>
      <c r="UQO47" s="12"/>
      <c r="UQP47" s="12"/>
      <c r="URG47" s="12"/>
      <c r="URH47" s="12"/>
      <c r="URY47" s="12"/>
      <c r="URZ47" s="12"/>
      <c r="USQ47" s="12"/>
      <c r="USR47" s="12"/>
      <c r="UTI47" s="12"/>
      <c r="UTJ47" s="12"/>
      <c r="UUA47" s="12"/>
      <c r="UUB47" s="12"/>
      <c r="UUS47" s="12"/>
      <c r="UUT47" s="12"/>
      <c r="UVK47" s="12"/>
      <c r="UVL47" s="12"/>
      <c r="UWC47" s="12"/>
      <c r="UWD47" s="12"/>
      <c r="UWU47" s="12"/>
      <c r="UWV47" s="12"/>
      <c r="UXM47" s="12"/>
      <c r="UXN47" s="12"/>
      <c r="UYE47" s="12"/>
      <c r="UYF47" s="12"/>
      <c r="UYW47" s="12"/>
      <c r="UYX47" s="12"/>
      <c r="UZO47" s="12"/>
      <c r="UZP47" s="12"/>
      <c r="VAG47" s="12"/>
      <c r="VAH47" s="12"/>
      <c r="VAY47" s="12"/>
      <c r="VAZ47" s="12"/>
      <c r="VBQ47" s="12"/>
      <c r="VBR47" s="12"/>
      <c r="VCI47" s="12"/>
      <c r="VCJ47" s="12"/>
      <c r="VDA47" s="12"/>
      <c r="VDB47" s="12"/>
      <c r="VDS47" s="12"/>
      <c r="VDT47" s="12"/>
      <c r="VEK47" s="12"/>
      <c r="VEL47" s="12"/>
      <c r="VFC47" s="12"/>
      <c r="VFD47" s="12"/>
      <c r="VFU47" s="12"/>
      <c r="VFV47" s="12"/>
      <c r="VGM47" s="12"/>
      <c r="VGN47" s="12"/>
      <c r="VHE47" s="12"/>
      <c r="VHF47" s="12"/>
      <c r="VHW47" s="12"/>
      <c r="VHX47" s="12"/>
      <c r="VIO47" s="12"/>
      <c r="VIP47" s="12"/>
      <c r="VJG47" s="12"/>
      <c r="VJH47" s="12"/>
      <c r="VJY47" s="12"/>
      <c r="VJZ47" s="12"/>
      <c r="VKQ47" s="12"/>
      <c r="VKR47" s="12"/>
      <c r="VLI47" s="12"/>
      <c r="VLJ47" s="12"/>
      <c r="VMA47" s="12"/>
      <c r="VMB47" s="12"/>
      <c r="VMS47" s="12"/>
      <c r="VMT47" s="12"/>
      <c r="VNK47" s="12"/>
      <c r="VNL47" s="12"/>
      <c r="VOC47" s="12"/>
      <c r="VOD47" s="12"/>
      <c r="VOU47" s="12"/>
      <c r="VOV47" s="12"/>
      <c r="VPM47" s="12"/>
      <c r="VPN47" s="12"/>
      <c r="VQE47" s="12"/>
      <c r="VQF47" s="12"/>
      <c r="VQW47" s="12"/>
      <c r="VQX47" s="12"/>
      <c r="VRO47" s="12"/>
      <c r="VRP47" s="12"/>
      <c r="VSG47" s="12"/>
      <c r="VSH47" s="12"/>
      <c r="VSY47" s="12"/>
      <c r="VSZ47" s="12"/>
      <c r="VTQ47" s="12"/>
      <c r="VTR47" s="12"/>
      <c r="VUI47" s="12"/>
      <c r="VUJ47" s="12"/>
      <c r="VVA47" s="12"/>
      <c r="VVB47" s="12"/>
      <c r="VVS47" s="12"/>
      <c r="VVT47" s="12"/>
      <c r="VWK47" s="12"/>
      <c r="VWL47" s="12"/>
      <c r="VXC47" s="12"/>
      <c r="VXD47" s="12"/>
      <c r="VXU47" s="12"/>
      <c r="VXV47" s="12"/>
      <c r="VYM47" s="12"/>
      <c r="VYN47" s="12"/>
      <c r="VZE47" s="12"/>
      <c r="VZF47" s="12"/>
      <c r="VZW47" s="12"/>
      <c r="VZX47" s="12"/>
      <c r="WAO47" s="12"/>
      <c r="WAP47" s="12"/>
      <c r="WBG47" s="12"/>
      <c r="WBH47" s="12"/>
      <c r="WBY47" s="12"/>
      <c r="WBZ47" s="12"/>
      <c r="WCQ47" s="12"/>
      <c r="WCR47" s="12"/>
      <c r="WDI47" s="12"/>
      <c r="WDJ47" s="12"/>
      <c r="WEA47" s="12"/>
      <c r="WEB47" s="12"/>
      <c r="WES47" s="12"/>
      <c r="WET47" s="12"/>
      <c r="WFK47" s="12"/>
      <c r="WFL47" s="12"/>
      <c r="WGC47" s="12"/>
      <c r="WGD47" s="12"/>
      <c r="WGU47" s="12"/>
      <c r="WGV47" s="12"/>
      <c r="WHM47" s="12"/>
      <c r="WHN47" s="12"/>
      <c r="WIE47" s="12"/>
      <c r="WIF47" s="12"/>
      <c r="WIW47" s="12"/>
      <c r="WIX47" s="12"/>
      <c r="WJO47" s="12"/>
      <c r="WJP47" s="12"/>
      <c r="WKG47" s="12"/>
      <c r="WKH47" s="12"/>
      <c r="WKY47" s="12"/>
      <c r="WKZ47" s="12"/>
      <c r="WLQ47" s="12"/>
      <c r="WLR47" s="12"/>
      <c r="WMI47" s="12"/>
      <c r="WMJ47" s="12"/>
      <c r="WNA47" s="12"/>
      <c r="WNB47" s="12"/>
      <c r="WNS47" s="12"/>
      <c r="WNT47" s="12"/>
      <c r="WOK47" s="12"/>
      <c r="WOL47" s="12"/>
      <c r="WPC47" s="12"/>
      <c r="WPD47" s="12"/>
      <c r="WPU47" s="12"/>
      <c r="WPV47" s="12"/>
      <c r="WQM47" s="12"/>
      <c r="WQN47" s="12"/>
      <c r="WRE47" s="12"/>
      <c r="WRF47" s="12"/>
      <c r="WRW47" s="12"/>
      <c r="WRX47" s="12"/>
      <c r="WSO47" s="12"/>
      <c r="WSP47" s="12"/>
      <c r="WTG47" s="12"/>
      <c r="WTH47" s="12"/>
      <c r="WTY47" s="12"/>
      <c r="WTZ47" s="12"/>
      <c r="WUQ47" s="12"/>
      <c r="WUR47" s="12"/>
      <c r="WVI47" s="12"/>
      <c r="WVJ47" s="12"/>
      <c r="WWA47" s="12"/>
      <c r="WWB47" s="12"/>
      <c r="WWS47" s="12"/>
      <c r="WWT47" s="12"/>
      <c r="WXK47" s="12"/>
      <c r="WXL47" s="12"/>
      <c r="WYC47" s="12"/>
      <c r="WYD47" s="12"/>
      <c r="WYU47" s="12"/>
      <c r="WYV47" s="12"/>
      <c r="WZM47" s="12"/>
      <c r="WZN47" s="12"/>
      <c r="XAE47" s="12"/>
      <c r="XAF47" s="12"/>
      <c r="XAW47" s="12"/>
      <c r="XAX47" s="12"/>
      <c r="XBO47" s="12"/>
      <c r="XBP47" s="12"/>
      <c r="XCG47" s="12"/>
      <c r="XCH47" s="12"/>
      <c r="XCY47" s="12"/>
      <c r="XCZ47" s="12"/>
      <c r="XDQ47" s="12"/>
      <c r="XDR47" s="12"/>
      <c r="XEI47" s="12"/>
      <c r="XEJ47" s="12"/>
      <c r="XFA47" s="12"/>
      <c r="XFB47" s="12"/>
    </row>
    <row r="48" spans="1:1010 1027:2036 2053:3062 3079:4088 4105:5114 5131:6140 6157:7166 7183:8192 8209:9200 9217:10226 10243:11252 11269:12278 12295:13304 13321:14330 14347:15356 15373:16382" x14ac:dyDescent="0.35">
      <c r="A48" s="181" t="s">
        <v>83</v>
      </c>
      <c r="B48" s="181" t="s">
        <v>84</v>
      </c>
      <c r="C48" s="198">
        <v>124.003</v>
      </c>
      <c r="D48" s="198">
        <v>119.93899999999999</v>
      </c>
      <c r="E48" s="198">
        <v>92.048000000000002</v>
      </c>
      <c r="F48" s="198">
        <v>88.769000000000005</v>
      </c>
      <c r="G48" s="198">
        <v>91.480999999999995</v>
      </c>
      <c r="H48" s="198">
        <v>88.334999999999994</v>
      </c>
      <c r="I48" s="198">
        <v>85.337999999999994</v>
      </c>
      <c r="J48" s="198">
        <v>110.84</v>
      </c>
      <c r="K48" s="198">
        <v>109.56</v>
      </c>
      <c r="L48" s="198">
        <v>107.79</v>
      </c>
      <c r="M48" s="312"/>
      <c r="N48" s="117"/>
      <c r="O48" s="117"/>
      <c r="P48" s="117"/>
      <c r="Q48" s="117"/>
      <c r="R48" s="117"/>
      <c r="T48" s="6"/>
      <c r="U48" s="6"/>
    </row>
    <row r="49" spans="1:1010 1027:2036 2053:3062 3079:4088 4105:5114 5131:6140 6157:7166 7183:8192 8209:9200 9217:10226 10243:11252 11269:12278 12295:13304 13321:14330 14347:15356 15373:16382" x14ac:dyDescent="0.35">
      <c r="A49" s="185" t="s">
        <v>85</v>
      </c>
      <c r="B49" s="185" t="s">
        <v>86</v>
      </c>
      <c r="C49" s="198">
        <v>76.802999999999997</v>
      </c>
      <c r="D49" s="198">
        <v>77.131</v>
      </c>
      <c r="E49" s="198">
        <v>64.671000000000006</v>
      </c>
      <c r="F49" s="198">
        <v>64.387</v>
      </c>
      <c r="G49" s="198">
        <v>68.004000000000005</v>
      </c>
      <c r="H49" s="198">
        <v>67.968000000000004</v>
      </c>
      <c r="I49" s="198">
        <v>67.13</v>
      </c>
      <c r="J49" s="198">
        <v>83.120999999999995</v>
      </c>
      <c r="K49" s="198">
        <v>84.194000000000003</v>
      </c>
      <c r="L49" s="198">
        <v>84.459000000000003</v>
      </c>
      <c r="M49" s="117"/>
      <c r="N49" s="117"/>
      <c r="O49" s="117"/>
      <c r="P49" s="117"/>
      <c r="Q49" s="117"/>
      <c r="R49" s="117"/>
      <c r="T49" s="47"/>
      <c r="U49" s="47"/>
    </row>
    <row r="50" spans="1:1010 1027:2036 2053:3062 3079:4088 4105:5114 5131:6140 6157:7166 7183:8192 8209:9200 9217:10226 10243:11252 11269:12278 12295:13304 13321:14330 14347:15356 15373:16382" x14ac:dyDescent="0.35">
      <c r="A50" s="185" t="s">
        <v>87</v>
      </c>
      <c r="B50" s="185" t="s">
        <v>88</v>
      </c>
      <c r="C50" s="198">
        <v>47.2</v>
      </c>
      <c r="D50" s="198">
        <v>42.808</v>
      </c>
      <c r="E50" s="198">
        <v>27.376999999999999</v>
      </c>
      <c r="F50" s="198">
        <v>24.382000000000001</v>
      </c>
      <c r="G50" s="198">
        <v>23.477</v>
      </c>
      <c r="H50" s="198">
        <v>20.367000000000001</v>
      </c>
      <c r="I50" s="198">
        <v>18.207999999999998</v>
      </c>
      <c r="J50" s="198">
        <v>27.719000000000001</v>
      </c>
      <c r="K50" s="198">
        <v>25.366</v>
      </c>
      <c r="L50" s="198">
        <v>23.331</v>
      </c>
      <c r="M50" s="117"/>
      <c r="N50" s="117"/>
      <c r="O50" s="117"/>
      <c r="P50" s="117"/>
      <c r="Q50" s="117"/>
      <c r="R50" s="117"/>
      <c r="T50" s="47"/>
      <c r="U50" s="47"/>
    </row>
    <row r="51" spans="1:1010 1027:2036 2053:3062 3079:4088 4105:5114 5131:6140 6157:7166 7183:8192 8209:9200 9217:10226 10243:11252 11269:12278 12295:13304 13321:14330 14347:15356 15373:16382" x14ac:dyDescent="0.35">
      <c r="A51" s="181" t="s">
        <v>89</v>
      </c>
      <c r="B51" s="181" t="s">
        <v>90</v>
      </c>
      <c r="C51" s="198"/>
      <c r="D51" s="198"/>
      <c r="E51" s="198"/>
      <c r="F51" s="198"/>
      <c r="G51" s="198"/>
      <c r="H51" s="198"/>
      <c r="I51" s="198"/>
      <c r="J51" s="198"/>
      <c r="K51" s="198"/>
      <c r="L51" s="198"/>
      <c r="M51" s="117"/>
      <c r="N51" s="117"/>
      <c r="O51" s="117"/>
      <c r="P51" s="117"/>
      <c r="Q51" s="117"/>
      <c r="R51" s="117"/>
      <c r="T51" s="6"/>
      <c r="U51" s="6"/>
    </row>
    <row r="52" spans="1:1010 1027:2036 2053:3062 3079:4088 4105:5114 5131:6140 6157:7166 7183:8192 8209:9200 9217:10226 10243:11252 11269:12278 12295:13304 13321:14330 14347:15356 15373:16382" s="105" customFormat="1" x14ac:dyDescent="0.35">
      <c r="A52" s="181" t="s">
        <v>91</v>
      </c>
      <c r="B52" s="181" t="s">
        <v>92</v>
      </c>
      <c r="C52" s="198">
        <v>4.2249999999999996</v>
      </c>
      <c r="D52" s="198">
        <v>5.3109999999999999</v>
      </c>
      <c r="E52" s="198">
        <v>6.6449999999999996</v>
      </c>
      <c r="F52" s="198">
        <v>11.757999999999999</v>
      </c>
      <c r="G52" s="198">
        <v>9.9350000000000005</v>
      </c>
      <c r="H52" s="198">
        <v>8.1129999999999995</v>
      </c>
      <c r="I52" s="198">
        <v>9.3130000000000006</v>
      </c>
      <c r="J52" s="198">
        <v>10.885</v>
      </c>
      <c r="K52" s="198">
        <v>14.430999999999999</v>
      </c>
      <c r="L52" s="198">
        <v>19.524999999999999</v>
      </c>
      <c r="M52" s="119"/>
      <c r="N52" s="119"/>
      <c r="O52" s="119"/>
      <c r="P52" s="119"/>
      <c r="Q52" s="119"/>
      <c r="R52" s="119"/>
      <c r="T52" s="6"/>
      <c r="U52" s="6"/>
    </row>
    <row r="53" spans="1:1010 1027:2036 2053:3062 3079:4088 4105:5114 5131:6140 6157:7166 7183:8192 8209:9200 9217:10226 10243:11252 11269:12278 12295:13304 13321:14330 14347:15356 15373:16382" x14ac:dyDescent="0.35">
      <c r="A53" s="181" t="s">
        <v>93</v>
      </c>
      <c r="B53" s="181" t="s">
        <v>94</v>
      </c>
      <c r="C53" s="198">
        <v>0</v>
      </c>
      <c r="D53" s="198">
        <v>0</v>
      </c>
      <c r="E53" s="198">
        <v>0</v>
      </c>
      <c r="F53" s="198">
        <v>0</v>
      </c>
      <c r="G53" s="198">
        <v>0</v>
      </c>
      <c r="H53" s="198">
        <v>0</v>
      </c>
      <c r="I53" s="198">
        <v>0</v>
      </c>
      <c r="J53" s="198">
        <v>0</v>
      </c>
      <c r="K53" s="198">
        <v>0</v>
      </c>
      <c r="L53" s="198">
        <v>0</v>
      </c>
      <c r="M53" s="117"/>
      <c r="N53" s="117"/>
      <c r="O53" s="117"/>
      <c r="P53" s="117"/>
      <c r="Q53" s="117"/>
      <c r="R53" s="117"/>
      <c r="T53" s="6"/>
      <c r="U53" s="6"/>
    </row>
    <row r="54" spans="1:1010 1027:2036 2053:3062 3079:4088 4105:5114 5131:6140 6157:7166 7183:8192 8209:9200 9217:10226 10243:11252 11269:12278 12295:13304 13321:14330 14347:15356 15373:16382" x14ac:dyDescent="0.35">
      <c r="A54" s="181" t="s">
        <v>95</v>
      </c>
      <c r="B54" s="181" t="s">
        <v>96</v>
      </c>
      <c r="C54" s="198"/>
      <c r="D54" s="198"/>
      <c r="E54" s="198"/>
      <c r="F54" s="198"/>
      <c r="G54" s="198"/>
      <c r="H54" s="198"/>
      <c r="I54" s="198"/>
      <c r="J54" s="198"/>
      <c r="K54" s="198"/>
      <c r="L54" s="198"/>
      <c r="M54" s="117"/>
      <c r="N54" s="117"/>
      <c r="O54" s="117"/>
      <c r="P54" s="117"/>
      <c r="Q54" s="117"/>
      <c r="R54" s="117"/>
      <c r="T54" s="6"/>
      <c r="U54" s="6"/>
    </row>
    <row r="55" spans="1:1010 1027:2036 2053:3062 3079:4088 4105:5114 5131:6140 6157:7166 7183:8192 8209:9200 9217:10226 10243:11252 11269:12278 12295:13304 13321:14330 14347:15356 15373:16382" x14ac:dyDescent="0.35">
      <c r="A55" s="181" t="s">
        <v>97</v>
      </c>
      <c r="B55" s="181" t="s">
        <v>98</v>
      </c>
      <c r="C55" s="198"/>
      <c r="D55" s="198"/>
      <c r="E55" s="198"/>
      <c r="F55" s="198"/>
      <c r="G55" s="198"/>
      <c r="H55" s="198"/>
      <c r="I55" s="198"/>
      <c r="J55" s="198"/>
      <c r="K55" s="198"/>
      <c r="L55" s="198"/>
      <c r="M55" s="117"/>
      <c r="N55" s="117"/>
      <c r="O55" s="117"/>
      <c r="P55" s="117"/>
      <c r="Q55" s="117"/>
      <c r="R55" s="117"/>
      <c r="T55" s="6"/>
      <c r="U55" s="6"/>
    </row>
    <row r="56" spans="1:1010 1027:2036 2053:3062 3079:4088 4105:5114 5131:6140 6157:7166 7183:8192 8209:9200 9217:10226 10243:11252 11269:12278 12295:13304 13321:14330 14347:15356 15373:16382" x14ac:dyDescent="0.35">
      <c r="A56" s="181" t="s">
        <v>99</v>
      </c>
      <c r="B56" s="181" t="s">
        <v>100</v>
      </c>
      <c r="C56" s="198"/>
      <c r="D56" s="198"/>
      <c r="E56" s="198"/>
      <c r="F56" s="198"/>
      <c r="G56" s="198"/>
      <c r="H56" s="198"/>
      <c r="I56" s="198"/>
      <c r="J56" s="198"/>
      <c r="K56" s="198"/>
      <c r="L56" s="198"/>
      <c r="M56" s="117"/>
      <c r="N56" s="117"/>
      <c r="O56" s="117"/>
      <c r="P56" s="117"/>
      <c r="Q56" s="117"/>
      <c r="R56" s="117"/>
      <c r="T56" s="6"/>
      <c r="U56" s="6"/>
    </row>
    <row r="57" spans="1:1010 1027:2036 2053:3062 3079:4088 4105:5114 5131:6140 6157:7166 7183:8192 8209:9200 9217:10226 10243:11252 11269:12278 12295:13304 13321:14330 14347:15356 15373:16382" x14ac:dyDescent="0.35">
      <c r="A57" s="181" t="s">
        <v>101</v>
      </c>
      <c r="B57" s="181" t="s">
        <v>102</v>
      </c>
      <c r="C57" s="198">
        <v>4.8849999999999998</v>
      </c>
      <c r="D57" s="198">
        <v>13.35</v>
      </c>
      <c r="E57" s="198">
        <v>13.263999999999999</v>
      </c>
      <c r="F57" s="198">
        <v>17.329000000000001</v>
      </c>
      <c r="G57" s="198">
        <v>14.137</v>
      </c>
      <c r="H57" s="198">
        <v>14.356</v>
      </c>
      <c r="I57" s="198">
        <v>25.248000000000001</v>
      </c>
      <c r="J57" s="198">
        <v>19.734000000000002</v>
      </c>
      <c r="K57" s="198">
        <v>14.521000000000001</v>
      </c>
      <c r="L57" s="198">
        <v>20.353999999999999</v>
      </c>
      <c r="M57" s="117"/>
      <c r="N57" s="117"/>
      <c r="O57" s="117"/>
      <c r="P57" s="117"/>
      <c r="Q57" s="117"/>
      <c r="R57" s="117"/>
      <c r="T57" s="6"/>
      <c r="U57" s="6"/>
    </row>
    <row r="58" spans="1:1010 1027:2036 2053:3062 3079:4088 4105:5114 5131:6140 6157:7166 7183:8192 8209:9200 9217:10226 10243:11252 11269:12278 12295:13304 13321:14330 14347:15356 15373:16382" x14ac:dyDescent="0.35">
      <c r="A58" s="23" t="s">
        <v>29</v>
      </c>
      <c r="B58" s="23"/>
      <c r="C58" s="321">
        <f t="shared" ref="C58:L58" si="10">ROUND(SUM(C48,C51:C57)-IF(C47="",0,C47),1)</f>
        <v>0</v>
      </c>
      <c r="D58" s="321">
        <f t="shared" si="10"/>
        <v>0</v>
      </c>
      <c r="E58" s="321">
        <f t="shared" si="10"/>
        <v>0</v>
      </c>
      <c r="F58" s="321">
        <f t="shared" si="10"/>
        <v>0</v>
      </c>
      <c r="G58" s="321">
        <f t="shared" si="10"/>
        <v>0</v>
      </c>
      <c r="H58" s="321">
        <f t="shared" si="10"/>
        <v>0</v>
      </c>
      <c r="I58" s="321">
        <f t="shared" si="10"/>
        <v>0</v>
      </c>
      <c r="J58" s="321">
        <f t="shared" si="10"/>
        <v>0</v>
      </c>
      <c r="K58" s="321">
        <f t="shared" si="10"/>
        <v>0</v>
      </c>
      <c r="L58" s="321">
        <f t="shared" si="10"/>
        <v>0</v>
      </c>
      <c r="M58" s="118"/>
      <c r="N58" s="118"/>
      <c r="O58" s="118"/>
      <c r="P58" s="118"/>
      <c r="Q58" s="118"/>
      <c r="R58" s="118"/>
      <c r="T58" s="6"/>
      <c r="U58" s="6"/>
    </row>
    <row r="59" spans="1:1010 1027:2036 2053:3062 3079:4088 4105:5114 5131:6140 6157:7166 7183:8192 8209:9200 9217:10226 10243:11252 11269:12278 12295:13304 13321:14330 14347:15356 15373:16382" x14ac:dyDescent="0.35">
      <c r="A59" s="189" t="s">
        <v>103</v>
      </c>
      <c r="B59" s="189" t="s">
        <v>104</v>
      </c>
      <c r="C59" s="205">
        <v>210.74</v>
      </c>
      <c r="D59" s="205">
        <v>213.09800000000001</v>
      </c>
      <c r="E59" s="205">
        <v>169.20500000000001</v>
      </c>
      <c r="F59" s="205">
        <v>186.82400000000001</v>
      </c>
      <c r="G59" s="205">
        <v>222.59100000000001</v>
      </c>
      <c r="H59" s="205">
        <v>221.08199999999999</v>
      </c>
      <c r="I59" s="205">
        <v>233.55199999999999</v>
      </c>
      <c r="J59" s="205">
        <v>258.17599999999999</v>
      </c>
      <c r="K59" s="205">
        <v>267.02</v>
      </c>
      <c r="L59" s="205">
        <v>308.072</v>
      </c>
      <c r="M59" s="312">
        <f>IF(OR(K59=0,K59=""),"",L59/K59-1)</f>
        <v>0.15374129278705717</v>
      </c>
      <c r="N59" s="120"/>
      <c r="O59" s="120"/>
      <c r="P59" s="120"/>
      <c r="Q59" s="120"/>
      <c r="R59" s="120"/>
      <c r="T59" s="5"/>
      <c r="U59" s="5"/>
    </row>
    <row r="60" spans="1:1010 1027:2036 2053:3062 3079:4088 4105:5114 5131:6140 6157:7166 7183:8192 8209:9200 9217:10226 10243:11252 11269:12278 12295:13304 13321:14330 14347:15356 15373:16382" x14ac:dyDescent="0.35">
      <c r="A60" s="24" t="s">
        <v>29</v>
      </c>
      <c r="B60" s="24"/>
      <c r="C60" s="175">
        <f t="shared" ref="C60:L60" si="11">ROUND(IF(C38="",0,C38)+IF(C43="",0,C43)+IF(C47="",0,C47)-IF(C59="",0,C59),1)</f>
        <v>0</v>
      </c>
      <c r="D60" s="175">
        <f t="shared" si="11"/>
        <v>0</v>
      </c>
      <c r="E60" s="175">
        <f t="shared" si="11"/>
        <v>0</v>
      </c>
      <c r="F60" s="175">
        <f t="shared" si="11"/>
        <v>0</v>
      </c>
      <c r="G60" s="175">
        <f t="shared" si="11"/>
        <v>0</v>
      </c>
      <c r="H60" s="175">
        <f t="shared" si="11"/>
        <v>0</v>
      </c>
      <c r="I60" s="175">
        <f t="shared" si="11"/>
        <v>0</v>
      </c>
      <c r="J60" s="175">
        <f t="shared" si="11"/>
        <v>0</v>
      </c>
      <c r="K60" s="175">
        <f t="shared" si="11"/>
        <v>0</v>
      </c>
      <c r="L60" s="175">
        <f t="shared" si="11"/>
        <v>0</v>
      </c>
      <c r="M60" s="121"/>
      <c r="N60" s="121"/>
      <c r="O60" s="121"/>
      <c r="P60" s="121"/>
      <c r="Q60" s="121"/>
      <c r="R60" s="121"/>
      <c r="T60" s="5"/>
      <c r="U60" s="5"/>
    </row>
    <row r="61" spans="1:1010 1027:2036 2053:3062 3079:4088 4105:5114 5131:6140 6157:7166 7183:8192 8209:9200 9217:10226 10243:11252 11269:12278 12295:13304 13321:14330 14347:15356 15373:16382" x14ac:dyDescent="0.35">
      <c r="A61" s="189" t="s">
        <v>22</v>
      </c>
      <c r="B61" s="189" t="s">
        <v>105</v>
      </c>
      <c r="C61" s="205">
        <v>487.51499999999999</v>
      </c>
      <c r="D61" s="205">
        <v>506.03199999999998</v>
      </c>
      <c r="E61" s="205">
        <v>500.25599999999997</v>
      </c>
      <c r="F61" s="205">
        <v>500.31400000000002</v>
      </c>
      <c r="G61" s="205">
        <v>570.52599999999995</v>
      </c>
      <c r="H61" s="205">
        <v>637.18499999999995</v>
      </c>
      <c r="I61" s="205">
        <v>710.65300000000002</v>
      </c>
      <c r="J61" s="205">
        <v>745.66</v>
      </c>
      <c r="K61" s="205">
        <v>760.23199999999997</v>
      </c>
      <c r="L61" s="205">
        <v>840.83600000000001</v>
      </c>
      <c r="M61" s="312">
        <f>IF(OR(K61=0,K61=""),"",L61/K61-1)</f>
        <v>0.10602552904902729</v>
      </c>
      <c r="N61" s="120"/>
      <c r="O61" s="120"/>
      <c r="P61" s="120"/>
      <c r="Q61" s="120"/>
      <c r="R61" s="120"/>
      <c r="T61" s="5"/>
      <c r="U61" s="5"/>
    </row>
    <row r="62" spans="1:1010 1027:2036 2053:3062 3079:4088 4105:5114 5131:6140 6157:7166 7183:8192 8209:9200 9217:10226 10243:11252 11269:12278 12295:13304 13321:14330 14347:15356 15373:16382" x14ac:dyDescent="0.35">
      <c r="A62" s="24" t="s">
        <v>29</v>
      </c>
      <c r="B62" s="21"/>
      <c r="C62" s="176">
        <f t="shared" ref="C62:L62" si="12">ROUND(IF(C35="",0,C35)+IF(C38="",0,C38)+IF(C43="",0,C43)+IF(C47="",0,C47)-IF(C61="",0,C61),1)</f>
        <v>0</v>
      </c>
      <c r="D62" s="176">
        <f t="shared" si="12"/>
        <v>0</v>
      </c>
      <c r="E62" s="176">
        <f t="shared" si="12"/>
        <v>0</v>
      </c>
      <c r="F62" s="176">
        <f t="shared" si="12"/>
        <v>0</v>
      </c>
      <c r="G62" s="176">
        <f t="shared" si="12"/>
        <v>0</v>
      </c>
      <c r="H62" s="176">
        <f t="shared" si="12"/>
        <v>0</v>
      </c>
      <c r="I62" s="176">
        <f t="shared" si="12"/>
        <v>0</v>
      </c>
      <c r="J62" s="176">
        <f t="shared" si="12"/>
        <v>0</v>
      </c>
      <c r="K62" s="176">
        <f t="shared" si="12"/>
        <v>0</v>
      </c>
      <c r="L62" s="176">
        <f t="shared" si="12"/>
        <v>0</v>
      </c>
      <c r="M62" s="122"/>
      <c r="N62" s="122"/>
      <c r="O62" s="122"/>
      <c r="P62" s="122"/>
      <c r="Q62" s="122"/>
      <c r="R62" s="122"/>
    </row>
    <row r="63" spans="1:1010 1027:2036 2053:3062 3079:4088 4105:5114 5131:6140 6157:7166 7183:8192 8209:9200 9217:10226 10243:11252 11269:12278 12295:13304 13321:14330 14347:15356 15373:16382" s="152" customFormat="1" x14ac:dyDescent="0.35">
      <c r="A63" s="187" t="s">
        <v>106</v>
      </c>
      <c r="B63" s="196"/>
      <c r="C63" s="206"/>
      <c r="D63" s="206"/>
      <c r="E63" s="206"/>
      <c r="F63" s="206"/>
      <c r="G63" s="206"/>
      <c r="H63" s="206"/>
      <c r="I63" s="206"/>
      <c r="J63" s="206"/>
      <c r="K63" s="206"/>
      <c r="L63" s="206"/>
      <c r="M63" s="201"/>
      <c r="N63" s="201"/>
      <c r="O63" s="201"/>
      <c r="P63" s="201"/>
      <c r="Q63" s="201"/>
      <c r="R63" s="201"/>
    </row>
    <row r="64" spans="1:1010 1027:2036 2053:3062 3079:4088 4105:5114 5131:6140 6157:7166 7183:8192 8209:9200 9217:10226 10243:11252 11269:12278 12295:13304 13321:14330 14347:15356 15373:16382" s="204" customFormat="1" x14ac:dyDescent="0.35">
      <c r="A64" s="183" t="s">
        <v>107</v>
      </c>
      <c r="B64" s="183" t="s">
        <v>108</v>
      </c>
      <c r="C64" s="184">
        <v>36.468000000000004</v>
      </c>
      <c r="D64" s="184">
        <v>39.53</v>
      </c>
      <c r="E64" s="184">
        <v>31.823</v>
      </c>
      <c r="F64" s="184">
        <v>32.68</v>
      </c>
      <c r="G64" s="184">
        <v>33.28</v>
      </c>
      <c r="H64" s="184">
        <v>46.280999999999999</v>
      </c>
      <c r="I64" s="184">
        <v>67.855999999999995</v>
      </c>
      <c r="J64" s="184">
        <v>53.465000000000003</v>
      </c>
      <c r="K64" s="184">
        <v>43.960999999999999</v>
      </c>
      <c r="L64" s="184">
        <v>56.286999999999999</v>
      </c>
      <c r="M64" s="312">
        <f>IF(OR(K64=0,K64=""),"",L64/K64-1)</f>
        <v>0.28038488660403549</v>
      </c>
      <c r="S64" s="203"/>
      <c r="T64" s="203"/>
      <c r="AK64" s="203"/>
      <c r="AL64" s="203"/>
      <c r="BC64" s="203"/>
      <c r="BD64" s="203"/>
      <c r="BU64" s="203"/>
      <c r="BV64" s="203"/>
      <c r="CM64" s="203"/>
      <c r="CN64" s="203"/>
      <c r="DE64" s="203"/>
      <c r="DF64" s="203"/>
      <c r="DW64" s="203"/>
      <c r="DX64" s="203"/>
      <c r="EO64" s="203"/>
      <c r="EP64" s="203"/>
      <c r="FG64" s="203"/>
      <c r="FH64" s="203"/>
      <c r="FY64" s="203"/>
      <c r="FZ64" s="203"/>
      <c r="GQ64" s="203"/>
      <c r="GR64" s="203"/>
      <c r="HI64" s="203"/>
      <c r="HJ64" s="203"/>
      <c r="IA64" s="203"/>
      <c r="IB64" s="203"/>
      <c r="IS64" s="203"/>
      <c r="IT64" s="203"/>
      <c r="JK64" s="203"/>
      <c r="JL64" s="203"/>
      <c r="KC64" s="203"/>
      <c r="KD64" s="203"/>
      <c r="KU64" s="203"/>
      <c r="KV64" s="203"/>
      <c r="LM64" s="203"/>
      <c r="LN64" s="203"/>
      <c r="ME64" s="203"/>
      <c r="MF64" s="203"/>
      <c r="MW64" s="203"/>
      <c r="MX64" s="203"/>
      <c r="NO64" s="203"/>
      <c r="NP64" s="203"/>
      <c r="OG64" s="203"/>
      <c r="OH64" s="203"/>
      <c r="OY64" s="203"/>
      <c r="OZ64" s="203"/>
      <c r="PQ64" s="203"/>
      <c r="PR64" s="203"/>
      <c r="QI64" s="203"/>
      <c r="QJ64" s="203"/>
      <c r="RA64" s="203"/>
      <c r="RB64" s="203"/>
      <c r="RS64" s="203"/>
      <c r="RT64" s="203"/>
      <c r="SK64" s="203"/>
      <c r="SL64" s="203"/>
      <c r="TC64" s="203"/>
      <c r="TD64" s="203"/>
      <c r="TU64" s="203"/>
      <c r="TV64" s="203"/>
      <c r="UM64" s="203"/>
      <c r="UN64" s="203"/>
      <c r="VE64" s="203"/>
      <c r="VF64" s="203"/>
      <c r="VW64" s="203"/>
      <c r="VX64" s="203"/>
      <c r="WO64" s="203"/>
      <c r="WP64" s="203"/>
      <c r="XG64" s="203"/>
      <c r="XH64" s="203"/>
      <c r="XY64" s="203"/>
      <c r="XZ64" s="203"/>
      <c r="YQ64" s="203"/>
      <c r="YR64" s="203"/>
      <c r="ZI64" s="203"/>
      <c r="ZJ64" s="203"/>
      <c r="AAA64" s="203"/>
      <c r="AAB64" s="203"/>
      <c r="AAS64" s="203"/>
      <c r="AAT64" s="203"/>
      <c r="ABK64" s="203"/>
      <c r="ABL64" s="203"/>
      <c r="ACC64" s="203"/>
      <c r="ACD64" s="203"/>
      <c r="ACU64" s="203"/>
      <c r="ACV64" s="203"/>
      <c r="ADM64" s="203"/>
      <c r="ADN64" s="203"/>
      <c r="AEE64" s="203"/>
      <c r="AEF64" s="203"/>
      <c r="AEW64" s="203"/>
      <c r="AEX64" s="203"/>
      <c r="AFO64" s="203"/>
      <c r="AFP64" s="203"/>
      <c r="AGG64" s="203"/>
      <c r="AGH64" s="203"/>
      <c r="AGY64" s="203"/>
      <c r="AGZ64" s="203"/>
      <c r="AHQ64" s="203"/>
      <c r="AHR64" s="203"/>
      <c r="AII64" s="203"/>
      <c r="AIJ64" s="203"/>
      <c r="AJA64" s="203"/>
      <c r="AJB64" s="203"/>
      <c r="AJS64" s="203"/>
      <c r="AJT64" s="203"/>
      <c r="AKK64" s="203"/>
      <c r="AKL64" s="203"/>
      <c r="ALC64" s="203"/>
      <c r="ALD64" s="203"/>
      <c r="ALU64" s="203"/>
      <c r="ALV64" s="203"/>
      <c r="AMM64" s="203"/>
      <c r="AMN64" s="203"/>
      <c r="ANE64" s="203"/>
      <c r="ANF64" s="203"/>
      <c r="ANW64" s="203"/>
      <c r="ANX64" s="203"/>
      <c r="AOO64" s="203"/>
      <c r="AOP64" s="203"/>
      <c r="APG64" s="203"/>
      <c r="APH64" s="203"/>
      <c r="APY64" s="203"/>
      <c r="APZ64" s="203"/>
      <c r="AQQ64" s="203"/>
      <c r="AQR64" s="203"/>
      <c r="ARI64" s="203"/>
      <c r="ARJ64" s="203"/>
      <c r="ASA64" s="203"/>
      <c r="ASB64" s="203"/>
      <c r="ASS64" s="203"/>
      <c r="AST64" s="203"/>
      <c r="ATK64" s="203"/>
      <c r="ATL64" s="203"/>
      <c r="AUC64" s="203"/>
      <c r="AUD64" s="203"/>
      <c r="AUU64" s="203"/>
      <c r="AUV64" s="203"/>
      <c r="AVM64" s="203"/>
      <c r="AVN64" s="203"/>
      <c r="AWE64" s="203"/>
      <c r="AWF64" s="203"/>
      <c r="AWW64" s="203"/>
      <c r="AWX64" s="203"/>
      <c r="AXO64" s="203"/>
      <c r="AXP64" s="203"/>
      <c r="AYG64" s="203"/>
      <c r="AYH64" s="203"/>
      <c r="AYY64" s="203"/>
      <c r="AYZ64" s="203"/>
      <c r="AZQ64" s="203"/>
      <c r="AZR64" s="203"/>
      <c r="BAI64" s="203"/>
      <c r="BAJ64" s="203"/>
      <c r="BBA64" s="203"/>
      <c r="BBB64" s="203"/>
      <c r="BBS64" s="203"/>
      <c r="BBT64" s="203"/>
      <c r="BCK64" s="203"/>
      <c r="BCL64" s="203"/>
      <c r="BDC64" s="203"/>
      <c r="BDD64" s="203"/>
      <c r="BDU64" s="203"/>
      <c r="BDV64" s="203"/>
      <c r="BEM64" s="203"/>
      <c r="BEN64" s="203"/>
      <c r="BFE64" s="203"/>
      <c r="BFF64" s="203"/>
      <c r="BFW64" s="203"/>
      <c r="BFX64" s="203"/>
      <c r="BGO64" s="203"/>
      <c r="BGP64" s="203"/>
      <c r="BHG64" s="203"/>
      <c r="BHH64" s="203"/>
      <c r="BHY64" s="203"/>
      <c r="BHZ64" s="203"/>
      <c r="BIQ64" s="203"/>
      <c r="BIR64" s="203"/>
      <c r="BJI64" s="203"/>
      <c r="BJJ64" s="203"/>
      <c r="BKA64" s="203"/>
      <c r="BKB64" s="203"/>
      <c r="BKS64" s="203"/>
      <c r="BKT64" s="203"/>
      <c r="BLK64" s="203"/>
      <c r="BLL64" s="203"/>
      <c r="BMC64" s="203"/>
      <c r="BMD64" s="203"/>
      <c r="BMU64" s="203"/>
      <c r="BMV64" s="203"/>
      <c r="BNM64" s="203"/>
      <c r="BNN64" s="203"/>
      <c r="BOE64" s="203"/>
      <c r="BOF64" s="203"/>
      <c r="BOW64" s="203"/>
      <c r="BOX64" s="203"/>
      <c r="BPO64" s="203"/>
      <c r="BPP64" s="203"/>
      <c r="BQG64" s="203"/>
      <c r="BQH64" s="203"/>
      <c r="BQY64" s="203"/>
      <c r="BQZ64" s="203"/>
      <c r="BRQ64" s="203"/>
      <c r="BRR64" s="203"/>
      <c r="BSI64" s="203"/>
      <c r="BSJ64" s="203"/>
      <c r="BTA64" s="203"/>
      <c r="BTB64" s="203"/>
      <c r="BTS64" s="203"/>
      <c r="BTT64" s="203"/>
      <c r="BUK64" s="203"/>
      <c r="BUL64" s="203"/>
      <c r="BVC64" s="203"/>
      <c r="BVD64" s="203"/>
      <c r="BVU64" s="203"/>
      <c r="BVV64" s="203"/>
      <c r="BWM64" s="203"/>
      <c r="BWN64" s="203"/>
      <c r="BXE64" s="203"/>
      <c r="BXF64" s="203"/>
      <c r="BXW64" s="203"/>
      <c r="BXX64" s="203"/>
      <c r="BYO64" s="203"/>
      <c r="BYP64" s="203"/>
      <c r="BZG64" s="203"/>
      <c r="BZH64" s="203"/>
      <c r="BZY64" s="203"/>
      <c r="BZZ64" s="203"/>
      <c r="CAQ64" s="203"/>
      <c r="CAR64" s="203"/>
      <c r="CBI64" s="203"/>
      <c r="CBJ64" s="203"/>
      <c r="CCA64" s="203"/>
      <c r="CCB64" s="203"/>
      <c r="CCS64" s="203"/>
      <c r="CCT64" s="203"/>
      <c r="CDK64" s="203"/>
      <c r="CDL64" s="203"/>
      <c r="CEC64" s="203"/>
      <c r="CED64" s="203"/>
      <c r="CEU64" s="203"/>
      <c r="CEV64" s="203"/>
      <c r="CFM64" s="203"/>
      <c r="CFN64" s="203"/>
      <c r="CGE64" s="203"/>
      <c r="CGF64" s="203"/>
      <c r="CGW64" s="203"/>
      <c r="CGX64" s="203"/>
      <c r="CHO64" s="203"/>
      <c r="CHP64" s="203"/>
      <c r="CIG64" s="203"/>
      <c r="CIH64" s="203"/>
      <c r="CIY64" s="203"/>
      <c r="CIZ64" s="203"/>
      <c r="CJQ64" s="203"/>
      <c r="CJR64" s="203"/>
      <c r="CKI64" s="203"/>
      <c r="CKJ64" s="203"/>
      <c r="CLA64" s="203"/>
      <c r="CLB64" s="203"/>
      <c r="CLS64" s="203"/>
      <c r="CLT64" s="203"/>
      <c r="CMK64" s="203"/>
      <c r="CML64" s="203"/>
      <c r="CNC64" s="203"/>
      <c r="CND64" s="203"/>
      <c r="CNU64" s="203"/>
      <c r="CNV64" s="203"/>
      <c r="COM64" s="203"/>
      <c r="CON64" s="203"/>
      <c r="CPE64" s="203"/>
      <c r="CPF64" s="203"/>
      <c r="CPW64" s="203"/>
      <c r="CPX64" s="203"/>
      <c r="CQO64" s="203"/>
      <c r="CQP64" s="203"/>
      <c r="CRG64" s="203"/>
      <c r="CRH64" s="203"/>
      <c r="CRY64" s="203"/>
      <c r="CRZ64" s="203"/>
      <c r="CSQ64" s="203"/>
      <c r="CSR64" s="203"/>
      <c r="CTI64" s="203"/>
      <c r="CTJ64" s="203"/>
      <c r="CUA64" s="203"/>
      <c r="CUB64" s="203"/>
      <c r="CUS64" s="203"/>
      <c r="CUT64" s="203"/>
      <c r="CVK64" s="203"/>
      <c r="CVL64" s="203"/>
      <c r="CWC64" s="203"/>
      <c r="CWD64" s="203"/>
      <c r="CWU64" s="203"/>
      <c r="CWV64" s="203"/>
      <c r="CXM64" s="203"/>
      <c r="CXN64" s="203"/>
      <c r="CYE64" s="203"/>
      <c r="CYF64" s="203"/>
      <c r="CYW64" s="203"/>
      <c r="CYX64" s="203"/>
      <c r="CZO64" s="203"/>
      <c r="CZP64" s="203"/>
      <c r="DAG64" s="203"/>
      <c r="DAH64" s="203"/>
      <c r="DAY64" s="203"/>
      <c r="DAZ64" s="203"/>
      <c r="DBQ64" s="203"/>
      <c r="DBR64" s="203"/>
      <c r="DCI64" s="203"/>
      <c r="DCJ64" s="203"/>
      <c r="DDA64" s="203"/>
      <c r="DDB64" s="203"/>
      <c r="DDS64" s="203"/>
      <c r="DDT64" s="203"/>
      <c r="DEK64" s="203"/>
      <c r="DEL64" s="203"/>
      <c r="DFC64" s="203"/>
      <c r="DFD64" s="203"/>
      <c r="DFU64" s="203"/>
      <c r="DFV64" s="203"/>
      <c r="DGM64" s="203"/>
      <c r="DGN64" s="203"/>
      <c r="DHE64" s="203"/>
      <c r="DHF64" s="203"/>
      <c r="DHW64" s="203"/>
      <c r="DHX64" s="203"/>
      <c r="DIO64" s="203"/>
      <c r="DIP64" s="203"/>
      <c r="DJG64" s="203"/>
      <c r="DJH64" s="203"/>
      <c r="DJY64" s="203"/>
      <c r="DJZ64" s="203"/>
      <c r="DKQ64" s="203"/>
      <c r="DKR64" s="203"/>
      <c r="DLI64" s="203"/>
      <c r="DLJ64" s="203"/>
      <c r="DMA64" s="203"/>
      <c r="DMB64" s="203"/>
      <c r="DMS64" s="203"/>
      <c r="DMT64" s="203"/>
      <c r="DNK64" s="203"/>
      <c r="DNL64" s="203"/>
      <c r="DOC64" s="203"/>
      <c r="DOD64" s="203"/>
      <c r="DOU64" s="203"/>
      <c r="DOV64" s="203"/>
      <c r="DPM64" s="203"/>
      <c r="DPN64" s="203"/>
      <c r="DQE64" s="203"/>
      <c r="DQF64" s="203"/>
      <c r="DQW64" s="203"/>
      <c r="DQX64" s="203"/>
      <c r="DRO64" s="203"/>
      <c r="DRP64" s="203"/>
      <c r="DSG64" s="203"/>
      <c r="DSH64" s="203"/>
      <c r="DSY64" s="203"/>
      <c r="DSZ64" s="203"/>
      <c r="DTQ64" s="203"/>
      <c r="DTR64" s="203"/>
      <c r="DUI64" s="203"/>
      <c r="DUJ64" s="203"/>
      <c r="DVA64" s="203"/>
      <c r="DVB64" s="203"/>
      <c r="DVS64" s="203"/>
      <c r="DVT64" s="203"/>
      <c r="DWK64" s="203"/>
      <c r="DWL64" s="203"/>
      <c r="DXC64" s="203"/>
      <c r="DXD64" s="203"/>
      <c r="DXU64" s="203"/>
      <c r="DXV64" s="203"/>
      <c r="DYM64" s="203"/>
      <c r="DYN64" s="203"/>
      <c r="DZE64" s="203"/>
      <c r="DZF64" s="203"/>
      <c r="DZW64" s="203"/>
      <c r="DZX64" s="203"/>
      <c r="EAO64" s="203"/>
      <c r="EAP64" s="203"/>
      <c r="EBG64" s="203"/>
      <c r="EBH64" s="203"/>
      <c r="EBY64" s="203"/>
      <c r="EBZ64" s="203"/>
      <c r="ECQ64" s="203"/>
      <c r="ECR64" s="203"/>
      <c r="EDI64" s="203"/>
      <c r="EDJ64" s="203"/>
      <c r="EEA64" s="203"/>
      <c r="EEB64" s="203"/>
      <c r="EES64" s="203"/>
      <c r="EET64" s="203"/>
      <c r="EFK64" s="203"/>
      <c r="EFL64" s="203"/>
      <c r="EGC64" s="203"/>
      <c r="EGD64" s="203"/>
      <c r="EGU64" s="203"/>
      <c r="EGV64" s="203"/>
      <c r="EHM64" s="203"/>
      <c r="EHN64" s="203"/>
      <c r="EIE64" s="203"/>
      <c r="EIF64" s="203"/>
      <c r="EIW64" s="203"/>
      <c r="EIX64" s="203"/>
      <c r="EJO64" s="203"/>
      <c r="EJP64" s="203"/>
      <c r="EKG64" s="203"/>
      <c r="EKH64" s="203"/>
      <c r="EKY64" s="203"/>
      <c r="EKZ64" s="203"/>
      <c r="ELQ64" s="203"/>
      <c r="ELR64" s="203"/>
      <c r="EMI64" s="203"/>
      <c r="EMJ64" s="203"/>
      <c r="ENA64" s="203"/>
      <c r="ENB64" s="203"/>
      <c r="ENS64" s="203"/>
      <c r="ENT64" s="203"/>
      <c r="EOK64" s="203"/>
      <c r="EOL64" s="203"/>
      <c r="EPC64" s="203"/>
      <c r="EPD64" s="203"/>
      <c r="EPU64" s="203"/>
      <c r="EPV64" s="203"/>
      <c r="EQM64" s="203"/>
      <c r="EQN64" s="203"/>
      <c r="ERE64" s="203"/>
      <c r="ERF64" s="203"/>
      <c r="ERW64" s="203"/>
      <c r="ERX64" s="203"/>
      <c r="ESO64" s="203"/>
      <c r="ESP64" s="203"/>
      <c r="ETG64" s="203"/>
      <c r="ETH64" s="203"/>
      <c r="ETY64" s="203"/>
      <c r="ETZ64" s="203"/>
      <c r="EUQ64" s="203"/>
      <c r="EUR64" s="203"/>
      <c r="EVI64" s="203"/>
      <c r="EVJ64" s="203"/>
      <c r="EWA64" s="203"/>
      <c r="EWB64" s="203"/>
      <c r="EWS64" s="203"/>
      <c r="EWT64" s="203"/>
      <c r="EXK64" s="203"/>
      <c r="EXL64" s="203"/>
      <c r="EYC64" s="203"/>
      <c r="EYD64" s="203"/>
      <c r="EYU64" s="203"/>
      <c r="EYV64" s="203"/>
      <c r="EZM64" s="203"/>
      <c r="EZN64" s="203"/>
      <c r="FAE64" s="203"/>
      <c r="FAF64" s="203"/>
      <c r="FAW64" s="203"/>
      <c r="FAX64" s="203"/>
      <c r="FBO64" s="203"/>
      <c r="FBP64" s="203"/>
      <c r="FCG64" s="203"/>
      <c r="FCH64" s="203"/>
      <c r="FCY64" s="203"/>
      <c r="FCZ64" s="203"/>
      <c r="FDQ64" s="203"/>
      <c r="FDR64" s="203"/>
      <c r="FEI64" s="203"/>
      <c r="FEJ64" s="203"/>
      <c r="FFA64" s="203"/>
      <c r="FFB64" s="203"/>
      <c r="FFS64" s="203"/>
      <c r="FFT64" s="203"/>
      <c r="FGK64" s="203"/>
      <c r="FGL64" s="203"/>
      <c r="FHC64" s="203"/>
      <c r="FHD64" s="203"/>
      <c r="FHU64" s="203"/>
      <c r="FHV64" s="203"/>
      <c r="FIM64" s="203"/>
      <c r="FIN64" s="203"/>
      <c r="FJE64" s="203"/>
      <c r="FJF64" s="203"/>
      <c r="FJW64" s="203"/>
      <c r="FJX64" s="203"/>
      <c r="FKO64" s="203"/>
      <c r="FKP64" s="203"/>
      <c r="FLG64" s="203"/>
      <c r="FLH64" s="203"/>
      <c r="FLY64" s="203"/>
      <c r="FLZ64" s="203"/>
      <c r="FMQ64" s="203"/>
      <c r="FMR64" s="203"/>
      <c r="FNI64" s="203"/>
      <c r="FNJ64" s="203"/>
      <c r="FOA64" s="203"/>
      <c r="FOB64" s="203"/>
      <c r="FOS64" s="203"/>
      <c r="FOT64" s="203"/>
      <c r="FPK64" s="203"/>
      <c r="FPL64" s="203"/>
      <c r="FQC64" s="203"/>
      <c r="FQD64" s="203"/>
      <c r="FQU64" s="203"/>
      <c r="FQV64" s="203"/>
      <c r="FRM64" s="203"/>
      <c r="FRN64" s="203"/>
      <c r="FSE64" s="203"/>
      <c r="FSF64" s="203"/>
      <c r="FSW64" s="203"/>
      <c r="FSX64" s="203"/>
      <c r="FTO64" s="203"/>
      <c r="FTP64" s="203"/>
      <c r="FUG64" s="203"/>
      <c r="FUH64" s="203"/>
      <c r="FUY64" s="203"/>
      <c r="FUZ64" s="203"/>
      <c r="FVQ64" s="203"/>
      <c r="FVR64" s="203"/>
      <c r="FWI64" s="203"/>
      <c r="FWJ64" s="203"/>
      <c r="FXA64" s="203"/>
      <c r="FXB64" s="203"/>
      <c r="FXS64" s="203"/>
      <c r="FXT64" s="203"/>
      <c r="FYK64" s="203"/>
      <c r="FYL64" s="203"/>
      <c r="FZC64" s="203"/>
      <c r="FZD64" s="203"/>
      <c r="FZU64" s="203"/>
      <c r="FZV64" s="203"/>
      <c r="GAM64" s="203"/>
      <c r="GAN64" s="203"/>
      <c r="GBE64" s="203"/>
      <c r="GBF64" s="203"/>
      <c r="GBW64" s="203"/>
      <c r="GBX64" s="203"/>
      <c r="GCO64" s="203"/>
      <c r="GCP64" s="203"/>
      <c r="GDG64" s="203"/>
      <c r="GDH64" s="203"/>
      <c r="GDY64" s="203"/>
      <c r="GDZ64" s="203"/>
      <c r="GEQ64" s="203"/>
      <c r="GER64" s="203"/>
      <c r="GFI64" s="203"/>
      <c r="GFJ64" s="203"/>
      <c r="GGA64" s="203"/>
      <c r="GGB64" s="203"/>
      <c r="GGS64" s="203"/>
      <c r="GGT64" s="203"/>
      <c r="GHK64" s="203"/>
      <c r="GHL64" s="203"/>
      <c r="GIC64" s="203"/>
      <c r="GID64" s="203"/>
      <c r="GIU64" s="203"/>
      <c r="GIV64" s="203"/>
      <c r="GJM64" s="203"/>
      <c r="GJN64" s="203"/>
      <c r="GKE64" s="203"/>
      <c r="GKF64" s="203"/>
      <c r="GKW64" s="203"/>
      <c r="GKX64" s="203"/>
      <c r="GLO64" s="203"/>
      <c r="GLP64" s="203"/>
      <c r="GMG64" s="203"/>
      <c r="GMH64" s="203"/>
      <c r="GMY64" s="203"/>
      <c r="GMZ64" s="203"/>
      <c r="GNQ64" s="203"/>
      <c r="GNR64" s="203"/>
      <c r="GOI64" s="203"/>
      <c r="GOJ64" s="203"/>
      <c r="GPA64" s="203"/>
      <c r="GPB64" s="203"/>
      <c r="GPS64" s="203"/>
      <c r="GPT64" s="203"/>
      <c r="GQK64" s="203"/>
      <c r="GQL64" s="203"/>
      <c r="GRC64" s="203"/>
      <c r="GRD64" s="203"/>
      <c r="GRU64" s="203"/>
      <c r="GRV64" s="203"/>
      <c r="GSM64" s="203"/>
      <c r="GSN64" s="203"/>
      <c r="GTE64" s="203"/>
      <c r="GTF64" s="203"/>
      <c r="GTW64" s="203"/>
      <c r="GTX64" s="203"/>
      <c r="GUO64" s="203"/>
      <c r="GUP64" s="203"/>
      <c r="GVG64" s="203"/>
      <c r="GVH64" s="203"/>
      <c r="GVY64" s="203"/>
      <c r="GVZ64" s="203"/>
      <c r="GWQ64" s="203"/>
      <c r="GWR64" s="203"/>
      <c r="GXI64" s="203"/>
      <c r="GXJ64" s="203"/>
      <c r="GYA64" s="203"/>
      <c r="GYB64" s="203"/>
      <c r="GYS64" s="203"/>
      <c r="GYT64" s="203"/>
      <c r="GZK64" s="203"/>
      <c r="GZL64" s="203"/>
      <c r="HAC64" s="203"/>
      <c r="HAD64" s="203"/>
      <c r="HAU64" s="203"/>
      <c r="HAV64" s="203"/>
      <c r="HBM64" s="203"/>
      <c r="HBN64" s="203"/>
      <c r="HCE64" s="203"/>
      <c r="HCF64" s="203"/>
      <c r="HCW64" s="203"/>
      <c r="HCX64" s="203"/>
      <c r="HDO64" s="203"/>
      <c r="HDP64" s="203"/>
      <c r="HEG64" s="203"/>
      <c r="HEH64" s="203"/>
      <c r="HEY64" s="203"/>
      <c r="HEZ64" s="203"/>
      <c r="HFQ64" s="203"/>
      <c r="HFR64" s="203"/>
      <c r="HGI64" s="203"/>
      <c r="HGJ64" s="203"/>
      <c r="HHA64" s="203"/>
      <c r="HHB64" s="203"/>
      <c r="HHS64" s="203"/>
      <c r="HHT64" s="203"/>
      <c r="HIK64" s="203"/>
      <c r="HIL64" s="203"/>
      <c r="HJC64" s="203"/>
      <c r="HJD64" s="203"/>
      <c r="HJU64" s="203"/>
      <c r="HJV64" s="203"/>
      <c r="HKM64" s="203"/>
      <c r="HKN64" s="203"/>
      <c r="HLE64" s="203"/>
      <c r="HLF64" s="203"/>
      <c r="HLW64" s="203"/>
      <c r="HLX64" s="203"/>
      <c r="HMO64" s="203"/>
      <c r="HMP64" s="203"/>
      <c r="HNG64" s="203"/>
      <c r="HNH64" s="203"/>
      <c r="HNY64" s="203"/>
      <c r="HNZ64" s="203"/>
      <c r="HOQ64" s="203"/>
      <c r="HOR64" s="203"/>
      <c r="HPI64" s="203"/>
      <c r="HPJ64" s="203"/>
      <c r="HQA64" s="203"/>
      <c r="HQB64" s="203"/>
      <c r="HQS64" s="203"/>
      <c r="HQT64" s="203"/>
      <c r="HRK64" s="203"/>
      <c r="HRL64" s="203"/>
      <c r="HSC64" s="203"/>
      <c r="HSD64" s="203"/>
      <c r="HSU64" s="203"/>
      <c r="HSV64" s="203"/>
      <c r="HTM64" s="203"/>
      <c r="HTN64" s="203"/>
      <c r="HUE64" s="203"/>
      <c r="HUF64" s="203"/>
      <c r="HUW64" s="203"/>
      <c r="HUX64" s="203"/>
      <c r="HVO64" s="203"/>
      <c r="HVP64" s="203"/>
      <c r="HWG64" s="203"/>
      <c r="HWH64" s="203"/>
      <c r="HWY64" s="203"/>
      <c r="HWZ64" s="203"/>
      <c r="HXQ64" s="203"/>
      <c r="HXR64" s="203"/>
      <c r="HYI64" s="203"/>
      <c r="HYJ64" s="203"/>
      <c r="HZA64" s="203"/>
      <c r="HZB64" s="203"/>
      <c r="HZS64" s="203"/>
      <c r="HZT64" s="203"/>
      <c r="IAK64" s="203"/>
      <c r="IAL64" s="203"/>
      <c r="IBC64" s="203"/>
      <c r="IBD64" s="203"/>
      <c r="IBU64" s="203"/>
      <c r="IBV64" s="203"/>
      <c r="ICM64" s="203"/>
      <c r="ICN64" s="203"/>
      <c r="IDE64" s="203"/>
      <c r="IDF64" s="203"/>
      <c r="IDW64" s="203"/>
      <c r="IDX64" s="203"/>
      <c r="IEO64" s="203"/>
      <c r="IEP64" s="203"/>
      <c r="IFG64" s="203"/>
      <c r="IFH64" s="203"/>
      <c r="IFY64" s="203"/>
      <c r="IFZ64" s="203"/>
      <c r="IGQ64" s="203"/>
      <c r="IGR64" s="203"/>
      <c r="IHI64" s="203"/>
      <c r="IHJ64" s="203"/>
      <c r="IIA64" s="203"/>
      <c r="IIB64" s="203"/>
      <c r="IIS64" s="203"/>
      <c r="IIT64" s="203"/>
      <c r="IJK64" s="203"/>
      <c r="IJL64" s="203"/>
      <c r="IKC64" s="203"/>
      <c r="IKD64" s="203"/>
      <c r="IKU64" s="203"/>
      <c r="IKV64" s="203"/>
      <c r="ILM64" s="203"/>
      <c r="ILN64" s="203"/>
      <c r="IME64" s="203"/>
      <c r="IMF64" s="203"/>
      <c r="IMW64" s="203"/>
      <c r="IMX64" s="203"/>
      <c r="INO64" s="203"/>
      <c r="INP64" s="203"/>
      <c r="IOG64" s="203"/>
      <c r="IOH64" s="203"/>
      <c r="IOY64" s="203"/>
      <c r="IOZ64" s="203"/>
      <c r="IPQ64" s="203"/>
      <c r="IPR64" s="203"/>
      <c r="IQI64" s="203"/>
      <c r="IQJ64" s="203"/>
      <c r="IRA64" s="203"/>
      <c r="IRB64" s="203"/>
      <c r="IRS64" s="203"/>
      <c r="IRT64" s="203"/>
      <c r="ISK64" s="203"/>
      <c r="ISL64" s="203"/>
      <c r="ITC64" s="203"/>
      <c r="ITD64" s="203"/>
      <c r="ITU64" s="203"/>
      <c r="ITV64" s="203"/>
      <c r="IUM64" s="203"/>
      <c r="IUN64" s="203"/>
      <c r="IVE64" s="203"/>
      <c r="IVF64" s="203"/>
      <c r="IVW64" s="203"/>
      <c r="IVX64" s="203"/>
      <c r="IWO64" s="203"/>
      <c r="IWP64" s="203"/>
      <c r="IXG64" s="203"/>
      <c r="IXH64" s="203"/>
      <c r="IXY64" s="203"/>
      <c r="IXZ64" s="203"/>
      <c r="IYQ64" s="203"/>
      <c r="IYR64" s="203"/>
      <c r="IZI64" s="203"/>
      <c r="IZJ64" s="203"/>
      <c r="JAA64" s="203"/>
      <c r="JAB64" s="203"/>
      <c r="JAS64" s="203"/>
      <c r="JAT64" s="203"/>
      <c r="JBK64" s="203"/>
      <c r="JBL64" s="203"/>
      <c r="JCC64" s="203"/>
      <c r="JCD64" s="203"/>
      <c r="JCU64" s="203"/>
      <c r="JCV64" s="203"/>
      <c r="JDM64" s="203"/>
      <c r="JDN64" s="203"/>
      <c r="JEE64" s="203"/>
      <c r="JEF64" s="203"/>
      <c r="JEW64" s="203"/>
      <c r="JEX64" s="203"/>
      <c r="JFO64" s="203"/>
      <c r="JFP64" s="203"/>
      <c r="JGG64" s="203"/>
      <c r="JGH64" s="203"/>
      <c r="JGY64" s="203"/>
      <c r="JGZ64" s="203"/>
      <c r="JHQ64" s="203"/>
      <c r="JHR64" s="203"/>
      <c r="JII64" s="203"/>
      <c r="JIJ64" s="203"/>
      <c r="JJA64" s="203"/>
      <c r="JJB64" s="203"/>
      <c r="JJS64" s="203"/>
      <c r="JJT64" s="203"/>
      <c r="JKK64" s="203"/>
      <c r="JKL64" s="203"/>
      <c r="JLC64" s="203"/>
      <c r="JLD64" s="203"/>
      <c r="JLU64" s="203"/>
      <c r="JLV64" s="203"/>
      <c r="JMM64" s="203"/>
      <c r="JMN64" s="203"/>
      <c r="JNE64" s="203"/>
      <c r="JNF64" s="203"/>
      <c r="JNW64" s="203"/>
      <c r="JNX64" s="203"/>
      <c r="JOO64" s="203"/>
      <c r="JOP64" s="203"/>
      <c r="JPG64" s="203"/>
      <c r="JPH64" s="203"/>
      <c r="JPY64" s="203"/>
      <c r="JPZ64" s="203"/>
      <c r="JQQ64" s="203"/>
      <c r="JQR64" s="203"/>
      <c r="JRI64" s="203"/>
      <c r="JRJ64" s="203"/>
      <c r="JSA64" s="203"/>
      <c r="JSB64" s="203"/>
      <c r="JSS64" s="203"/>
      <c r="JST64" s="203"/>
      <c r="JTK64" s="203"/>
      <c r="JTL64" s="203"/>
      <c r="JUC64" s="203"/>
      <c r="JUD64" s="203"/>
      <c r="JUU64" s="203"/>
      <c r="JUV64" s="203"/>
      <c r="JVM64" s="203"/>
      <c r="JVN64" s="203"/>
      <c r="JWE64" s="203"/>
      <c r="JWF64" s="203"/>
      <c r="JWW64" s="203"/>
      <c r="JWX64" s="203"/>
      <c r="JXO64" s="203"/>
      <c r="JXP64" s="203"/>
      <c r="JYG64" s="203"/>
      <c r="JYH64" s="203"/>
      <c r="JYY64" s="203"/>
      <c r="JYZ64" s="203"/>
      <c r="JZQ64" s="203"/>
      <c r="JZR64" s="203"/>
      <c r="KAI64" s="203"/>
      <c r="KAJ64" s="203"/>
      <c r="KBA64" s="203"/>
      <c r="KBB64" s="203"/>
      <c r="KBS64" s="203"/>
      <c r="KBT64" s="203"/>
      <c r="KCK64" s="203"/>
      <c r="KCL64" s="203"/>
      <c r="KDC64" s="203"/>
      <c r="KDD64" s="203"/>
      <c r="KDU64" s="203"/>
      <c r="KDV64" s="203"/>
      <c r="KEM64" s="203"/>
      <c r="KEN64" s="203"/>
      <c r="KFE64" s="203"/>
      <c r="KFF64" s="203"/>
      <c r="KFW64" s="203"/>
      <c r="KFX64" s="203"/>
      <c r="KGO64" s="203"/>
      <c r="KGP64" s="203"/>
      <c r="KHG64" s="203"/>
      <c r="KHH64" s="203"/>
      <c r="KHY64" s="203"/>
      <c r="KHZ64" s="203"/>
      <c r="KIQ64" s="203"/>
      <c r="KIR64" s="203"/>
      <c r="KJI64" s="203"/>
      <c r="KJJ64" s="203"/>
      <c r="KKA64" s="203"/>
      <c r="KKB64" s="203"/>
      <c r="KKS64" s="203"/>
      <c r="KKT64" s="203"/>
      <c r="KLK64" s="203"/>
      <c r="KLL64" s="203"/>
      <c r="KMC64" s="203"/>
      <c r="KMD64" s="203"/>
      <c r="KMU64" s="203"/>
      <c r="KMV64" s="203"/>
      <c r="KNM64" s="203"/>
      <c r="KNN64" s="203"/>
      <c r="KOE64" s="203"/>
      <c r="KOF64" s="203"/>
      <c r="KOW64" s="203"/>
      <c r="KOX64" s="203"/>
      <c r="KPO64" s="203"/>
      <c r="KPP64" s="203"/>
      <c r="KQG64" s="203"/>
      <c r="KQH64" s="203"/>
      <c r="KQY64" s="203"/>
      <c r="KQZ64" s="203"/>
      <c r="KRQ64" s="203"/>
      <c r="KRR64" s="203"/>
      <c r="KSI64" s="203"/>
      <c r="KSJ64" s="203"/>
      <c r="KTA64" s="203"/>
      <c r="KTB64" s="203"/>
      <c r="KTS64" s="203"/>
      <c r="KTT64" s="203"/>
      <c r="KUK64" s="203"/>
      <c r="KUL64" s="203"/>
      <c r="KVC64" s="203"/>
      <c r="KVD64" s="203"/>
      <c r="KVU64" s="203"/>
      <c r="KVV64" s="203"/>
      <c r="KWM64" s="203"/>
      <c r="KWN64" s="203"/>
      <c r="KXE64" s="203"/>
      <c r="KXF64" s="203"/>
      <c r="KXW64" s="203"/>
      <c r="KXX64" s="203"/>
      <c r="KYO64" s="203"/>
      <c r="KYP64" s="203"/>
      <c r="KZG64" s="203"/>
      <c r="KZH64" s="203"/>
      <c r="KZY64" s="203"/>
      <c r="KZZ64" s="203"/>
      <c r="LAQ64" s="203"/>
      <c r="LAR64" s="203"/>
      <c r="LBI64" s="203"/>
      <c r="LBJ64" s="203"/>
      <c r="LCA64" s="203"/>
      <c r="LCB64" s="203"/>
      <c r="LCS64" s="203"/>
      <c r="LCT64" s="203"/>
      <c r="LDK64" s="203"/>
      <c r="LDL64" s="203"/>
      <c r="LEC64" s="203"/>
      <c r="LED64" s="203"/>
      <c r="LEU64" s="203"/>
      <c r="LEV64" s="203"/>
      <c r="LFM64" s="203"/>
      <c r="LFN64" s="203"/>
      <c r="LGE64" s="203"/>
      <c r="LGF64" s="203"/>
      <c r="LGW64" s="203"/>
      <c r="LGX64" s="203"/>
      <c r="LHO64" s="203"/>
      <c r="LHP64" s="203"/>
      <c r="LIG64" s="203"/>
      <c r="LIH64" s="203"/>
      <c r="LIY64" s="203"/>
      <c r="LIZ64" s="203"/>
      <c r="LJQ64" s="203"/>
      <c r="LJR64" s="203"/>
      <c r="LKI64" s="203"/>
      <c r="LKJ64" s="203"/>
      <c r="LLA64" s="203"/>
      <c r="LLB64" s="203"/>
      <c r="LLS64" s="203"/>
      <c r="LLT64" s="203"/>
      <c r="LMK64" s="203"/>
      <c r="LML64" s="203"/>
      <c r="LNC64" s="203"/>
      <c r="LND64" s="203"/>
      <c r="LNU64" s="203"/>
      <c r="LNV64" s="203"/>
      <c r="LOM64" s="203"/>
      <c r="LON64" s="203"/>
      <c r="LPE64" s="203"/>
      <c r="LPF64" s="203"/>
      <c r="LPW64" s="203"/>
      <c r="LPX64" s="203"/>
      <c r="LQO64" s="203"/>
      <c r="LQP64" s="203"/>
      <c r="LRG64" s="203"/>
      <c r="LRH64" s="203"/>
      <c r="LRY64" s="203"/>
      <c r="LRZ64" s="203"/>
      <c r="LSQ64" s="203"/>
      <c r="LSR64" s="203"/>
      <c r="LTI64" s="203"/>
      <c r="LTJ64" s="203"/>
      <c r="LUA64" s="203"/>
      <c r="LUB64" s="203"/>
      <c r="LUS64" s="203"/>
      <c r="LUT64" s="203"/>
      <c r="LVK64" s="203"/>
      <c r="LVL64" s="203"/>
      <c r="LWC64" s="203"/>
      <c r="LWD64" s="203"/>
      <c r="LWU64" s="203"/>
      <c r="LWV64" s="203"/>
      <c r="LXM64" s="203"/>
      <c r="LXN64" s="203"/>
      <c r="LYE64" s="203"/>
      <c r="LYF64" s="203"/>
      <c r="LYW64" s="203"/>
      <c r="LYX64" s="203"/>
      <c r="LZO64" s="203"/>
      <c r="LZP64" s="203"/>
      <c r="MAG64" s="203"/>
      <c r="MAH64" s="203"/>
      <c r="MAY64" s="203"/>
      <c r="MAZ64" s="203"/>
      <c r="MBQ64" s="203"/>
      <c r="MBR64" s="203"/>
      <c r="MCI64" s="203"/>
      <c r="MCJ64" s="203"/>
      <c r="MDA64" s="203"/>
      <c r="MDB64" s="203"/>
      <c r="MDS64" s="203"/>
      <c r="MDT64" s="203"/>
      <c r="MEK64" s="203"/>
      <c r="MEL64" s="203"/>
      <c r="MFC64" s="203"/>
      <c r="MFD64" s="203"/>
      <c r="MFU64" s="203"/>
      <c r="MFV64" s="203"/>
      <c r="MGM64" s="203"/>
      <c r="MGN64" s="203"/>
      <c r="MHE64" s="203"/>
      <c r="MHF64" s="203"/>
      <c r="MHW64" s="203"/>
      <c r="MHX64" s="203"/>
      <c r="MIO64" s="203"/>
      <c r="MIP64" s="203"/>
      <c r="MJG64" s="203"/>
      <c r="MJH64" s="203"/>
      <c r="MJY64" s="203"/>
      <c r="MJZ64" s="203"/>
      <c r="MKQ64" s="203"/>
      <c r="MKR64" s="203"/>
      <c r="MLI64" s="203"/>
      <c r="MLJ64" s="203"/>
      <c r="MMA64" s="203"/>
      <c r="MMB64" s="203"/>
      <c r="MMS64" s="203"/>
      <c r="MMT64" s="203"/>
      <c r="MNK64" s="203"/>
      <c r="MNL64" s="203"/>
      <c r="MOC64" s="203"/>
      <c r="MOD64" s="203"/>
      <c r="MOU64" s="203"/>
      <c r="MOV64" s="203"/>
      <c r="MPM64" s="203"/>
      <c r="MPN64" s="203"/>
      <c r="MQE64" s="203"/>
      <c r="MQF64" s="203"/>
      <c r="MQW64" s="203"/>
      <c r="MQX64" s="203"/>
      <c r="MRO64" s="203"/>
      <c r="MRP64" s="203"/>
      <c r="MSG64" s="203"/>
      <c r="MSH64" s="203"/>
      <c r="MSY64" s="203"/>
      <c r="MSZ64" s="203"/>
      <c r="MTQ64" s="203"/>
      <c r="MTR64" s="203"/>
      <c r="MUI64" s="203"/>
      <c r="MUJ64" s="203"/>
      <c r="MVA64" s="203"/>
      <c r="MVB64" s="203"/>
      <c r="MVS64" s="203"/>
      <c r="MVT64" s="203"/>
      <c r="MWK64" s="203"/>
      <c r="MWL64" s="203"/>
      <c r="MXC64" s="203"/>
      <c r="MXD64" s="203"/>
      <c r="MXU64" s="203"/>
      <c r="MXV64" s="203"/>
      <c r="MYM64" s="203"/>
      <c r="MYN64" s="203"/>
      <c r="MZE64" s="203"/>
      <c r="MZF64" s="203"/>
      <c r="MZW64" s="203"/>
      <c r="MZX64" s="203"/>
      <c r="NAO64" s="203"/>
      <c r="NAP64" s="203"/>
      <c r="NBG64" s="203"/>
      <c r="NBH64" s="203"/>
      <c r="NBY64" s="203"/>
      <c r="NBZ64" s="203"/>
      <c r="NCQ64" s="203"/>
      <c r="NCR64" s="203"/>
      <c r="NDI64" s="203"/>
      <c r="NDJ64" s="203"/>
      <c r="NEA64" s="203"/>
      <c r="NEB64" s="203"/>
      <c r="NES64" s="203"/>
      <c r="NET64" s="203"/>
      <c r="NFK64" s="203"/>
      <c r="NFL64" s="203"/>
      <c r="NGC64" s="203"/>
      <c r="NGD64" s="203"/>
      <c r="NGU64" s="203"/>
      <c r="NGV64" s="203"/>
      <c r="NHM64" s="203"/>
      <c r="NHN64" s="203"/>
      <c r="NIE64" s="203"/>
      <c r="NIF64" s="203"/>
      <c r="NIW64" s="203"/>
      <c r="NIX64" s="203"/>
      <c r="NJO64" s="203"/>
      <c r="NJP64" s="203"/>
      <c r="NKG64" s="203"/>
      <c r="NKH64" s="203"/>
      <c r="NKY64" s="203"/>
      <c r="NKZ64" s="203"/>
      <c r="NLQ64" s="203"/>
      <c r="NLR64" s="203"/>
      <c r="NMI64" s="203"/>
      <c r="NMJ64" s="203"/>
      <c r="NNA64" s="203"/>
      <c r="NNB64" s="203"/>
      <c r="NNS64" s="203"/>
      <c r="NNT64" s="203"/>
      <c r="NOK64" s="203"/>
      <c r="NOL64" s="203"/>
      <c r="NPC64" s="203"/>
      <c r="NPD64" s="203"/>
      <c r="NPU64" s="203"/>
      <c r="NPV64" s="203"/>
      <c r="NQM64" s="203"/>
      <c r="NQN64" s="203"/>
      <c r="NRE64" s="203"/>
      <c r="NRF64" s="203"/>
      <c r="NRW64" s="203"/>
      <c r="NRX64" s="203"/>
      <c r="NSO64" s="203"/>
      <c r="NSP64" s="203"/>
      <c r="NTG64" s="203"/>
      <c r="NTH64" s="203"/>
      <c r="NTY64" s="203"/>
      <c r="NTZ64" s="203"/>
      <c r="NUQ64" s="203"/>
      <c r="NUR64" s="203"/>
      <c r="NVI64" s="203"/>
      <c r="NVJ64" s="203"/>
      <c r="NWA64" s="203"/>
      <c r="NWB64" s="203"/>
      <c r="NWS64" s="203"/>
      <c r="NWT64" s="203"/>
      <c r="NXK64" s="203"/>
      <c r="NXL64" s="203"/>
      <c r="NYC64" s="203"/>
      <c r="NYD64" s="203"/>
      <c r="NYU64" s="203"/>
      <c r="NYV64" s="203"/>
      <c r="NZM64" s="203"/>
      <c r="NZN64" s="203"/>
      <c r="OAE64" s="203"/>
      <c r="OAF64" s="203"/>
      <c r="OAW64" s="203"/>
      <c r="OAX64" s="203"/>
      <c r="OBO64" s="203"/>
      <c r="OBP64" s="203"/>
      <c r="OCG64" s="203"/>
      <c r="OCH64" s="203"/>
      <c r="OCY64" s="203"/>
      <c r="OCZ64" s="203"/>
      <c r="ODQ64" s="203"/>
      <c r="ODR64" s="203"/>
      <c r="OEI64" s="203"/>
      <c r="OEJ64" s="203"/>
      <c r="OFA64" s="203"/>
      <c r="OFB64" s="203"/>
      <c r="OFS64" s="203"/>
      <c r="OFT64" s="203"/>
      <c r="OGK64" s="203"/>
      <c r="OGL64" s="203"/>
      <c r="OHC64" s="203"/>
      <c r="OHD64" s="203"/>
      <c r="OHU64" s="203"/>
      <c r="OHV64" s="203"/>
      <c r="OIM64" s="203"/>
      <c r="OIN64" s="203"/>
      <c r="OJE64" s="203"/>
      <c r="OJF64" s="203"/>
      <c r="OJW64" s="203"/>
      <c r="OJX64" s="203"/>
      <c r="OKO64" s="203"/>
      <c r="OKP64" s="203"/>
      <c r="OLG64" s="203"/>
      <c r="OLH64" s="203"/>
      <c r="OLY64" s="203"/>
      <c r="OLZ64" s="203"/>
      <c r="OMQ64" s="203"/>
      <c r="OMR64" s="203"/>
      <c r="ONI64" s="203"/>
      <c r="ONJ64" s="203"/>
      <c r="OOA64" s="203"/>
      <c r="OOB64" s="203"/>
      <c r="OOS64" s="203"/>
      <c r="OOT64" s="203"/>
      <c r="OPK64" s="203"/>
      <c r="OPL64" s="203"/>
      <c r="OQC64" s="203"/>
      <c r="OQD64" s="203"/>
      <c r="OQU64" s="203"/>
      <c r="OQV64" s="203"/>
      <c r="ORM64" s="203"/>
      <c r="ORN64" s="203"/>
      <c r="OSE64" s="203"/>
      <c r="OSF64" s="203"/>
      <c r="OSW64" s="203"/>
      <c r="OSX64" s="203"/>
      <c r="OTO64" s="203"/>
      <c r="OTP64" s="203"/>
      <c r="OUG64" s="203"/>
      <c r="OUH64" s="203"/>
      <c r="OUY64" s="203"/>
      <c r="OUZ64" s="203"/>
      <c r="OVQ64" s="203"/>
      <c r="OVR64" s="203"/>
      <c r="OWI64" s="203"/>
      <c r="OWJ64" s="203"/>
      <c r="OXA64" s="203"/>
      <c r="OXB64" s="203"/>
      <c r="OXS64" s="203"/>
      <c r="OXT64" s="203"/>
      <c r="OYK64" s="203"/>
      <c r="OYL64" s="203"/>
      <c r="OZC64" s="203"/>
      <c r="OZD64" s="203"/>
      <c r="OZU64" s="203"/>
      <c r="OZV64" s="203"/>
      <c r="PAM64" s="203"/>
      <c r="PAN64" s="203"/>
      <c r="PBE64" s="203"/>
      <c r="PBF64" s="203"/>
      <c r="PBW64" s="203"/>
      <c r="PBX64" s="203"/>
      <c r="PCO64" s="203"/>
      <c r="PCP64" s="203"/>
      <c r="PDG64" s="203"/>
      <c r="PDH64" s="203"/>
      <c r="PDY64" s="203"/>
      <c r="PDZ64" s="203"/>
      <c r="PEQ64" s="203"/>
      <c r="PER64" s="203"/>
      <c r="PFI64" s="203"/>
      <c r="PFJ64" s="203"/>
      <c r="PGA64" s="203"/>
      <c r="PGB64" s="203"/>
      <c r="PGS64" s="203"/>
      <c r="PGT64" s="203"/>
      <c r="PHK64" s="203"/>
      <c r="PHL64" s="203"/>
      <c r="PIC64" s="203"/>
      <c r="PID64" s="203"/>
      <c r="PIU64" s="203"/>
      <c r="PIV64" s="203"/>
      <c r="PJM64" s="203"/>
      <c r="PJN64" s="203"/>
      <c r="PKE64" s="203"/>
      <c r="PKF64" s="203"/>
      <c r="PKW64" s="203"/>
      <c r="PKX64" s="203"/>
      <c r="PLO64" s="203"/>
      <c r="PLP64" s="203"/>
      <c r="PMG64" s="203"/>
      <c r="PMH64" s="203"/>
      <c r="PMY64" s="203"/>
      <c r="PMZ64" s="203"/>
      <c r="PNQ64" s="203"/>
      <c r="PNR64" s="203"/>
      <c r="POI64" s="203"/>
      <c r="POJ64" s="203"/>
      <c r="PPA64" s="203"/>
      <c r="PPB64" s="203"/>
      <c r="PPS64" s="203"/>
      <c r="PPT64" s="203"/>
      <c r="PQK64" s="203"/>
      <c r="PQL64" s="203"/>
      <c r="PRC64" s="203"/>
      <c r="PRD64" s="203"/>
      <c r="PRU64" s="203"/>
      <c r="PRV64" s="203"/>
      <c r="PSM64" s="203"/>
      <c r="PSN64" s="203"/>
      <c r="PTE64" s="203"/>
      <c r="PTF64" s="203"/>
      <c r="PTW64" s="203"/>
      <c r="PTX64" s="203"/>
      <c r="PUO64" s="203"/>
      <c r="PUP64" s="203"/>
      <c r="PVG64" s="203"/>
      <c r="PVH64" s="203"/>
      <c r="PVY64" s="203"/>
      <c r="PVZ64" s="203"/>
      <c r="PWQ64" s="203"/>
      <c r="PWR64" s="203"/>
      <c r="PXI64" s="203"/>
      <c r="PXJ64" s="203"/>
      <c r="PYA64" s="203"/>
      <c r="PYB64" s="203"/>
      <c r="PYS64" s="203"/>
      <c r="PYT64" s="203"/>
      <c r="PZK64" s="203"/>
      <c r="PZL64" s="203"/>
      <c r="QAC64" s="203"/>
      <c r="QAD64" s="203"/>
      <c r="QAU64" s="203"/>
      <c r="QAV64" s="203"/>
      <c r="QBM64" s="203"/>
      <c r="QBN64" s="203"/>
      <c r="QCE64" s="203"/>
      <c r="QCF64" s="203"/>
      <c r="QCW64" s="203"/>
      <c r="QCX64" s="203"/>
      <c r="QDO64" s="203"/>
      <c r="QDP64" s="203"/>
      <c r="QEG64" s="203"/>
      <c r="QEH64" s="203"/>
      <c r="QEY64" s="203"/>
      <c r="QEZ64" s="203"/>
      <c r="QFQ64" s="203"/>
      <c r="QFR64" s="203"/>
      <c r="QGI64" s="203"/>
      <c r="QGJ64" s="203"/>
      <c r="QHA64" s="203"/>
      <c r="QHB64" s="203"/>
      <c r="QHS64" s="203"/>
      <c r="QHT64" s="203"/>
      <c r="QIK64" s="203"/>
      <c r="QIL64" s="203"/>
      <c r="QJC64" s="203"/>
      <c r="QJD64" s="203"/>
      <c r="QJU64" s="203"/>
      <c r="QJV64" s="203"/>
      <c r="QKM64" s="203"/>
      <c r="QKN64" s="203"/>
      <c r="QLE64" s="203"/>
      <c r="QLF64" s="203"/>
      <c r="QLW64" s="203"/>
      <c r="QLX64" s="203"/>
      <c r="QMO64" s="203"/>
      <c r="QMP64" s="203"/>
      <c r="QNG64" s="203"/>
      <c r="QNH64" s="203"/>
      <c r="QNY64" s="203"/>
      <c r="QNZ64" s="203"/>
      <c r="QOQ64" s="203"/>
      <c r="QOR64" s="203"/>
      <c r="QPI64" s="203"/>
      <c r="QPJ64" s="203"/>
      <c r="QQA64" s="203"/>
      <c r="QQB64" s="203"/>
      <c r="QQS64" s="203"/>
      <c r="QQT64" s="203"/>
      <c r="QRK64" s="203"/>
      <c r="QRL64" s="203"/>
      <c r="QSC64" s="203"/>
      <c r="QSD64" s="203"/>
      <c r="QSU64" s="203"/>
      <c r="QSV64" s="203"/>
      <c r="QTM64" s="203"/>
      <c r="QTN64" s="203"/>
      <c r="QUE64" s="203"/>
      <c r="QUF64" s="203"/>
      <c r="QUW64" s="203"/>
      <c r="QUX64" s="203"/>
      <c r="QVO64" s="203"/>
      <c r="QVP64" s="203"/>
      <c r="QWG64" s="203"/>
      <c r="QWH64" s="203"/>
      <c r="QWY64" s="203"/>
      <c r="QWZ64" s="203"/>
      <c r="QXQ64" s="203"/>
      <c r="QXR64" s="203"/>
      <c r="QYI64" s="203"/>
      <c r="QYJ64" s="203"/>
      <c r="QZA64" s="203"/>
      <c r="QZB64" s="203"/>
      <c r="QZS64" s="203"/>
      <c r="QZT64" s="203"/>
      <c r="RAK64" s="203"/>
      <c r="RAL64" s="203"/>
      <c r="RBC64" s="203"/>
      <c r="RBD64" s="203"/>
      <c r="RBU64" s="203"/>
      <c r="RBV64" s="203"/>
      <c r="RCM64" s="203"/>
      <c r="RCN64" s="203"/>
      <c r="RDE64" s="203"/>
      <c r="RDF64" s="203"/>
      <c r="RDW64" s="203"/>
      <c r="RDX64" s="203"/>
      <c r="REO64" s="203"/>
      <c r="REP64" s="203"/>
      <c r="RFG64" s="203"/>
      <c r="RFH64" s="203"/>
      <c r="RFY64" s="203"/>
      <c r="RFZ64" s="203"/>
      <c r="RGQ64" s="203"/>
      <c r="RGR64" s="203"/>
      <c r="RHI64" s="203"/>
      <c r="RHJ64" s="203"/>
      <c r="RIA64" s="203"/>
      <c r="RIB64" s="203"/>
      <c r="RIS64" s="203"/>
      <c r="RIT64" s="203"/>
      <c r="RJK64" s="203"/>
      <c r="RJL64" s="203"/>
      <c r="RKC64" s="203"/>
      <c r="RKD64" s="203"/>
      <c r="RKU64" s="203"/>
      <c r="RKV64" s="203"/>
      <c r="RLM64" s="203"/>
      <c r="RLN64" s="203"/>
      <c r="RME64" s="203"/>
      <c r="RMF64" s="203"/>
      <c r="RMW64" s="203"/>
      <c r="RMX64" s="203"/>
      <c r="RNO64" s="203"/>
      <c r="RNP64" s="203"/>
      <c r="ROG64" s="203"/>
      <c r="ROH64" s="203"/>
      <c r="ROY64" s="203"/>
      <c r="ROZ64" s="203"/>
      <c r="RPQ64" s="203"/>
      <c r="RPR64" s="203"/>
      <c r="RQI64" s="203"/>
      <c r="RQJ64" s="203"/>
      <c r="RRA64" s="203"/>
      <c r="RRB64" s="203"/>
      <c r="RRS64" s="203"/>
      <c r="RRT64" s="203"/>
      <c r="RSK64" s="203"/>
      <c r="RSL64" s="203"/>
      <c r="RTC64" s="203"/>
      <c r="RTD64" s="203"/>
      <c r="RTU64" s="203"/>
      <c r="RTV64" s="203"/>
      <c r="RUM64" s="203"/>
      <c r="RUN64" s="203"/>
      <c r="RVE64" s="203"/>
      <c r="RVF64" s="203"/>
      <c r="RVW64" s="203"/>
      <c r="RVX64" s="203"/>
      <c r="RWO64" s="203"/>
      <c r="RWP64" s="203"/>
      <c r="RXG64" s="203"/>
      <c r="RXH64" s="203"/>
      <c r="RXY64" s="203"/>
      <c r="RXZ64" s="203"/>
      <c r="RYQ64" s="203"/>
      <c r="RYR64" s="203"/>
      <c r="RZI64" s="203"/>
      <c r="RZJ64" s="203"/>
      <c r="SAA64" s="203"/>
      <c r="SAB64" s="203"/>
      <c r="SAS64" s="203"/>
      <c r="SAT64" s="203"/>
      <c r="SBK64" s="203"/>
      <c r="SBL64" s="203"/>
      <c r="SCC64" s="203"/>
      <c r="SCD64" s="203"/>
      <c r="SCU64" s="203"/>
      <c r="SCV64" s="203"/>
      <c r="SDM64" s="203"/>
      <c r="SDN64" s="203"/>
      <c r="SEE64" s="203"/>
      <c r="SEF64" s="203"/>
      <c r="SEW64" s="203"/>
      <c r="SEX64" s="203"/>
      <c r="SFO64" s="203"/>
      <c r="SFP64" s="203"/>
      <c r="SGG64" s="203"/>
      <c r="SGH64" s="203"/>
      <c r="SGY64" s="203"/>
      <c r="SGZ64" s="203"/>
      <c r="SHQ64" s="203"/>
      <c r="SHR64" s="203"/>
      <c r="SII64" s="203"/>
      <c r="SIJ64" s="203"/>
      <c r="SJA64" s="203"/>
      <c r="SJB64" s="203"/>
      <c r="SJS64" s="203"/>
      <c r="SJT64" s="203"/>
      <c r="SKK64" s="203"/>
      <c r="SKL64" s="203"/>
      <c r="SLC64" s="203"/>
      <c r="SLD64" s="203"/>
      <c r="SLU64" s="203"/>
      <c r="SLV64" s="203"/>
      <c r="SMM64" s="203"/>
      <c r="SMN64" s="203"/>
      <c r="SNE64" s="203"/>
      <c r="SNF64" s="203"/>
      <c r="SNW64" s="203"/>
      <c r="SNX64" s="203"/>
      <c r="SOO64" s="203"/>
      <c r="SOP64" s="203"/>
      <c r="SPG64" s="203"/>
      <c r="SPH64" s="203"/>
      <c r="SPY64" s="203"/>
      <c r="SPZ64" s="203"/>
      <c r="SQQ64" s="203"/>
      <c r="SQR64" s="203"/>
      <c r="SRI64" s="203"/>
      <c r="SRJ64" s="203"/>
      <c r="SSA64" s="203"/>
      <c r="SSB64" s="203"/>
      <c r="SSS64" s="203"/>
      <c r="SST64" s="203"/>
      <c r="STK64" s="203"/>
      <c r="STL64" s="203"/>
      <c r="SUC64" s="203"/>
      <c r="SUD64" s="203"/>
      <c r="SUU64" s="203"/>
      <c r="SUV64" s="203"/>
      <c r="SVM64" s="203"/>
      <c r="SVN64" s="203"/>
      <c r="SWE64" s="203"/>
      <c r="SWF64" s="203"/>
      <c r="SWW64" s="203"/>
      <c r="SWX64" s="203"/>
      <c r="SXO64" s="203"/>
      <c r="SXP64" s="203"/>
      <c r="SYG64" s="203"/>
      <c r="SYH64" s="203"/>
      <c r="SYY64" s="203"/>
      <c r="SYZ64" s="203"/>
      <c r="SZQ64" s="203"/>
      <c r="SZR64" s="203"/>
      <c r="TAI64" s="203"/>
      <c r="TAJ64" s="203"/>
      <c r="TBA64" s="203"/>
      <c r="TBB64" s="203"/>
      <c r="TBS64" s="203"/>
      <c r="TBT64" s="203"/>
      <c r="TCK64" s="203"/>
      <c r="TCL64" s="203"/>
      <c r="TDC64" s="203"/>
      <c r="TDD64" s="203"/>
      <c r="TDU64" s="203"/>
      <c r="TDV64" s="203"/>
      <c r="TEM64" s="203"/>
      <c r="TEN64" s="203"/>
      <c r="TFE64" s="203"/>
      <c r="TFF64" s="203"/>
      <c r="TFW64" s="203"/>
      <c r="TFX64" s="203"/>
      <c r="TGO64" s="203"/>
      <c r="TGP64" s="203"/>
      <c r="THG64" s="203"/>
      <c r="THH64" s="203"/>
      <c r="THY64" s="203"/>
      <c r="THZ64" s="203"/>
      <c r="TIQ64" s="203"/>
      <c r="TIR64" s="203"/>
      <c r="TJI64" s="203"/>
      <c r="TJJ64" s="203"/>
      <c r="TKA64" s="203"/>
      <c r="TKB64" s="203"/>
      <c r="TKS64" s="203"/>
      <c r="TKT64" s="203"/>
      <c r="TLK64" s="203"/>
      <c r="TLL64" s="203"/>
      <c r="TMC64" s="203"/>
      <c r="TMD64" s="203"/>
      <c r="TMU64" s="203"/>
      <c r="TMV64" s="203"/>
      <c r="TNM64" s="203"/>
      <c r="TNN64" s="203"/>
      <c r="TOE64" s="203"/>
      <c r="TOF64" s="203"/>
      <c r="TOW64" s="203"/>
      <c r="TOX64" s="203"/>
      <c r="TPO64" s="203"/>
      <c r="TPP64" s="203"/>
      <c r="TQG64" s="203"/>
      <c r="TQH64" s="203"/>
      <c r="TQY64" s="203"/>
      <c r="TQZ64" s="203"/>
      <c r="TRQ64" s="203"/>
      <c r="TRR64" s="203"/>
      <c r="TSI64" s="203"/>
      <c r="TSJ64" s="203"/>
      <c r="TTA64" s="203"/>
      <c r="TTB64" s="203"/>
      <c r="TTS64" s="203"/>
      <c r="TTT64" s="203"/>
      <c r="TUK64" s="203"/>
      <c r="TUL64" s="203"/>
      <c r="TVC64" s="203"/>
      <c r="TVD64" s="203"/>
      <c r="TVU64" s="203"/>
      <c r="TVV64" s="203"/>
      <c r="TWM64" s="203"/>
      <c r="TWN64" s="203"/>
      <c r="TXE64" s="203"/>
      <c r="TXF64" s="203"/>
      <c r="TXW64" s="203"/>
      <c r="TXX64" s="203"/>
      <c r="TYO64" s="203"/>
      <c r="TYP64" s="203"/>
      <c r="TZG64" s="203"/>
      <c r="TZH64" s="203"/>
      <c r="TZY64" s="203"/>
      <c r="TZZ64" s="203"/>
      <c r="UAQ64" s="203"/>
      <c r="UAR64" s="203"/>
      <c r="UBI64" s="203"/>
      <c r="UBJ64" s="203"/>
      <c r="UCA64" s="203"/>
      <c r="UCB64" s="203"/>
      <c r="UCS64" s="203"/>
      <c r="UCT64" s="203"/>
      <c r="UDK64" s="203"/>
      <c r="UDL64" s="203"/>
      <c r="UEC64" s="203"/>
      <c r="UED64" s="203"/>
      <c r="UEU64" s="203"/>
      <c r="UEV64" s="203"/>
      <c r="UFM64" s="203"/>
      <c r="UFN64" s="203"/>
      <c r="UGE64" s="203"/>
      <c r="UGF64" s="203"/>
      <c r="UGW64" s="203"/>
      <c r="UGX64" s="203"/>
      <c r="UHO64" s="203"/>
      <c r="UHP64" s="203"/>
      <c r="UIG64" s="203"/>
      <c r="UIH64" s="203"/>
      <c r="UIY64" s="203"/>
      <c r="UIZ64" s="203"/>
      <c r="UJQ64" s="203"/>
      <c r="UJR64" s="203"/>
      <c r="UKI64" s="203"/>
      <c r="UKJ64" s="203"/>
      <c r="ULA64" s="203"/>
      <c r="ULB64" s="203"/>
      <c r="ULS64" s="203"/>
      <c r="ULT64" s="203"/>
      <c r="UMK64" s="203"/>
      <c r="UML64" s="203"/>
      <c r="UNC64" s="203"/>
      <c r="UND64" s="203"/>
      <c r="UNU64" s="203"/>
      <c r="UNV64" s="203"/>
      <c r="UOM64" s="203"/>
      <c r="UON64" s="203"/>
      <c r="UPE64" s="203"/>
      <c r="UPF64" s="203"/>
      <c r="UPW64" s="203"/>
      <c r="UPX64" s="203"/>
      <c r="UQO64" s="203"/>
      <c r="UQP64" s="203"/>
      <c r="URG64" s="203"/>
      <c r="URH64" s="203"/>
      <c r="URY64" s="203"/>
      <c r="URZ64" s="203"/>
      <c r="USQ64" s="203"/>
      <c r="USR64" s="203"/>
      <c r="UTI64" s="203"/>
      <c r="UTJ64" s="203"/>
      <c r="UUA64" s="203"/>
      <c r="UUB64" s="203"/>
      <c r="UUS64" s="203"/>
      <c r="UUT64" s="203"/>
      <c r="UVK64" s="203"/>
      <c r="UVL64" s="203"/>
      <c r="UWC64" s="203"/>
      <c r="UWD64" s="203"/>
      <c r="UWU64" s="203"/>
      <c r="UWV64" s="203"/>
      <c r="UXM64" s="203"/>
      <c r="UXN64" s="203"/>
      <c r="UYE64" s="203"/>
      <c r="UYF64" s="203"/>
      <c r="UYW64" s="203"/>
      <c r="UYX64" s="203"/>
      <c r="UZO64" s="203"/>
      <c r="UZP64" s="203"/>
      <c r="VAG64" s="203"/>
      <c r="VAH64" s="203"/>
      <c r="VAY64" s="203"/>
      <c r="VAZ64" s="203"/>
      <c r="VBQ64" s="203"/>
      <c r="VBR64" s="203"/>
      <c r="VCI64" s="203"/>
      <c r="VCJ64" s="203"/>
      <c r="VDA64" s="203"/>
      <c r="VDB64" s="203"/>
      <c r="VDS64" s="203"/>
      <c r="VDT64" s="203"/>
      <c r="VEK64" s="203"/>
      <c r="VEL64" s="203"/>
      <c r="VFC64" s="203"/>
      <c r="VFD64" s="203"/>
      <c r="VFU64" s="203"/>
      <c r="VFV64" s="203"/>
      <c r="VGM64" s="203"/>
      <c r="VGN64" s="203"/>
      <c r="VHE64" s="203"/>
      <c r="VHF64" s="203"/>
      <c r="VHW64" s="203"/>
      <c r="VHX64" s="203"/>
      <c r="VIO64" s="203"/>
      <c r="VIP64" s="203"/>
      <c r="VJG64" s="203"/>
      <c r="VJH64" s="203"/>
      <c r="VJY64" s="203"/>
      <c r="VJZ64" s="203"/>
      <c r="VKQ64" s="203"/>
      <c r="VKR64" s="203"/>
      <c r="VLI64" s="203"/>
      <c r="VLJ64" s="203"/>
      <c r="VMA64" s="203"/>
      <c r="VMB64" s="203"/>
      <c r="VMS64" s="203"/>
      <c r="VMT64" s="203"/>
      <c r="VNK64" s="203"/>
      <c r="VNL64" s="203"/>
      <c r="VOC64" s="203"/>
      <c r="VOD64" s="203"/>
      <c r="VOU64" s="203"/>
      <c r="VOV64" s="203"/>
      <c r="VPM64" s="203"/>
      <c r="VPN64" s="203"/>
      <c r="VQE64" s="203"/>
      <c r="VQF64" s="203"/>
      <c r="VQW64" s="203"/>
      <c r="VQX64" s="203"/>
      <c r="VRO64" s="203"/>
      <c r="VRP64" s="203"/>
      <c r="VSG64" s="203"/>
      <c r="VSH64" s="203"/>
      <c r="VSY64" s="203"/>
      <c r="VSZ64" s="203"/>
      <c r="VTQ64" s="203"/>
      <c r="VTR64" s="203"/>
      <c r="VUI64" s="203"/>
      <c r="VUJ64" s="203"/>
      <c r="VVA64" s="203"/>
      <c r="VVB64" s="203"/>
      <c r="VVS64" s="203"/>
      <c r="VVT64" s="203"/>
      <c r="VWK64" s="203"/>
      <c r="VWL64" s="203"/>
      <c r="VXC64" s="203"/>
      <c r="VXD64" s="203"/>
      <c r="VXU64" s="203"/>
      <c r="VXV64" s="203"/>
      <c r="VYM64" s="203"/>
      <c r="VYN64" s="203"/>
      <c r="VZE64" s="203"/>
      <c r="VZF64" s="203"/>
      <c r="VZW64" s="203"/>
      <c r="VZX64" s="203"/>
      <c r="WAO64" s="203"/>
      <c r="WAP64" s="203"/>
      <c r="WBG64" s="203"/>
      <c r="WBH64" s="203"/>
      <c r="WBY64" s="203"/>
      <c r="WBZ64" s="203"/>
      <c r="WCQ64" s="203"/>
      <c r="WCR64" s="203"/>
      <c r="WDI64" s="203"/>
      <c r="WDJ64" s="203"/>
      <c r="WEA64" s="203"/>
      <c r="WEB64" s="203"/>
      <c r="WES64" s="203"/>
      <c r="WET64" s="203"/>
      <c r="WFK64" s="203"/>
      <c r="WFL64" s="203"/>
      <c r="WGC64" s="203"/>
      <c r="WGD64" s="203"/>
      <c r="WGU64" s="203"/>
      <c r="WGV64" s="203"/>
      <c r="WHM64" s="203"/>
      <c r="WHN64" s="203"/>
      <c r="WIE64" s="203"/>
      <c r="WIF64" s="203"/>
      <c r="WIW64" s="203"/>
      <c r="WIX64" s="203"/>
      <c r="WJO64" s="203"/>
      <c r="WJP64" s="203"/>
      <c r="WKG64" s="203"/>
      <c r="WKH64" s="203"/>
      <c r="WKY64" s="203"/>
      <c r="WKZ64" s="203"/>
      <c r="WLQ64" s="203"/>
      <c r="WLR64" s="203"/>
      <c r="WMI64" s="203"/>
      <c r="WMJ64" s="203"/>
      <c r="WNA64" s="203"/>
      <c r="WNB64" s="203"/>
      <c r="WNS64" s="203"/>
      <c r="WNT64" s="203"/>
      <c r="WOK64" s="203"/>
      <c r="WOL64" s="203"/>
      <c r="WPC64" s="203"/>
      <c r="WPD64" s="203"/>
      <c r="WPU64" s="203"/>
      <c r="WPV64" s="203"/>
      <c r="WQM64" s="203"/>
      <c r="WQN64" s="203"/>
      <c r="WRE64" s="203"/>
      <c r="WRF64" s="203"/>
      <c r="WRW64" s="203"/>
      <c r="WRX64" s="203"/>
      <c r="WSO64" s="203"/>
      <c r="WSP64" s="203"/>
      <c r="WTG64" s="203"/>
      <c r="WTH64" s="203"/>
      <c r="WTY64" s="203"/>
      <c r="WTZ64" s="203"/>
      <c r="WUQ64" s="203"/>
      <c r="WUR64" s="203"/>
      <c r="WVI64" s="203"/>
      <c r="WVJ64" s="203"/>
      <c r="WWA64" s="203"/>
      <c r="WWB64" s="203"/>
      <c r="WWS64" s="203"/>
      <c r="WWT64" s="203"/>
      <c r="WXK64" s="203"/>
      <c r="WXL64" s="203"/>
      <c r="WYC64" s="203"/>
      <c r="WYD64" s="203"/>
      <c r="WYU64" s="203"/>
      <c r="WYV64" s="203"/>
      <c r="WZM64" s="203"/>
      <c r="WZN64" s="203"/>
      <c r="XAE64" s="203"/>
      <c r="XAF64" s="203"/>
      <c r="XAW64" s="203"/>
      <c r="XAX64" s="203"/>
      <c r="XBO64" s="203"/>
      <c r="XBP64" s="203"/>
      <c r="XCG64" s="203"/>
      <c r="XCH64" s="203"/>
      <c r="XCY64" s="203"/>
      <c r="XCZ64" s="203"/>
      <c r="XDQ64" s="203"/>
      <c r="XDR64" s="203"/>
      <c r="XEI64" s="203"/>
      <c r="XEJ64" s="203"/>
      <c r="XFA64" s="203"/>
      <c r="XFB64" s="203"/>
    </row>
    <row r="65" spans="1:1010 1027:2036 2053:3062 3079:4088 4105:5114 5131:6140 6157:7166 7183:8192 8209:9200 9217:10226 10243:11252 11269:12278 12295:13304 13321:14330 14347:15356 15373:16382" s="152" customFormat="1" x14ac:dyDescent="0.35">
      <c r="A65" s="181" t="s">
        <v>109</v>
      </c>
      <c r="B65" s="181" t="s">
        <v>110</v>
      </c>
      <c r="C65" s="198">
        <v>32.268000000000001</v>
      </c>
      <c r="D65" s="198">
        <v>36.716999999999999</v>
      </c>
      <c r="E65" s="198">
        <v>30.53</v>
      </c>
      <c r="F65" s="198">
        <v>29.434000000000001</v>
      </c>
      <c r="G65" s="198">
        <v>29.553999999999998</v>
      </c>
      <c r="H65" s="198">
        <v>45.209000000000003</v>
      </c>
      <c r="I65" s="198">
        <v>60.036000000000001</v>
      </c>
      <c r="J65" s="198">
        <v>44.277999999999999</v>
      </c>
      <c r="K65" s="198">
        <v>37.417000000000002</v>
      </c>
      <c r="L65" s="198">
        <v>48.67</v>
      </c>
      <c r="M65" s="204"/>
      <c r="N65" s="204"/>
      <c r="O65" s="204"/>
      <c r="P65" s="204"/>
      <c r="Q65" s="204"/>
      <c r="R65" s="204"/>
      <c r="T65" s="203"/>
      <c r="U65" s="203"/>
    </row>
    <row r="66" spans="1:1010 1027:2036 2053:3062 3079:4088 4105:5114 5131:6140 6157:7166 7183:8192 8209:9200 9217:10226 10243:11252 11269:12278 12295:13304 13321:14330 14347:15356 15373:16382" s="152" customFormat="1" x14ac:dyDescent="0.35">
      <c r="A66" s="181" t="s">
        <v>111</v>
      </c>
      <c r="B66" s="181" t="s">
        <v>112</v>
      </c>
      <c r="C66" s="198">
        <v>4.2</v>
      </c>
      <c r="D66" s="198">
        <v>2.8130000000000002</v>
      </c>
      <c r="E66" s="198">
        <v>1.2929999999999999</v>
      </c>
      <c r="F66" s="198">
        <v>3.246</v>
      </c>
      <c r="G66" s="198">
        <v>3.726</v>
      </c>
      <c r="H66" s="198">
        <v>1.0720000000000001</v>
      </c>
      <c r="I66" s="198">
        <v>7.82</v>
      </c>
      <c r="J66" s="198">
        <v>9.1869999999999994</v>
      </c>
      <c r="K66" s="198">
        <v>6.5439999999999996</v>
      </c>
      <c r="L66" s="198">
        <v>7.617</v>
      </c>
      <c r="M66" s="204"/>
      <c r="N66" s="204"/>
      <c r="O66" s="204"/>
      <c r="P66" s="204"/>
      <c r="Q66" s="204"/>
      <c r="R66" s="204"/>
      <c r="T66" s="203"/>
      <c r="U66" s="203"/>
    </row>
    <row r="67" spans="1:1010 1027:2036 2053:3062 3079:4088 4105:5114 5131:6140 6157:7166 7183:8192 8209:9200 9217:10226 10243:11252 11269:12278 12295:13304 13321:14330 14347:15356 15373:16382" s="152" customFormat="1" x14ac:dyDescent="0.35">
      <c r="A67" s="181" t="s">
        <v>113</v>
      </c>
      <c r="B67" s="181" t="s">
        <v>114</v>
      </c>
      <c r="C67" s="198"/>
      <c r="D67" s="198"/>
      <c r="E67" s="198"/>
      <c r="F67" s="198"/>
      <c r="G67" s="198"/>
      <c r="H67" s="198"/>
      <c r="I67" s="198"/>
      <c r="J67" s="198"/>
      <c r="K67" s="198"/>
      <c r="L67" s="198"/>
      <c r="M67" s="204"/>
      <c r="N67" s="204"/>
      <c r="O67" s="204"/>
      <c r="P67" s="204"/>
      <c r="Q67" s="204"/>
      <c r="R67" s="204"/>
      <c r="T67" s="203"/>
      <c r="U67" s="203"/>
    </row>
    <row r="68" spans="1:1010 1027:2036 2053:3062 3079:4088 4105:5114 5131:6140 6157:7166 7183:8192 8209:9200 9217:10226 10243:11252 11269:12278 12295:13304 13321:14330 14347:15356 15373:16382" s="152" customFormat="1" x14ac:dyDescent="0.35">
      <c r="A68" s="181" t="s">
        <v>115</v>
      </c>
      <c r="B68" s="181" t="s">
        <v>116</v>
      </c>
      <c r="C68" s="198">
        <v>0</v>
      </c>
      <c r="D68" s="198">
        <v>0</v>
      </c>
      <c r="E68" s="198">
        <v>0</v>
      </c>
      <c r="F68" s="198">
        <v>0</v>
      </c>
      <c r="G68" s="198">
        <v>0</v>
      </c>
      <c r="H68" s="198">
        <v>0</v>
      </c>
      <c r="I68" s="198">
        <v>0</v>
      </c>
      <c r="J68" s="198">
        <v>0</v>
      </c>
      <c r="K68" s="198">
        <v>0</v>
      </c>
      <c r="L68" s="198">
        <v>0</v>
      </c>
      <c r="M68" s="204"/>
      <c r="N68" s="204"/>
      <c r="O68" s="204"/>
      <c r="P68" s="204"/>
      <c r="Q68" s="204"/>
      <c r="R68" s="204"/>
      <c r="T68" s="203"/>
      <c r="U68" s="203"/>
    </row>
    <row r="69" spans="1:1010 1027:2036 2053:3062 3079:4088 4105:5114 5131:6140 6157:7166 7183:8192 8209:9200 9217:10226 10243:11252 11269:12278 12295:13304 13321:14330 14347:15356 15373:16382" x14ac:dyDescent="0.35">
      <c r="A69" s="23" t="s">
        <v>29</v>
      </c>
      <c r="B69" s="23"/>
      <c r="C69" s="321">
        <f t="shared" ref="C69:L69" si="13">ROUND(SUM(C65:C68)-IF(C64="",0,C64),1)</f>
        <v>0</v>
      </c>
      <c r="D69" s="321">
        <f t="shared" si="13"/>
        <v>0</v>
      </c>
      <c r="E69" s="321">
        <f t="shared" si="13"/>
        <v>0</v>
      </c>
      <c r="F69" s="321">
        <f t="shared" si="13"/>
        <v>0</v>
      </c>
      <c r="G69" s="321">
        <f t="shared" si="13"/>
        <v>0</v>
      </c>
      <c r="H69" s="321">
        <f t="shared" si="13"/>
        <v>0</v>
      </c>
      <c r="I69" s="321">
        <f t="shared" si="13"/>
        <v>0</v>
      </c>
      <c r="J69" s="321">
        <f t="shared" si="13"/>
        <v>0</v>
      </c>
      <c r="K69" s="321">
        <f t="shared" si="13"/>
        <v>0</v>
      </c>
      <c r="L69" s="321">
        <f t="shared" si="13"/>
        <v>0</v>
      </c>
      <c r="M69" s="118"/>
      <c r="N69" s="118"/>
      <c r="O69" s="118"/>
      <c r="P69" s="118"/>
      <c r="Q69" s="118"/>
      <c r="R69" s="118"/>
      <c r="T69" s="12"/>
      <c r="U69" s="12"/>
    </row>
    <row r="70" spans="1:1010 1027:2036 2053:3062 3079:4088 4105:5114 5131:6140 6157:7166 7183:8192 8209:9200 9217:10226 10243:11252 11269:12278 12295:13304 13321:14330 14347:15356 15373:16382" s="11" customFormat="1" x14ac:dyDescent="0.35">
      <c r="A70" s="183" t="s">
        <v>117</v>
      </c>
      <c r="B70" s="183" t="s">
        <v>118</v>
      </c>
      <c r="C70" s="184">
        <v>0.19700000000000001</v>
      </c>
      <c r="D70" s="184">
        <v>0.20100000000000001</v>
      </c>
      <c r="E70" s="184">
        <v>0.20499999999999999</v>
      </c>
      <c r="F70" s="184">
        <v>0.20899999999999999</v>
      </c>
      <c r="G70" s="184">
        <v>5.3179999999999996</v>
      </c>
      <c r="H70" s="184">
        <v>4.2080000000000002</v>
      </c>
      <c r="I70" s="184">
        <v>3.3809999999999998</v>
      </c>
      <c r="J70" s="184">
        <v>3.254</v>
      </c>
      <c r="K70" s="184">
        <v>3.851</v>
      </c>
      <c r="L70" s="184">
        <v>4.3460000000000001</v>
      </c>
      <c r="M70" s="312">
        <f>IF(OR(K70=0,K70=""),"",L70/K70-1)</f>
        <v>0.12853804206699571</v>
      </c>
      <c r="S70" s="12"/>
      <c r="T70" s="12"/>
      <c r="AK70" s="12"/>
      <c r="AL70" s="12"/>
      <c r="BC70" s="12"/>
      <c r="BD70" s="12"/>
      <c r="BU70" s="12"/>
      <c r="BV70" s="12"/>
      <c r="CM70" s="12"/>
      <c r="CN70" s="12"/>
      <c r="DE70" s="12"/>
      <c r="DF70" s="12"/>
      <c r="DW70" s="12"/>
      <c r="DX70" s="12"/>
      <c r="EO70" s="12"/>
      <c r="EP70" s="12"/>
      <c r="FG70" s="12"/>
      <c r="FH70" s="12"/>
      <c r="FY70" s="12"/>
      <c r="FZ70" s="12"/>
      <c r="GQ70" s="12"/>
      <c r="GR70" s="12"/>
      <c r="HI70" s="12"/>
      <c r="HJ70" s="12"/>
      <c r="IA70" s="12"/>
      <c r="IB70" s="12"/>
      <c r="IS70" s="12"/>
      <c r="IT70" s="12"/>
      <c r="JK70" s="12"/>
      <c r="JL70" s="12"/>
      <c r="KC70" s="12"/>
      <c r="KD70" s="12"/>
      <c r="KU70" s="12"/>
      <c r="KV70" s="12"/>
      <c r="LM70" s="12"/>
      <c r="LN70" s="12"/>
      <c r="ME70" s="12"/>
      <c r="MF70" s="12"/>
      <c r="MW70" s="12"/>
      <c r="MX70" s="12"/>
      <c r="NO70" s="12"/>
      <c r="NP70" s="12"/>
      <c r="OG70" s="12"/>
      <c r="OH70" s="12"/>
      <c r="OY70" s="12"/>
      <c r="OZ70" s="12"/>
      <c r="PQ70" s="12"/>
      <c r="PR70" s="12"/>
      <c r="QI70" s="12"/>
      <c r="QJ70" s="12"/>
      <c r="RA70" s="12"/>
      <c r="RB70" s="12"/>
      <c r="RS70" s="12"/>
      <c r="RT70" s="12"/>
      <c r="SK70" s="12"/>
      <c r="SL70" s="12"/>
      <c r="TC70" s="12"/>
      <c r="TD70" s="12"/>
      <c r="TU70" s="12"/>
      <c r="TV70" s="12"/>
      <c r="UM70" s="12"/>
      <c r="UN70" s="12"/>
      <c r="VE70" s="12"/>
      <c r="VF70" s="12"/>
      <c r="VW70" s="12"/>
      <c r="VX70" s="12"/>
      <c r="WO70" s="12"/>
      <c r="WP70" s="12"/>
      <c r="XG70" s="12"/>
      <c r="XH70" s="12"/>
      <c r="XY70" s="12"/>
      <c r="XZ70" s="12"/>
      <c r="YQ70" s="12"/>
      <c r="YR70" s="12"/>
      <c r="ZI70" s="12"/>
      <c r="ZJ70" s="12"/>
      <c r="AAA70" s="12"/>
      <c r="AAB70" s="12"/>
      <c r="AAS70" s="12"/>
      <c r="AAT70" s="12"/>
      <c r="ABK70" s="12"/>
      <c r="ABL70" s="12"/>
      <c r="ACC70" s="12"/>
      <c r="ACD70" s="12"/>
      <c r="ACU70" s="12"/>
      <c r="ACV70" s="12"/>
      <c r="ADM70" s="12"/>
      <c r="ADN70" s="12"/>
      <c r="AEE70" s="12"/>
      <c r="AEF70" s="12"/>
      <c r="AEW70" s="12"/>
      <c r="AEX70" s="12"/>
      <c r="AFO70" s="12"/>
      <c r="AFP70" s="12"/>
      <c r="AGG70" s="12"/>
      <c r="AGH70" s="12"/>
      <c r="AGY70" s="12"/>
      <c r="AGZ70" s="12"/>
      <c r="AHQ70" s="12"/>
      <c r="AHR70" s="12"/>
      <c r="AII70" s="12"/>
      <c r="AIJ70" s="12"/>
      <c r="AJA70" s="12"/>
      <c r="AJB70" s="12"/>
      <c r="AJS70" s="12"/>
      <c r="AJT70" s="12"/>
      <c r="AKK70" s="12"/>
      <c r="AKL70" s="12"/>
      <c r="ALC70" s="12"/>
      <c r="ALD70" s="12"/>
      <c r="ALU70" s="12"/>
      <c r="ALV70" s="12"/>
      <c r="AMM70" s="12"/>
      <c r="AMN70" s="12"/>
      <c r="ANE70" s="12"/>
      <c r="ANF70" s="12"/>
      <c r="ANW70" s="12"/>
      <c r="ANX70" s="12"/>
      <c r="AOO70" s="12"/>
      <c r="AOP70" s="12"/>
      <c r="APG70" s="12"/>
      <c r="APH70" s="12"/>
      <c r="APY70" s="12"/>
      <c r="APZ70" s="12"/>
      <c r="AQQ70" s="12"/>
      <c r="AQR70" s="12"/>
      <c r="ARI70" s="12"/>
      <c r="ARJ70" s="12"/>
      <c r="ASA70" s="12"/>
      <c r="ASB70" s="12"/>
      <c r="ASS70" s="12"/>
      <c r="AST70" s="12"/>
      <c r="ATK70" s="12"/>
      <c r="ATL70" s="12"/>
      <c r="AUC70" s="12"/>
      <c r="AUD70" s="12"/>
      <c r="AUU70" s="12"/>
      <c r="AUV70" s="12"/>
      <c r="AVM70" s="12"/>
      <c r="AVN70" s="12"/>
      <c r="AWE70" s="12"/>
      <c r="AWF70" s="12"/>
      <c r="AWW70" s="12"/>
      <c r="AWX70" s="12"/>
      <c r="AXO70" s="12"/>
      <c r="AXP70" s="12"/>
      <c r="AYG70" s="12"/>
      <c r="AYH70" s="12"/>
      <c r="AYY70" s="12"/>
      <c r="AYZ70" s="12"/>
      <c r="AZQ70" s="12"/>
      <c r="AZR70" s="12"/>
      <c r="BAI70" s="12"/>
      <c r="BAJ70" s="12"/>
      <c r="BBA70" s="12"/>
      <c r="BBB70" s="12"/>
      <c r="BBS70" s="12"/>
      <c r="BBT70" s="12"/>
      <c r="BCK70" s="12"/>
      <c r="BCL70" s="12"/>
      <c r="BDC70" s="12"/>
      <c r="BDD70" s="12"/>
      <c r="BDU70" s="12"/>
      <c r="BDV70" s="12"/>
      <c r="BEM70" s="12"/>
      <c r="BEN70" s="12"/>
      <c r="BFE70" s="12"/>
      <c r="BFF70" s="12"/>
      <c r="BFW70" s="12"/>
      <c r="BFX70" s="12"/>
      <c r="BGO70" s="12"/>
      <c r="BGP70" s="12"/>
      <c r="BHG70" s="12"/>
      <c r="BHH70" s="12"/>
      <c r="BHY70" s="12"/>
      <c r="BHZ70" s="12"/>
      <c r="BIQ70" s="12"/>
      <c r="BIR70" s="12"/>
      <c r="BJI70" s="12"/>
      <c r="BJJ70" s="12"/>
      <c r="BKA70" s="12"/>
      <c r="BKB70" s="12"/>
      <c r="BKS70" s="12"/>
      <c r="BKT70" s="12"/>
      <c r="BLK70" s="12"/>
      <c r="BLL70" s="12"/>
      <c r="BMC70" s="12"/>
      <c r="BMD70" s="12"/>
      <c r="BMU70" s="12"/>
      <c r="BMV70" s="12"/>
      <c r="BNM70" s="12"/>
      <c r="BNN70" s="12"/>
      <c r="BOE70" s="12"/>
      <c r="BOF70" s="12"/>
      <c r="BOW70" s="12"/>
      <c r="BOX70" s="12"/>
      <c r="BPO70" s="12"/>
      <c r="BPP70" s="12"/>
      <c r="BQG70" s="12"/>
      <c r="BQH70" s="12"/>
      <c r="BQY70" s="12"/>
      <c r="BQZ70" s="12"/>
      <c r="BRQ70" s="12"/>
      <c r="BRR70" s="12"/>
      <c r="BSI70" s="12"/>
      <c r="BSJ70" s="12"/>
      <c r="BTA70" s="12"/>
      <c r="BTB70" s="12"/>
      <c r="BTS70" s="12"/>
      <c r="BTT70" s="12"/>
      <c r="BUK70" s="12"/>
      <c r="BUL70" s="12"/>
      <c r="BVC70" s="12"/>
      <c r="BVD70" s="12"/>
      <c r="BVU70" s="12"/>
      <c r="BVV70" s="12"/>
      <c r="BWM70" s="12"/>
      <c r="BWN70" s="12"/>
      <c r="BXE70" s="12"/>
      <c r="BXF70" s="12"/>
      <c r="BXW70" s="12"/>
      <c r="BXX70" s="12"/>
      <c r="BYO70" s="12"/>
      <c r="BYP70" s="12"/>
      <c r="BZG70" s="12"/>
      <c r="BZH70" s="12"/>
      <c r="BZY70" s="12"/>
      <c r="BZZ70" s="12"/>
      <c r="CAQ70" s="12"/>
      <c r="CAR70" s="12"/>
      <c r="CBI70" s="12"/>
      <c r="CBJ70" s="12"/>
      <c r="CCA70" s="12"/>
      <c r="CCB70" s="12"/>
      <c r="CCS70" s="12"/>
      <c r="CCT70" s="12"/>
      <c r="CDK70" s="12"/>
      <c r="CDL70" s="12"/>
      <c r="CEC70" s="12"/>
      <c r="CED70" s="12"/>
      <c r="CEU70" s="12"/>
      <c r="CEV70" s="12"/>
      <c r="CFM70" s="12"/>
      <c r="CFN70" s="12"/>
      <c r="CGE70" s="12"/>
      <c r="CGF70" s="12"/>
      <c r="CGW70" s="12"/>
      <c r="CGX70" s="12"/>
      <c r="CHO70" s="12"/>
      <c r="CHP70" s="12"/>
      <c r="CIG70" s="12"/>
      <c r="CIH70" s="12"/>
      <c r="CIY70" s="12"/>
      <c r="CIZ70" s="12"/>
      <c r="CJQ70" s="12"/>
      <c r="CJR70" s="12"/>
      <c r="CKI70" s="12"/>
      <c r="CKJ70" s="12"/>
      <c r="CLA70" s="12"/>
      <c r="CLB70" s="12"/>
      <c r="CLS70" s="12"/>
      <c r="CLT70" s="12"/>
      <c r="CMK70" s="12"/>
      <c r="CML70" s="12"/>
      <c r="CNC70" s="12"/>
      <c r="CND70" s="12"/>
      <c r="CNU70" s="12"/>
      <c r="CNV70" s="12"/>
      <c r="COM70" s="12"/>
      <c r="CON70" s="12"/>
      <c r="CPE70" s="12"/>
      <c r="CPF70" s="12"/>
      <c r="CPW70" s="12"/>
      <c r="CPX70" s="12"/>
      <c r="CQO70" s="12"/>
      <c r="CQP70" s="12"/>
      <c r="CRG70" s="12"/>
      <c r="CRH70" s="12"/>
      <c r="CRY70" s="12"/>
      <c r="CRZ70" s="12"/>
      <c r="CSQ70" s="12"/>
      <c r="CSR70" s="12"/>
      <c r="CTI70" s="12"/>
      <c r="CTJ70" s="12"/>
      <c r="CUA70" s="12"/>
      <c r="CUB70" s="12"/>
      <c r="CUS70" s="12"/>
      <c r="CUT70" s="12"/>
      <c r="CVK70" s="12"/>
      <c r="CVL70" s="12"/>
      <c r="CWC70" s="12"/>
      <c r="CWD70" s="12"/>
      <c r="CWU70" s="12"/>
      <c r="CWV70" s="12"/>
      <c r="CXM70" s="12"/>
      <c r="CXN70" s="12"/>
      <c r="CYE70" s="12"/>
      <c r="CYF70" s="12"/>
      <c r="CYW70" s="12"/>
      <c r="CYX70" s="12"/>
      <c r="CZO70" s="12"/>
      <c r="CZP70" s="12"/>
      <c r="DAG70" s="12"/>
      <c r="DAH70" s="12"/>
      <c r="DAY70" s="12"/>
      <c r="DAZ70" s="12"/>
      <c r="DBQ70" s="12"/>
      <c r="DBR70" s="12"/>
      <c r="DCI70" s="12"/>
      <c r="DCJ70" s="12"/>
      <c r="DDA70" s="12"/>
      <c r="DDB70" s="12"/>
      <c r="DDS70" s="12"/>
      <c r="DDT70" s="12"/>
      <c r="DEK70" s="12"/>
      <c r="DEL70" s="12"/>
      <c r="DFC70" s="12"/>
      <c r="DFD70" s="12"/>
      <c r="DFU70" s="12"/>
      <c r="DFV70" s="12"/>
      <c r="DGM70" s="12"/>
      <c r="DGN70" s="12"/>
      <c r="DHE70" s="12"/>
      <c r="DHF70" s="12"/>
      <c r="DHW70" s="12"/>
      <c r="DHX70" s="12"/>
      <c r="DIO70" s="12"/>
      <c r="DIP70" s="12"/>
      <c r="DJG70" s="12"/>
      <c r="DJH70" s="12"/>
      <c r="DJY70" s="12"/>
      <c r="DJZ70" s="12"/>
      <c r="DKQ70" s="12"/>
      <c r="DKR70" s="12"/>
      <c r="DLI70" s="12"/>
      <c r="DLJ70" s="12"/>
      <c r="DMA70" s="12"/>
      <c r="DMB70" s="12"/>
      <c r="DMS70" s="12"/>
      <c r="DMT70" s="12"/>
      <c r="DNK70" s="12"/>
      <c r="DNL70" s="12"/>
      <c r="DOC70" s="12"/>
      <c r="DOD70" s="12"/>
      <c r="DOU70" s="12"/>
      <c r="DOV70" s="12"/>
      <c r="DPM70" s="12"/>
      <c r="DPN70" s="12"/>
      <c r="DQE70" s="12"/>
      <c r="DQF70" s="12"/>
      <c r="DQW70" s="12"/>
      <c r="DQX70" s="12"/>
      <c r="DRO70" s="12"/>
      <c r="DRP70" s="12"/>
      <c r="DSG70" s="12"/>
      <c r="DSH70" s="12"/>
      <c r="DSY70" s="12"/>
      <c r="DSZ70" s="12"/>
      <c r="DTQ70" s="12"/>
      <c r="DTR70" s="12"/>
      <c r="DUI70" s="12"/>
      <c r="DUJ70" s="12"/>
      <c r="DVA70" s="12"/>
      <c r="DVB70" s="12"/>
      <c r="DVS70" s="12"/>
      <c r="DVT70" s="12"/>
      <c r="DWK70" s="12"/>
      <c r="DWL70" s="12"/>
      <c r="DXC70" s="12"/>
      <c r="DXD70" s="12"/>
      <c r="DXU70" s="12"/>
      <c r="DXV70" s="12"/>
      <c r="DYM70" s="12"/>
      <c r="DYN70" s="12"/>
      <c r="DZE70" s="12"/>
      <c r="DZF70" s="12"/>
      <c r="DZW70" s="12"/>
      <c r="DZX70" s="12"/>
      <c r="EAO70" s="12"/>
      <c r="EAP70" s="12"/>
      <c r="EBG70" s="12"/>
      <c r="EBH70" s="12"/>
      <c r="EBY70" s="12"/>
      <c r="EBZ70" s="12"/>
      <c r="ECQ70" s="12"/>
      <c r="ECR70" s="12"/>
      <c r="EDI70" s="12"/>
      <c r="EDJ70" s="12"/>
      <c r="EEA70" s="12"/>
      <c r="EEB70" s="12"/>
      <c r="EES70" s="12"/>
      <c r="EET70" s="12"/>
      <c r="EFK70" s="12"/>
      <c r="EFL70" s="12"/>
      <c r="EGC70" s="12"/>
      <c r="EGD70" s="12"/>
      <c r="EGU70" s="12"/>
      <c r="EGV70" s="12"/>
      <c r="EHM70" s="12"/>
      <c r="EHN70" s="12"/>
      <c r="EIE70" s="12"/>
      <c r="EIF70" s="12"/>
      <c r="EIW70" s="12"/>
      <c r="EIX70" s="12"/>
      <c r="EJO70" s="12"/>
      <c r="EJP70" s="12"/>
      <c r="EKG70" s="12"/>
      <c r="EKH70" s="12"/>
      <c r="EKY70" s="12"/>
      <c r="EKZ70" s="12"/>
      <c r="ELQ70" s="12"/>
      <c r="ELR70" s="12"/>
      <c r="EMI70" s="12"/>
      <c r="EMJ70" s="12"/>
      <c r="ENA70" s="12"/>
      <c r="ENB70" s="12"/>
      <c r="ENS70" s="12"/>
      <c r="ENT70" s="12"/>
      <c r="EOK70" s="12"/>
      <c r="EOL70" s="12"/>
      <c r="EPC70" s="12"/>
      <c r="EPD70" s="12"/>
      <c r="EPU70" s="12"/>
      <c r="EPV70" s="12"/>
      <c r="EQM70" s="12"/>
      <c r="EQN70" s="12"/>
      <c r="ERE70" s="12"/>
      <c r="ERF70" s="12"/>
      <c r="ERW70" s="12"/>
      <c r="ERX70" s="12"/>
      <c r="ESO70" s="12"/>
      <c r="ESP70" s="12"/>
      <c r="ETG70" s="12"/>
      <c r="ETH70" s="12"/>
      <c r="ETY70" s="12"/>
      <c r="ETZ70" s="12"/>
      <c r="EUQ70" s="12"/>
      <c r="EUR70" s="12"/>
      <c r="EVI70" s="12"/>
      <c r="EVJ70" s="12"/>
      <c r="EWA70" s="12"/>
      <c r="EWB70" s="12"/>
      <c r="EWS70" s="12"/>
      <c r="EWT70" s="12"/>
      <c r="EXK70" s="12"/>
      <c r="EXL70" s="12"/>
      <c r="EYC70" s="12"/>
      <c r="EYD70" s="12"/>
      <c r="EYU70" s="12"/>
      <c r="EYV70" s="12"/>
      <c r="EZM70" s="12"/>
      <c r="EZN70" s="12"/>
      <c r="FAE70" s="12"/>
      <c r="FAF70" s="12"/>
      <c r="FAW70" s="12"/>
      <c r="FAX70" s="12"/>
      <c r="FBO70" s="12"/>
      <c r="FBP70" s="12"/>
      <c r="FCG70" s="12"/>
      <c r="FCH70" s="12"/>
      <c r="FCY70" s="12"/>
      <c r="FCZ70" s="12"/>
      <c r="FDQ70" s="12"/>
      <c r="FDR70" s="12"/>
      <c r="FEI70" s="12"/>
      <c r="FEJ70" s="12"/>
      <c r="FFA70" s="12"/>
      <c r="FFB70" s="12"/>
      <c r="FFS70" s="12"/>
      <c r="FFT70" s="12"/>
      <c r="FGK70" s="12"/>
      <c r="FGL70" s="12"/>
      <c r="FHC70" s="12"/>
      <c r="FHD70" s="12"/>
      <c r="FHU70" s="12"/>
      <c r="FHV70" s="12"/>
      <c r="FIM70" s="12"/>
      <c r="FIN70" s="12"/>
      <c r="FJE70" s="12"/>
      <c r="FJF70" s="12"/>
      <c r="FJW70" s="12"/>
      <c r="FJX70" s="12"/>
      <c r="FKO70" s="12"/>
      <c r="FKP70" s="12"/>
      <c r="FLG70" s="12"/>
      <c r="FLH70" s="12"/>
      <c r="FLY70" s="12"/>
      <c r="FLZ70" s="12"/>
      <c r="FMQ70" s="12"/>
      <c r="FMR70" s="12"/>
      <c r="FNI70" s="12"/>
      <c r="FNJ70" s="12"/>
      <c r="FOA70" s="12"/>
      <c r="FOB70" s="12"/>
      <c r="FOS70" s="12"/>
      <c r="FOT70" s="12"/>
      <c r="FPK70" s="12"/>
      <c r="FPL70" s="12"/>
      <c r="FQC70" s="12"/>
      <c r="FQD70" s="12"/>
      <c r="FQU70" s="12"/>
      <c r="FQV70" s="12"/>
      <c r="FRM70" s="12"/>
      <c r="FRN70" s="12"/>
      <c r="FSE70" s="12"/>
      <c r="FSF70" s="12"/>
      <c r="FSW70" s="12"/>
      <c r="FSX70" s="12"/>
      <c r="FTO70" s="12"/>
      <c r="FTP70" s="12"/>
      <c r="FUG70" s="12"/>
      <c r="FUH70" s="12"/>
      <c r="FUY70" s="12"/>
      <c r="FUZ70" s="12"/>
      <c r="FVQ70" s="12"/>
      <c r="FVR70" s="12"/>
      <c r="FWI70" s="12"/>
      <c r="FWJ70" s="12"/>
      <c r="FXA70" s="12"/>
      <c r="FXB70" s="12"/>
      <c r="FXS70" s="12"/>
      <c r="FXT70" s="12"/>
      <c r="FYK70" s="12"/>
      <c r="FYL70" s="12"/>
      <c r="FZC70" s="12"/>
      <c r="FZD70" s="12"/>
      <c r="FZU70" s="12"/>
      <c r="FZV70" s="12"/>
      <c r="GAM70" s="12"/>
      <c r="GAN70" s="12"/>
      <c r="GBE70" s="12"/>
      <c r="GBF70" s="12"/>
      <c r="GBW70" s="12"/>
      <c r="GBX70" s="12"/>
      <c r="GCO70" s="12"/>
      <c r="GCP70" s="12"/>
      <c r="GDG70" s="12"/>
      <c r="GDH70" s="12"/>
      <c r="GDY70" s="12"/>
      <c r="GDZ70" s="12"/>
      <c r="GEQ70" s="12"/>
      <c r="GER70" s="12"/>
      <c r="GFI70" s="12"/>
      <c r="GFJ70" s="12"/>
      <c r="GGA70" s="12"/>
      <c r="GGB70" s="12"/>
      <c r="GGS70" s="12"/>
      <c r="GGT70" s="12"/>
      <c r="GHK70" s="12"/>
      <c r="GHL70" s="12"/>
      <c r="GIC70" s="12"/>
      <c r="GID70" s="12"/>
      <c r="GIU70" s="12"/>
      <c r="GIV70" s="12"/>
      <c r="GJM70" s="12"/>
      <c r="GJN70" s="12"/>
      <c r="GKE70" s="12"/>
      <c r="GKF70" s="12"/>
      <c r="GKW70" s="12"/>
      <c r="GKX70" s="12"/>
      <c r="GLO70" s="12"/>
      <c r="GLP70" s="12"/>
      <c r="GMG70" s="12"/>
      <c r="GMH70" s="12"/>
      <c r="GMY70" s="12"/>
      <c r="GMZ70" s="12"/>
      <c r="GNQ70" s="12"/>
      <c r="GNR70" s="12"/>
      <c r="GOI70" s="12"/>
      <c r="GOJ70" s="12"/>
      <c r="GPA70" s="12"/>
      <c r="GPB70" s="12"/>
      <c r="GPS70" s="12"/>
      <c r="GPT70" s="12"/>
      <c r="GQK70" s="12"/>
      <c r="GQL70" s="12"/>
      <c r="GRC70" s="12"/>
      <c r="GRD70" s="12"/>
      <c r="GRU70" s="12"/>
      <c r="GRV70" s="12"/>
      <c r="GSM70" s="12"/>
      <c r="GSN70" s="12"/>
      <c r="GTE70" s="12"/>
      <c r="GTF70" s="12"/>
      <c r="GTW70" s="12"/>
      <c r="GTX70" s="12"/>
      <c r="GUO70" s="12"/>
      <c r="GUP70" s="12"/>
      <c r="GVG70" s="12"/>
      <c r="GVH70" s="12"/>
      <c r="GVY70" s="12"/>
      <c r="GVZ70" s="12"/>
      <c r="GWQ70" s="12"/>
      <c r="GWR70" s="12"/>
      <c r="GXI70" s="12"/>
      <c r="GXJ70" s="12"/>
      <c r="GYA70" s="12"/>
      <c r="GYB70" s="12"/>
      <c r="GYS70" s="12"/>
      <c r="GYT70" s="12"/>
      <c r="GZK70" s="12"/>
      <c r="GZL70" s="12"/>
      <c r="HAC70" s="12"/>
      <c r="HAD70" s="12"/>
      <c r="HAU70" s="12"/>
      <c r="HAV70" s="12"/>
      <c r="HBM70" s="12"/>
      <c r="HBN70" s="12"/>
      <c r="HCE70" s="12"/>
      <c r="HCF70" s="12"/>
      <c r="HCW70" s="12"/>
      <c r="HCX70" s="12"/>
      <c r="HDO70" s="12"/>
      <c r="HDP70" s="12"/>
      <c r="HEG70" s="12"/>
      <c r="HEH70" s="12"/>
      <c r="HEY70" s="12"/>
      <c r="HEZ70" s="12"/>
      <c r="HFQ70" s="12"/>
      <c r="HFR70" s="12"/>
      <c r="HGI70" s="12"/>
      <c r="HGJ70" s="12"/>
      <c r="HHA70" s="12"/>
      <c r="HHB70" s="12"/>
      <c r="HHS70" s="12"/>
      <c r="HHT70" s="12"/>
      <c r="HIK70" s="12"/>
      <c r="HIL70" s="12"/>
      <c r="HJC70" s="12"/>
      <c r="HJD70" s="12"/>
      <c r="HJU70" s="12"/>
      <c r="HJV70" s="12"/>
      <c r="HKM70" s="12"/>
      <c r="HKN70" s="12"/>
      <c r="HLE70" s="12"/>
      <c r="HLF70" s="12"/>
      <c r="HLW70" s="12"/>
      <c r="HLX70" s="12"/>
      <c r="HMO70" s="12"/>
      <c r="HMP70" s="12"/>
      <c r="HNG70" s="12"/>
      <c r="HNH70" s="12"/>
      <c r="HNY70" s="12"/>
      <c r="HNZ70" s="12"/>
      <c r="HOQ70" s="12"/>
      <c r="HOR70" s="12"/>
      <c r="HPI70" s="12"/>
      <c r="HPJ70" s="12"/>
      <c r="HQA70" s="12"/>
      <c r="HQB70" s="12"/>
      <c r="HQS70" s="12"/>
      <c r="HQT70" s="12"/>
      <c r="HRK70" s="12"/>
      <c r="HRL70" s="12"/>
      <c r="HSC70" s="12"/>
      <c r="HSD70" s="12"/>
      <c r="HSU70" s="12"/>
      <c r="HSV70" s="12"/>
      <c r="HTM70" s="12"/>
      <c r="HTN70" s="12"/>
      <c r="HUE70" s="12"/>
      <c r="HUF70" s="12"/>
      <c r="HUW70" s="12"/>
      <c r="HUX70" s="12"/>
      <c r="HVO70" s="12"/>
      <c r="HVP70" s="12"/>
      <c r="HWG70" s="12"/>
      <c r="HWH70" s="12"/>
      <c r="HWY70" s="12"/>
      <c r="HWZ70" s="12"/>
      <c r="HXQ70" s="12"/>
      <c r="HXR70" s="12"/>
      <c r="HYI70" s="12"/>
      <c r="HYJ70" s="12"/>
      <c r="HZA70" s="12"/>
      <c r="HZB70" s="12"/>
      <c r="HZS70" s="12"/>
      <c r="HZT70" s="12"/>
      <c r="IAK70" s="12"/>
      <c r="IAL70" s="12"/>
      <c r="IBC70" s="12"/>
      <c r="IBD70" s="12"/>
      <c r="IBU70" s="12"/>
      <c r="IBV70" s="12"/>
      <c r="ICM70" s="12"/>
      <c r="ICN70" s="12"/>
      <c r="IDE70" s="12"/>
      <c r="IDF70" s="12"/>
      <c r="IDW70" s="12"/>
      <c r="IDX70" s="12"/>
      <c r="IEO70" s="12"/>
      <c r="IEP70" s="12"/>
      <c r="IFG70" s="12"/>
      <c r="IFH70" s="12"/>
      <c r="IFY70" s="12"/>
      <c r="IFZ70" s="12"/>
      <c r="IGQ70" s="12"/>
      <c r="IGR70" s="12"/>
      <c r="IHI70" s="12"/>
      <c r="IHJ70" s="12"/>
      <c r="IIA70" s="12"/>
      <c r="IIB70" s="12"/>
      <c r="IIS70" s="12"/>
      <c r="IIT70" s="12"/>
      <c r="IJK70" s="12"/>
      <c r="IJL70" s="12"/>
      <c r="IKC70" s="12"/>
      <c r="IKD70" s="12"/>
      <c r="IKU70" s="12"/>
      <c r="IKV70" s="12"/>
      <c r="ILM70" s="12"/>
      <c r="ILN70" s="12"/>
      <c r="IME70" s="12"/>
      <c r="IMF70" s="12"/>
      <c r="IMW70" s="12"/>
      <c r="IMX70" s="12"/>
      <c r="INO70" s="12"/>
      <c r="INP70" s="12"/>
      <c r="IOG70" s="12"/>
      <c r="IOH70" s="12"/>
      <c r="IOY70" s="12"/>
      <c r="IOZ70" s="12"/>
      <c r="IPQ70" s="12"/>
      <c r="IPR70" s="12"/>
      <c r="IQI70" s="12"/>
      <c r="IQJ70" s="12"/>
      <c r="IRA70" s="12"/>
      <c r="IRB70" s="12"/>
      <c r="IRS70" s="12"/>
      <c r="IRT70" s="12"/>
      <c r="ISK70" s="12"/>
      <c r="ISL70" s="12"/>
      <c r="ITC70" s="12"/>
      <c r="ITD70" s="12"/>
      <c r="ITU70" s="12"/>
      <c r="ITV70" s="12"/>
      <c r="IUM70" s="12"/>
      <c r="IUN70" s="12"/>
      <c r="IVE70" s="12"/>
      <c r="IVF70" s="12"/>
      <c r="IVW70" s="12"/>
      <c r="IVX70" s="12"/>
      <c r="IWO70" s="12"/>
      <c r="IWP70" s="12"/>
      <c r="IXG70" s="12"/>
      <c r="IXH70" s="12"/>
      <c r="IXY70" s="12"/>
      <c r="IXZ70" s="12"/>
      <c r="IYQ70" s="12"/>
      <c r="IYR70" s="12"/>
      <c r="IZI70" s="12"/>
      <c r="IZJ70" s="12"/>
      <c r="JAA70" s="12"/>
      <c r="JAB70" s="12"/>
      <c r="JAS70" s="12"/>
      <c r="JAT70" s="12"/>
      <c r="JBK70" s="12"/>
      <c r="JBL70" s="12"/>
      <c r="JCC70" s="12"/>
      <c r="JCD70" s="12"/>
      <c r="JCU70" s="12"/>
      <c r="JCV70" s="12"/>
      <c r="JDM70" s="12"/>
      <c r="JDN70" s="12"/>
      <c r="JEE70" s="12"/>
      <c r="JEF70" s="12"/>
      <c r="JEW70" s="12"/>
      <c r="JEX70" s="12"/>
      <c r="JFO70" s="12"/>
      <c r="JFP70" s="12"/>
      <c r="JGG70" s="12"/>
      <c r="JGH70" s="12"/>
      <c r="JGY70" s="12"/>
      <c r="JGZ70" s="12"/>
      <c r="JHQ70" s="12"/>
      <c r="JHR70" s="12"/>
      <c r="JII70" s="12"/>
      <c r="JIJ70" s="12"/>
      <c r="JJA70" s="12"/>
      <c r="JJB70" s="12"/>
      <c r="JJS70" s="12"/>
      <c r="JJT70" s="12"/>
      <c r="JKK70" s="12"/>
      <c r="JKL70" s="12"/>
      <c r="JLC70" s="12"/>
      <c r="JLD70" s="12"/>
      <c r="JLU70" s="12"/>
      <c r="JLV70" s="12"/>
      <c r="JMM70" s="12"/>
      <c r="JMN70" s="12"/>
      <c r="JNE70" s="12"/>
      <c r="JNF70" s="12"/>
      <c r="JNW70" s="12"/>
      <c r="JNX70" s="12"/>
      <c r="JOO70" s="12"/>
      <c r="JOP70" s="12"/>
      <c r="JPG70" s="12"/>
      <c r="JPH70" s="12"/>
      <c r="JPY70" s="12"/>
      <c r="JPZ70" s="12"/>
      <c r="JQQ70" s="12"/>
      <c r="JQR70" s="12"/>
      <c r="JRI70" s="12"/>
      <c r="JRJ70" s="12"/>
      <c r="JSA70" s="12"/>
      <c r="JSB70" s="12"/>
      <c r="JSS70" s="12"/>
      <c r="JST70" s="12"/>
      <c r="JTK70" s="12"/>
      <c r="JTL70" s="12"/>
      <c r="JUC70" s="12"/>
      <c r="JUD70" s="12"/>
      <c r="JUU70" s="12"/>
      <c r="JUV70" s="12"/>
      <c r="JVM70" s="12"/>
      <c r="JVN70" s="12"/>
      <c r="JWE70" s="12"/>
      <c r="JWF70" s="12"/>
      <c r="JWW70" s="12"/>
      <c r="JWX70" s="12"/>
      <c r="JXO70" s="12"/>
      <c r="JXP70" s="12"/>
      <c r="JYG70" s="12"/>
      <c r="JYH70" s="12"/>
      <c r="JYY70" s="12"/>
      <c r="JYZ70" s="12"/>
      <c r="JZQ70" s="12"/>
      <c r="JZR70" s="12"/>
      <c r="KAI70" s="12"/>
      <c r="KAJ70" s="12"/>
      <c r="KBA70" s="12"/>
      <c r="KBB70" s="12"/>
      <c r="KBS70" s="12"/>
      <c r="KBT70" s="12"/>
      <c r="KCK70" s="12"/>
      <c r="KCL70" s="12"/>
      <c r="KDC70" s="12"/>
      <c r="KDD70" s="12"/>
      <c r="KDU70" s="12"/>
      <c r="KDV70" s="12"/>
      <c r="KEM70" s="12"/>
      <c r="KEN70" s="12"/>
      <c r="KFE70" s="12"/>
      <c r="KFF70" s="12"/>
      <c r="KFW70" s="12"/>
      <c r="KFX70" s="12"/>
      <c r="KGO70" s="12"/>
      <c r="KGP70" s="12"/>
      <c r="KHG70" s="12"/>
      <c r="KHH70" s="12"/>
      <c r="KHY70" s="12"/>
      <c r="KHZ70" s="12"/>
      <c r="KIQ70" s="12"/>
      <c r="KIR70" s="12"/>
      <c r="KJI70" s="12"/>
      <c r="KJJ70" s="12"/>
      <c r="KKA70" s="12"/>
      <c r="KKB70" s="12"/>
      <c r="KKS70" s="12"/>
      <c r="KKT70" s="12"/>
      <c r="KLK70" s="12"/>
      <c r="KLL70" s="12"/>
      <c r="KMC70" s="12"/>
      <c r="KMD70" s="12"/>
      <c r="KMU70" s="12"/>
      <c r="KMV70" s="12"/>
      <c r="KNM70" s="12"/>
      <c r="KNN70" s="12"/>
      <c r="KOE70" s="12"/>
      <c r="KOF70" s="12"/>
      <c r="KOW70" s="12"/>
      <c r="KOX70" s="12"/>
      <c r="KPO70" s="12"/>
      <c r="KPP70" s="12"/>
      <c r="KQG70" s="12"/>
      <c r="KQH70" s="12"/>
      <c r="KQY70" s="12"/>
      <c r="KQZ70" s="12"/>
      <c r="KRQ70" s="12"/>
      <c r="KRR70" s="12"/>
      <c r="KSI70" s="12"/>
      <c r="KSJ70" s="12"/>
      <c r="KTA70" s="12"/>
      <c r="KTB70" s="12"/>
      <c r="KTS70" s="12"/>
      <c r="KTT70" s="12"/>
      <c r="KUK70" s="12"/>
      <c r="KUL70" s="12"/>
      <c r="KVC70" s="12"/>
      <c r="KVD70" s="12"/>
      <c r="KVU70" s="12"/>
      <c r="KVV70" s="12"/>
      <c r="KWM70" s="12"/>
      <c r="KWN70" s="12"/>
      <c r="KXE70" s="12"/>
      <c r="KXF70" s="12"/>
      <c r="KXW70" s="12"/>
      <c r="KXX70" s="12"/>
      <c r="KYO70" s="12"/>
      <c r="KYP70" s="12"/>
      <c r="KZG70" s="12"/>
      <c r="KZH70" s="12"/>
      <c r="KZY70" s="12"/>
      <c r="KZZ70" s="12"/>
      <c r="LAQ70" s="12"/>
      <c r="LAR70" s="12"/>
      <c r="LBI70" s="12"/>
      <c r="LBJ70" s="12"/>
      <c r="LCA70" s="12"/>
      <c r="LCB70" s="12"/>
      <c r="LCS70" s="12"/>
      <c r="LCT70" s="12"/>
      <c r="LDK70" s="12"/>
      <c r="LDL70" s="12"/>
      <c r="LEC70" s="12"/>
      <c r="LED70" s="12"/>
      <c r="LEU70" s="12"/>
      <c r="LEV70" s="12"/>
      <c r="LFM70" s="12"/>
      <c r="LFN70" s="12"/>
      <c r="LGE70" s="12"/>
      <c r="LGF70" s="12"/>
      <c r="LGW70" s="12"/>
      <c r="LGX70" s="12"/>
      <c r="LHO70" s="12"/>
      <c r="LHP70" s="12"/>
      <c r="LIG70" s="12"/>
      <c r="LIH70" s="12"/>
      <c r="LIY70" s="12"/>
      <c r="LIZ70" s="12"/>
      <c r="LJQ70" s="12"/>
      <c r="LJR70" s="12"/>
      <c r="LKI70" s="12"/>
      <c r="LKJ70" s="12"/>
      <c r="LLA70" s="12"/>
      <c r="LLB70" s="12"/>
      <c r="LLS70" s="12"/>
      <c r="LLT70" s="12"/>
      <c r="LMK70" s="12"/>
      <c r="LML70" s="12"/>
      <c r="LNC70" s="12"/>
      <c r="LND70" s="12"/>
      <c r="LNU70" s="12"/>
      <c r="LNV70" s="12"/>
      <c r="LOM70" s="12"/>
      <c r="LON70" s="12"/>
      <c r="LPE70" s="12"/>
      <c r="LPF70" s="12"/>
      <c r="LPW70" s="12"/>
      <c r="LPX70" s="12"/>
      <c r="LQO70" s="12"/>
      <c r="LQP70" s="12"/>
      <c r="LRG70" s="12"/>
      <c r="LRH70" s="12"/>
      <c r="LRY70" s="12"/>
      <c r="LRZ70" s="12"/>
      <c r="LSQ70" s="12"/>
      <c r="LSR70" s="12"/>
      <c r="LTI70" s="12"/>
      <c r="LTJ70" s="12"/>
      <c r="LUA70" s="12"/>
      <c r="LUB70" s="12"/>
      <c r="LUS70" s="12"/>
      <c r="LUT70" s="12"/>
      <c r="LVK70" s="12"/>
      <c r="LVL70" s="12"/>
      <c r="LWC70" s="12"/>
      <c r="LWD70" s="12"/>
      <c r="LWU70" s="12"/>
      <c r="LWV70" s="12"/>
      <c r="LXM70" s="12"/>
      <c r="LXN70" s="12"/>
      <c r="LYE70" s="12"/>
      <c r="LYF70" s="12"/>
      <c r="LYW70" s="12"/>
      <c r="LYX70" s="12"/>
      <c r="LZO70" s="12"/>
      <c r="LZP70" s="12"/>
      <c r="MAG70" s="12"/>
      <c r="MAH70" s="12"/>
      <c r="MAY70" s="12"/>
      <c r="MAZ70" s="12"/>
      <c r="MBQ70" s="12"/>
      <c r="MBR70" s="12"/>
      <c r="MCI70" s="12"/>
      <c r="MCJ70" s="12"/>
      <c r="MDA70" s="12"/>
      <c r="MDB70" s="12"/>
      <c r="MDS70" s="12"/>
      <c r="MDT70" s="12"/>
      <c r="MEK70" s="12"/>
      <c r="MEL70" s="12"/>
      <c r="MFC70" s="12"/>
      <c r="MFD70" s="12"/>
      <c r="MFU70" s="12"/>
      <c r="MFV70" s="12"/>
      <c r="MGM70" s="12"/>
      <c r="MGN70" s="12"/>
      <c r="MHE70" s="12"/>
      <c r="MHF70" s="12"/>
      <c r="MHW70" s="12"/>
      <c r="MHX70" s="12"/>
      <c r="MIO70" s="12"/>
      <c r="MIP70" s="12"/>
      <c r="MJG70" s="12"/>
      <c r="MJH70" s="12"/>
      <c r="MJY70" s="12"/>
      <c r="MJZ70" s="12"/>
      <c r="MKQ70" s="12"/>
      <c r="MKR70" s="12"/>
      <c r="MLI70" s="12"/>
      <c r="MLJ70" s="12"/>
      <c r="MMA70" s="12"/>
      <c r="MMB70" s="12"/>
      <c r="MMS70" s="12"/>
      <c r="MMT70" s="12"/>
      <c r="MNK70" s="12"/>
      <c r="MNL70" s="12"/>
      <c r="MOC70" s="12"/>
      <c r="MOD70" s="12"/>
      <c r="MOU70" s="12"/>
      <c r="MOV70" s="12"/>
      <c r="MPM70" s="12"/>
      <c r="MPN70" s="12"/>
      <c r="MQE70" s="12"/>
      <c r="MQF70" s="12"/>
      <c r="MQW70" s="12"/>
      <c r="MQX70" s="12"/>
      <c r="MRO70" s="12"/>
      <c r="MRP70" s="12"/>
      <c r="MSG70" s="12"/>
      <c r="MSH70" s="12"/>
      <c r="MSY70" s="12"/>
      <c r="MSZ70" s="12"/>
      <c r="MTQ70" s="12"/>
      <c r="MTR70" s="12"/>
      <c r="MUI70" s="12"/>
      <c r="MUJ70" s="12"/>
      <c r="MVA70" s="12"/>
      <c r="MVB70" s="12"/>
      <c r="MVS70" s="12"/>
      <c r="MVT70" s="12"/>
      <c r="MWK70" s="12"/>
      <c r="MWL70" s="12"/>
      <c r="MXC70" s="12"/>
      <c r="MXD70" s="12"/>
      <c r="MXU70" s="12"/>
      <c r="MXV70" s="12"/>
      <c r="MYM70" s="12"/>
      <c r="MYN70" s="12"/>
      <c r="MZE70" s="12"/>
      <c r="MZF70" s="12"/>
      <c r="MZW70" s="12"/>
      <c r="MZX70" s="12"/>
      <c r="NAO70" s="12"/>
      <c r="NAP70" s="12"/>
      <c r="NBG70" s="12"/>
      <c r="NBH70" s="12"/>
      <c r="NBY70" s="12"/>
      <c r="NBZ70" s="12"/>
      <c r="NCQ70" s="12"/>
      <c r="NCR70" s="12"/>
      <c r="NDI70" s="12"/>
      <c r="NDJ70" s="12"/>
      <c r="NEA70" s="12"/>
      <c r="NEB70" s="12"/>
      <c r="NES70" s="12"/>
      <c r="NET70" s="12"/>
      <c r="NFK70" s="12"/>
      <c r="NFL70" s="12"/>
      <c r="NGC70" s="12"/>
      <c r="NGD70" s="12"/>
      <c r="NGU70" s="12"/>
      <c r="NGV70" s="12"/>
      <c r="NHM70" s="12"/>
      <c r="NHN70" s="12"/>
      <c r="NIE70" s="12"/>
      <c r="NIF70" s="12"/>
      <c r="NIW70" s="12"/>
      <c r="NIX70" s="12"/>
      <c r="NJO70" s="12"/>
      <c r="NJP70" s="12"/>
      <c r="NKG70" s="12"/>
      <c r="NKH70" s="12"/>
      <c r="NKY70" s="12"/>
      <c r="NKZ70" s="12"/>
      <c r="NLQ70" s="12"/>
      <c r="NLR70" s="12"/>
      <c r="NMI70" s="12"/>
      <c r="NMJ70" s="12"/>
      <c r="NNA70" s="12"/>
      <c r="NNB70" s="12"/>
      <c r="NNS70" s="12"/>
      <c r="NNT70" s="12"/>
      <c r="NOK70" s="12"/>
      <c r="NOL70" s="12"/>
      <c r="NPC70" s="12"/>
      <c r="NPD70" s="12"/>
      <c r="NPU70" s="12"/>
      <c r="NPV70" s="12"/>
      <c r="NQM70" s="12"/>
      <c r="NQN70" s="12"/>
      <c r="NRE70" s="12"/>
      <c r="NRF70" s="12"/>
      <c r="NRW70" s="12"/>
      <c r="NRX70" s="12"/>
      <c r="NSO70" s="12"/>
      <c r="NSP70" s="12"/>
      <c r="NTG70" s="12"/>
      <c r="NTH70" s="12"/>
      <c r="NTY70" s="12"/>
      <c r="NTZ70" s="12"/>
      <c r="NUQ70" s="12"/>
      <c r="NUR70" s="12"/>
      <c r="NVI70" s="12"/>
      <c r="NVJ70" s="12"/>
      <c r="NWA70" s="12"/>
      <c r="NWB70" s="12"/>
      <c r="NWS70" s="12"/>
      <c r="NWT70" s="12"/>
      <c r="NXK70" s="12"/>
      <c r="NXL70" s="12"/>
      <c r="NYC70" s="12"/>
      <c r="NYD70" s="12"/>
      <c r="NYU70" s="12"/>
      <c r="NYV70" s="12"/>
      <c r="NZM70" s="12"/>
      <c r="NZN70" s="12"/>
      <c r="OAE70" s="12"/>
      <c r="OAF70" s="12"/>
      <c r="OAW70" s="12"/>
      <c r="OAX70" s="12"/>
      <c r="OBO70" s="12"/>
      <c r="OBP70" s="12"/>
      <c r="OCG70" s="12"/>
      <c r="OCH70" s="12"/>
      <c r="OCY70" s="12"/>
      <c r="OCZ70" s="12"/>
      <c r="ODQ70" s="12"/>
      <c r="ODR70" s="12"/>
      <c r="OEI70" s="12"/>
      <c r="OEJ70" s="12"/>
      <c r="OFA70" s="12"/>
      <c r="OFB70" s="12"/>
      <c r="OFS70" s="12"/>
      <c r="OFT70" s="12"/>
      <c r="OGK70" s="12"/>
      <c r="OGL70" s="12"/>
      <c r="OHC70" s="12"/>
      <c r="OHD70" s="12"/>
      <c r="OHU70" s="12"/>
      <c r="OHV70" s="12"/>
      <c r="OIM70" s="12"/>
      <c r="OIN70" s="12"/>
      <c r="OJE70" s="12"/>
      <c r="OJF70" s="12"/>
      <c r="OJW70" s="12"/>
      <c r="OJX70" s="12"/>
      <c r="OKO70" s="12"/>
      <c r="OKP70" s="12"/>
      <c r="OLG70" s="12"/>
      <c r="OLH70" s="12"/>
      <c r="OLY70" s="12"/>
      <c r="OLZ70" s="12"/>
      <c r="OMQ70" s="12"/>
      <c r="OMR70" s="12"/>
      <c r="ONI70" s="12"/>
      <c r="ONJ70" s="12"/>
      <c r="OOA70" s="12"/>
      <c r="OOB70" s="12"/>
      <c r="OOS70" s="12"/>
      <c r="OOT70" s="12"/>
      <c r="OPK70" s="12"/>
      <c r="OPL70" s="12"/>
      <c r="OQC70" s="12"/>
      <c r="OQD70" s="12"/>
      <c r="OQU70" s="12"/>
      <c r="OQV70" s="12"/>
      <c r="ORM70" s="12"/>
      <c r="ORN70" s="12"/>
      <c r="OSE70" s="12"/>
      <c r="OSF70" s="12"/>
      <c r="OSW70" s="12"/>
      <c r="OSX70" s="12"/>
      <c r="OTO70" s="12"/>
      <c r="OTP70" s="12"/>
      <c r="OUG70" s="12"/>
      <c r="OUH70" s="12"/>
      <c r="OUY70" s="12"/>
      <c r="OUZ70" s="12"/>
      <c r="OVQ70" s="12"/>
      <c r="OVR70" s="12"/>
      <c r="OWI70" s="12"/>
      <c r="OWJ70" s="12"/>
      <c r="OXA70" s="12"/>
      <c r="OXB70" s="12"/>
      <c r="OXS70" s="12"/>
      <c r="OXT70" s="12"/>
      <c r="OYK70" s="12"/>
      <c r="OYL70" s="12"/>
      <c r="OZC70" s="12"/>
      <c r="OZD70" s="12"/>
      <c r="OZU70" s="12"/>
      <c r="OZV70" s="12"/>
      <c r="PAM70" s="12"/>
      <c r="PAN70" s="12"/>
      <c r="PBE70" s="12"/>
      <c r="PBF70" s="12"/>
      <c r="PBW70" s="12"/>
      <c r="PBX70" s="12"/>
      <c r="PCO70" s="12"/>
      <c r="PCP70" s="12"/>
      <c r="PDG70" s="12"/>
      <c r="PDH70" s="12"/>
      <c r="PDY70" s="12"/>
      <c r="PDZ70" s="12"/>
      <c r="PEQ70" s="12"/>
      <c r="PER70" s="12"/>
      <c r="PFI70" s="12"/>
      <c r="PFJ70" s="12"/>
      <c r="PGA70" s="12"/>
      <c r="PGB70" s="12"/>
      <c r="PGS70" s="12"/>
      <c r="PGT70" s="12"/>
      <c r="PHK70" s="12"/>
      <c r="PHL70" s="12"/>
      <c r="PIC70" s="12"/>
      <c r="PID70" s="12"/>
      <c r="PIU70" s="12"/>
      <c r="PIV70" s="12"/>
      <c r="PJM70" s="12"/>
      <c r="PJN70" s="12"/>
      <c r="PKE70" s="12"/>
      <c r="PKF70" s="12"/>
      <c r="PKW70" s="12"/>
      <c r="PKX70" s="12"/>
      <c r="PLO70" s="12"/>
      <c r="PLP70" s="12"/>
      <c r="PMG70" s="12"/>
      <c r="PMH70" s="12"/>
      <c r="PMY70" s="12"/>
      <c r="PMZ70" s="12"/>
      <c r="PNQ70" s="12"/>
      <c r="PNR70" s="12"/>
      <c r="POI70" s="12"/>
      <c r="POJ70" s="12"/>
      <c r="PPA70" s="12"/>
      <c r="PPB70" s="12"/>
      <c r="PPS70" s="12"/>
      <c r="PPT70" s="12"/>
      <c r="PQK70" s="12"/>
      <c r="PQL70" s="12"/>
      <c r="PRC70" s="12"/>
      <c r="PRD70" s="12"/>
      <c r="PRU70" s="12"/>
      <c r="PRV70" s="12"/>
      <c r="PSM70" s="12"/>
      <c r="PSN70" s="12"/>
      <c r="PTE70" s="12"/>
      <c r="PTF70" s="12"/>
      <c r="PTW70" s="12"/>
      <c r="PTX70" s="12"/>
      <c r="PUO70" s="12"/>
      <c r="PUP70" s="12"/>
      <c r="PVG70" s="12"/>
      <c r="PVH70" s="12"/>
      <c r="PVY70" s="12"/>
      <c r="PVZ70" s="12"/>
      <c r="PWQ70" s="12"/>
      <c r="PWR70" s="12"/>
      <c r="PXI70" s="12"/>
      <c r="PXJ70" s="12"/>
      <c r="PYA70" s="12"/>
      <c r="PYB70" s="12"/>
      <c r="PYS70" s="12"/>
      <c r="PYT70" s="12"/>
      <c r="PZK70" s="12"/>
      <c r="PZL70" s="12"/>
      <c r="QAC70" s="12"/>
      <c r="QAD70" s="12"/>
      <c r="QAU70" s="12"/>
      <c r="QAV70" s="12"/>
      <c r="QBM70" s="12"/>
      <c r="QBN70" s="12"/>
      <c r="QCE70" s="12"/>
      <c r="QCF70" s="12"/>
      <c r="QCW70" s="12"/>
      <c r="QCX70" s="12"/>
      <c r="QDO70" s="12"/>
      <c r="QDP70" s="12"/>
      <c r="QEG70" s="12"/>
      <c r="QEH70" s="12"/>
      <c r="QEY70" s="12"/>
      <c r="QEZ70" s="12"/>
      <c r="QFQ70" s="12"/>
      <c r="QFR70" s="12"/>
      <c r="QGI70" s="12"/>
      <c r="QGJ70" s="12"/>
      <c r="QHA70" s="12"/>
      <c r="QHB70" s="12"/>
      <c r="QHS70" s="12"/>
      <c r="QHT70" s="12"/>
      <c r="QIK70" s="12"/>
      <c r="QIL70" s="12"/>
      <c r="QJC70" s="12"/>
      <c r="QJD70" s="12"/>
      <c r="QJU70" s="12"/>
      <c r="QJV70" s="12"/>
      <c r="QKM70" s="12"/>
      <c r="QKN70" s="12"/>
      <c r="QLE70" s="12"/>
      <c r="QLF70" s="12"/>
      <c r="QLW70" s="12"/>
      <c r="QLX70" s="12"/>
      <c r="QMO70" s="12"/>
      <c r="QMP70" s="12"/>
      <c r="QNG70" s="12"/>
      <c r="QNH70" s="12"/>
      <c r="QNY70" s="12"/>
      <c r="QNZ70" s="12"/>
      <c r="QOQ70" s="12"/>
      <c r="QOR70" s="12"/>
      <c r="QPI70" s="12"/>
      <c r="QPJ70" s="12"/>
      <c r="QQA70" s="12"/>
      <c r="QQB70" s="12"/>
      <c r="QQS70" s="12"/>
      <c r="QQT70" s="12"/>
      <c r="QRK70" s="12"/>
      <c r="QRL70" s="12"/>
      <c r="QSC70" s="12"/>
      <c r="QSD70" s="12"/>
      <c r="QSU70" s="12"/>
      <c r="QSV70" s="12"/>
      <c r="QTM70" s="12"/>
      <c r="QTN70" s="12"/>
      <c r="QUE70" s="12"/>
      <c r="QUF70" s="12"/>
      <c r="QUW70" s="12"/>
      <c r="QUX70" s="12"/>
      <c r="QVO70" s="12"/>
      <c r="QVP70" s="12"/>
      <c r="QWG70" s="12"/>
      <c r="QWH70" s="12"/>
      <c r="QWY70" s="12"/>
      <c r="QWZ70" s="12"/>
      <c r="QXQ70" s="12"/>
      <c r="QXR70" s="12"/>
      <c r="QYI70" s="12"/>
      <c r="QYJ70" s="12"/>
      <c r="QZA70" s="12"/>
      <c r="QZB70" s="12"/>
      <c r="QZS70" s="12"/>
      <c r="QZT70" s="12"/>
      <c r="RAK70" s="12"/>
      <c r="RAL70" s="12"/>
      <c r="RBC70" s="12"/>
      <c r="RBD70" s="12"/>
      <c r="RBU70" s="12"/>
      <c r="RBV70" s="12"/>
      <c r="RCM70" s="12"/>
      <c r="RCN70" s="12"/>
      <c r="RDE70" s="12"/>
      <c r="RDF70" s="12"/>
      <c r="RDW70" s="12"/>
      <c r="RDX70" s="12"/>
      <c r="REO70" s="12"/>
      <c r="REP70" s="12"/>
      <c r="RFG70" s="12"/>
      <c r="RFH70" s="12"/>
      <c r="RFY70" s="12"/>
      <c r="RFZ70" s="12"/>
      <c r="RGQ70" s="12"/>
      <c r="RGR70" s="12"/>
      <c r="RHI70" s="12"/>
      <c r="RHJ70" s="12"/>
      <c r="RIA70" s="12"/>
      <c r="RIB70" s="12"/>
      <c r="RIS70" s="12"/>
      <c r="RIT70" s="12"/>
      <c r="RJK70" s="12"/>
      <c r="RJL70" s="12"/>
      <c r="RKC70" s="12"/>
      <c r="RKD70" s="12"/>
      <c r="RKU70" s="12"/>
      <c r="RKV70" s="12"/>
      <c r="RLM70" s="12"/>
      <c r="RLN70" s="12"/>
      <c r="RME70" s="12"/>
      <c r="RMF70" s="12"/>
      <c r="RMW70" s="12"/>
      <c r="RMX70" s="12"/>
      <c r="RNO70" s="12"/>
      <c r="RNP70" s="12"/>
      <c r="ROG70" s="12"/>
      <c r="ROH70" s="12"/>
      <c r="ROY70" s="12"/>
      <c r="ROZ70" s="12"/>
      <c r="RPQ70" s="12"/>
      <c r="RPR70" s="12"/>
      <c r="RQI70" s="12"/>
      <c r="RQJ70" s="12"/>
      <c r="RRA70" s="12"/>
      <c r="RRB70" s="12"/>
      <c r="RRS70" s="12"/>
      <c r="RRT70" s="12"/>
      <c r="RSK70" s="12"/>
      <c r="RSL70" s="12"/>
      <c r="RTC70" s="12"/>
      <c r="RTD70" s="12"/>
      <c r="RTU70" s="12"/>
      <c r="RTV70" s="12"/>
      <c r="RUM70" s="12"/>
      <c r="RUN70" s="12"/>
      <c r="RVE70" s="12"/>
      <c r="RVF70" s="12"/>
      <c r="RVW70" s="12"/>
      <c r="RVX70" s="12"/>
      <c r="RWO70" s="12"/>
      <c r="RWP70" s="12"/>
      <c r="RXG70" s="12"/>
      <c r="RXH70" s="12"/>
      <c r="RXY70" s="12"/>
      <c r="RXZ70" s="12"/>
      <c r="RYQ70" s="12"/>
      <c r="RYR70" s="12"/>
      <c r="RZI70" s="12"/>
      <c r="RZJ70" s="12"/>
      <c r="SAA70" s="12"/>
      <c r="SAB70" s="12"/>
      <c r="SAS70" s="12"/>
      <c r="SAT70" s="12"/>
      <c r="SBK70" s="12"/>
      <c r="SBL70" s="12"/>
      <c r="SCC70" s="12"/>
      <c r="SCD70" s="12"/>
      <c r="SCU70" s="12"/>
      <c r="SCV70" s="12"/>
      <c r="SDM70" s="12"/>
      <c r="SDN70" s="12"/>
      <c r="SEE70" s="12"/>
      <c r="SEF70" s="12"/>
      <c r="SEW70" s="12"/>
      <c r="SEX70" s="12"/>
      <c r="SFO70" s="12"/>
      <c r="SFP70" s="12"/>
      <c r="SGG70" s="12"/>
      <c r="SGH70" s="12"/>
      <c r="SGY70" s="12"/>
      <c r="SGZ70" s="12"/>
      <c r="SHQ70" s="12"/>
      <c r="SHR70" s="12"/>
      <c r="SII70" s="12"/>
      <c r="SIJ70" s="12"/>
      <c r="SJA70" s="12"/>
      <c r="SJB70" s="12"/>
      <c r="SJS70" s="12"/>
      <c r="SJT70" s="12"/>
      <c r="SKK70" s="12"/>
      <c r="SKL70" s="12"/>
      <c r="SLC70" s="12"/>
      <c r="SLD70" s="12"/>
      <c r="SLU70" s="12"/>
      <c r="SLV70" s="12"/>
      <c r="SMM70" s="12"/>
      <c r="SMN70" s="12"/>
      <c r="SNE70" s="12"/>
      <c r="SNF70" s="12"/>
      <c r="SNW70" s="12"/>
      <c r="SNX70" s="12"/>
      <c r="SOO70" s="12"/>
      <c r="SOP70" s="12"/>
      <c r="SPG70" s="12"/>
      <c r="SPH70" s="12"/>
      <c r="SPY70" s="12"/>
      <c r="SPZ70" s="12"/>
      <c r="SQQ70" s="12"/>
      <c r="SQR70" s="12"/>
      <c r="SRI70" s="12"/>
      <c r="SRJ70" s="12"/>
      <c r="SSA70" s="12"/>
      <c r="SSB70" s="12"/>
      <c r="SSS70" s="12"/>
      <c r="SST70" s="12"/>
      <c r="STK70" s="12"/>
      <c r="STL70" s="12"/>
      <c r="SUC70" s="12"/>
      <c r="SUD70" s="12"/>
      <c r="SUU70" s="12"/>
      <c r="SUV70" s="12"/>
      <c r="SVM70" s="12"/>
      <c r="SVN70" s="12"/>
      <c r="SWE70" s="12"/>
      <c r="SWF70" s="12"/>
      <c r="SWW70" s="12"/>
      <c r="SWX70" s="12"/>
      <c r="SXO70" s="12"/>
      <c r="SXP70" s="12"/>
      <c r="SYG70" s="12"/>
      <c r="SYH70" s="12"/>
      <c r="SYY70" s="12"/>
      <c r="SYZ70" s="12"/>
      <c r="SZQ70" s="12"/>
      <c r="SZR70" s="12"/>
      <c r="TAI70" s="12"/>
      <c r="TAJ70" s="12"/>
      <c r="TBA70" s="12"/>
      <c r="TBB70" s="12"/>
      <c r="TBS70" s="12"/>
      <c r="TBT70" s="12"/>
      <c r="TCK70" s="12"/>
      <c r="TCL70" s="12"/>
      <c r="TDC70" s="12"/>
      <c r="TDD70" s="12"/>
      <c r="TDU70" s="12"/>
      <c r="TDV70" s="12"/>
      <c r="TEM70" s="12"/>
      <c r="TEN70" s="12"/>
      <c r="TFE70" s="12"/>
      <c r="TFF70" s="12"/>
      <c r="TFW70" s="12"/>
      <c r="TFX70" s="12"/>
      <c r="TGO70" s="12"/>
      <c r="TGP70" s="12"/>
      <c r="THG70" s="12"/>
      <c r="THH70" s="12"/>
      <c r="THY70" s="12"/>
      <c r="THZ70" s="12"/>
      <c r="TIQ70" s="12"/>
      <c r="TIR70" s="12"/>
      <c r="TJI70" s="12"/>
      <c r="TJJ70" s="12"/>
      <c r="TKA70" s="12"/>
      <c r="TKB70" s="12"/>
      <c r="TKS70" s="12"/>
      <c r="TKT70" s="12"/>
      <c r="TLK70" s="12"/>
      <c r="TLL70" s="12"/>
      <c r="TMC70" s="12"/>
      <c r="TMD70" s="12"/>
      <c r="TMU70" s="12"/>
      <c r="TMV70" s="12"/>
      <c r="TNM70" s="12"/>
      <c r="TNN70" s="12"/>
      <c r="TOE70" s="12"/>
      <c r="TOF70" s="12"/>
      <c r="TOW70" s="12"/>
      <c r="TOX70" s="12"/>
      <c r="TPO70" s="12"/>
      <c r="TPP70" s="12"/>
      <c r="TQG70" s="12"/>
      <c r="TQH70" s="12"/>
      <c r="TQY70" s="12"/>
      <c r="TQZ70" s="12"/>
      <c r="TRQ70" s="12"/>
      <c r="TRR70" s="12"/>
      <c r="TSI70" s="12"/>
      <c r="TSJ70" s="12"/>
      <c r="TTA70" s="12"/>
      <c r="TTB70" s="12"/>
      <c r="TTS70" s="12"/>
      <c r="TTT70" s="12"/>
      <c r="TUK70" s="12"/>
      <c r="TUL70" s="12"/>
      <c r="TVC70" s="12"/>
      <c r="TVD70" s="12"/>
      <c r="TVU70" s="12"/>
      <c r="TVV70" s="12"/>
      <c r="TWM70" s="12"/>
      <c r="TWN70" s="12"/>
      <c r="TXE70" s="12"/>
      <c r="TXF70" s="12"/>
      <c r="TXW70" s="12"/>
      <c r="TXX70" s="12"/>
      <c r="TYO70" s="12"/>
      <c r="TYP70" s="12"/>
      <c r="TZG70" s="12"/>
      <c r="TZH70" s="12"/>
      <c r="TZY70" s="12"/>
      <c r="TZZ70" s="12"/>
      <c r="UAQ70" s="12"/>
      <c r="UAR70" s="12"/>
      <c r="UBI70" s="12"/>
      <c r="UBJ70" s="12"/>
      <c r="UCA70" s="12"/>
      <c r="UCB70" s="12"/>
      <c r="UCS70" s="12"/>
      <c r="UCT70" s="12"/>
      <c r="UDK70" s="12"/>
      <c r="UDL70" s="12"/>
      <c r="UEC70" s="12"/>
      <c r="UED70" s="12"/>
      <c r="UEU70" s="12"/>
      <c r="UEV70" s="12"/>
      <c r="UFM70" s="12"/>
      <c r="UFN70" s="12"/>
      <c r="UGE70" s="12"/>
      <c r="UGF70" s="12"/>
      <c r="UGW70" s="12"/>
      <c r="UGX70" s="12"/>
      <c r="UHO70" s="12"/>
      <c r="UHP70" s="12"/>
      <c r="UIG70" s="12"/>
      <c r="UIH70" s="12"/>
      <c r="UIY70" s="12"/>
      <c r="UIZ70" s="12"/>
      <c r="UJQ70" s="12"/>
      <c r="UJR70" s="12"/>
      <c r="UKI70" s="12"/>
      <c r="UKJ70" s="12"/>
      <c r="ULA70" s="12"/>
      <c r="ULB70" s="12"/>
      <c r="ULS70" s="12"/>
      <c r="ULT70" s="12"/>
      <c r="UMK70" s="12"/>
      <c r="UML70" s="12"/>
      <c r="UNC70" s="12"/>
      <c r="UND70" s="12"/>
      <c r="UNU70" s="12"/>
      <c r="UNV70" s="12"/>
      <c r="UOM70" s="12"/>
      <c r="UON70" s="12"/>
      <c r="UPE70" s="12"/>
      <c r="UPF70" s="12"/>
      <c r="UPW70" s="12"/>
      <c r="UPX70" s="12"/>
      <c r="UQO70" s="12"/>
      <c r="UQP70" s="12"/>
      <c r="URG70" s="12"/>
      <c r="URH70" s="12"/>
      <c r="URY70" s="12"/>
      <c r="URZ70" s="12"/>
      <c r="USQ70" s="12"/>
      <c r="USR70" s="12"/>
      <c r="UTI70" s="12"/>
      <c r="UTJ70" s="12"/>
      <c r="UUA70" s="12"/>
      <c r="UUB70" s="12"/>
      <c r="UUS70" s="12"/>
      <c r="UUT70" s="12"/>
      <c r="UVK70" s="12"/>
      <c r="UVL70" s="12"/>
      <c r="UWC70" s="12"/>
      <c r="UWD70" s="12"/>
      <c r="UWU70" s="12"/>
      <c r="UWV70" s="12"/>
      <c r="UXM70" s="12"/>
      <c r="UXN70" s="12"/>
      <c r="UYE70" s="12"/>
      <c r="UYF70" s="12"/>
      <c r="UYW70" s="12"/>
      <c r="UYX70" s="12"/>
      <c r="UZO70" s="12"/>
      <c r="UZP70" s="12"/>
      <c r="VAG70" s="12"/>
      <c r="VAH70" s="12"/>
      <c r="VAY70" s="12"/>
      <c r="VAZ70" s="12"/>
      <c r="VBQ70" s="12"/>
      <c r="VBR70" s="12"/>
      <c r="VCI70" s="12"/>
      <c r="VCJ70" s="12"/>
      <c r="VDA70" s="12"/>
      <c r="VDB70" s="12"/>
      <c r="VDS70" s="12"/>
      <c r="VDT70" s="12"/>
      <c r="VEK70" s="12"/>
      <c r="VEL70" s="12"/>
      <c r="VFC70" s="12"/>
      <c r="VFD70" s="12"/>
      <c r="VFU70" s="12"/>
      <c r="VFV70" s="12"/>
      <c r="VGM70" s="12"/>
      <c r="VGN70" s="12"/>
      <c r="VHE70" s="12"/>
      <c r="VHF70" s="12"/>
      <c r="VHW70" s="12"/>
      <c r="VHX70" s="12"/>
      <c r="VIO70" s="12"/>
      <c r="VIP70" s="12"/>
      <c r="VJG70" s="12"/>
      <c r="VJH70" s="12"/>
      <c r="VJY70" s="12"/>
      <c r="VJZ70" s="12"/>
      <c r="VKQ70" s="12"/>
      <c r="VKR70" s="12"/>
      <c r="VLI70" s="12"/>
      <c r="VLJ70" s="12"/>
      <c r="VMA70" s="12"/>
      <c r="VMB70" s="12"/>
      <c r="VMS70" s="12"/>
      <c r="VMT70" s="12"/>
      <c r="VNK70" s="12"/>
      <c r="VNL70" s="12"/>
      <c r="VOC70" s="12"/>
      <c r="VOD70" s="12"/>
      <c r="VOU70" s="12"/>
      <c r="VOV70" s="12"/>
      <c r="VPM70" s="12"/>
      <c r="VPN70" s="12"/>
      <c r="VQE70" s="12"/>
      <c r="VQF70" s="12"/>
      <c r="VQW70" s="12"/>
      <c r="VQX70" s="12"/>
      <c r="VRO70" s="12"/>
      <c r="VRP70" s="12"/>
      <c r="VSG70" s="12"/>
      <c r="VSH70" s="12"/>
      <c r="VSY70" s="12"/>
      <c r="VSZ70" s="12"/>
      <c r="VTQ70" s="12"/>
      <c r="VTR70" s="12"/>
      <c r="VUI70" s="12"/>
      <c r="VUJ70" s="12"/>
      <c r="VVA70" s="12"/>
      <c r="VVB70" s="12"/>
      <c r="VVS70" s="12"/>
      <c r="VVT70" s="12"/>
      <c r="VWK70" s="12"/>
      <c r="VWL70" s="12"/>
      <c r="VXC70" s="12"/>
      <c r="VXD70" s="12"/>
      <c r="VXU70" s="12"/>
      <c r="VXV70" s="12"/>
      <c r="VYM70" s="12"/>
      <c r="VYN70" s="12"/>
      <c r="VZE70" s="12"/>
      <c r="VZF70" s="12"/>
      <c r="VZW70" s="12"/>
      <c r="VZX70" s="12"/>
      <c r="WAO70" s="12"/>
      <c r="WAP70" s="12"/>
      <c r="WBG70" s="12"/>
      <c r="WBH70" s="12"/>
      <c r="WBY70" s="12"/>
      <c r="WBZ70" s="12"/>
      <c r="WCQ70" s="12"/>
      <c r="WCR70" s="12"/>
      <c r="WDI70" s="12"/>
      <c r="WDJ70" s="12"/>
      <c r="WEA70" s="12"/>
      <c r="WEB70" s="12"/>
      <c r="WES70" s="12"/>
      <c r="WET70" s="12"/>
      <c r="WFK70" s="12"/>
      <c r="WFL70" s="12"/>
      <c r="WGC70" s="12"/>
      <c r="WGD70" s="12"/>
      <c r="WGU70" s="12"/>
      <c r="WGV70" s="12"/>
      <c r="WHM70" s="12"/>
      <c r="WHN70" s="12"/>
      <c r="WIE70" s="12"/>
      <c r="WIF70" s="12"/>
      <c r="WIW70" s="12"/>
      <c r="WIX70" s="12"/>
      <c r="WJO70" s="12"/>
      <c r="WJP70" s="12"/>
      <c r="WKG70" s="12"/>
      <c r="WKH70" s="12"/>
      <c r="WKY70" s="12"/>
      <c r="WKZ70" s="12"/>
      <c r="WLQ70" s="12"/>
      <c r="WLR70" s="12"/>
      <c r="WMI70" s="12"/>
      <c r="WMJ70" s="12"/>
      <c r="WNA70" s="12"/>
      <c r="WNB70" s="12"/>
      <c r="WNS70" s="12"/>
      <c r="WNT70" s="12"/>
      <c r="WOK70" s="12"/>
      <c r="WOL70" s="12"/>
      <c r="WPC70" s="12"/>
      <c r="WPD70" s="12"/>
      <c r="WPU70" s="12"/>
      <c r="WPV70" s="12"/>
      <c r="WQM70" s="12"/>
      <c r="WQN70" s="12"/>
      <c r="WRE70" s="12"/>
      <c r="WRF70" s="12"/>
      <c r="WRW70" s="12"/>
      <c r="WRX70" s="12"/>
      <c r="WSO70" s="12"/>
      <c r="WSP70" s="12"/>
      <c r="WTG70" s="12"/>
      <c r="WTH70" s="12"/>
      <c r="WTY70" s="12"/>
      <c r="WTZ70" s="12"/>
      <c r="WUQ70" s="12"/>
      <c r="WUR70" s="12"/>
      <c r="WVI70" s="12"/>
      <c r="WVJ70" s="12"/>
      <c r="WWA70" s="12"/>
      <c r="WWB70" s="12"/>
      <c r="WWS70" s="12"/>
      <c r="WWT70" s="12"/>
      <c r="WXK70" s="12"/>
      <c r="WXL70" s="12"/>
      <c r="WYC70" s="12"/>
      <c r="WYD70" s="12"/>
      <c r="WYU70" s="12"/>
      <c r="WYV70" s="12"/>
      <c r="WZM70" s="12"/>
      <c r="WZN70" s="12"/>
      <c r="XAE70" s="12"/>
      <c r="XAF70" s="12"/>
      <c r="XAW70" s="12"/>
      <c r="XAX70" s="12"/>
      <c r="XBO70" s="12"/>
      <c r="XBP70" s="12"/>
      <c r="XCG70" s="12"/>
      <c r="XCH70" s="12"/>
      <c r="XCY70" s="12"/>
      <c r="XCZ70" s="12"/>
      <c r="XDQ70" s="12"/>
      <c r="XDR70" s="12"/>
      <c r="XEI70" s="12"/>
      <c r="XEJ70" s="12"/>
      <c r="XFA70" s="12"/>
      <c r="XFB70" s="12"/>
    </row>
    <row r="71" spans="1:1010 1027:2036 2053:3062 3079:4088 4105:5114 5131:6140 6157:7166 7183:8192 8209:9200 9217:10226 10243:11252 11269:12278 12295:13304 13321:14330 14347:15356 15373:16382" s="11" customFormat="1" x14ac:dyDescent="0.35">
      <c r="A71" s="181" t="s">
        <v>119</v>
      </c>
      <c r="B71" s="186" t="s">
        <v>120</v>
      </c>
      <c r="C71" s="198">
        <v>0</v>
      </c>
      <c r="D71" s="198">
        <v>0</v>
      </c>
      <c r="E71" s="198">
        <v>0</v>
      </c>
      <c r="F71" s="198">
        <v>0</v>
      </c>
      <c r="G71" s="198">
        <v>5.1230000000000002</v>
      </c>
      <c r="H71" s="198">
        <v>3.9910000000000001</v>
      </c>
      <c r="I71" s="198">
        <v>3.1589999999999998</v>
      </c>
      <c r="J71" s="198">
        <v>3.028</v>
      </c>
      <c r="K71" s="198">
        <v>3.6230000000000002</v>
      </c>
      <c r="L71" s="198">
        <v>4.1130000000000004</v>
      </c>
      <c r="M71" s="312"/>
      <c r="S71" s="12"/>
      <c r="T71" s="12"/>
      <c r="AK71" s="12"/>
      <c r="AL71" s="12"/>
      <c r="BC71" s="12"/>
      <c r="BD71" s="12"/>
      <c r="BU71" s="12"/>
      <c r="BV71" s="12"/>
      <c r="CM71" s="12"/>
      <c r="CN71" s="12"/>
      <c r="DE71" s="12"/>
      <c r="DF71" s="12"/>
      <c r="DW71" s="12"/>
      <c r="DX71" s="12"/>
      <c r="EO71" s="12"/>
      <c r="EP71" s="12"/>
      <c r="FG71" s="12"/>
      <c r="FH71" s="12"/>
      <c r="FY71" s="12"/>
      <c r="FZ71" s="12"/>
      <c r="GQ71" s="12"/>
      <c r="GR71" s="12"/>
      <c r="HI71" s="12"/>
      <c r="HJ71" s="12"/>
      <c r="IA71" s="12"/>
      <c r="IB71" s="12"/>
      <c r="IS71" s="12"/>
      <c r="IT71" s="12"/>
      <c r="JK71" s="12"/>
      <c r="JL71" s="12"/>
      <c r="KC71" s="12"/>
      <c r="KD71" s="12"/>
      <c r="KU71" s="12"/>
      <c r="KV71" s="12"/>
      <c r="LM71" s="12"/>
      <c r="LN71" s="12"/>
      <c r="ME71" s="12"/>
      <c r="MF71" s="12"/>
      <c r="MW71" s="12"/>
      <c r="MX71" s="12"/>
      <c r="NO71" s="12"/>
      <c r="NP71" s="12"/>
      <c r="OG71" s="12"/>
      <c r="OH71" s="12"/>
      <c r="OY71" s="12"/>
      <c r="OZ71" s="12"/>
      <c r="PQ71" s="12"/>
      <c r="PR71" s="12"/>
      <c r="QI71" s="12"/>
      <c r="QJ71" s="12"/>
      <c r="RA71" s="12"/>
      <c r="RB71" s="12"/>
      <c r="RS71" s="12"/>
      <c r="RT71" s="12"/>
      <c r="SK71" s="12"/>
      <c r="SL71" s="12"/>
      <c r="TC71" s="12"/>
      <c r="TD71" s="12"/>
      <c r="TU71" s="12"/>
      <c r="TV71" s="12"/>
      <c r="UM71" s="12"/>
      <c r="UN71" s="12"/>
      <c r="VE71" s="12"/>
      <c r="VF71" s="12"/>
      <c r="VW71" s="12"/>
      <c r="VX71" s="12"/>
      <c r="WO71" s="12"/>
      <c r="WP71" s="12"/>
      <c r="XG71" s="12"/>
      <c r="XH71" s="12"/>
      <c r="XY71" s="12"/>
      <c r="XZ71" s="12"/>
      <c r="YQ71" s="12"/>
      <c r="YR71" s="12"/>
      <c r="ZI71" s="12"/>
      <c r="ZJ71" s="12"/>
      <c r="AAA71" s="12"/>
      <c r="AAB71" s="12"/>
      <c r="AAS71" s="12"/>
      <c r="AAT71" s="12"/>
      <c r="ABK71" s="12"/>
      <c r="ABL71" s="12"/>
      <c r="ACC71" s="12"/>
      <c r="ACD71" s="12"/>
      <c r="ACU71" s="12"/>
      <c r="ACV71" s="12"/>
      <c r="ADM71" s="12"/>
      <c r="ADN71" s="12"/>
      <c r="AEE71" s="12"/>
      <c r="AEF71" s="12"/>
      <c r="AEW71" s="12"/>
      <c r="AEX71" s="12"/>
      <c r="AFO71" s="12"/>
      <c r="AFP71" s="12"/>
      <c r="AGG71" s="12"/>
      <c r="AGH71" s="12"/>
      <c r="AGY71" s="12"/>
      <c r="AGZ71" s="12"/>
      <c r="AHQ71" s="12"/>
      <c r="AHR71" s="12"/>
      <c r="AII71" s="12"/>
      <c r="AIJ71" s="12"/>
      <c r="AJA71" s="12"/>
      <c r="AJB71" s="12"/>
      <c r="AJS71" s="12"/>
      <c r="AJT71" s="12"/>
      <c r="AKK71" s="12"/>
      <c r="AKL71" s="12"/>
      <c r="ALC71" s="12"/>
      <c r="ALD71" s="12"/>
      <c r="ALU71" s="12"/>
      <c r="ALV71" s="12"/>
      <c r="AMM71" s="12"/>
      <c r="AMN71" s="12"/>
      <c r="ANE71" s="12"/>
      <c r="ANF71" s="12"/>
      <c r="ANW71" s="12"/>
      <c r="ANX71" s="12"/>
      <c r="AOO71" s="12"/>
      <c r="AOP71" s="12"/>
      <c r="APG71" s="12"/>
      <c r="APH71" s="12"/>
      <c r="APY71" s="12"/>
      <c r="APZ71" s="12"/>
      <c r="AQQ71" s="12"/>
      <c r="AQR71" s="12"/>
      <c r="ARI71" s="12"/>
      <c r="ARJ71" s="12"/>
      <c r="ASA71" s="12"/>
      <c r="ASB71" s="12"/>
      <c r="ASS71" s="12"/>
      <c r="AST71" s="12"/>
      <c r="ATK71" s="12"/>
      <c r="ATL71" s="12"/>
      <c r="AUC71" s="12"/>
      <c r="AUD71" s="12"/>
      <c r="AUU71" s="12"/>
      <c r="AUV71" s="12"/>
      <c r="AVM71" s="12"/>
      <c r="AVN71" s="12"/>
      <c r="AWE71" s="12"/>
      <c r="AWF71" s="12"/>
      <c r="AWW71" s="12"/>
      <c r="AWX71" s="12"/>
      <c r="AXO71" s="12"/>
      <c r="AXP71" s="12"/>
      <c r="AYG71" s="12"/>
      <c r="AYH71" s="12"/>
      <c r="AYY71" s="12"/>
      <c r="AYZ71" s="12"/>
      <c r="AZQ71" s="12"/>
      <c r="AZR71" s="12"/>
      <c r="BAI71" s="12"/>
      <c r="BAJ71" s="12"/>
      <c r="BBA71" s="12"/>
      <c r="BBB71" s="12"/>
      <c r="BBS71" s="12"/>
      <c r="BBT71" s="12"/>
      <c r="BCK71" s="12"/>
      <c r="BCL71" s="12"/>
      <c r="BDC71" s="12"/>
      <c r="BDD71" s="12"/>
      <c r="BDU71" s="12"/>
      <c r="BDV71" s="12"/>
      <c r="BEM71" s="12"/>
      <c r="BEN71" s="12"/>
      <c r="BFE71" s="12"/>
      <c r="BFF71" s="12"/>
      <c r="BFW71" s="12"/>
      <c r="BFX71" s="12"/>
      <c r="BGO71" s="12"/>
      <c r="BGP71" s="12"/>
      <c r="BHG71" s="12"/>
      <c r="BHH71" s="12"/>
      <c r="BHY71" s="12"/>
      <c r="BHZ71" s="12"/>
      <c r="BIQ71" s="12"/>
      <c r="BIR71" s="12"/>
      <c r="BJI71" s="12"/>
      <c r="BJJ71" s="12"/>
      <c r="BKA71" s="12"/>
      <c r="BKB71" s="12"/>
      <c r="BKS71" s="12"/>
      <c r="BKT71" s="12"/>
      <c r="BLK71" s="12"/>
      <c r="BLL71" s="12"/>
      <c r="BMC71" s="12"/>
      <c r="BMD71" s="12"/>
      <c r="BMU71" s="12"/>
      <c r="BMV71" s="12"/>
      <c r="BNM71" s="12"/>
      <c r="BNN71" s="12"/>
      <c r="BOE71" s="12"/>
      <c r="BOF71" s="12"/>
      <c r="BOW71" s="12"/>
      <c r="BOX71" s="12"/>
      <c r="BPO71" s="12"/>
      <c r="BPP71" s="12"/>
      <c r="BQG71" s="12"/>
      <c r="BQH71" s="12"/>
      <c r="BQY71" s="12"/>
      <c r="BQZ71" s="12"/>
      <c r="BRQ71" s="12"/>
      <c r="BRR71" s="12"/>
      <c r="BSI71" s="12"/>
      <c r="BSJ71" s="12"/>
      <c r="BTA71" s="12"/>
      <c r="BTB71" s="12"/>
      <c r="BTS71" s="12"/>
      <c r="BTT71" s="12"/>
      <c r="BUK71" s="12"/>
      <c r="BUL71" s="12"/>
      <c r="BVC71" s="12"/>
      <c r="BVD71" s="12"/>
      <c r="BVU71" s="12"/>
      <c r="BVV71" s="12"/>
      <c r="BWM71" s="12"/>
      <c r="BWN71" s="12"/>
      <c r="BXE71" s="12"/>
      <c r="BXF71" s="12"/>
      <c r="BXW71" s="12"/>
      <c r="BXX71" s="12"/>
      <c r="BYO71" s="12"/>
      <c r="BYP71" s="12"/>
      <c r="BZG71" s="12"/>
      <c r="BZH71" s="12"/>
      <c r="BZY71" s="12"/>
      <c r="BZZ71" s="12"/>
      <c r="CAQ71" s="12"/>
      <c r="CAR71" s="12"/>
      <c r="CBI71" s="12"/>
      <c r="CBJ71" s="12"/>
      <c r="CCA71" s="12"/>
      <c r="CCB71" s="12"/>
      <c r="CCS71" s="12"/>
      <c r="CCT71" s="12"/>
      <c r="CDK71" s="12"/>
      <c r="CDL71" s="12"/>
      <c r="CEC71" s="12"/>
      <c r="CED71" s="12"/>
      <c r="CEU71" s="12"/>
      <c r="CEV71" s="12"/>
      <c r="CFM71" s="12"/>
      <c r="CFN71" s="12"/>
      <c r="CGE71" s="12"/>
      <c r="CGF71" s="12"/>
      <c r="CGW71" s="12"/>
      <c r="CGX71" s="12"/>
      <c r="CHO71" s="12"/>
      <c r="CHP71" s="12"/>
      <c r="CIG71" s="12"/>
      <c r="CIH71" s="12"/>
      <c r="CIY71" s="12"/>
      <c r="CIZ71" s="12"/>
      <c r="CJQ71" s="12"/>
      <c r="CJR71" s="12"/>
      <c r="CKI71" s="12"/>
      <c r="CKJ71" s="12"/>
      <c r="CLA71" s="12"/>
      <c r="CLB71" s="12"/>
      <c r="CLS71" s="12"/>
      <c r="CLT71" s="12"/>
      <c r="CMK71" s="12"/>
      <c r="CML71" s="12"/>
      <c r="CNC71" s="12"/>
      <c r="CND71" s="12"/>
      <c r="CNU71" s="12"/>
      <c r="CNV71" s="12"/>
      <c r="COM71" s="12"/>
      <c r="CON71" s="12"/>
      <c r="CPE71" s="12"/>
      <c r="CPF71" s="12"/>
      <c r="CPW71" s="12"/>
      <c r="CPX71" s="12"/>
      <c r="CQO71" s="12"/>
      <c r="CQP71" s="12"/>
      <c r="CRG71" s="12"/>
      <c r="CRH71" s="12"/>
      <c r="CRY71" s="12"/>
      <c r="CRZ71" s="12"/>
      <c r="CSQ71" s="12"/>
      <c r="CSR71" s="12"/>
      <c r="CTI71" s="12"/>
      <c r="CTJ71" s="12"/>
      <c r="CUA71" s="12"/>
      <c r="CUB71" s="12"/>
      <c r="CUS71" s="12"/>
      <c r="CUT71" s="12"/>
      <c r="CVK71" s="12"/>
      <c r="CVL71" s="12"/>
      <c r="CWC71" s="12"/>
      <c r="CWD71" s="12"/>
      <c r="CWU71" s="12"/>
      <c r="CWV71" s="12"/>
      <c r="CXM71" s="12"/>
      <c r="CXN71" s="12"/>
      <c r="CYE71" s="12"/>
      <c r="CYF71" s="12"/>
      <c r="CYW71" s="12"/>
      <c r="CYX71" s="12"/>
      <c r="CZO71" s="12"/>
      <c r="CZP71" s="12"/>
      <c r="DAG71" s="12"/>
      <c r="DAH71" s="12"/>
      <c r="DAY71" s="12"/>
      <c r="DAZ71" s="12"/>
      <c r="DBQ71" s="12"/>
      <c r="DBR71" s="12"/>
      <c r="DCI71" s="12"/>
      <c r="DCJ71" s="12"/>
      <c r="DDA71" s="12"/>
      <c r="DDB71" s="12"/>
      <c r="DDS71" s="12"/>
      <c r="DDT71" s="12"/>
      <c r="DEK71" s="12"/>
      <c r="DEL71" s="12"/>
      <c r="DFC71" s="12"/>
      <c r="DFD71" s="12"/>
      <c r="DFU71" s="12"/>
      <c r="DFV71" s="12"/>
      <c r="DGM71" s="12"/>
      <c r="DGN71" s="12"/>
      <c r="DHE71" s="12"/>
      <c r="DHF71" s="12"/>
      <c r="DHW71" s="12"/>
      <c r="DHX71" s="12"/>
      <c r="DIO71" s="12"/>
      <c r="DIP71" s="12"/>
      <c r="DJG71" s="12"/>
      <c r="DJH71" s="12"/>
      <c r="DJY71" s="12"/>
      <c r="DJZ71" s="12"/>
      <c r="DKQ71" s="12"/>
      <c r="DKR71" s="12"/>
      <c r="DLI71" s="12"/>
      <c r="DLJ71" s="12"/>
      <c r="DMA71" s="12"/>
      <c r="DMB71" s="12"/>
      <c r="DMS71" s="12"/>
      <c r="DMT71" s="12"/>
      <c r="DNK71" s="12"/>
      <c r="DNL71" s="12"/>
      <c r="DOC71" s="12"/>
      <c r="DOD71" s="12"/>
      <c r="DOU71" s="12"/>
      <c r="DOV71" s="12"/>
      <c r="DPM71" s="12"/>
      <c r="DPN71" s="12"/>
      <c r="DQE71" s="12"/>
      <c r="DQF71" s="12"/>
      <c r="DQW71" s="12"/>
      <c r="DQX71" s="12"/>
      <c r="DRO71" s="12"/>
      <c r="DRP71" s="12"/>
      <c r="DSG71" s="12"/>
      <c r="DSH71" s="12"/>
      <c r="DSY71" s="12"/>
      <c r="DSZ71" s="12"/>
      <c r="DTQ71" s="12"/>
      <c r="DTR71" s="12"/>
      <c r="DUI71" s="12"/>
      <c r="DUJ71" s="12"/>
      <c r="DVA71" s="12"/>
      <c r="DVB71" s="12"/>
      <c r="DVS71" s="12"/>
      <c r="DVT71" s="12"/>
      <c r="DWK71" s="12"/>
      <c r="DWL71" s="12"/>
      <c r="DXC71" s="12"/>
      <c r="DXD71" s="12"/>
      <c r="DXU71" s="12"/>
      <c r="DXV71" s="12"/>
      <c r="DYM71" s="12"/>
      <c r="DYN71" s="12"/>
      <c r="DZE71" s="12"/>
      <c r="DZF71" s="12"/>
      <c r="DZW71" s="12"/>
      <c r="DZX71" s="12"/>
      <c r="EAO71" s="12"/>
      <c r="EAP71" s="12"/>
      <c r="EBG71" s="12"/>
      <c r="EBH71" s="12"/>
      <c r="EBY71" s="12"/>
      <c r="EBZ71" s="12"/>
      <c r="ECQ71" s="12"/>
      <c r="ECR71" s="12"/>
      <c r="EDI71" s="12"/>
      <c r="EDJ71" s="12"/>
      <c r="EEA71" s="12"/>
      <c r="EEB71" s="12"/>
      <c r="EES71" s="12"/>
      <c r="EET71" s="12"/>
      <c r="EFK71" s="12"/>
      <c r="EFL71" s="12"/>
      <c r="EGC71" s="12"/>
      <c r="EGD71" s="12"/>
      <c r="EGU71" s="12"/>
      <c r="EGV71" s="12"/>
      <c r="EHM71" s="12"/>
      <c r="EHN71" s="12"/>
      <c r="EIE71" s="12"/>
      <c r="EIF71" s="12"/>
      <c r="EIW71" s="12"/>
      <c r="EIX71" s="12"/>
      <c r="EJO71" s="12"/>
      <c r="EJP71" s="12"/>
      <c r="EKG71" s="12"/>
      <c r="EKH71" s="12"/>
      <c r="EKY71" s="12"/>
      <c r="EKZ71" s="12"/>
      <c r="ELQ71" s="12"/>
      <c r="ELR71" s="12"/>
      <c r="EMI71" s="12"/>
      <c r="EMJ71" s="12"/>
      <c r="ENA71" s="12"/>
      <c r="ENB71" s="12"/>
      <c r="ENS71" s="12"/>
      <c r="ENT71" s="12"/>
      <c r="EOK71" s="12"/>
      <c r="EOL71" s="12"/>
      <c r="EPC71" s="12"/>
      <c r="EPD71" s="12"/>
      <c r="EPU71" s="12"/>
      <c r="EPV71" s="12"/>
      <c r="EQM71" s="12"/>
      <c r="EQN71" s="12"/>
      <c r="ERE71" s="12"/>
      <c r="ERF71" s="12"/>
      <c r="ERW71" s="12"/>
      <c r="ERX71" s="12"/>
      <c r="ESO71" s="12"/>
      <c r="ESP71" s="12"/>
      <c r="ETG71" s="12"/>
      <c r="ETH71" s="12"/>
      <c r="ETY71" s="12"/>
      <c r="ETZ71" s="12"/>
      <c r="EUQ71" s="12"/>
      <c r="EUR71" s="12"/>
      <c r="EVI71" s="12"/>
      <c r="EVJ71" s="12"/>
      <c r="EWA71" s="12"/>
      <c r="EWB71" s="12"/>
      <c r="EWS71" s="12"/>
      <c r="EWT71" s="12"/>
      <c r="EXK71" s="12"/>
      <c r="EXL71" s="12"/>
      <c r="EYC71" s="12"/>
      <c r="EYD71" s="12"/>
      <c r="EYU71" s="12"/>
      <c r="EYV71" s="12"/>
      <c r="EZM71" s="12"/>
      <c r="EZN71" s="12"/>
      <c r="FAE71" s="12"/>
      <c r="FAF71" s="12"/>
      <c r="FAW71" s="12"/>
      <c r="FAX71" s="12"/>
      <c r="FBO71" s="12"/>
      <c r="FBP71" s="12"/>
      <c r="FCG71" s="12"/>
      <c r="FCH71" s="12"/>
      <c r="FCY71" s="12"/>
      <c r="FCZ71" s="12"/>
      <c r="FDQ71" s="12"/>
      <c r="FDR71" s="12"/>
      <c r="FEI71" s="12"/>
      <c r="FEJ71" s="12"/>
      <c r="FFA71" s="12"/>
      <c r="FFB71" s="12"/>
      <c r="FFS71" s="12"/>
      <c r="FFT71" s="12"/>
      <c r="FGK71" s="12"/>
      <c r="FGL71" s="12"/>
      <c r="FHC71" s="12"/>
      <c r="FHD71" s="12"/>
      <c r="FHU71" s="12"/>
      <c r="FHV71" s="12"/>
      <c r="FIM71" s="12"/>
      <c r="FIN71" s="12"/>
      <c r="FJE71" s="12"/>
      <c r="FJF71" s="12"/>
      <c r="FJW71" s="12"/>
      <c r="FJX71" s="12"/>
      <c r="FKO71" s="12"/>
      <c r="FKP71" s="12"/>
      <c r="FLG71" s="12"/>
      <c r="FLH71" s="12"/>
      <c r="FLY71" s="12"/>
      <c r="FLZ71" s="12"/>
      <c r="FMQ71" s="12"/>
      <c r="FMR71" s="12"/>
      <c r="FNI71" s="12"/>
      <c r="FNJ71" s="12"/>
      <c r="FOA71" s="12"/>
      <c r="FOB71" s="12"/>
      <c r="FOS71" s="12"/>
      <c r="FOT71" s="12"/>
      <c r="FPK71" s="12"/>
      <c r="FPL71" s="12"/>
      <c r="FQC71" s="12"/>
      <c r="FQD71" s="12"/>
      <c r="FQU71" s="12"/>
      <c r="FQV71" s="12"/>
      <c r="FRM71" s="12"/>
      <c r="FRN71" s="12"/>
      <c r="FSE71" s="12"/>
      <c r="FSF71" s="12"/>
      <c r="FSW71" s="12"/>
      <c r="FSX71" s="12"/>
      <c r="FTO71" s="12"/>
      <c r="FTP71" s="12"/>
      <c r="FUG71" s="12"/>
      <c r="FUH71" s="12"/>
      <c r="FUY71" s="12"/>
      <c r="FUZ71" s="12"/>
      <c r="FVQ71" s="12"/>
      <c r="FVR71" s="12"/>
      <c r="FWI71" s="12"/>
      <c r="FWJ71" s="12"/>
      <c r="FXA71" s="12"/>
      <c r="FXB71" s="12"/>
      <c r="FXS71" s="12"/>
      <c r="FXT71" s="12"/>
      <c r="FYK71" s="12"/>
      <c r="FYL71" s="12"/>
      <c r="FZC71" s="12"/>
      <c r="FZD71" s="12"/>
      <c r="FZU71" s="12"/>
      <c r="FZV71" s="12"/>
      <c r="GAM71" s="12"/>
      <c r="GAN71" s="12"/>
      <c r="GBE71" s="12"/>
      <c r="GBF71" s="12"/>
      <c r="GBW71" s="12"/>
      <c r="GBX71" s="12"/>
      <c r="GCO71" s="12"/>
      <c r="GCP71" s="12"/>
      <c r="GDG71" s="12"/>
      <c r="GDH71" s="12"/>
      <c r="GDY71" s="12"/>
      <c r="GDZ71" s="12"/>
      <c r="GEQ71" s="12"/>
      <c r="GER71" s="12"/>
      <c r="GFI71" s="12"/>
      <c r="GFJ71" s="12"/>
      <c r="GGA71" s="12"/>
      <c r="GGB71" s="12"/>
      <c r="GGS71" s="12"/>
      <c r="GGT71" s="12"/>
      <c r="GHK71" s="12"/>
      <c r="GHL71" s="12"/>
      <c r="GIC71" s="12"/>
      <c r="GID71" s="12"/>
      <c r="GIU71" s="12"/>
      <c r="GIV71" s="12"/>
      <c r="GJM71" s="12"/>
      <c r="GJN71" s="12"/>
      <c r="GKE71" s="12"/>
      <c r="GKF71" s="12"/>
      <c r="GKW71" s="12"/>
      <c r="GKX71" s="12"/>
      <c r="GLO71" s="12"/>
      <c r="GLP71" s="12"/>
      <c r="GMG71" s="12"/>
      <c r="GMH71" s="12"/>
      <c r="GMY71" s="12"/>
      <c r="GMZ71" s="12"/>
      <c r="GNQ71" s="12"/>
      <c r="GNR71" s="12"/>
      <c r="GOI71" s="12"/>
      <c r="GOJ71" s="12"/>
      <c r="GPA71" s="12"/>
      <c r="GPB71" s="12"/>
      <c r="GPS71" s="12"/>
      <c r="GPT71" s="12"/>
      <c r="GQK71" s="12"/>
      <c r="GQL71" s="12"/>
      <c r="GRC71" s="12"/>
      <c r="GRD71" s="12"/>
      <c r="GRU71" s="12"/>
      <c r="GRV71" s="12"/>
      <c r="GSM71" s="12"/>
      <c r="GSN71" s="12"/>
      <c r="GTE71" s="12"/>
      <c r="GTF71" s="12"/>
      <c r="GTW71" s="12"/>
      <c r="GTX71" s="12"/>
      <c r="GUO71" s="12"/>
      <c r="GUP71" s="12"/>
      <c r="GVG71" s="12"/>
      <c r="GVH71" s="12"/>
      <c r="GVY71" s="12"/>
      <c r="GVZ71" s="12"/>
      <c r="GWQ71" s="12"/>
      <c r="GWR71" s="12"/>
      <c r="GXI71" s="12"/>
      <c r="GXJ71" s="12"/>
      <c r="GYA71" s="12"/>
      <c r="GYB71" s="12"/>
      <c r="GYS71" s="12"/>
      <c r="GYT71" s="12"/>
      <c r="GZK71" s="12"/>
      <c r="GZL71" s="12"/>
      <c r="HAC71" s="12"/>
      <c r="HAD71" s="12"/>
      <c r="HAU71" s="12"/>
      <c r="HAV71" s="12"/>
      <c r="HBM71" s="12"/>
      <c r="HBN71" s="12"/>
      <c r="HCE71" s="12"/>
      <c r="HCF71" s="12"/>
      <c r="HCW71" s="12"/>
      <c r="HCX71" s="12"/>
      <c r="HDO71" s="12"/>
      <c r="HDP71" s="12"/>
      <c r="HEG71" s="12"/>
      <c r="HEH71" s="12"/>
      <c r="HEY71" s="12"/>
      <c r="HEZ71" s="12"/>
      <c r="HFQ71" s="12"/>
      <c r="HFR71" s="12"/>
      <c r="HGI71" s="12"/>
      <c r="HGJ71" s="12"/>
      <c r="HHA71" s="12"/>
      <c r="HHB71" s="12"/>
      <c r="HHS71" s="12"/>
      <c r="HHT71" s="12"/>
      <c r="HIK71" s="12"/>
      <c r="HIL71" s="12"/>
      <c r="HJC71" s="12"/>
      <c r="HJD71" s="12"/>
      <c r="HJU71" s="12"/>
      <c r="HJV71" s="12"/>
      <c r="HKM71" s="12"/>
      <c r="HKN71" s="12"/>
      <c r="HLE71" s="12"/>
      <c r="HLF71" s="12"/>
      <c r="HLW71" s="12"/>
      <c r="HLX71" s="12"/>
      <c r="HMO71" s="12"/>
      <c r="HMP71" s="12"/>
      <c r="HNG71" s="12"/>
      <c r="HNH71" s="12"/>
      <c r="HNY71" s="12"/>
      <c r="HNZ71" s="12"/>
      <c r="HOQ71" s="12"/>
      <c r="HOR71" s="12"/>
      <c r="HPI71" s="12"/>
      <c r="HPJ71" s="12"/>
      <c r="HQA71" s="12"/>
      <c r="HQB71" s="12"/>
      <c r="HQS71" s="12"/>
      <c r="HQT71" s="12"/>
      <c r="HRK71" s="12"/>
      <c r="HRL71" s="12"/>
      <c r="HSC71" s="12"/>
      <c r="HSD71" s="12"/>
      <c r="HSU71" s="12"/>
      <c r="HSV71" s="12"/>
      <c r="HTM71" s="12"/>
      <c r="HTN71" s="12"/>
      <c r="HUE71" s="12"/>
      <c r="HUF71" s="12"/>
      <c r="HUW71" s="12"/>
      <c r="HUX71" s="12"/>
      <c r="HVO71" s="12"/>
      <c r="HVP71" s="12"/>
      <c r="HWG71" s="12"/>
      <c r="HWH71" s="12"/>
      <c r="HWY71" s="12"/>
      <c r="HWZ71" s="12"/>
      <c r="HXQ71" s="12"/>
      <c r="HXR71" s="12"/>
      <c r="HYI71" s="12"/>
      <c r="HYJ71" s="12"/>
      <c r="HZA71" s="12"/>
      <c r="HZB71" s="12"/>
      <c r="HZS71" s="12"/>
      <c r="HZT71" s="12"/>
      <c r="IAK71" s="12"/>
      <c r="IAL71" s="12"/>
      <c r="IBC71" s="12"/>
      <c r="IBD71" s="12"/>
      <c r="IBU71" s="12"/>
      <c r="IBV71" s="12"/>
      <c r="ICM71" s="12"/>
      <c r="ICN71" s="12"/>
      <c r="IDE71" s="12"/>
      <c r="IDF71" s="12"/>
      <c r="IDW71" s="12"/>
      <c r="IDX71" s="12"/>
      <c r="IEO71" s="12"/>
      <c r="IEP71" s="12"/>
      <c r="IFG71" s="12"/>
      <c r="IFH71" s="12"/>
      <c r="IFY71" s="12"/>
      <c r="IFZ71" s="12"/>
      <c r="IGQ71" s="12"/>
      <c r="IGR71" s="12"/>
      <c r="IHI71" s="12"/>
      <c r="IHJ71" s="12"/>
      <c r="IIA71" s="12"/>
      <c r="IIB71" s="12"/>
      <c r="IIS71" s="12"/>
      <c r="IIT71" s="12"/>
      <c r="IJK71" s="12"/>
      <c r="IJL71" s="12"/>
      <c r="IKC71" s="12"/>
      <c r="IKD71" s="12"/>
      <c r="IKU71" s="12"/>
      <c r="IKV71" s="12"/>
      <c r="ILM71" s="12"/>
      <c r="ILN71" s="12"/>
      <c r="IME71" s="12"/>
      <c r="IMF71" s="12"/>
      <c r="IMW71" s="12"/>
      <c r="IMX71" s="12"/>
      <c r="INO71" s="12"/>
      <c r="INP71" s="12"/>
      <c r="IOG71" s="12"/>
      <c r="IOH71" s="12"/>
      <c r="IOY71" s="12"/>
      <c r="IOZ71" s="12"/>
      <c r="IPQ71" s="12"/>
      <c r="IPR71" s="12"/>
      <c r="IQI71" s="12"/>
      <c r="IQJ71" s="12"/>
      <c r="IRA71" s="12"/>
      <c r="IRB71" s="12"/>
      <c r="IRS71" s="12"/>
      <c r="IRT71" s="12"/>
      <c r="ISK71" s="12"/>
      <c r="ISL71" s="12"/>
      <c r="ITC71" s="12"/>
      <c r="ITD71" s="12"/>
      <c r="ITU71" s="12"/>
      <c r="ITV71" s="12"/>
      <c r="IUM71" s="12"/>
      <c r="IUN71" s="12"/>
      <c r="IVE71" s="12"/>
      <c r="IVF71" s="12"/>
      <c r="IVW71" s="12"/>
      <c r="IVX71" s="12"/>
      <c r="IWO71" s="12"/>
      <c r="IWP71" s="12"/>
      <c r="IXG71" s="12"/>
      <c r="IXH71" s="12"/>
      <c r="IXY71" s="12"/>
      <c r="IXZ71" s="12"/>
      <c r="IYQ71" s="12"/>
      <c r="IYR71" s="12"/>
      <c r="IZI71" s="12"/>
      <c r="IZJ71" s="12"/>
      <c r="JAA71" s="12"/>
      <c r="JAB71" s="12"/>
      <c r="JAS71" s="12"/>
      <c r="JAT71" s="12"/>
      <c r="JBK71" s="12"/>
      <c r="JBL71" s="12"/>
      <c r="JCC71" s="12"/>
      <c r="JCD71" s="12"/>
      <c r="JCU71" s="12"/>
      <c r="JCV71" s="12"/>
      <c r="JDM71" s="12"/>
      <c r="JDN71" s="12"/>
      <c r="JEE71" s="12"/>
      <c r="JEF71" s="12"/>
      <c r="JEW71" s="12"/>
      <c r="JEX71" s="12"/>
      <c r="JFO71" s="12"/>
      <c r="JFP71" s="12"/>
      <c r="JGG71" s="12"/>
      <c r="JGH71" s="12"/>
      <c r="JGY71" s="12"/>
      <c r="JGZ71" s="12"/>
      <c r="JHQ71" s="12"/>
      <c r="JHR71" s="12"/>
      <c r="JII71" s="12"/>
      <c r="JIJ71" s="12"/>
      <c r="JJA71" s="12"/>
      <c r="JJB71" s="12"/>
      <c r="JJS71" s="12"/>
      <c r="JJT71" s="12"/>
      <c r="JKK71" s="12"/>
      <c r="JKL71" s="12"/>
      <c r="JLC71" s="12"/>
      <c r="JLD71" s="12"/>
      <c r="JLU71" s="12"/>
      <c r="JLV71" s="12"/>
      <c r="JMM71" s="12"/>
      <c r="JMN71" s="12"/>
      <c r="JNE71" s="12"/>
      <c r="JNF71" s="12"/>
      <c r="JNW71" s="12"/>
      <c r="JNX71" s="12"/>
      <c r="JOO71" s="12"/>
      <c r="JOP71" s="12"/>
      <c r="JPG71" s="12"/>
      <c r="JPH71" s="12"/>
      <c r="JPY71" s="12"/>
      <c r="JPZ71" s="12"/>
      <c r="JQQ71" s="12"/>
      <c r="JQR71" s="12"/>
      <c r="JRI71" s="12"/>
      <c r="JRJ71" s="12"/>
      <c r="JSA71" s="12"/>
      <c r="JSB71" s="12"/>
      <c r="JSS71" s="12"/>
      <c r="JST71" s="12"/>
      <c r="JTK71" s="12"/>
      <c r="JTL71" s="12"/>
      <c r="JUC71" s="12"/>
      <c r="JUD71" s="12"/>
      <c r="JUU71" s="12"/>
      <c r="JUV71" s="12"/>
      <c r="JVM71" s="12"/>
      <c r="JVN71" s="12"/>
      <c r="JWE71" s="12"/>
      <c r="JWF71" s="12"/>
      <c r="JWW71" s="12"/>
      <c r="JWX71" s="12"/>
      <c r="JXO71" s="12"/>
      <c r="JXP71" s="12"/>
      <c r="JYG71" s="12"/>
      <c r="JYH71" s="12"/>
      <c r="JYY71" s="12"/>
      <c r="JYZ71" s="12"/>
      <c r="JZQ71" s="12"/>
      <c r="JZR71" s="12"/>
      <c r="KAI71" s="12"/>
      <c r="KAJ71" s="12"/>
      <c r="KBA71" s="12"/>
      <c r="KBB71" s="12"/>
      <c r="KBS71" s="12"/>
      <c r="KBT71" s="12"/>
      <c r="KCK71" s="12"/>
      <c r="KCL71" s="12"/>
      <c r="KDC71" s="12"/>
      <c r="KDD71" s="12"/>
      <c r="KDU71" s="12"/>
      <c r="KDV71" s="12"/>
      <c r="KEM71" s="12"/>
      <c r="KEN71" s="12"/>
      <c r="KFE71" s="12"/>
      <c r="KFF71" s="12"/>
      <c r="KFW71" s="12"/>
      <c r="KFX71" s="12"/>
      <c r="KGO71" s="12"/>
      <c r="KGP71" s="12"/>
      <c r="KHG71" s="12"/>
      <c r="KHH71" s="12"/>
      <c r="KHY71" s="12"/>
      <c r="KHZ71" s="12"/>
      <c r="KIQ71" s="12"/>
      <c r="KIR71" s="12"/>
      <c r="KJI71" s="12"/>
      <c r="KJJ71" s="12"/>
      <c r="KKA71" s="12"/>
      <c r="KKB71" s="12"/>
      <c r="KKS71" s="12"/>
      <c r="KKT71" s="12"/>
      <c r="KLK71" s="12"/>
      <c r="KLL71" s="12"/>
      <c r="KMC71" s="12"/>
      <c r="KMD71" s="12"/>
      <c r="KMU71" s="12"/>
      <c r="KMV71" s="12"/>
      <c r="KNM71" s="12"/>
      <c r="KNN71" s="12"/>
      <c r="KOE71" s="12"/>
      <c r="KOF71" s="12"/>
      <c r="KOW71" s="12"/>
      <c r="KOX71" s="12"/>
      <c r="KPO71" s="12"/>
      <c r="KPP71" s="12"/>
      <c r="KQG71" s="12"/>
      <c r="KQH71" s="12"/>
      <c r="KQY71" s="12"/>
      <c r="KQZ71" s="12"/>
      <c r="KRQ71" s="12"/>
      <c r="KRR71" s="12"/>
      <c r="KSI71" s="12"/>
      <c r="KSJ71" s="12"/>
      <c r="KTA71" s="12"/>
      <c r="KTB71" s="12"/>
      <c r="KTS71" s="12"/>
      <c r="KTT71" s="12"/>
      <c r="KUK71" s="12"/>
      <c r="KUL71" s="12"/>
      <c r="KVC71" s="12"/>
      <c r="KVD71" s="12"/>
      <c r="KVU71" s="12"/>
      <c r="KVV71" s="12"/>
      <c r="KWM71" s="12"/>
      <c r="KWN71" s="12"/>
      <c r="KXE71" s="12"/>
      <c r="KXF71" s="12"/>
      <c r="KXW71" s="12"/>
      <c r="KXX71" s="12"/>
      <c r="KYO71" s="12"/>
      <c r="KYP71" s="12"/>
      <c r="KZG71" s="12"/>
      <c r="KZH71" s="12"/>
      <c r="KZY71" s="12"/>
      <c r="KZZ71" s="12"/>
      <c r="LAQ71" s="12"/>
      <c r="LAR71" s="12"/>
      <c r="LBI71" s="12"/>
      <c r="LBJ71" s="12"/>
      <c r="LCA71" s="12"/>
      <c r="LCB71" s="12"/>
      <c r="LCS71" s="12"/>
      <c r="LCT71" s="12"/>
      <c r="LDK71" s="12"/>
      <c r="LDL71" s="12"/>
      <c r="LEC71" s="12"/>
      <c r="LED71" s="12"/>
      <c r="LEU71" s="12"/>
      <c r="LEV71" s="12"/>
      <c r="LFM71" s="12"/>
      <c r="LFN71" s="12"/>
      <c r="LGE71" s="12"/>
      <c r="LGF71" s="12"/>
      <c r="LGW71" s="12"/>
      <c r="LGX71" s="12"/>
      <c r="LHO71" s="12"/>
      <c r="LHP71" s="12"/>
      <c r="LIG71" s="12"/>
      <c r="LIH71" s="12"/>
      <c r="LIY71" s="12"/>
      <c r="LIZ71" s="12"/>
      <c r="LJQ71" s="12"/>
      <c r="LJR71" s="12"/>
      <c r="LKI71" s="12"/>
      <c r="LKJ71" s="12"/>
      <c r="LLA71" s="12"/>
      <c r="LLB71" s="12"/>
      <c r="LLS71" s="12"/>
      <c r="LLT71" s="12"/>
      <c r="LMK71" s="12"/>
      <c r="LML71" s="12"/>
      <c r="LNC71" s="12"/>
      <c r="LND71" s="12"/>
      <c r="LNU71" s="12"/>
      <c r="LNV71" s="12"/>
      <c r="LOM71" s="12"/>
      <c r="LON71" s="12"/>
      <c r="LPE71" s="12"/>
      <c r="LPF71" s="12"/>
      <c r="LPW71" s="12"/>
      <c r="LPX71" s="12"/>
      <c r="LQO71" s="12"/>
      <c r="LQP71" s="12"/>
      <c r="LRG71" s="12"/>
      <c r="LRH71" s="12"/>
      <c r="LRY71" s="12"/>
      <c r="LRZ71" s="12"/>
      <c r="LSQ71" s="12"/>
      <c r="LSR71" s="12"/>
      <c r="LTI71" s="12"/>
      <c r="LTJ71" s="12"/>
      <c r="LUA71" s="12"/>
      <c r="LUB71" s="12"/>
      <c r="LUS71" s="12"/>
      <c r="LUT71" s="12"/>
      <c r="LVK71" s="12"/>
      <c r="LVL71" s="12"/>
      <c r="LWC71" s="12"/>
      <c r="LWD71" s="12"/>
      <c r="LWU71" s="12"/>
      <c r="LWV71" s="12"/>
      <c r="LXM71" s="12"/>
      <c r="LXN71" s="12"/>
      <c r="LYE71" s="12"/>
      <c r="LYF71" s="12"/>
      <c r="LYW71" s="12"/>
      <c r="LYX71" s="12"/>
      <c r="LZO71" s="12"/>
      <c r="LZP71" s="12"/>
      <c r="MAG71" s="12"/>
      <c r="MAH71" s="12"/>
      <c r="MAY71" s="12"/>
      <c r="MAZ71" s="12"/>
      <c r="MBQ71" s="12"/>
      <c r="MBR71" s="12"/>
      <c r="MCI71" s="12"/>
      <c r="MCJ71" s="12"/>
      <c r="MDA71" s="12"/>
      <c r="MDB71" s="12"/>
      <c r="MDS71" s="12"/>
      <c r="MDT71" s="12"/>
      <c r="MEK71" s="12"/>
      <c r="MEL71" s="12"/>
      <c r="MFC71" s="12"/>
      <c r="MFD71" s="12"/>
      <c r="MFU71" s="12"/>
      <c r="MFV71" s="12"/>
      <c r="MGM71" s="12"/>
      <c r="MGN71" s="12"/>
      <c r="MHE71" s="12"/>
      <c r="MHF71" s="12"/>
      <c r="MHW71" s="12"/>
      <c r="MHX71" s="12"/>
      <c r="MIO71" s="12"/>
      <c r="MIP71" s="12"/>
      <c r="MJG71" s="12"/>
      <c r="MJH71" s="12"/>
      <c r="MJY71" s="12"/>
      <c r="MJZ71" s="12"/>
      <c r="MKQ71" s="12"/>
      <c r="MKR71" s="12"/>
      <c r="MLI71" s="12"/>
      <c r="MLJ71" s="12"/>
      <c r="MMA71" s="12"/>
      <c r="MMB71" s="12"/>
      <c r="MMS71" s="12"/>
      <c r="MMT71" s="12"/>
      <c r="MNK71" s="12"/>
      <c r="MNL71" s="12"/>
      <c r="MOC71" s="12"/>
      <c r="MOD71" s="12"/>
      <c r="MOU71" s="12"/>
      <c r="MOV71" s="12"/>
      <c r="MPM71" s="12"/>
      <c r="MPN71" s="12"/>
      <c r="MQE71" s="12"/>
      <c r="MQF71" s="12"/>
      <c r="MQW71" s="12"/>
      <c r="MQX71" s="12"/>
      <c r="MRO71" s="12"/>
      <c r="MRP71" s="12"/>
      <c r="MSG71" s="12"/>
      <c r="MSH71" s="12"/>
      <c r="MSY71" s="12"/>
      <c r="MSZ71" s="12"/>
      <c r="MTQ71" s="12"/>
      <c r="MTR71" s="12"/>
      <c r="MUI71" s="12"/>
      <c r="MUJ71" s="12"/>
      <c r="MVA71" s="12"/>
      <c r="MVB71" s="12"/>
      <c r="MVS71" s="12"/>
      <c r="MVT71" s="12"/>
      <c r="MWK71" s="12"/>
      <c r="MWL71" s="12"/>
      <c r="MXC71" s="12"/>
      <c r="MXD71" s="12"/>
      <c r="MXU71" s="12"/>
      <c r="MXV71" s="12"/>
      <c r="MYM71" s="12"/>
      <c r="MYN71" s="12"/>
      <c r="MZE71" s="12"/>
      <c r="MZF71" s="12"/>
      <c r="MZW71" s="12"/>
      <c r="MZX71" s="12"/>
      <c r="NAO71" s="12"/>
      <c r="NAP71" s="12"/>
      <c r="NBG71" s="12"/>
      <c r="NBH71" s="12"/>
      <c r="NBY71" s="12"/>
      <c r="NBZ71" s="12"/>
      <c r="NCQ71" s="12"/>
      <c r="NCR71" s="12"/>
      <c r="NDI71" s="12"/>
      <c r="NDJ71" s="12"/>
      <c r="NEA71" s="12"/>
      <c r="NEB71" s="12"/>
      <c r="NES71" s="12"/>
      <c r="NET71" s="12"/>
      <c r="NFK71" s="12"/>
      <c r="NFL71" s="12"/>
      <c r="NGC71" s="12"/>
      <c r="NGD71" s="12"/>
      <c r="NGU71" s="12"/>
      <c r="NGV71" s="12"/>
      <c r="NHM71" s="12"/>
      <c r="NHN71" s="12"/>
      <c r="NIE71" s="12"/>
      <c r="NIF71" s="12"/>
      <c r="NIW71" s="12"/>
      <c r="NIX71" s="12"/>
      <c r="NJO71" s="12"/>
      <c r="NJP71" s="12"/>
      <c r="NKG71" s="12"/>
      <c r="NKH71" s="12"/>
      <c r="NKY71" s="12"/>
      <c r="NKZ71" s="12"/>
      <c r="NLQ71" s="12"/>
      <c r="NLR71" s="12"/>
      <c r="NMI71" s="12"/>
      <c r="NMJ71" s="12"/>
      <c r="NNA71" s="12"/>
      <c r="NNB71" s="12"/>
      <c r="NNS71" s="12"/>
      <c r="NNT71" s="12"/>
      <c r="NOK71" s="12"/>
      <c r="NOL71" s="12"/>
      <c r="NPC71" s="12"/>
      <c r="NPD71" s="12"/>
      <c r="NPU71" s="12"/>
      <c r="NPV71" s="12"/>
      <c r="NQM71" s="12"/>
      <c r="NQN71" s="12"/>
      <c r="NRE71" s="12"/>
      <c r="NRF71" s="12"/>
      <c r="NRW71" s="12"/>
      <c r="NRX71" s="12"/>
      <c r="NSO71" s="12"/>
      <c r="NSP71" s="12"/>
      <c r="NTG71" s="12"/>
      <c r="NTH71" s="12"/>
      <c r="NTY71" s="12"/>
      <c r="NTZ71" s="12"/>
      <c r="NUQ71" s="12"/>
      <c r="NUR71" s="12"/>
      <c r="NVI71" s="12"/>
      <c r="NVJ71" s="12"/>
      <c r="NWA71" s="12"/>
      <c r="NWB71" s="12"/>
      <c r="NWS71" s="12"/>
      <c r="NWT71" s="12"/>
      <c r="NXK71" s="12"/>
      <c r="NXL71" s="12"/>
      <c r="NYC71" s="12"/>
      <c r="NYD71" s="12"/>
      <c r="NYU71" s="12"/>
      <c r="NYV71" s="12"/>
      <c r="NZM71" s="12"/>
      <c r="NZN71" s="12"/>
      <c r="OAE71" s="12"/>
      <c r="OAF71" s="12"/>
      <c r="OAW71" s="12"/>
      <c r="OAX71" s="12"/>
      <c r="OBO71" s="12"/>
      <c r="OBP71" s="12"/>
      <c r="OCG71" s="12"/>
      <c r="OCH71" s="12"/>
      <c r="OCY71" s="12"/>
      <c r="OCZ71" s="12"/>
      <c r="ODQ71" s="12"/>
      <c r="ODR71" s="12"/>
      <c r="OEI71" s="12"/>
      <c r="OEJ71" s="12"/>
      <c r="OFA71" s="12"/>
      <c r="OFB71" s="12"/>
      <c r="OFS71" s="12"/>
      <c r="OFT71" s="12"/>
      <c r="OGK71" s="12"/>
      <c r="OGL71" s="12"/>
      <c r="OHC71" s="12"/>
      <c r="OHD71" s="12"/>
      <c r="OHU71" s="12"/>
      <c r="OHV71" s="12"/>
      <c r="OIM71" s="12"/>
      <c r="OIN71" s="12"/>
      <c r="OJE71" s="12"/>
      <c r="OJF71" s="12"/>
      <c r="OJW71" s="12"/>
      <c r="OJX71" s="12"/>
      <c r="OKO71" s="12"/>
      <c r="OKP71" s="12"/>
      <c r="OLG71" s="12"/>
      <c r="OLH71" s="12"/>
      <c r="OLY71" s="12"/>
      <c r="OLZ71" s="12"/>
      <c r="OMQ71" s="12"/>
      <c r="OMR71" s="12"/>
      <c r="ONI71" s="12"/>
      <c r="ONJ71" s="12"/>
      <c r="OOA71" s="12"/>
      <c r="OOB71" s="12"/>
      <c r="OOS71" s="12"/>
      <c r="OOT71" s="12"/>
      <c r="OPK71" s="12"/>
      <c r="OPL71" s="12"/>
      <c r="OQC71" s="12"/>
      <c r="OQD71" s="12"/>
      <c r="OQU71" s="12"/>
      <c r="OQV71" s="12"/>
      <c r="ORM71" s="12"/>
      <c r="ORN71" s="12"/>
      <c r="OSE71" s="12"/>
      <c r="OSF71" s="12"/>
      <c r="OSW71" s="12"/>
      <c r="OSX71" s="12"/>
      <c r="OTO71" s="12"/>
      <c r="OTP71" s="12"/>
      <c r="OUG71" s="12"/>
      <c r="OUH71" s="12"/>
      <c r="OUY71" s="12"/>
      <c r="OUZ71" s="12"/>
      <c r="OVQ71" s="12"/>
      <c r="OVR71" s="12"/>
      <c r="OWI71" s="12"/>
      <c r="OWJ71" s="12"/>
      <c r="OXA71" s="12"/>
      <c r="OXB71" s="12"/>
      <c r="OXS71" s="12"/>
      <c r="OXT71" s="12"/>
      <c r="OYK71" s="12"/>
      <c r="OYL71" s="12"/>
      <c r="OZC71" s="12"/>
      <c r="OZD71" s="12"/>
      <c r="OZU71" s="12"/>
      <c r="OZV71" s="12"/>
      <c r="PAM71" s="12"/>
      <c r="PAN71" s="12"/>
      <c r="PBE71" s="12"/>
      <c r="PBF71" s="12"/>
      <c r="PBW71" s="12"/>
      <c r="PBX71" s="12"/>
      <c r="PCO71" s="12"/>
      <c r="PCP71" s="12"/>
      <c r="PDG71" s="12"/>
      <c r="PDH71" s="12"/>
      <c r="PDY71" s="12"/>
      <c r="PDZ71" s="12"/>
      <c r="PEQ71" s="12"/>
      <c r="PER71" s="12"/>
      <c r="PFI71" s="12"/>
      <c r="PFJ71" s="12"/>
      <c r="PGA71" s="12"/>
      <c r="PGB71" s="12"/>
      <c r="PGS71" s="12"/>
      <c r="PGT71" s="12"/>
      <c r="PHK71" s="12"/>
      <c r="PHL71" s="12"/>
      <c r="PIC71" s="12"/>
      <c r="PID71" s="12"/>
      <c r="PIU71" s="12"/>
      <c r="PIV71" s="12"/>
      <c r="PJM71" s="12"/>
      <c r="PJN71" s="12"/>
      <c r="PKE71" s="12"/>
      <c r="PKF71" s="12"/>
      <c r="PKW71" s="12"/>
      <c r="PKX71" s="12"/>
      <c r="PLO71" s="12"/>
      <c r="PLP71" s="12"/>
      <c r="PMG71" s="12"/>
      <c r="PMH71" s="12"/>
      <c r="PMY71" s="12"/>
      <c r="PMZ71" s="12"/>
      <c r="PNQ71" s="12"/>
      <c r="PNR71" s="12"/>
      <c r="POI71" s="12"/>
      <c r="POJ71" s="12"/>
      <c r="PPA71" s="12"/>
      <c r="PPB71" s="12"/>
      <c r="PPS71" s="12"/>
      <c r="PPT71" s="12"/>
      <c r="PQK71" s="12"/>
      <c r="PQL71" s="12"/>
      <c r="PRC71" s="12"/>
      <c r="PRD71" s="12"/>
      <c r="PRU71" s="12"/>
      <c r="PRV71" s="12"/>
      <c r="PSM71" s="12"/>
      <c r="PSN71" s="12"/>
      <c r="PTE71" s="12"/>
      <c r="PTF71" s="12"/>
      <c r="PTW71" s="12"/>
      <c r="PTX71" s="12"/>
      <c r="PUO71" s="12"/>
      <c r="PUP71" s="12"/>
      <c r="PVG71" s="12"/>
      <c r="PVH71" s="12"/>
      <c r="PVY71" s="12"/>
      <c r="PVZ71" s="12"/>
      <c r="PWQ71" s="12"/>
      <c r="PWR71" s="12"/>
      <c r="PXI71" s="12"/>
      <c r="PXJ71" s="12"/>
      <c r="PYA71" s="12"/>
      <c r="PYB71" s="12"/>
      <c r="PYS71" s="12"/>
      <c r="PYT71" s="12"/>
      <c r="PZK71" s="12"/>
      <c r="PZL71" s="12"/>
      <c r="QAC71" s="12"/>
      <c r="QAD71" s="12"/>
      <c r="QAU71" s="12"/>
      <c r="QAV71" s="12"/>
      <c r="QBM71" s="12"/>
      <c r="QBN71" s="12"/>
      <c r="QCE71" s="12"/>
      <c r="QCF71" s="12"/>
      <c r="QCW71" s="12"/>
      <c r="QCX71" s="12"/>
      <c r="QDO71" s="12"/>
      <c r="QDP71" s="12"/>
      <c r="QEG71" s="12"/>
      <c r="QEH71" s="12"/>
      <c r="QEY71" s="12"/>
      <c r="QEZ71" s="12"/>
      <c r="QFQ71" s="12"/>
      <c r="QFR71" s="12"/>
      <c r="QGI71" s="12"/>
      <c r="QGJ71" s="12"/>
      <c r="QHA71" s="12"/>
      <c r="QHB71" s="12"/>
      <c r="QHS71" s="12"/>
      <c r="QHT71" s="12"/>
      <c r="QIK71" s="12"/>
      <c r="QIL71" s="12"/>
      <c r="QJC71" s="12"/>
      <c r="QJD71" s="12"/>
      <c r="QJU71" s="12"/>
      <c r="QJV71" s="12"/>
      <c r="QKM71" s="12"/>
      <c r="QKN71" s="12"/>
      <c r="QLE71" s="12"/>
      <c r="QLF71" s="12"/>
      <c r="QLW71" s="12"/>
      <c r="QLX71" s="12"/>
      <c r="QMO71" s="12"/>
      <c r="QMP71" s="12"/>
      <c r="QNG71" s="12"/>
      <c r="QNH71" s="12"/>
      <c r="QNY71" s="12"/>
      <c r="QNZ71" s="12"/>
      <c r="QOQ71" s="12"/>
      <c r="QOR71" s="12"/>
      <c r="QPI71" s="12"/>
      <c r="QPJ71" s="12"/>
      <c r="QQA71" s="12"/>
      <c r="QQB71" s="12"/>
      <c r="QQS71" s="12"/>
      <c r="QQT71" s="12"/>
      <c r="QRK71" s="12"/>
      <c r="QRL71" s="12"/>
      <c r="QSC71" s="12"/>
      <c r="QSD71" s="12"/>
      <c r="QSU71" s="12"/>
      <c r="QSV71" s="12"/>
      <c r="QTM71" s="12"/>
      <c r="QTN71" s="12"/>
      <c r="QUE71" s="12"/>
      <c r="QUF71" s="12"/>
      <c r="QUW71" s="12"/>
      <c r="QUX71" s="12"/>
      <c r="QVO71" s="12"/>
      <c r="QVP71" s="12"/>
      <c r="QWG71" s="12"/>
      <c r="QWH71" s="12"/>
      <c r="QWY71" s="12"/>
      <c r="QWZ71" s="12"/>
      <c r="QXQ71" s="12"/>
      <c r="QXR71" s="12"/>
      <c r="QYI71" s="12"/>
      <c r="QYJ71" s="12"/>
      <c r="QZA71" s="12"/>
      <c r="QZB71" s="12"/>
      <c r="QZS71" s="12"/>
      <c r="QZT71" s="12"/>
      <c r="RAK71" s="12"/>
      <c r="RAL71" s="12"/>
      <c r="RBC71" s="12"/>
      <c r="RBD71" s="12"/>
      <c r="RBU71" s="12"/>
      <c r="RBV71" s="12"/>
      <c r="RCM71" s="12"/>
      <c r="RCN71" s="12"/>
      <c r="RDE71" s="12"/>
      <c r="RDF71" s="12"/>
      <c r="RDW71" s="12"/>
      <c r="RDX71" s="12"/>
      <c r="REO71" s="12"/>
      <c r="REP71" s="12"/>
      <c r="RFG71" s="12"/>
      <c r="RFH71" s="12"/>
      <c r="RFY71" s="12"/>
      <c r="RFZ71" s="12"/>
      <c r="RGQ71" s="12"/>
      <c r="RGR71" s="12"/>
      <c r="RHI71" s="12"/>
      <c r="RHJ71" s="12"/>
      <c r="RIA71" s="12"/>
      <c r="RIB71" s="12"/>
      <c r="RIS71" s="12"/>
      <c r="RIT71" s="12"/>
      <c r="RJK71" s="12"/>
      <c r="RJL71" s="12"/>
      <c r="RKC71" s="12"/>
      <c r="RKD71" s="12"/>
      <c r="RKU71" s="12"/>
      <c r="RKV71" s="12"/>
      <c r="RLM71" s="12"/>
      <c r="RLN71" s="12"/>
      <c r="RME71" s="12"/>
      <c r="RMF71" s="12"/>
      <c r="RMW71" s="12"/>
      <c r="RMX71" s="12"/>
      <c r="RNO71" s="12"/>
      <c r="RNP71" s="12"/>
      <c r="ROG71" s="12"/>
      <c r="ROH71" s="12"/>
      <c r="ROY71" s="12"/>
      <c r="ROZ71" s="12"/>
      <c r="RPQ71" s="12"/>
      <c r="RPR71" s="12"/>
      <c r="RQI71" s="12"/>
      <c r="RQJ71" s="12"/>
      <c r="RRA71" s="12"/>
      <c r="RRB71" s="12"/>
      <c r="RRS71" s="12"/>
      <c r="RRT71" s="12"/>
      <c r="RSK71" s="12"/>
      <c r="RSL71" s="12"/>
      <c r="RTC71" s="12"/>
      <c r="RTD71" s="12"/>
      <c r="RTU71" s="12"/>
      <c r="RTV71" s="12"/>
      <c r="RUM71" s="12"/>
      <c r="RUN71" s="12"/>
      <c r="RVE71" s="12"/>
      <c r="RVF71" s="12"/>
      <c r="RVW71" s="12"/>
      <c r="RVX71" s="12"/>
      <c r="RWO71" s="12"/>
      <c r="RWP71" s="12"/>
      <c r="RXG71" s="12"/>
      <c r="RXH71" s="12"/>
      <c r="RXY71" s="12"/>
      <c r="RXZ71" s="12"/>
      <c r="RYQ71" s="12"/>
      <c r="RYR71" s="12"/>
      <c r="RZI71" s="12"/>
      <c r="RZJ71" s="12"/>
      <c r="SAA71" s="12"/>
      <c r="SAB71" s="12"/>
      <c r="SAS71" s="12"/>
      <c r="SAT71" s="12"/>
      <c r="SBK71" s="12"/>
      <c r="SBL71" s="12"/>
      <c r="SCC71" s="12"/>
      <c r="SCD71" s="12"/>
      <c r="SCU71" s="12"/>
      <c r="SCV71" s="12"/>
      <c r="SDM71" s="12"/>
      <c r="SDN71" s="12"/>
      <c r="SEE71" s="12"/>
      <c r="SEF71" s="12"/>
      <c r="SEW71" s="12"/>
      <c r="SEX71" s="12"/>
      <c r="SFO71" s="12"/>
      <c r="SFP71" s="12"/>
      <c r="SGG71" s="12"/>
      <c r="SGH71" s="12"/>
      <c r="SGY71" s="12"/>
      <c r="SGZ71" s="12"/>
      <c r="SHQ71" s="12"/>
      <c r="SHR71" s="12"/>
      <c r="SII71" s="12"/>
      <c r="SIJ71" s="12"/>
      <c r="SJA71" s="12"/>
      <c r="SJB71" s="12"/>
      <c r="SJS71" s="12"/>
      <c r="SJT71" s="12"/>
      <c r="SKK71" s="12"/>
      <c r="SKL71" s="12"/>
      <c r="SLC71" s="12"/>
      <c r="SLD71" s="12"/>
      <c r="SLU71" s="12"/>
      <c r="SLV71" s="12"/>
      <c r="SMM71" s="12"/>
      <c r="SMN71" s="12"/>
      <c r="SNE71" s="12"/>
      <c r="SNF71" s="12"/>
      <c r="SNW71" s="12"/>
      <c r="SNX71" s="12"/>
      <c r="SOO71" s="12"/>
      <c r="SOP71" s="12"/>
      <c r="SPG71" s="12"/>
      <c r="SPH71" s="12"/>
      <c r="SPY71" s="12"/>
      <c r="SPZ71" s="12"/>
      <c r="SQQ71" s="12"/>
      <c r="SQR71" s="12"/>
      <c r="SRI71" s="12"/>
      <c r="SRJ71" s="12"/>
      <c r="SSA71" s="12"/>
      <c r="SSB71" s="12"/>
      <c r="SSS71" s="12"/>
      <c r="SST71" s="12"/>
      <c r="STK71" s="12"/>
      <c r="STL71" s="12"/>
      <c r="SUC71" s="12"/>
      <c r="SUD71" s="12"/>
      <c r="SUU71" s="12"/>
      <c r="SUV71" s="12"/>
      <c r="SVM71" s="12"/>
      <c r="SVN71" s="12"/>
      <c r="SWE71" s="12"/>
      <c r="SWF71" s="12"/>
      <c r="SWW71" s="12"/>
      <c r="SWX71" s="12"/>
      <c r="SXO71" s="12"/>
      <c r="SXP71" s="12"/>
      <c r="SYG71" s="12"/>
      <c r="SYH71" s="12"/>
      <c r="SYY71" s="12"/>
      <c r="SYZ71" s="12"/>
      <c r="SZQ71" s="12"/>
      <c r="SZR71" s="12"/>
      <c r="TAI71" s="12"/>
      <c r="TAJ71" s="12"/>
      <c r="TBA71" s="12"/>
      <c r="TBB71" s="12"/>
      <c r="TBS71" s="12"/>
      <c r="TBT71" s="12"/>
      <c r="TCK71" s="12"/>
      <c r="TCL71" s="12"/>
      <c r="TDC71" s="12"/>
      <c r="TDD71" s="12"/>
      <c r="TDU71" s="12"/>
      <c r="TDV71" s="12"/>
      <c r="TEM71" s="12"/>
      <c r="TEN71" s="12"/>
      <c r="TFE71" s="12"/>
      <c r="TFF71" s="12"/>
      <c r="TFW71" s="12"/>
      <c r="TFX71" s="12"/>
      <c r="TGO71" s="12"/>
      <c r="TGP71" s="12"/>
      <c r="THG71" s="12"/>
      <c r="THH71" s="12"/>
      <c r="THY71" s="12"/>
      <c r="THZ71" s="12"/>
      <c r="TIQ71" s="12"/>
      <c r="TIR71" s="12"/>
      <c r="TJI71" s="12"/>
      <c r="TJJ71" s="12"/>
      <c r="TKA71" s="12"/>
      <c r="TKB71" s="12"/>
      <c r="TKS71" s="12"/>
      <c r="TKT71" s="12"/>
      <c r="TLK71" s="12"/>
      <c r="TLL71" s="12"/>
      <c r="TMC71" s="12"/>
      <c r="TMD71" s="12"/>
      <c r="TMU71" s="12"/>
      <c r="TMV71" s="12"/>
      <c r="TNM71" s="12"/>
      <c r="TNN71" s="12"/>
      <c r="TOE71" s="12"/>
      <c r="TOF71" s="12"/>
      <c r="TOW71" s="12"/>
      <c r="TOX71" s="12"/>
      <c r="TPO71" s="12"/>
      <c r="TPP71" s="12"/>
      <c r="TQG71" s="12"/>
      <c r="TQH71" s="12"/>
      <c r="TQY71" s="12"/>
      <c r="TQZ71" s="12"/>
      <c r="TRQ71" s="12"/>
      <c r="TRR71" s="12"/>
      <c r="TSI71" s="12"/>
      <c r="TSJ71" s="12"/>
      <c r="TTA71" s="12"/>
      <c r="TTB71" s="12"/>
      <c r="TTS71" s="12"/>
      <c r="TTT71" s="12"/>
      <c r="TUK71" s="12"/>
      <c r="TUL71" s="12"/>
      <c r="TVC71" s="12"/>
      <c r="TVD71" s="12"/>
      <c r="TVU71" s="12"/>
      <c r="TVV71" s="12"/>
      <c r="TWM71" s="12"/>
      <c r="TWN71" s="12"/>
      <c r="TXE71" s="12"/>
      <c r="TXF71" s="12"/>
      <c r="TXW71" s="12"/>
      <c r="TXX71" s="12"/>
      <c r="TYO71" s="12"/>
      <c r="TYP71" s="12"/>
      <c r="TZG71" s="12"/>
      <c r="TZH71" s="12"/>
      <c r="TZY71" s="12"/>
      <c r="TZZ71" s="12"/>
      <c r="UAQ71" s="12"/>
      <c r="UAR71" s="12"/>
      <c r="UBI71" s="12"/>
      <c r="UBJ71" s="12"/>
      <c r="UCA71" s="12"/>
      <c r="UCB71" s="12"/>
      <c r="UCS71" s="12"/>
      <c r="UCT71" s="12"/>
      <c r="UDK71" s="12"/>
      <c r="UDL71" s="12"/>
      <c r="UEC71" s="12"/>
      <c r="UED71" s="12"/>
      <c r="UEU71" s="12"/>
      <c r="UEV71" s="12"/>
      <c r="UFM71" s="12"/>
      <c r="UFN71" s="12"/>
      <c r="UGE71" s="12"/>
      <c r="UGF71" s="12"/>
      <c r="UGW71" s="12"/>
      <c r="UGX71" s="12"/>
      <c r="UHO71" s="12"/>
      <c r="UHP71" s="12"/>
      <c r="UIG71" s="12"/>
      <c r="UIH71" s="12"/>
      <c r="UIY71" s="12"/>
      <c r="UIZ71" s="12"/>
      <c r="UJQ71" s="12"/>
      <c r="UJR71" s="12"/>
      <c r="UKI71" s="12"/>
      <c r="UKJ71" s="12"/>
      <c r="ULA71" s="12"/>
      <c r="ULB71" s="12"/>
      <c r="ULS71" s="12"/>
      <c r="ULT71" s="12"/>
      <c r="UMK71" s="12"/>
      <c r="UML71" s="12"/>
      <c r="UNC71" s="12"/>
      <c r="UND71" s="12"/>
      <c r="UNU71" s="12"/>
      <c r="UNV71" s="12"/>
      <c r="UOM71" s="12"/>
      <c r="UON71" s="12"/>
      <c r="UPE71" s="12"/>
      <c r="UPF71" s="12"/>
      <c r="UPW71" s="12"/>
      <c r="UPX71" s="12"/>
      <c r="UQO71" s="12"/>
      <c r="UQP71" s="12"/>
      <c r="URG71" s="12"/>
      <c r="URH71" s="12"/>
      <c r="URY71" s="12"/>
      <c r="URZ71" s="12"/>
      <c r="USQ71" s="12"/>
      <c r="USR71" s="12"/>
      <c r="UTI71" s="12"/>
      <c r="UTJ71" s="12"/>
      <c r="UUA71" s="12"/>
      <c r="UUB71" s="12"/>
      <c r="UUS71" s="12"/>
      <c r="UUT71" s="12"/>
      <c r="UVK71" s="12"/>
      <c r="UVL71" s="12"/>
      <c r="UWC71" s="12"/>
      <c r="UWD71" s="12"/>
      <c r="UWU71" s="12"/>
      <c r="UWV71" s="12"/>
      <c r="UXM71" s="12"/>
      <c r="UXN71" s="12"/>
      <c r="UYE71" s="12"/>
      <c r="UYF71" s="12"/>
      <c r="UYW71" s="12"/>
      <c r="UYX71" s="12"/>
      <c r="UZO71" s="12"/>
      <c r="UZP71" s="12"/>
      <c r="VAG71" s="12"/>
      <c r="VAH71" s="12"/>
      <c r="VAY71" s="12"/>
      <c r="VAZ71" s="12"/>
      <c r="VBQ71" s="12"/>
      <c r="VBR71" s="12"/>
      <c r="VCI71" s="12"/>
      <c r="VCJ71" s="12"/>
      <c r="VDA71" s="12"/>
      <c r="VDB71" s="12"/>
      <c r="VDS71" s="12"/>
      <c r="VDT71" s="12"/>
      <c r="VEK71" s="12"/>
      <c r="VEL71" s="12"/>
      <c r="VFC71" s="12"/>
      <c r="VFD71" s="12"/>
      <c r="VFU71" s="12"/>
      <c r="VFV71" s="12"/>
      <c r="VGM71" s="12"/>
      <c r="VGN71" s="12"/>
      <c r="VHE71" s="12"/>
      <c r="VHF71" s="12"/>
      <c r="VHW71" s="12"/>
      <c r="VHX71" s="12"/>
      <c r="VIO71" s="12"/>
      <c r="VIP71" s="12"/>
      <c r="VJG71" s="12"/>
      <c r="VJH71" s="12"/>
      <c r="VJY71" s="12"/>
      <c r="VJZ71" s="12"/>
      <c r="VKQ71" s="12"/>
      <c r="VKR71" s="12"/>
      <c r="VLI71" s="12"/>
      <c r="VLJ71" s="12"/>
      <c r="VMA71" s="12"/>
      <c r="VMB71" s="12"/>
      <c r="VMS71" s="12"/>
      <c r="VMT71" s="12"/>
      <c r="VNK71" s="12"/>
      <c r="VNL71" s="12"/>
      <c r="VOC71" s="12"/>
      <c r="VOD71" s="12"/>
      <c r="VOU71" s="12"/>
      <c r="VOV71" s="12"/>
      <c r="VPM71" s="12"/>
      <c r="VPN71" s="12"/>
      <c r="VQE71" s="12"/>
      <c r="VQF71" s="12"/>
      <c r="VQW71" s="12"/>
      <c r="VQX71" s="12"/>
      <c r="VRO71" s="12"/>
      <c r="VRP71" s="12"/>
      <c r="VSG71" s="12"/>
      <c r="VSH71" s="12"/>
      <c r="VSY71" s="12"/>
      <c r="VSZ71" s="12"/>
      <c r="VTQ71" s="12"/>
      <c r="VTR71" s="12"/>
      <c r="VUI71" s="12"/>
      <c r="VUJ71" s="12"/>
      <c r="VVA71" s="12"/>
      <c r="VVB71" s="12"/>
      <c r="VVS71" s="12"/>
      <c r="VVT71" s="12"/>
      <c r="VWK71" s="12"/>
      <c r="VWL71" s="12"/>
      <c r="VXC71" s="12"/>
      <c r="VXD71" s="12"/>
      <c r="VXU71" s="12"/>
      <c r="VXV71" s="12"/>
      <c r="VYM71" s="12"/>
      <c r="VYN71" s="12"/>
      <c r="VZE71" s="12"/>
      <c r="VZF71" s="12"/>
      <c r="VZW71" s="12"/>
      <c r="VZX71" s="12"/>
      <c r="WAO71" s="12"/>
      <c r="WAP71" s="12"/>
      <c r="WBG71" s="12"/>
      <c r="WBH71" s="12"/>
      <c r="WBY71" s="12"/>
      <c r="WBZ71" s="12"/>
      <c r="WCQ71" s="12"/>
      <c r="WCR71" s="12"/>
      <c r="WDI71" s="12"/>
      <c r="WDJ71" s="12"/>
      <c r="WEA71" s="12"/>
      <c r="WEB71" s="12"/>
      <c r="WES71" s="12"/>
      <c r="WET71" s="12"/>
      <c r="WFK71" s="12"/>
      <c r="WFL71" s="12"/>
      <c r="WGC71" s="12"/>
      <c r="WGD71" s="12"/>
      <c r="WGU71" s="12"/>
      <c r="WGV71" s="12"/>
      <c r="WHM71" s="12"/>
      <c r="WHN71" s="12"/>
      <c r="WIE71" s="12"/>
      <c r="WIF71" s="12"/>
      <c r="WIW71" s="12"/>
      <c r="WIX71" s="12"/>
      <c r="WJO71" s="12"/>
      <c r="WJP71" s="12"/>
      <c r="WKG71" s="12"/>
      <c r="WKH71" s="12"/>
      <c r="WKY71" s="12"/>
      <c r="WKZ71" s="12"/>
      <c r="WLQ71" s="12"/>
      <c r="WLR71" s="12"/>
      <c r="WMI71" s="12"/>
      <c r="WMJ71" s="12"/>
      <c r="WNA71" s="12"/>
      <c r="WNB71" s="12"/>
      <c r="WNS71" s="12"/>
      <c r="WNT71" s="12"/>
      <c r="WOK71" s="12"/>
      <c r="WOL71" s="12"/>
      <c r="WPC71" s="12"/>
      <c r="WPD71" s="12"/>
      <c r="WPU71" s="12"/>
      <c r="WPV71" s="12"/>
      <c r="WQM71" s="12"/>
      <c r="WQN71" s="12"/>
      <c r="WRE71" s="12"/>
      <c r="WRF71" s="12"/>
      <c r="WRW71" s="12"/>
      <c r="WRX71" s="12"/>
      <c r="WSO71" s="12"/>
      <c r="WSP71" s="12"/>
      <c r="WTG71" s="12"/>
      <c r="WTH71" s="12"/>
      <c r="WTY71" s="12"/>
      <c r="WTZ71" s="12"/>
      <c r="WUQ71" s="12"/>
      <c r="WUR71" s="12"/>
      <c r="WVI71" s="12"/>
      <c r="WVJ71" s="12"/>
      <c r="WWA71" s="12"/>
      <c r="WWB71" s="12"/>
      <c r="WWS71" s="12"/>
      <c r="WWT71" s="12"/>
      <c r="WXK71" s="12"/>
      <c r="WXL71" s="12"/>
      <c r="WYC71" s="12"/>
      <c r="WYD71" s="12"/>
      <c r="WYU71" s="12"/>
      <c r="WYV71" s="12"/>
      <c r="WZM71" s="12"/>
      <c r="WZN71" s="12"/>
      <c r="XAE71" s="12"/>
      <c r="XAF71" s="12"/>
      <c r="XAW71" s="12"/>
      <c r="XAX71" s="12"/>
      <c r="XBO71" s="12"/>
      <c r="XBP71" s="12"/>
      <c r="XCG71" s="12"/>
      <c r="XCH71" s="12"/>
      <c r="XCY71" s="12"/>
      <c r="XCZ71" s="12"/>
      <c r="XDQ71" s="12"/>
      <c r="XDR71" s="12"/>
      <c r="XEI71" s="12"/>
      <c r="XEJ71" s="12"/>
      <c r="XFA71" s="12"/>
      <c r="XFB71" s="12"/>
    </row>
    <row r="72" spans="1:1010 1027:2036 2053:3062 3079:4088 4105:5114 5131:6140 6157:7166 7183:8192 8209:9200 9217:10226 10243:11252 11269:12278 12295:13304 13321:14330 14347:15356 15373:16382" s="11" customFormat="1" x14ac:dyDescent="0.35">
      <c r="A72" s="181" t="s">
        <v>121</v>
      </c>
      <c r="B72" s="181" t="s">
        <v>122</v>
      </c>
      <c r="C72" s="198">
        <v>0</v>
      </c>
      <c r="D72" s="198">
        <v>0</v>
      </c>
      <c r="E72" s="198">
        <v>0</v>
      </c>
      <c r="F72" s="198">
        <v>0</v>
      </c>
      <c r="G72" s="198">
        <v>0</v>
      </c>
      <c r="H72" s="198">
        <v>0</v>
      </c>
      <c r="I72" s="198">
        <v>0</v>
      </c>
      <c r="J72" s="198">
        <v>0</v>
      </c>
      <c r="K72" s="198">
        <v>0</v>
      </c>
      <c r="L72" s="198">
        <v>0</v>
      </c>
      <c r="M72" s="312"/>
      <c r="S72" s="12"/>
      <c r="T72" s="12"/>
      <c r="AK72" s="12"/>
      <c r="AL72" s="12"/>
      <c r="BC72" s="12"/>
      <c r="BD72" s="12"/>
      <c r="BU72" s="12"/>
      <c r="BV72" s="12"/>
      <c r="CM72" s="12"/>
      <c r="CN72" s="12"/>
      <c r="DE72" s="12"/>
      <c r="DF72" s="12"/>
      <c r="DW72" s="12"/>
      <c r="DX72" s="12"/>
      <c r="EO72" s="12"/>
      <c r="EP72" s="12"/>
      <c r="FG72" s="12"/>
      <c r="FH72" s="12"/>
      <c r="FY72" s="12"/>
      <c r="FZ72" s="12"/>
      <c r="GQ72" s="12"/>
      <c r="GR72" s="12"/>
      <c r="HI72" s="12"/>
      <c r="HJ72" s="12"/>
      <c r="IA72" s="12"/>
      <c r="IB72" s="12"/>
      <c r="IS72" s="12"/>
      <c r="IT72" s="12"/>
      <c r="JK72" s="12"/>
      <c r="JL72" s="12"/>
      <c r="KC72" s="12"/>
      <c r="KD72" s="12"/>
      <c r="KU72" s="12"/>
      <c r="KV72" s="12"/>
      <c r="LM72" s="12"/>
      <c r="LN72" s="12"/>
      <c r="ME72" s="12"/>
      <c r="MF72" s="12"/>
      <c r="MW72" s="12"/>
      <c r="MX72" s="12"/>
      <c r="NO72" s="12"/>
      <c r="NP72" s="12"/>
      <c r="OG72" s="12"/>
      <c r="OH72" s="12"/>
      <c r="OY72" s="12"/>
      <c r="OZ72" s="12"/>
      <c r="PQ72" s="12"/>
      <c r="PR72" s="12"/>
      <c r="QI72" s="12"/>
      <c r="QJ72" s="12"/>
      <c r="RA72" s="12"/>
      <c r="RB72" s="12"/>
      <c r="RS72" s="12"/>
      <c r="RT72" s="12"/>
      <c r="SK72" s="12"/>
      <c r="SL72" s="12"/>
      <c r="TC72" s="12"/>
      <c r="TD72" s="12"/>
      <c r="TU72" s="12"/>
      <c r="TV72" s="12"/>
      <c r="UM72" s="12"/>
      <c r="UN72" s="12"/>
      <c r="VE72" s="12"/>
      <c r="VF72" s="12"/>
      <c r="VW72" s="12"/>
      <c r="VX72" s="12"/>
      <c r="WO72" s="12"/>
      <c r="WP72" s="12"/>
      <c r="XG72" s="12"/>
      <c r="XH72" s="12"/>
      <c r="XY72" s="12"/>
      <c r="XZ72" s="12"/>
      <c r="YQ72" s="12"/>
      <c r="YR72" s="12"/>
      <c r="ZI72" s="12"/>
      <c r="ZJ72" s="12"/>
      <c r="AAA72" s="12"/>
      <c r="AAB72" s="12"/>
      <c r="AAS72" s="12"/>
      <c r="AAT72" s="12"/>
      <c r="ABK72" s="12"/>
      <c r="ABL72" s="12"/>
      <c r="ACC72" s="12"/>
      <c r="ACD72" s="12"/>
      <c r="ACU72" s="12"/>
      <c r="ACV72" s="12"/>
      <c r="ADM72" s="12"/>
      <c r="ADN72" s="12"/>
      <c r="AEE72" s="12"/>
      <c r="AEF72" s="12"/>
      <c r="AEW72" s="12"/>
      <c r="AEX72" s="12"/>
      <c r="AFO72" s="12"/>
      <c r="AFP72" s="12"/>
      <c r="AGG72" s="12"/>
      <c r="AGH72" s="12"/>
      <c r="AGY72" s="12"/>
      <c r="AGZ72" s="12"/>
      <c r="AHQ72" s="12"/>
      <c r="AHR72" s="12"/>
      <c r="AII72" s="12"/>
      <c r="AIJ72" s="12"/>
      <c r="AJA72" s="12"/>
      <c r="AJB72" s="12"/>
      <c r="AJS72" s="12"/>
      <c r="AJT72" s="12"/>
      <c r="AKK72" s="12"/>
      <c r="AKL72" s="12"/>
      <c r="ALC72" s="12"/>
      <c r="ALD72" s="12"/>
      <c r="ALU72" s="12"/>
      <c r="ALV72" s="12"/>
      <c r="AMM72" s="12"/>
      <c r="AMN72" s="12"/>
      <c r="ANE72" s="12"/>
      <c r="ANF72" s="12"/>
      <c r="ANW72" s="12"/>
      <c r="ANX72" s="12"/>
      <c r="AOO72" s="12"/>
      <c r="AOP72" s="12"/>
      <c r="APG72" s="12"/>
      <c r="APH72" s="12"/>
      <c r="APY72" s="12"/>
      <c r="APZ72" s="12"/>
      <c r="AQQ72" s="12"/>
      <c r="AQR72" s="12"/>
      <c r="ARI72" s="12"/>
      <c r="ARJ72" s="12"/>
      <c r="ASA72" s="12"/>
      <c r="ASB72" s="12"/>
      <c r="ASS72" s="12"/>
      <c r="AST72" s="12"/>
      <c r="ATK72" s="12"/>
      <c r="ATL72" s="12"/>
      <c r="AUC72" s="12"/>
      <c r="AUD72" s="12"/>
      <c r="AUU72" s="12"/>
      <c r="AUV72" s="12"/>
      <c r="AVM72" s="12"/>
      <c r="AVN72" s="12"/>
      <c r="AWE72" s="12"/>
      <c r="AWF72" s="12"/>
      <c r="AWW72" s="12"/>
      <c r="AWX72" s="12"/>
      <c r="AXO72" s="12"/>
      <c r="AXP72" s="12"/>
      <c r="AYG72" s="12"/>
      <c r="AYH72" s="12"/>
      <c r="AYY72" s="12"/>
      <c r="AYZ72" s="12"/>
      <c r="AZQ72" s="12"/>
      <c r="AZR72" s="12"/>
      <c r="BAI72" s="12"/>
      <c r="BAJ72" s="12"/>
      <c r="BBA72" s="12"/>
      <c r="BBB72" s="12"/>
      <c r="BBS72" s="12"/>
      <c r="BBT72" s="12"/>
      <c r="BCK72" s="12"/>
      <c r="BCL72" s="12"/>
      <c r="BDC72" s="12"/>
      <c r="BDD72" s="12"/>
      <c r="BDU72" s="12"/>
      <c r="BDV72" s="12"/>
      <c r="BEM72" s="12"/>
      <c r="BEN72" s="12"/>
      <c r="BFE72" s="12"/>
      <c r="BFF72" s="12"/>
      <c r="BFW72" s="12"/>
      <c r="BFX72" s="12"/>
      <c r="BGO72" s="12"/>
      <c r="BGP72" s="12"/>
      <c r="BHG72" s="12"/>
      <c r="BHH72" s="12"/>
      <c r="BHY72" s="12"/>
      <c r="BHZ72" s="12"/>
      <c r="BIQ72" s="12"/>
      <c r="BIR72" s="12"/>
      <c r="BJI72" s="12"/>
      <c r="BJJ72" s="12"/>
      <c r="BKA72" s="12"/>
      <c r="BKB72" s="12"/>
      <c r="BKS72" s="12"/>
      <c r="BKT72" s="12"/>
      <c r="BLK72" s="12"/>
      <c r="BLL72" s="12"/>
      <c r="BMC72" s="12"/>
      <c r="BMD72" s="12"/>
      <c r="BMU72" s="12"/>
      <c r="BMV72" s="12"/>
      <c r="BNM72" s="12"/>
      <c r="BNN72" s="12"/>
      <c r="BOE72" s="12"/>
      <c r="BOF72" s="12"/>
      <c r="BOW72" s="12"/>
      <c r="BOX72" s="12"/>
      <c r="BPO72" s="12"/>
      <c r="BPP72" s="12"/>
      <c r="BQG72" s="12"/>
      <c r="BQH72" s="12"/>
      <c r="BQY72" s="12"/>
      <c r="BQZ72" s="12"/>
      <c r="BRQ72" s="12"/>
      <c r="BRR72" s="12"/>
      <c r="BSI72" s="12"/>
      <c r="BSJ72" s="12"/>
      <c r="BTA72" s="12"/>
      <c r="BTB72" s="12"/>
      <c r="BTS72" s="12"/>
      <c r="BTT72" s="12"/>
      <c r="BUK72" s="12"/>
      <c r="BUL72" s="12"/>
      <c r="BVC72" s="12"/>
      <c r="BVD72" s="12"/>
      <c r="BVU72" s="12"/>
      <c r="BVV72" s="12"/>
      <c r="BWM72" s="12"/>
      <c r="BWN72" s="12"/>
      <c r="BXE72" s="12"/>
      <c r="BXF72" s="12"/>
      <c r="BXW72" s="12"/>
      <c r="BXX72" s="12"/>
      <c r="BYO72" s="12"/>
      <c r="BYP72" s="12"/>
      <c r="BZG72" s="12"/>
      <c r="BZH72" s="12"/>
      <c r="BZY72" s="12"/>
      <c r="BZZ72" s="12"/>
      <c r="CAQ72" s="12"/>
      <c r="CAR72" s="12"/>
      <c r="CBI72" s="12"/>
      <c r="CBJ72" s="12"/>
      <c r="CCA72" s="12"/>
      <c r="CCB72" s="12"/>
      <c r="CCS72" s="12"/>
      <c r="CCT72" s="12"/>
      <c r="CDK72" s="12"/>
      <c r="CDL72" s="12"/>
      <c r="CEC72" s="12"/>
      <c r="CED72" s="12"/>
      <c r="CEU72" s="12"/>
      <c r="CEV72" s="12"/>
      <c r="CFM72" s="12"/>
      <c r="CFN72" s="12"/>
      <c r="CGE72" s="12"/>
      <c r="CGF72" s="12"/>
      <c r="CGW72" s="12"/>
      <c r="CGX72" s="12"/>
      <c r="CHO72" s="12"/>
      <c r="CHP72" s="12"/>
      <c r="CIG72" s="12"/>
      <c r="CIH72" s="12"/>
      <c r="CIY72" s="12"/>
      <c r="CIZ72" s="12"/>
      <c r="CJQ72" s="12"/>
      <c r="CJR72" s="12"/>
      <c r="CKI72" s="12"/>
      <c r="CKJ72" s="12"/>
      <c r="CLA72" s="12"/>
      <c r="CLB72" s="12"/>
      <c r="CLS72" s="12"/>
      <c r="CLT72" s="12"/>
      <c r="CMK72" s="12"/>
      <c r="CML72" s="12"/>
      <c r="CNC72" s="12"/>
      <c r="CND72" s="12"/>
      <c r="CNU72" s="12"/>
      <c r="CNV72" s="12"/>
      <c r="COM72" s="12"/>
      <c r="CON72" s="12"/>
      <c r="CPE72" s="12"/>
      <c r="CPF72" s="12"/>
      <c r="CPW72" s="12"/>
      <c r="CPX72" s="12"/>
      <c r="CQO72" s="12"/>
      <c r="CQP72" s="12"/>
      <c r="CRG72" s="12"/>
      <c r="CRH72" s="12"/>
      <c r="CRY72" s="12"/>
      <c r="CRZ72" s="12"/>
      <c r="CSQ72" s="12"/>
      <c r="CSR72" s="12"/>
      <c r="CTI72" s="12"/>
      <c r="CTJ72" s="12"/>
      <c r="CUA72" s="12"/>
      <c r="CUB72" s="12"/>
      <c r="CUS72" s="12"/>
      <c r="CUT72" s="12"/>
      <c r="CVK72" s="12"/>
      <c r="CVL72" s="12"/>
      <c r="CWC72" s="12"/>
      <c r="CWD72" s="12"/>
      <c r="CWU72" s="12"/>
      <c r="CWV72" s="12"/>
      <c r="CXM72" s="12"/>
      <c r="CXN72" s="12"/>
      <c r="CYE72" s="12"/>
      <c r="CYF72" s="12"/>
      <c r="CYW72" s="12"/>
      <c r="CYX72" s="12"/>
      <c r="CZO72" s="12"/>
      <c r="CZP72" s="12"/>
      <c r="DAG72" s="12"/>
      <c r="DAH72" s="12"/>
      <c r="DAY72" s="12"/>
      <c r="DAZ72" s="12"/>
      <c r="DBQ72" s="12"/>
      <c r="DBR72" s="12"/>
      <c r="DCI72" s="12"/>
      <c r="DCJ72" s="12"/>
      <c r="DDA72" s="12"/>
      <c r="DDB72" s="12"/>
      <c r="DDS72" s="12"/>
      <c r="DDT72" s="12"/>
      <c r="DEK72" s="12"/>
      <c r="DEL72" s="12"/>
      <c r="DFC72" s="12"/>
      <c r="DFD72" s="12"/>
      <c r="DFU72" s="12"/>
      <c r="DFV72" s="12"/>
      <c r="DGM72" s="12"/>
      <c r="DGN72" s="12"/>
      <c r="DHE72" s="12"/>
      <c r="DHF72" s="12"/>
      <c r="DHW72" s="12"/>
      <c r="DHX72" s="12"/>
      <c r="DIO72" s="12"/>
      <c r="DIP72" s="12"/>
      <c r="DJG72" s="12"/>
      <c r="DJH72" s="12"/>
      <c r="DJY72" s="12"/>
      <c r="DJZ72" s="12"/>
      <c r="DKQ72" s="12"/>
      <c r="DKR72" s="12"/>
      <c r="DLI72" s="12"/>
      <c r="DLJ72" s="12"/>
      <c r="DMA72" s="12"/>
      <c r="DMB72" s="12"/>
      <c r="DMS72" s="12"/>
      <c r="DMT72" s="12"/>
      <c r="DNK72" s="12"/>
      <c r="DNL72" s="12"/>
      <c r="DOC72" s="12"/>
      <c r="DOD72" s="12"/>
      <c r="DOU72" s="12"/>
      <c r="DOV72" s="12"/>
      <c r="DPM72" s="12"/>
      <c r="DPN72" s="12"/>
      <c r="DQE72" s="12"/>
      <c r="DQF72" s="12"/>
      <c r="DQW72" s="12"/>
      <c r="DQX72" s="12"/>
      <c r="DRO72" s="12"/>
      <c r="DRP72" s="12"/>
      <c r="DSG72" s="12"/>
      <c r="DSH72" s="12"/>
      <c r="DSY72" s="12"/>
      <c r="DSZ72" s="12"/>
      <c r="DTQ72" s="12"/>
      <c r="DTR72" s="12"/>
      <c r="DUI72" s="12"/>
      <c r="DUJ72" s="12"/>
      <c r="DVA72" s="12"/>
      <c r="DVB72" s="12"/>
      <c r="DVS72" s="12"/>
      <c r="DVT72" s="12"/>
      <c r="DWK72" s="12"/>
      <c r="DWL72" s="12"/>
      <c r="DXC72" s="12"/>
      <c r="DXD72" s="12"/>
      <c r="DXU72" s="12"/>
      <c r="DXV72" s="12"/>
      <c r="DYM72" s="12"/>
      <c r="DYN72" s="12"/>
      <c r="DZE72" s="12"/>
      <c r="DZF72" s="12"/>
      <c r="DZW72" s="12"/>
      <c r="DZX72" s="12"/>
      <c r="EAO72" s="12"/>
      <c r="EAP72" s="12"/>
      <c r="EBG72" s="12"/>
      <c r="EBH72" s="12"/>
      <c r="EBY72" s="12"/>
      <c r="EBZ72" s="12"/>
      <c r="ECQ72" s="12"/>
      <c r="ECR72" s="12"/>
      <c r="EDI72" s="12"/>
      <c r="EDJ72" s="12"/>
      <c r="EEA72" s="12"/>
      <c r="EEB72" s="12"/>
      <c r="EES72" s="12"/>
      <c r="EET72" s="12"/>
      <c r="EFK72" s="12"/>
      <c r="EFL72" s="12"/>
      <c r="EGC72" s="12"/>
      <c r="EGD72" s="12"/>
      <c r="EGU72" s="12"/>
      <c r="EGV72" s="12"/>
      <c r="EHM72" s="12"/>
      <c r="EHN72" s="12"/>
      <c r="EIE72" s="12"/>
      <c r="EIF72" s="12"/>
      <c r="EIW72" s="12"/>
      <c r="EIX72" s="12"/>
      <c r="EJO72" s="12"/>
      <c r="EJP72" s="12"/>
      <c r="EKG72" s="12"/>
      <c r="EKH72" s="12"/>
      <c r="EKY72" s="12"/>
      <c r="EKZ72" s="12"/>
      <c r="ELQ72" s="12"/>
      <c r="ELR72" s="12"/>
      <c r="EMI72" s="12"/>
      <c r="EMJ72" s="12"/>
      <c r="ENA72" s="12"/>
      <c r="ENB72" s="12"/>
      <c r="ENS72" s="12"/>
      <c r="ENT72" s="12"/>
      <c r="EOK72" s="12"/>
      <c r="EOL72" s="12"/>
      <c r="EPC72" s="12"/>
      <c r="EPD72" s="12"/>
      <c r="EPU72" s="12"/>
      <c r="EPV72" s="12"/>
      <c r="EQM72" s="12"/>
      <c r="EQN72" s="12"/>
      <c r="ERE72" s="12"/>
      <c r="ERF72" s="12"/>
      <c r="ERW72" s="12"/>
      <c r="ERX72" s="12"/>
      <c r="ESO72" s="12"/>
      <c r="ESP72" s="12"/>
      <c r="ETG72" s="12"/>
      <c r="ETH72" s="12"/>
      <c r="ETY72" s="12"/>
      <c r="ETZ72" s="12"/>
      <c r="EUQ72" s="12"/>
      <c r="EUR72" s="12"/>
      <c r="EVI72" s="12"/>
      <c r="EVJ72" s="12"/>
      <c r="EWA72" s="12"/>
      <c r="EWB72" s="12"/>
      <c r="EWS72" s="12"/>
      <c r="EWT72" s="12"/>
      <c r="EXK72" s="12"/>
      <c r="EXL72" s="12"/>
      <c r="EYC72" s="12"/>
      <c r="EYD72" s="12"/>
      <c r="EYU72" s="12"/>
      <c r="EYV72" s="12"/>
      <c r="EZM72" s="12"/>
      <c r="EZN72" s="12"/>
      <c r="FAE72" s="12"/>
      <c r="FAF72" s="12"/>
      <c r="FAW72" s="12"/>
      <c r="FAX72" s="12"/>
      <c r="FBO72" s="12"/>
      <c r="FBP72" s="12"/>
      <c r="FCG72" s="12"/>
      <c r="FCH72" s="12"/>
      <c r="FCY72" s="12"/>
      <c r="FCZ72" s="12"/>
      <c r="FDQ72" s="12"/>
      <c r="FDR72" s="12"/>
      <c r="FEI72" s="12"/>
      <c r="FEJ72" s="12"/>
      <c r="FFA72" s="12"/>
      <c r="FFB72" s="12"/>
      <c r="FFS72" s="12"/>
      <c r="FFT72" s="12"/>
      <c r="FGK72" s="12"/>
      <c r="FGL72" s="12"/>
      <c r="FHC72" s="12"/>
      <c r="FHD72" s="12"/>
      <c r="FHU72" s="12"/>
      <c r="FHV72" s="12"/>
      <c r="FIM72" s="12"/>
      <c r="FIN72" s="12"/>
      <c r="FJE72" s="12"/>
      <c r="FJF72" s="12"/>
      <c r="FJW72" s="12"/>
      <c r="FJX72" s="12"/>
      <c r="FKO72" s="12"/>
      <c r="FKP72" s="12"/>
      <c r="FLG72" s="12"/>
      <c r="FLH72" s="12"/>
      <c r="FLY72" s="12"/>
      <c r="FLZ72" s="12"/>
      <c r="FMQ72" s="12"/>
      <c r="FMR72" s="12"/>
      <c r="FNI72" s="12"/>
      <c r="FNJ72" s="12"/>
      <c r="FOA72" s="12"/>
      <c r="FOB72" s="12"/>
      <c r="FOS72" s="12"/>
      <c r="FOT72" s="12"/>
      <c r="FPK72" s="12"/>
      <c r="FPL72" s="12"/>
      <c r="FQC72" s="12"/>
      <c r="FQD72" s="12"/>
      <c r="FQU72" s="12"/>
      <c r="FQV72" s="12"/>
      <c r="FRM72" s="12"/>
      <c r="FRN72" s="12"/>
      <c r="FSE72" s="12"/>
      <c r="FSF72" s="12"/>
      <c r="FSW72" s="12"/>
      <c r="FSX72" s="12"/>
      <c r="FTO72" s="12"/>
      <c r="FTP72" s="12"/>
      <c r="FUG72" s="12"/>
      <c r="FUH72" s="12"/>
      <c r="FUY72" s="12"/>
      <c r="FUZ72" s="12"/>
      <c r="FVQ72" s="12"/>
      <c r="FVR72" s="12"/>
      <c r="FWI72" s="12"/>
      <c r="FWJ72" s="12"/>
      <c r="FXA72" s="12"/>
      <c r="FXB72" s="12"/>
      <c r="FXS72" s="12"/>
      <c r="FXT72" s="12"/>
      <c r="FYK72" s="12"/>
      <c r="FYL72" s="12"/>
      <c r="FZC72" s="12"/>
      <c r="FZD72" s="12"/>
      <c r="FZU72" s="12"/>
      <c r="FZV72" s="12"/>
      <c r="GAM72" s="12"/>
      <c r="GAN72" s="12"/>
      <c r="GBE72" s="12"/>
      <c r="GBF72" s="12"/>
      <c r="GBW72" s="12"/>
      <c r="GBX72" s="12"/>
      <c r="GCO72" s="12"/>
      <c r="GCP72" s="12"/>
      <c r="GDG72" s="12"/>
      <c r="GDH72" s="12"/>
      <c r="GDY72" s="12"/>
      <c r="GDZ72" s="12"/>
      <c r="GEQ72" s="12"/>
      <c r="GER72" s="12"/>
      <c r="GFI72" s="12"/>
      <c r="GFJ72" s="12"/>
      <c r="GGA72" s="12"/>
      <c r="GGB72" s="12"/>
      <c r="GGS72" s="12"/>
      <c r="GGT72" s="12"/>
      <c r="GHK72" s="12"/>
      <c r="GHL72" s="12"/>
      <c r="GIC72" s="12"/>
      <c r="GID72" s="12"/>
      <c r="GIU72" s="12"/>
      <c r="GIV72" s="12"/>
      <c r="GJM72" s="12"/>
      <c r="GJN72" s="12"/>
      <c r="GKE72" s="12"/>
      <c r="GKF72" s="12"/>
      <c r="GKW72" s="12"/>
      <c r="GKX72" s="12"/>
      <c r="GLO72" s="12"/>
      <c r="GLP72" s="12"/>
      <c r="GMG72" s="12"/>
      <c r="GMH72" s="12"/>
      <c r="GMY72" s="12"/>
      <c r="GMZ72" s="12"/>
      <c r="GNQ72" s="12"/>
      <c r="GNR72" s="12"/>
      <c r="GOI72" s="12"/>
      <c r="GOJ72" s="12"/>
      <c r="GPA72" s="12"/>
      <c r="GPB72" s="12"/>
      <c r="GPS72" s="12"/>
      <c r="GPT72" s="12"/>
      <c r="GQK72" s="12"/>
      <c r="GQL72" s="12"/>
      <c r="GRC72" s="12"/>
      <c r="GRD72" s="12"/>
      <c r="GRU72" s="12"/>
      <c r="GRV72" s="12"/>
      <c r="GSM72" s="12"/>
      <c r="GSN72" s="12"/>
      <c r="GTE72" s="12"/>
      <c r="GTF72" s="12"/>
      <c r="GTW72" s="12"/>
      <c r="GTX72" s="12"/>
      <c r="GUO72" s="12"/>
      <c r="GUP72" s="12"/>
      <c r="GVG72" s="12"/>
      <c r="GVH72" s="12"/>
      <c r="GVY72" s="12"/>
      <c r="GVZ72" s="12"/>
      <c r="GWQ72" s="12"/>
      <c r="GWR72" s="12"/>
      <c r="GXI72" s="12"/>
      <c r="GXJ72" s="12"/>
      <c r="GYA72" s="12"/>
      <c r="GYB72" s="12"/>
      <c r="GYS72" s="12"/>
      <c r="GYT72" s="12"/>
      <c r="GZK72" s="12"/>
      <c r="GZL72" s="12"/>
      <c r="HAC72" s="12"/>
      <c r="HAD72" s="12"/>
      <c r="HAU72" s="12"/>
      <c r="HAV72" s="12"/>
      <c r="HBM72" s="12"/>
      <c r="HBN72" s="12"/>
      <c r="HCE72" s="12"/>
      <c r="HCF72" s="12"/>
      <c r="HCW72" s="12"/>
      <c r="HCX72" s="12"/>
      <c r="HDO72" s="12"/>
      <c r="HDP72" s="12"/>
      <c r="HEG72" s="12"/>
      <c r="HEH72" s="12"/>
      <c r="HEY72" s="12"/>
      <c r="HEZ72" s="12"/>
      <c r="HFQ72" s="12"/>
      <c r="HFR72" s="12"/>
      <c r="HGI72" s="12"/>
      <c r="HGJ72" s="12"/>
      <c r="HHA72" s="12"/>
      <c r="HHB72" s="12"/>
      <c r="HHS72" s="12"/>
      <c r="HHT72" s="12"/>
      <c r="HIK72" s="12"/>
      <c r="HIL72" s="12"/>
      <c r="HJC72" s="12"/>
      <c r="HJD72" s="12"/>
      <c r="HJU72" s="12"/>
      <c r="HJV72" s="12"/>
      <c r="HKM72" s="12"/>
      <c r="HKN72" s="12"/>
      <c r="HLE72" s="12"/>
      <c r="HLF72" s="12"/>
      <c r="HLW72" s="12"/>
      <c r="HLX72" s="12"/>
      <c r="HMO72" s="12"/>
      <c r="HMP72" s="12"/>
      <c r="HNG72" s="12"/>
      <c r="HNH72" s="12"/>
      <c r="HNY72" s="12"/>
      <c r="HNZ72" s="12"/>
      <c r="HOQ72" s="12"/>
      <c r="HOR72" s="12"/>
      <c r="HPI72" s="12"/>
      <c r="HPJ72" s="12"/>
      <c r="HQA72" s="12"/>
      <c r="HQB72" s="12"/>
      <c r="HQS72" s="12"/>
      <c r="HQT72" s="12"/>
      <c r="HRK72" s="12"/>
      <c r="HRL72" s="12"/>
      <c r="HSC72" s="12"/>
      <c r="HSD72" s="12"/>
      <c r="HSU72" s="12"/>
      <c r="HSV72" s="12"/>
      <c r="HTM72" s="12"/>
      <c r="HTN72" s="12"/>
      <c r="HUE72" s="12"/>
      <c r="HUF72" s="12"/>
      <c r="HUW72" s="12"/>
      <c r="HUX72" s="12"/>
      <c r="HVO72" s="12"/>
      <c r="HVP72" s="12"/>
      <c r="HWG72" s="12"/>
      <c r="HWH72" s="12"/>
      <c r="HWY72" s="12"/>
      <c r="HWZ72" s="12"/>
      <c r="HXQ72" s="12"/>
      <c r="HXR72" s="12"/>
      <c r="HYI72" s="12"/>
      <c r="HYJ72" s="12"/>
      <c r="HZA72" s="12"/>
      <c r="HZB72" s="12"/>
      <c r="HZS72" s="12"/>
      <c r="HZT72" s="12"/>
      <c r="IAK72" s="12"/>
      <c r="IAL72" s="12"/>
      <c r="IBC72" s="12"/>
      <c r="IBD72" s="12"/>
      <c r="IBU72" s="12"/>
      <c r="IBV72" s="12"/>
      <c r="ICM72" s="12"/>
      <c r="ICN72" s="12"/>
      <c r="IDE72" s="12"/>
      <c r="IDF72" s="12"/>
      <c r="IDW72" s="12"/>
      <c r="IDX72" s="12"/>
      <c r="IEO72" s="12"/>
      <c r="IEP72" s="12"/>
      <c r="IFG72" s="12"/>
      <c r="IFH72" s="12"/>
      <c r="IFY72" s="12"/>
      <c r="IFZ72" s="12"/>
      <c r="IGQ72" s="12"/>
      <c r="IGR72" s="12"/>
      <c r="IHI72" s="12"/>
      <c r="IHJ72" s="12"/>
      <c r="IIA72" s="12"/>
      <c r="IIB72" s="12"/>
      <c r="IIS72" s="12"/>
      <c r="IIT72" s="12"/>
      <c r="IJK72" s="12"/>
      <c r="IJL72" s="12"/>
      <c r="IKC72" s="12"/>
      <c r="IKD72" s="12"/>
      <c r="IKU72" s="12"/>
      <c r="IKV72" s="12"/>
      <c r="ILM72" s="12"/>
      <c r="ILN72" s="12"/>
      <c r="IME72" s="12"/>
      <c r="IMF72" s="12"/>
      <c r="IMW72" s="12"/>
      <c r="IMX72" s="12"/>
      <c r="INO72" s="12"/>
      <c r="INP72" s="12"/>
      <c r="IOG72" s="12"/>
      <c r="IOH72" s="12"/>
      <c r="IOY72" s="12"/>
      <c r="IOZ72" s="12"/>
      <c r="IPQ72" s="12"/>
      <c r="IPR72" s="12"/>
      <c r="IQI72" s="12"/>
      <c r="IQJ72" s="12"/>
      <c r="IRA72" s="12"/>
      <c r="IRB72" s="12"/>
      <c r="IRS72" s="12"/>
      <c r="IRT72" s="12"/>
      <c r="ISK72" s="12"/>
      <c r="ISL72" s="12"/>
      <c r="ITC72" s="12"/>
      <c r="ITD72" s="12"/>
      <c r="ITU72" s="12"/>
      <c r="ITV72" s="12"/>
      <c r="IUM72" s="12"/>
      <c r="IUN72" s="12"/>
      <c r="IVE72" s="12"/>
      <c r="IVF72" s="12"/>
      <c r="IVW72" s="12"/>
      <c r="IVX72" s="12"/>
      <c r="IWO72" s="12"/>
      <c r="IWP72" s="12"/>
      <c r="IXG72" s="12"/>
      <c r="IXH72" s="12"/>
      <c r="IXY72" s="12"/>
      <c r="IXZ72" s="12"/>
      <c r="IYQ72" s="12"/>
      <c r="IYR72" s="12"/>
      <c r="IZI72" s="12"/>
      <c r="IZJ72" s="12"/>
      <c r="JAA72" s="12"/>
      <c r="JAB72" s="12"/>
      <c r="JAS72" s="12"/>
      <c r="JAT72" s="12"/>
      <c r="JBK72" s="12"/>
      <c r="JBL72" s="12"/>
      <c r="JCC72" s="12"/>
      <c r="JCD72" s="12"/>
      <c r="JCU72" s="12"/>
      <c r="JCV72" s="12"/>
      <c r="JDM72" s="12"/>
      <c r="JDN72" s="12"/>
      <c r="JEE72" s="12"/>
      <c r="JEF72" s="12"/>
      <c r="JEW72" s="12"/>
      <c r="JEX72" s="12"/>
      <c r="JFO72" s="12"/>
      <c r="JFP72" s="12"/>
      <c r="JGG72" s="12"/>
      <c r="JGH72" s="12"/>
      <c r="JGY72" s="12"/>
      <c r="JGZ72" s="12"/>
      <c r="JHQ72" s="12"/>
      <c r="JHR72" s="12"/>
      <c r="JII72" s="12"/>
      <c r="JIJ72" s="12"/>
      <c r="JJA72" s="12"/>
      <c r="JJB72" s="12"/>
      <c r="JJS72" s="12"/>
      <c r="JJT72" s="12"/>
      <c r="JKK72" s="12"/>
      <c r="JKL72" s="12"/>
      <c r="JLC72" s="12"/>
      <c r="JLD72" s="12"/>
      <c r="JLU72" s="12"/>
      <c r="JLV72" s="12"/>
      <c r="JMM72" s="12"/>
      <c r="JMN72" s="12"/>
      <c r="JNE72" s="12"/>
      <c r="JNF72" s="12"/>
      <c r="JNW72" s="12"/>
      <c r="JNX72" s="12"/>
      <c r="JOO72" s="12"/>
      <c r="JOP72" s="12"/>
      <c r="JPG72" s="12"/>
      <c r="JPH72" s="12"/>
      <c r="JPY72" s="12"/>
      <c r="JPZ72" s="12"/>
      <c r="JQQ72" s="12"/>
      <c r="JQR72" s="12"/>
      <c r="JRI72" s="12"/>
      <c r="JRJ72" s="12"/>
      <c r="JSA72" s="12"/>
      <c r="JSB72" s="12"/>
      <c r="JSS72" s="12"/>
      <c r="JST72" s="12"/>
      <c r="JTK72" s="12"/>
      <c r="JTL72" s="12"/>
      <c r="JUC72" s="12"/>
      <c r="JUD72" s="12"/>
      <c r="JUU72" s="12"/>
      <c r="JUV72" s="12"/>
      <c r="JVM72" s="12"/>
      <c r="JVN72" s="12"/>
      <c r="JWE72" s="12"/>
      <c r="JWF72" s="12"/>
      <c r="JWW72" s="12"/>
      <c r="JWX72" s="12"/>
      <c r="JXO72" s="12"/>
      <c r="JXP72" s="12"/>
      <c r="JYG72" s="12"/>
      <c r="JYH72" s="12"/>
      <c r="JYY72" s="12"/>
      <c r="JYZ72" s="12"/>
      <c r="JZQ72" s="12"/>
      <c r="JZR72" s="12"/>
      <c r="KAI72" s="12"/>
      <c r="KAJ72" s="12"/>
      <c r="KBA72" s="12"/>
      <c r="KBB72" s="12"/>
      <c r="KBS72" s="12"/>
      <c r="KBT72" s="12"/>
      <c r="KCK72" s="12"/>
      <c r="KCL72" s="12"/>
      <c r="KDC72" s="12"/>
      <c r="KDD72" s="12"/>
      <c r="KDU72" s="12"/>
      <c r="KDV72" s="12"/>
      <c r="KEM72" s="12"/>
      <c r="KEN72" s="12"/>
      <c r="KFE72" s="12"/>
      <c r="KFF72" s="12"/>
      <c r="KFW72" s="12"/>
      <c r="KFX72" s="12"/>
      <c r="KGO72" s="12"/>
      <c r="KGP72" s="12"/>
      <c r="KHG72" s="12"/>
      <c r="KHH72" s="12"/>
      <c r="KHY72" s="12"/>
      <c r="KHZ72" s="12"/>
      <c r="KIQ72" s="12"/>
      <c r="KIR72" s="12"/>
      <c r="KJI72" s="12"/>
      <c r="KJJ72" s="12"/>
      <c r="KKA72" s="12"/>
      <c r="KKB72" s="12"/>
      <c r="KKS72" s="12"/>
      <c r="KKT72" s="12"/>
      <c r="KLK72" s="12"/>
      <c r="KLL72" s="12"/>
      <c r="KMC72" s="12"/>
      <c r="KMD72" s="12"/>
      <c r="KMU72" s="12"/>
      <c r="KMV72" s="12"/>
      <c r="KNM72" s="12"/>
      <c r="KNN72" s="12"/>
      <c r="KOE72" s="12"/>
      <c r="KOF72" s="12"/>
      <c r="KOW72" s="12"/>
      <c r="KOX72" s="12"/>
      <c r="KPO72" s="12"/>
      <c r="KPP72" s="12"/>
      <c r="KQG72" s="12"/>
      <c r="KQH72" s="12"/>
      <c r="KQY72" s="12"/>
      <c r="KQZ72" s="12"/>
      <c r="KRQ72" s="12"/>
      <c r="KRR72" s="12"/>
      <c r="KSI72" s="12"/>
      <c r="KSJ72" s="12"/>
      <c r="KTA72" s="12"/>
      <c r="KTB72" s="12"/>
      <c r="KTS72" s="12"/>
      <c r="KTT72" s="12"/>
      <c r="KUK72" s="12"/>
      <c r="KUL72" s="12"/>
      <c r="KVC72" s="12"/>
      <c r="KVD72" s="12"/>
      <c r="KVU72" s="12"/>
      <c r="KVV72" s="12"/>
      <c r="KWM72" s="12"/>
      <c r="KWN72" s="12"/>
      <c r="KXE72" s="12"/>
      <c r="KXF72" s="12"/>
      <c r="KXW72" s="12"/>
      <c r="KXX72" s="12"/>
      <c r="KYO72" s="12"/>
      <c r="KYP72" s="12"/>
      <c r="KZG72" s="12"/>
      <c r="KZH72" s="12"/>
      <c r="KZY72" s="12"/>
      <c r="KZZ72" s="12"/>
      <c r="LAQ72" s="12"/>
      <c r="LAR72" s="12"/>
      <c r="LBI72" s="12"/>
      <c r="LBJ72" s="12"/>
      <c r="LCA72" s="12"/>
      <c r="LCB72" s="12"/>
      <c r="LCS72" s="12"/>
      <c r="LCT72" s="12"/>
      <c r="LDK72" s="12"/>
      <c r="LDL72" s="12"/>
      <c r="LEC72" s="12"/>
      <c r="LED72" s="12"/>
      <c r="LEU72" s="12"/>
      <c r="LEV72" s="12"/>
      <c r="LFM72" s="12"/>
      <c r="LFN72" s="12"/>
      <c r="LGE72" s="12"/>
      <c r="LGF72" s="12"/>
      <c r="LGW72" s="12"/>
      <c r="LGX72" s="12"/>
      <c r="LHO72" s="12"/>
      <c r="LHP72" s="12"/>
      <c r="LIG72" s="12"/>
      <c r="LIH72" s="12"/>
      <c r="LIY72" s="12"/>
      <c r="LIZ72" s="12"/>
      <c r="LJQ72" s="12"/>
      <c r="LJR72" s="12"/>
      <c r="LKI72" s="12"/>
      <c r="LKJ72" s="12"/>
      <c r="LLA72" s="12"/>
      <c r="LLB72" s="12"/>
      <c r="LLS72" s="12"/>
      <c r="LLT72" s="12"/>
      <c r="LMK72" s="12"/>
      <c r="LML72" s="12"/>
      <c r="LNC72" s="12"/>
      <c r="LND72" s="12"/>
      <c r="LNU72" s="12"/>
      <c r="LNV72" s="12"/>
      <c r="LOM72" s="12"/>
      <c r="LON72" s="12"/>
      <c r="LPE72" s="12"/>
      <c r="LPF72" s="12"/>
      <c r="LPW72" s="12"/>
      <c r="LPX72" s="12"/>
      <c r="LQO72" s="12"/>
      <c r="LQP72" s="12"/>
      <c r="LRG72" s="12"/>
      <c r="LRH72" s="12"/>
      <c r="LRY72" s="12"/>
      <c r="LRZ72" s="12"/>
      <c r="LSQ72" s="12"/>
      <c r="LSR72" s="12"/>
      <c r="LTI72" s="12"/>
      <c r="LTJ72" s="12"/>
      <c r="LUA72" s="12"/>
      <c r="LUB72" s="12"/>
      <c r="LUS72" s="12"/>
      <c r="LUT72" s="12"/>
      <c r="LVK72" s="12"/>
      <c r="LVL72" s="12"/>
      <c r="LWC72" s="12"/>
      <c r="LWD72" s="12"/>
      <c r="LWU72" s="12"/>
      <c r="LWV72" s="12"/>
      <c r="LXM72" s="12"/>
      <c r="LXN72" s="12"/>
      <c r="LYE72" s="12"/>
      <c r="LYF72" s="12"/>
      <c r="LYW72" s="12"/>
      <c r="LYX72" s="12"/>
      <c r="LZO72" s="12"/>
      <c r="LZP72" s="12"/>
      <c r="MAG72" s="12"/>
      <c r="MAH72" s="12"/>
      <c r="MAY72" s="12"/>
      <c r="MAZ72" s="12"/>
      <c r="MBQ72" s="12"/>
      <c r="MBR72" s="12"/>
      <c r="MCI72" s="12"/>
      <c r="MCJ72" s="12"/>
      <c r="MDA72" s="12"/>
      <c r="MDB72" s="12"/>
      <c r="MDS72" s="12"/>
      <c r="MDT72" s="12"/>
      <c r="MEK72" s="12"/>
      <c r="MEL72" s="12"/>
      <c r="MFC72" s="12"/>
      <c r="MFD72" s="12"/>
      <c r="MFU72" s="12"/>
      <c r="MFV72" s="12"/>
      <c r="MGM72" s="12"/>
      <c r="MGN72" s="12"/>
      <c r="MHE72" s="12"/>
      <c r="MHF72" s="12"/>
      <c r="MHW72" s="12"/>
      <c r="MHX72" s="12"/>
      <c r="MIO72" s="12"/>
      <c r="MIP72" s="12"/>
      <c r="MJG72" s="12"/>
      <c r="MJH72" s="12"/>
      <c r="MJY72" s="12"/>
      <c r="MJZ72" s="12"/>
      <c r="MKQ72" s="12"/>
      <c r="MKR72" s="12"/>
      <c r="MLI72" s="12"/>
      <c r="MLJ72" s="12"/>
      <c r="MMA72" s="12"/>
      <c r="MMB72" s="12"/>
      <c r="MMS72" s="12"/>
      <c r="MMT72" s="12"/>
      <c r="MNK72" s="12"/>
      <c r="MNL72" s="12"/>
      <c r="MOC72" s="12"/>
      <c r="MOD72" s="12"/>
      <c r="MOU72" s="12"/>
      <c r="MOV72" s="12"/>
      <c r="MPM72" s="12"/>
      <c r="MPN72" s="12"/>
      <c r="MQE72" s="12"/>
      <c r="MQF72" s="12"/>
      <c r="MQW72" s="12"/>
      <c r="MQX72" s="12"/>
      <c r="MRO72" s="12"/>
      <c r="MRP72" s="12"/>
      <c r="MSG72" s="12"/>
      <c r="MSH72" s="12"/>
      <c r="MSY72" s="12"/>
      <c r="MSZ72" s="12"/>
      <c r="MTQ72" s="12"/>
      <c r="MTR72" s="12"/>
      <c r="MUI72" s="12"/>
      <c r="MUJ72" s="12"/>
      <c r="MVA72" s="12"/>
      <c r="MVB72" s="12"/>
      <c r="MVS72" s="12"/>
      <c r="MVT72" s="12"/>
      <c r="MWK72" s="12"/>
      <c r="MWL72" s="12"/>
      <c r="MXC72" s="12"/>
      <c r="MXD72" s="12"/>
      <c r="MXU72" s="12"/>
      <c r="MXV72" s="12"/>
      <c r="MYM72" s="12"/>
      <c r="MYN72" s="12"/>
      <c r="MZE72" s="12"/>
      <c r="MZF72" s="12"/>
      <c r="MZW72" s="12"/>
      <c r="MZX72" s="12"/>
      <c r="NAO72" s="12"/>
      <c r="NAP72" s="12"/>
      <c r="NBG72" s="12"/>
      <c r="NBH72" s="12"/>
      <c r="NBY72" s="12"/>
      <c r="NBZ72" s="12"/>
      <c r="NCQ72" s="12"/>
      <c r="NCR72" s="12"/>
      <c r="NDI72" s="12"/>
      <c r="NDJ72" s="12"/>
      <c r="NEA72" s="12"/>
      <c r="NEB72" s="12"/>
      <c r="NES72" s="12"/>
      <c r="NET72" s="12"/>
      <c r="NFK72" s="12"/>
      <c r="NFL72" s="12"/>
      <c r="NGC72" s="12"/>
      <c r="NGD72" s="12"/>
      <c r="NGU72" s="12"/>
      <c r="NGV72" s="12"/>
      <c r="NHM72" s="12"/>
      <c r="NHN72" s="12"/>
      <c r="NIE72" s="12"/>
      <c r="NIF72" s="12"/>
      <c r="NIW72" s="12"/>
      <c r="NIX72" s="12"/>
      <c r="NJO72" s="12"/>
      <c r="NJP72" s="12"/>
      <c r="NKG72" s="12"/>
      <c r="NKH72" s="12"/>
      <c r="NKY72" s="12"/>
      <c r="NKZ72" s="12"/>
      <c r="NLQ72" s="12"/>
      <c r="NLR72" s="12"/>
      <c r="NMI72" s="12"/>
      <c r="NMJ72" s="12"/>
      <c r="NNA72" s="12"/>
      <c r="NNB72" s="12"/>
      <c r="NNS72" s="12"/>
      <c r="NNT72" s="12"/>
      <c r="NOK72" s="12"/>
      <c r="NOL72" s="12"/>
      <c r="NPC72" s="12"/>
      <c r="NPD72" s="12"/>
      <c r="NPU72" s="12"/>
      <c r="NPV72" s="12"/>
      <c r="NQM72" s="12"/>
      <c r="NQN72" s="12"/>
      <c r="NRE72" s="12"/>
      <c r="NRF72" s="12"/>
      <c r="NRW72" s="12"/>
      <c r="NRX72" s="12"/>
      <c r="NSO72" s="12"/>
      <c r="NSP72" s="12"/>
      <c r="NTG72" s="12"/>
      <c r="NTH72" s="12"/>
      <c r="NTY72" s="12"/>
      <c r="NTZ72" s="12"/>
      <c r="NUQ72" s="12"/>
      <c r="NUR72" s="12"/>
      <c r="NVI72" s="12"/>
      <c r="NVJ72" s="12"/>
      <c r="NWA72" s="12"/>
      <c r="NWB72" s="12"/>
      <c r="NWS72" s="12"/>
      <c r="NWT72" s="12"/>
      <c r="NXK72" s="12"/>
      <c r="NXL72" s="12"/>
      <c r="NYC72" s="12"/>
      <c r="NYD72" s="12"/>
      <c r="NYU72" s="12"/>
      <c r="NYV72" s="12"/>
      <c r="NZM72" s="12"/>
      <c r="NZN72" s="12"/>
      <c r="OAE72" s="12"/>
      <c r="OAF72" s="12"/>
      <c r="OAW72" s="12"/>
      <c r="OAX72" s="12"/>
      <c r="OBO72" s="12"/>
      <c r="OBP72" s="12"/>
      <c r="OCG72" s="12"/>
      <c r="OCH72" s="12"/>
      <c r="OCY72" s="12"/>
      <c r="OCZ72" s="12"/>
      <c r="ODQ72" s="12"/>
      <c r="ODR72" s="12"/>
      <c r="OEI72" s="12"/>
      <c r="OEJ72" s="12"/>
      <c r="OFA72" s="12"/>
      <c r="OFB72" s="12"/>
      <c r="OFS72" s="12"/>
      <c r="OFT72" s="12"/>
      <c r="OGK72" s="12"/>
      <c r="OGL72" s="12"/>
      <c r="OHC72" s="12"/>
      <c r="OHD72" s="12"/>
      <c r="OHU72" s="12"/>
      <c r="OHV72" s="12"/>
      <c r="OIM72" s="12"/>
      <c r="OIN72" s="12"/>
      <c r="OJE72" s="12"/>
      <c r="OJF72" s="12"/>
      <c r="OJW72" s="12"/>
      <c r="OJX72" s="12"/>
      <c r="OKO72" s="12"/>
      <c r="OKP72" s="12"/>
      <c r="OLG72" s="12"/>
      <c r="OLH72" s="12"/>
      <c r="OLY72" s="12"/>
      <c r="OLZ72" s="12"/>
      <c r="OMQ72" s="12"/>
      <c r="OMR72" s="12"/>
      <c r="ONI72" s="12"/>
      <c r="ONJ72" s="12"/>
      <c r="OOA72" s="12"/>
      <c r="OOB72" s="12"/>
      <c r="OOS72" s="12"/>
      <c r="OOT72" s="12"/>
      <c r="OPK72" s="12"/>
      <c r="OPL72" s="12"/>
      <c r="OQC72" s="12"/>
      <c r="OQD72" s="12"/>
      <c r="OQU72" s="12"/>
      <c r="OQV72" s="12"/>
      <c r="ORM72" s="12"/>
      <c r="ORN72" s="12"/>
      <c r="OSE72" s="12"/>
      <c r="OSF72" s="12"/>
      <c r="OSW72" s="12"/>
      <c r="OSX72" s="12"/>
      <c r="OTO72" s="12"/>
      <c r="OTP72" s="12"/>
      <c r="OUG72" s="12"/>
      <c r="OUH72" s="12"/>
      <c r="OUY72" s="12"/>
      <c r="OUZ72" s="12"/>
      <c r="OVQ72" s="12"/>
      <c r="OVR72" s="12"/>
      <c r="OWI72" s="12"/>
      <c r="OWJ72" s="12"/>
      <c r="OXA72" s="12"/>
      <c r="OXB72" s="12"/>
      <c r="OXS72" s="12"/>
      <c r="OXT72" s="12"/>
      <c r="OYK72" s="12"/>
      <c r="OYL72" s="12"/>
      <c r="OZC72" s="12"/>
      <c r="OZD72" s="12"/>
      <c r="OZU72" s="12"/>
      <c r="OZV72" s="12"/>
      <c r="PAM72" s="12"/>
      <c r="PAN72" s="12"/>
      <c r="PBE72" s="12"/>
      <c r="PBF72" s="12"/>
      <c r="PBW72" s="12"/>
      <c r="PBX72" s="12"/>
      <c r="PCO72" s="12"/>
      <c r="PCP72" s="12"/>
      <c r="PDG72" s="12"/>
      <c r="PDH72" s="12"/>
      <c r="PDY72" s="12"/>
      <c r="PDZ72" s="12"/>
      <c r="PEQ72" s="12"/>
      <c r="PER72" s="12"/>
      <c r="PFI72" s="12"/>
      <c r="PFJ72" s="12"/>
      <c r="PGA72" s="12"/>
      <c r="PGB72" s="12"/>
      <c r="PGS72" s="12"/>
      <c r="PGT72" s="12"/>
      <c r="PHK72" s="12"/>
      <c r="PHL72" s="12"/>
      <c r="PIC72" s="12"/>
      <c r="PID72" s="12"/>
      <c r="PIU72" s="12"/>
      <c r="PIV72" s="12"/>
      <c r="PJM72" s="12"/>
      <c r="PJN72" s="12"/>
      <c r="PKE72" s="12"/>
      <c r="PKF72" s="12"/>
      <c r="PKW72" s="12"/>
      <c r="PKX72" s="12"/>
      <c r="PLO72" s="12"/>
      <c r="PLP72" s="12"/>
      <c r="PMG72" s="12"/>
      <c r="PMH72" s="12"/>
      <c r="PMY72" s="12"/>
      <c r="PMZ72" s="12"/>
      <c r="PNQ72" s="12"/>
      <c r="PNR72" s="12"/>
      <c r="POI72" s="12"/>
      <c r="POJ72" s="12"/>
      <c r="PPA72" s="12"/>
      <c r="PPB72" s="12"/>
      <c r="PPS72" s="12"/>
      <c r="PPT72" s="12"/>
      <c r="PQK72" s="12"/>
      <c r="PQL72" s="12"/>
      <c r="PRC72" s="12"/>
      <c r="PRD72" s="12"/>
      <c r="PRU72" s="12"/>
      <c r="PRV72" s="12"/>
      <c r="PSM72" s="12"/>
      <c r="PSN72" s="12"/>
      <c r="PTE72" s="12"/>
      <c r="PTF72" s="12"/>
      <c r="PTW72" s="12"/>
      <c r="PTX72" s="12"/>
      <c r="PUO72" s="12"/>
      <c r="PUP72" s="12"/>
      <c r="PVG72" s="12"/>
      <c r="PVH72" s="12"/>
      <c r="PVY72" s="12"/>
      <c r="PVZ72" s="12"/>
      <c r="PWQ72" s="12"/>
      <c r="PWR72" s="12"/>
      <c r="PXI72" s="12"/>
      <c r="PXJ72" s="12"/>
      <c r="PYA72" s="12"/>
      <c r="PYB72" s="12"/>
      <c r="PYS72" s="12"/>
      <c r="PYT72" s="12"/>
      <c r="PZK72" s="12"/>
      <c r="PZL72" s="12"/>
      <c r="QAC72" s="12"/>
      <c r="QAD72" s="12"/>
      <c r="QAU72" s="12"/>
      <c r="QAV72" s="12"/>
      <c r="QBM72" s="12"/>
      <c r="QBN72" s="12"/>
      <c r="QCE72" s="12"/>
      <c r="QCF72" s="12"/>
      <c r="QCW72" s="12"/>
      <c r="QCX72" s="12"/>
      <c r="QDO72" s="12"/>
      <c r="QDP72" s="12"/>
      <c r="QEG72" s="12"/>
      <c r="QEH72" s="12"/>
      <c r="QEY72" s="12"/>
      <c r="QEZ72" s="12"/>
      <c r="QFQ72" s="12"/>
      <c r="QFR72" s="12"/>
      <c r="QGI72" s="12"/>
      <c r="QGJ72" s="12"/>
      <c r="QHA72" s="12"/>
      <c r="QHB72" s="12"/>
      <c r="QHS72" s="12"/>
      <c r="QHT72" s="12"/>
      <c r="QIK72" s="12"/>
      <c r="QIL72" s="12"/>
      <c r="QJC72" s="12"/>
      <c r="QJD72" s="12"/>
      <c r="QJU72" s="12"/>
      <c r="QJV72" s="12"/>
      <c r="QKM72" s="12"/>
      <c r="QKN72" s="12"/>
      <c r="QLE72" s="12"/>
      <c r="QLF72" s="12"/>
      <c r="QLW72" s="12"/>
      <c r="QLX72" s="12"/>
      <c r="QMO72" s="12"/>
      <c r="QMP72" s="12"/>
      <c r="QNG72" s="12"/>
      <c r="QNH72" s="12"/>
      <c r="QNY72" s="12"/>
      <c r="QNZ72" s="12"/>
      <c r="QOQ72" s="12"/>
      <c r="QOR72" s="12"/>
      <c r="QPI72" s="12"/>
      <c r="QPJ72" s="12"/>
      <c r="QQA72" s="12"/>
      <c r="QQB72" s="12"/>
      <c r="QQS72" s="12"/>
      <c r="QQT72" s="12"/>
      <c r="QRK72" s="12"/>
      <c r="QRL72" s="12"/>
      <c r="QSC72" s="12"/>
      <c r="QSD72" s="12"/>
      <c r="QSU72" s="12"/>
      <c r="QSV72" s="12"/>
      <c r="QTM72" s="12"/>
      <c r="QTN72" s="12"/>
      <c r="QUE72" s="12"/>
      <c r="QUF72" s="12"/>
      <c r="QUW72" s="12"/>
      <c r="QUX72" s="12"/>
      <c r="QVO72" s="12"/>
      <c r="QVP72" s="12"/>
      <c r="QWG72" s="12"/>
      <c r="QWH72" s="12"/>
      <c r="QWY72" s="12"/>
      <c r="QWZ72" s="12"/>
      <c r="QXQ72" s="12"/>
      <c r="QXR72" s="12"/>
      <c r="QYI72" s="12"/>
      <c r="QYJ72" s="12"/>
      <c r="QZA72" s="12"/>
      <c r="QZB72" s="12"/>
      <c r="QZS72" s="12"/>
      <c r="QZT72" s="12"/>
      <c r="RAK72" s="12"/>
      <c r="RAL72" s="12"/>
      <c r="RBC72" s="12"/>
      <c r="RBD72" s="12"/>
      <c r="RBU72" s="12"/>
      <c r="RBV72" s="12"/>
      <c r="RCM72" s="12"/>
      <c r="RCN72" s="12"/>
      <c r="RDE72" s="12"/>
      <c r="RDF72" s="12"/>
      <c r="RDW72" s="12"/>
      <c r="RDX72" s="12"/>
      <c r="REO72" s="12"/>
      <c r="REP72" s="12"/>
      <c r="RFG72" s="12"/>
      <c r="RFH72" s="12"/>
      <c r="RFY72" s="12"/>
      <c r="RFZ72" s="12"/>
      <c r="RGQ72" s="12"/>
      <c r="RGR72" s="12"/>
      <c r="RHI72" s="12"/>
      <c r="RHJ72" s="12"/>
      <c r="RIA72" s="12"/>
      <c r="RIB72" s="12"/>
      <c r="RIS72" s="12"/>
      <c r="RIT72" s="12"/>
      <c r="RJK72" s="12"/>
      <c r="RJL72" s="12"/>
      <c r="RKC72" s="12"/>
      <c r="RKD72" s="12"/>
      <c r="RKU72" s="12"/>
      <c r="RKV72" s="12"/>
      <c r="RLM72" s="12"/>
      <c r="RLN72" s="12"/>
      <c r="RME72" s="12"/>
      <c r="RMF72" s="12"/>
      <c r="RMW72" s="12"/>
      <c r="RMX72" s="12"/>
      <c r="RNO72" s="12"/>
      <c r="RNP72" s="12"/>
      <c r="ROG72" s="12"/>
      <c r="ROH72" s="12"/>
      <c r="ROY72" s="12"/>
      <c r="ROZ72" s="12"/>
      <c r="RPQ72" s="12"/>
      <c r="RPR72" s="12"/>
      <c r="RQI72" s="12"/>
      <c r="RQJ72" s="12"/>
      <c r="RRA72" s="12"/>
      <c r="RRB72" s="12"/>
      <c r="RRS72" s="12"/>
      <c r="RRT72" s="12"/>
      <c r="RSK72" s="12"/>
      <c r="RSL72" s="12"/>
      <c r="RTC72" s="12"/>
      <c r="RTD72" s="12"/>
      <c r="RTU72" s="12"/>
      <c r="RTV72" s="12"/>
      <c r="RUM72" s="12"/>
      <c r="RUN72" s="12"/>
      <c r="RVE72" s="12"/>
      <c r="RVF72" s="12"/>
      <c r="RVW72" s="12"/>
      <c r="RVX72" s="12"/>
      <c r="RWO72" s="12"/>
      <c r="RWP72" s="12"/>
      <c r="RXG72" s="12"/>
      <c r="RXH72" s="12"/>
      <c r="RXY72" s="12"/>
      <c r="RXZ72" s="12"/>
      <c r="RYQ72" s="12"/>
      <c r="RYR72" s="12"/>
      <c r="RZI72" s="12"/>
      <c r="RZJ72" s="12"/>
      <c r="SAA72" s="12"/>
      <c r="SAB72" s="12"/>
      <c r="SAS72" s="12"/>
      <c r="SAT72" s="12"/>
      <c r="SBK72" s="12"/>
      <c r="SBL72" s="12"/>
      <c r="SCC72" s="12"/>
      <c r="SCD72" s="12"/>
      <c r="SCU72" s="12"/>
      <c r="SCV72" s="12"/>
      <c r="SDM72" s="12"/>
      <c r="SDN72" s="12"/>
      <c r="SEE72" s="12"/>
      <c r="SEF72" s="12"/>
      <c r="SEW72" s="12"/>
      <c r="SEX72" s="12"/>
      <c r="SFO72" s="12"/>
      <c r="SFP72" s="12"/>
      <c r="SGG72" s="12"/>
      <c r="SGH72" s="12"/>
      <c r="SGY72" s="12"/>
      <c r="SGZ72" s="12"/>
      <c r="SHQ72" s="12"/>
      <c r="SHR72" s="12"/>
      <c r="SII72" s="12"/>
      <c r="SIJ72" s="12"/>
      <c r="SJA72" s="12"/>
      <c r="SJB72" s="12"/>
      <c r="SJS72" s="12"/>
      <c r="SJT72" s="12"/>
      <c r="SKK72" s="12"/>
      <c r="SKL72" s="12"/>
      <c r="SLC72" s="12"/>
      <c r="SLD72" s="12"/>
      <c r="SLU72" s="12"/>
      <c r="SLV72" s="12"/>
      <c r="SMM72" s="12"/>
      <c r="SMN72" s="12"/>
      <c r="SNE72" s="12"/>
      <c r="SNF72" s="12"/>
      <c r="SNW72" s="12"/>
      <c r="SNX72" s="12"/>
      <c r="SOO72" s="12"/>
      <c r="SOP72" s="12"/>
      <c r="SPG72" s="12"/>
      <c r="SPH72" s="12"/>
      <c r="SPY72" s="12"/>
      <c r="SPZ72" s="12"/>
      <c r="SQQ72" s="12"/>
      <c r="SQR72" s="12"/>
      <c r="SRI72" s="12"/>
      <c r="SRJ72" s="12"/>
      <c r="SSA72" s="12"/>
      <c r="SSB72" s="12"/>
      <c r="SSS72" s="12"/>
      <c r="SST72" s="12"/>
      <c r="STK72" s="12"/>
      <c r="STL72" s="12"/>
      <c r="SUC72" s="12"/>
      <c r="SUD72" s="12"/>
      <c r="SUU72" s="12"/>
      <c r="SUV72" s="12"/>
      <c r="SVM72" s="12"/>
      <c r="SVN72" s="12"/>
      <c r="SWE72" s="12"/>
      <c r="SWF72" s="12"/>
      <c r="SWW72" s="12"/>
      <c r="SWX72" s="12"/>
      <c r="SXO72" s="12"/>
      <c r="SXP72" s="12"/>
      <c r="SYG72" s="12"/>
      <c r="SYH72" s="12"/>
      <c r="SYY72" s="12"/>
      <c r="SYZ72" s="12"/>
      <c r="SZQ72" s="12"/>
      <c r="SZR72" s="12"/>
      <c r="TAI72" s="12"/>
      <c r="TAJ72" s="12"/>
      <c r="TBA72" s="12"/>
      <c r="TBB72" s="12"/>
      <c r="TBS72" s="12"/>
      <c r="TBT72" s="12"/>
      <c r="TCK72" s="12"/>
      <c r="TCL72" s="12"/>
      <c r="TDC72" s="12"/>
      <c r="TDD72" s="12"/>
      <c r="TDU72" s="12"/>
      <c r="TDV72" s="12"/>
      <c r="TEM72" s="12"/>
      <c r="TEN72" s="12"/>
      <c r="TFE72" s="12"/>
      <c r="TFF72" s="12"/>
      <c r="TFW72" s="12"/>
      <c r="TFX72" s="12"/>
      <c r="TGO72" s="12"/>
      <c r="TGP72" s="12"/>
      <c r="THG72" s="12"/>
      <c r="THH72" s="12"/>
      <c r="THY72" s="12"/>
      <c r="THZ72" s="12"/>
      <c r="TIQ72" s="12"/>
      <c r="TIR72" s="12"/>
      <c r="TJI72" s="12"/>
      <c r="TJJ72" s="12"/>
      <c r="TKA72" s="12"/>
      <c r="TKB72" s="12"/>
      <c r="TKS72" s="12"/>
      <c r="TKT72" s="12"/>
      <c r="TLK72" s="12"/>
      <c r="TLL72" s="12"/>
      <c r="TMC72" s="12"/>
      <c r="TMD72" s="12"/>
      <c r="TMU72" s="12"/>
      <c r="TMV72" s="12"/>
      <c r="TNM72" s="12"/>
      <c r="TNN72" s="12"/>
      <c r="TOE72" s="12"/>
      <c r="TOF72" s="12"/>
      <c r="TOW72" s="12"/>
      <c r="TOX72" s="12"/>
      <c r="TPO72" s="12"/>
      <c r="TPP72" s="12"/>
      <c r="TQG72" s="12"/>
      <c r="TQH72" s="12"/>
      <c r="TQY72" s="12"/>
      <c r="TQZ72" s="12"/>
      <c r="TRQ72" s="12"/>
      <c r="TRR72" s="12"/>
      <c r="TSI72" s="12"/>
      <c r="TSJ72" s="12"/>
      <c r="TTA72" s="12"/>
      <c r="TTB72" s="12"/>
      <c r="TTS72" s="12"/>
      <c r="TTT72" s="12"/>
      <c r="TUK72" s="12"/>
      <c r="TUL72" s="12"/>
      <c r="TVC72" s="12"/>
      <c r="TVD72" s="12"/>
      <c r="TVU72" s="12"/>
      <c r="TVV72" s="12"/>
      <c r="TWM72" s="12"/>
      <c r="TWN72" s="12"/>
      <c r="TXE72" s="12"/>
      <c r="TXF72" s="12"/>
      <c r="TXW72" s="12"/>
      <c r="TXX72" s="12"/>
      <c r="TYO72" s="12"/>
      <c r="TYP72" s="12"/>
      <c r="TZG72" s="12"/>
      <c r="TZH72" s="12"/>
      <c r="TZY72" s="12"/>
      <c r="TZZ72" s="12"/>
      <c r="UAQ72" s="12"/>
      <c r="UAR72" s="12"/>
      <c r="UBI72" s="12"/>
      <c r="UBJ72" s="12"/>
      <c r="UCA72" s="12"/>
      <c r="UCB72" s="12"/>
      <c r="UCS72" s="12"/>
      <c r="UCT72" s="12"/>
      <c r="UDK72" s="12"/>
      <c r="UDL72" s="12"/>
      <c r="UEC72" s="12"/>
      <c r="UED72" s="12"/>
      <c r="UEU72" s="12"/>
      <c r="UEV72" s="12"/>
      <c r="UFM72" s="12"/>
      <c r="UFN72" s="12"/>
      <c r="UGE72" s="12"/>
      <c r="UGF72" s="12"/>
      <c r="UGW72" s="12"/>
      <c r="UGX72" s="12"/>
      <c r="UHO72" s="12"/>
      <c r="UHP72" s="12"/>
      <c r="UIG72" s="12"/>
      <c r="UIH72" s="12"/>
      <c r="UIY72" s="12"/>
      <c r="UIZ72" s="12"/>
      <c r="UJQ72" s="12"/>
      <c r="UJR72" s="12"/>
      <c r="UKI72" s="12"/>
      <c r="UKJ72" s="12"/>
      <c r="ULA72" s="12"/>
      <c r="ULB72" s="12"/>
      <c r="ULS72" s="12"/>
      <c r="ULT72" s="12"/>
      <c r="UMK72" s="12"/>
      <c r="UML72" s="12"/>
      <c r="UNC72" s="12"/>
      <c r="UND72" s="12"/>
      <c r="UNU72" s="12"/>
      <c r="UNV72" s="12"/>
      <c r="UOM72" s="12"/>
      <c r="UON72" s="12"/>
      <c r="UPE72" s="12"/>
      <c r="UPF72" s="12"/>
      <c r="UPW72" s="12"/>
      <c r="UPX72" s="12"/>
      <c r="UQO72" s="12"/>
      <c r="UQP72" s="12"/>
      <c r="URG72" s="12"/>
      <c r="URH72" s="12"/>
      <c r="URY72" s="12"/>
      <c r="URZ72" s="12"/>
      <c r="USQ72" s="12"/>
      <c r="USR72" s="12"/>
      <c r="UTI72" s="12"/>
      <c r="UTJ72" s="12"/>
      <c r="UUA72" s="12"/>
      <c r="UUB72" s="12"/>
      <c r="UUS72" s="12"/>
      <c r="UUT72" s="12"/>
      <c r="UVK72" s="12"/>
      <c r="UVL72" s="12"/>
      <c r="UWC72" s="12"/>
      <c r="UWD72" s="12"/>
      <c r="UWU72" s="12"/>
      <c r="UWV72" s="12"/>
      <c r="UXM72" s="12"/>
      <c r="UXN72" s="12"/>
      <c r="UYE72" s="12"/>
      <c r="UYF72" s="12"/>
      <c r="UYW72" s="12"/>
      <c r="UYX72" s="12"/>
      <c r="UZO72" s="12"/>
      <c r="UZP72" s="12"/>
      <c r="VAG72" s="12"/>
      <c r="VAH72" s="12"/>
      <c r="VAY72" s="12"/>
      <c r="VAZ72" s="12"/>
      <c r="VBQ72" s="12"/>
      <c r="VBR72" s="12"/>
      <c r="VCI72" s="12"/>
      <c r="VCJ72" s="12"/>
      <c r="VDA72" s="12"/>
      <c r="VDB72" s="12"/>
      <c r="VDS72" s="12"/>
      <c r="VDT72" s="12"/>
      <c r="VEK72" s="12"/>
      <c r="VEL72" s="12"/>
      <c r="VFC72" s="12"/>
      <c r="VFD72" s="12"/>
      <c r="VFU72" s="12"/>
      <c r="VFV72" s="12"/>
      <c r="VGM72" s="12"/>
      <c r="VGN72" s="12"/>
      <c r="VHE72" s="12"/>
      <c r="VHF72" s="12"/>
      <c r="VHW72" s="12"/>
      <c r="VHX72" s="12"/>
      <c r="VIO72" s="12"/>
      <c r="VIP72" s="12"/>
      <c r="VJG72" s="12"/>
      <c r="VJH72" s="12"/>
      <c r="VJY72" s="12"/>
      <c r="VJZ72" s="12"/>
      <c r="VKQ72" s="12"/>
      <c r="VKR72" s="12"/>
      <c r="VLI72" s="12"/>
      <c r="VLJ72" s="12"/>
      <c r="VMA72" s="12"/>
      <c r="VMB72" s="12"/>
      <c r="VMS72" s="12"/>
      <c r="VMT72" s="12"/>
      <c r="VNK72" s="12"/>
      <c r="VNL72" s="12"/>
      <c r="VOC72" s="12"/>
      <c r="VOD72" s="12"/>
      <c r="VOU72" s="12"/>
      <c r="VOV72" s="12"/>
      <c r="VPM72" s="12"/>
      <c r="VPN72" s="12"/>
      <c r="VQE72" s="12"/>
      <c r="VQF72" s="12"/>
      <c r="VQW72" s="12"/>
      <c r="VQX72" s="12"/>
      <c r="VRO72" s="12"/>
      <c r="VRP72" s="12"/>
      <c r="VSG72" s="12"/>
      <c r="VSH72" s="12"/>
      <c r="VSY72" s="12"/>
      <c r="VSZ72" s="12"/>
      <c r="VTQ72" s="12"/>
      <c r="VTR72" s="12"/>
      <c r="VUI72" s="12"/>
      <c r="VUJ72" s="12"/>
      <c r="VVA72" s="12"/>
      <c r="VVB72" s="12"/>
      <c r="VVS72" s="12"/>
      <c r="VVT72" s="12"/>
      <c r="VWK72" s="12"/>
      <c r="VWL72" s="12"/>
      <c r="VXC72" s="12"/>
      <c r="VXD72" s="12"/>
      <c r="VXU72" s="12"/>
      <c r="VXV72" s="12"/>
      <c r="VYM72" s="12"/>
      <c r="VYN72" s="12"/>
      <c r="VZE72" s="12"/>
      <c r="VZF72" s="12"/>
      <c r="VZW72" s="12"/>
      <c r="VZX72" s="12"/>
      <c r="WAO72" s="12"/>
      <c r="WAP72" s="12"/>
      <c r="WBG72" s="12"/>
      <c r="WBH72" s="12"/>
      <c r="WBY72" s="12"/>
      <c r="WBZ72" s="12"/>
      <c r="WCQ72" s="12"/>
      <c r="WCR72" s="12"/>
      <c r="WDI72" s="12"/>
      <c r="WDJ72" s="12"/>
      <c r="WEA72" s="12"/>
      <c r="WEB72" s="12"/>
      <c r="WES72" s="12"/>
      <c r="WET72" s="12"/>
      <c r="WFK72" s="12"/>
      <c r="WFL72" s="12"/>
      <c r="WGC72" s="12"/>
      <c r="WGD72" s="12"/>
      <c r="WGU72" s="12"/>
      <c r="WGV72" s="12"/>
      <c r="WHM72" s="12"/>
      <c r="WHN72" s="12"/>
      <c r="WIE72" s="12"/>
      <c r="WIF72" s="12"/>
      <c r="WIW72" s="12"/>
      <c r="WIX72" s="12"/>
      <c r="WJO72" s="12"/>
      <c r="WJP72" s="12"/>
      <c r="WKG72" s="12"/>
      <c r="WKH72" s="12"/>
      <c r="WKY72" s="12"/>
      <c r="WKZ72" s="12"/>
      <c r="WLQ72" s="12"/>
      <c r="WLR72" s="12"/>
      <c r="WMI72" s="12"/>
      <c r="WMJ72" s="12"/>
      <c r="WNA72" s="12"/>
      <c r="WNB72" s="12"/>
      <c r="WNS72" s="12"/>
      <c r="WNT72" s="12"/>
      <c r="WOK72" s="12"/>
      <c r="WOL72" s="12"/>
      <c r="WPC72" s="12"/>
      <c r="WPD72" s="12"/>
      <c r="WPU72" s="12"/>
      <c r="WPV72" s="12"/>
      <c r="WQM72" s="12"/>
      <c r="WQN72" s="12"/>
      <c r="WRE72" s="12"/>
      <c r="WRF72" s="12"/>
      <c r="WRW72" s="12"/>
      <c r="WRX72" s="12"/>
      <c r="WSO72" s="12"/>
      <c r="WSP72" s="12"/>
      <c r="WTG72" s="12"/>
      <c r="WTH72" s="12"/>
      <c r="WTY72" s="12"/>
      <c r="WTZ72" s="12"/>
      <c r="WUQ72" s="12"/>
      <c r="WUR72" s="12"/>
      <c r="WVI72" s="12"/>
      <c r="WVJ72" s="12"/>
      <c r="WWA72" s="12"/>
      <c r="WWB72" s="12"/>
      <c r="WWS72" s="12"/>
      <c r="WWT72" s="12"/>
      <c r="WXK72" s="12"/>
      <c r="WXL72" s="12"/>
      <c r="WYC72" s="12"/>
      <c r="WYD72" s="12"/>
      <c r="WYU72" s="12"/>
      <c r="WYV72" s="12"/>
      <c r="WZM72" s="12"/>
      <c r="WZN72" s="12"/>
      <c r="XAE72" s="12"/>
      <c r="XAF72" s="12"/>
      <c r="XAW72" s="12"/>
      <c r="XAX72" s="12"/>
      <c r="XBO72" s="12"/>
      <c r="XBP72" s="12"/>
      <c r="XCG72" s="12"/>
      <c r="XCH72" s="12"/>
      <c r="XCY72" s="12"/>
      <c r="XCZ72" s="12"/>
      <c r="XDQ72" s="12"/>
      <c r="XDR72" s="12"/>
      <c r="XEI72" s="12"/>
      <c r="XEJ72" s="12"/>
      <c r="XFA72" s="12"/>
      <c r="XFB72" s="12"/>
    </row>
    <row r="73" spans="1:1010 1027:2036 2053:3062 3079:4088 4105:5114 5131:6140 6157:7166 7183:8192 8209:9200 9217:10226 10243:11252 11269:12278 12295:13304 13321:14330 14347:15356 15373:16382" s="11" customFormat="1" x14ac:dyDescent="0.35">
      <c r="A73" s="181" t="s">
        <v>123</v>
      </c>
      <c r="B73" s="181" t="s">
        <v>124</v>
      </c>
      <c r="C73" s="198"/>
      <c r="D73" s="198"/>
      <c r="E73" s="198"/>
      <c r="F73" s="198"/>
      <c r="G73" s="198">
        <v>5.1230000000000002</v>
      </c>
      <c r="H73" s="198">
        <v>3.9910000000000001</v>
      </c>
      <c r="I73" s="198">
        <v>3.1589999999999998</v>
      </c>
      <c r="J73" s="198">
        <v>3.028</v>
      </c>
      <c r="K73" s="198">
        <v>3.6230000000000002</v>
      </c>
      <c r="L73" s="198">
        <v>4.1130000000000004</v>
      </c>
      <c r="M73" s="312"/>
      <c r="S73" s="12"/>
      <c r="T73" s="12"/>
      <c r="AK73" s="12"/>
      <c r="AL73" s="12"/>
      <c r="BC73" s="12"/>
      <c r="BD73" s="12"/>
      <c r="BU73" s="12"/>
      <c r="BV73" s="12"/>
      <c r="CM73" s="12"/>
      <c r="CN73" s="12"/>
      <c r="DE73" s="12"/>
      <c r="DF73" s="12"/>
      <c r="DW73" s="12"/>
      <c r="DX73" s="12"/>
      <c r="EO73" s="12"/>
      <c r="EP73" s="12"/>
      <c r="FG73" s="12"/>
      <c r="FH73" s="12"/>
      <c r="FY73" s="12"/>
      <c r="FZ73" s="12"/>
      <c r="GQ73" s="12"/>
      <c r="GR73" s="12"/>
      <c r="HI73" s="12"/>
      <c r="HJ73" s="12"/>
      <c r="IA73" s="12"/>
      <c r="IB73" s="12"/>
      <c r="IS73" s="12"/>
      <c r="IT73" s="12"/>
      <c r="JK73" s="12"/>
      <c r="JL73" s="12"/>
      <c r="KC73" s="12"/>
      <c r="KD73" s="12"/>
      <c r="KU73" s="12"/>
      <c r="KV73" s="12"/>
      <c r="LM73" s="12"/>
      <c r="LN73" s="12"/>
      <c r="ME73" s="12"/>
      <c r="MF73" s="12"/>
      <c r="MW73" s="12"/>
      <c r="MX73" s="12"/>
      <c r="NO73" s="12"/>
      <c r="NP73" s="12"/>
      <c r="OG73" s="12"/>
      <c r="OH73" s="12"/>
      <c r="OY73" s="12"/>
      <c r="OZ73" s="12"/>
      <c r="PQ73" s="12"/>
      <c r="PR73" s="12"/>
      <c r="QI73" s="12"/>
      <c r="QJ73" s="12"/>
      <c r="RA73" s="12"/>
      <c r="RB73" s="12"/>
      <c r="RS73" s="12"/>
      <c r="RT73" s="12"/>
      <c r="SK73" s="12"/>
      <c r="SL73" s="12"/>
      <c r="TC73" s="12"/>
      <c r="TD73" s="12"/>
      <c r="TU73" s="12"/>
      <c r="TV73" s="12"/>
      <c r="UM73" s="12"/>
      <c r="UN73" s="12"/>
      <c r="VE73" s="12"/>
      <c r="VF73" s="12"/>
      <c r="VW73" s="12"/>
      <c r="VX73" s="12"/>
      <c r="WO73" s="12"/>
      <c r="WP73" s="12"/>
      <c r="XG73" s="12"/>
      <c r="XH73" s="12"/>
      <c r="XY73" s="12"/>
      <c r="XZ73" s="12"/>
      <c r="YQ73" s="12"/>
      <c r="YR73" s="12"/>
      <c r="ZI73" s="12"/>
      <c r="ZJ73" s="12"/>
      <c r="AAA73" s="12"/>
      <c r="AAB73" s="12"/>
      <c r="AAS73" s="12"/>
      <c r="AAT73" s="12"/>
      <c r="ABK73" s="12"/>
      <c r="ABL73" s="12"/>
      <c r="ACC73" s="12"/>
      <c r="ACD73" s="12"/>
      <c r="ACU73" s="12"/>
      <c r="ACV73" s="12"/>
      <c r="ADM73" s="12"/>
      <c r="ADN73" s="12"/>
      <c r="AEE73" s="12"/>
      <c r="AEF73" s="12"/>
      <c r="AEW73" s="12"/>
      <c r="AEX73" s="12"/>
      <c r="AFO73" s="12"/>
      <c r="AFP73" s="12"/>
      <c r="AGG73" s="12"/>
      <c r="AGH73" s="12"/>
      <c r="AGY73" s="12"/>
      <c r="AGZ73" s="12"/>
      <c r="AHQ73" s="12"/>
      <c r="AHR73" s="12"/>
      <c r="AII73" s="12"/>
      <c r="AIJ73" s="12"/>
      <c r="AJA73" s="12"/>
      <c r="AJB73" s="12"/>
      <c r="AJS73" s="12"/>
      <c r="AJT73" s="12"/>
      <c r="AKK73" s="12"/>
      <c r="AKL73" s="12"/>
      <c r="ALC73" s="12"/>
      <c r="ALD73" s="12"/>
      <c r="ALU73" s="12"/>
      <c r="ALV73" s="12"/>
      <c r="AMM73" s="12"/>
      <c r="AMN73" s="12"/>
      <c r="ANE73" s="12"/>
      <c r="ANF73" s="12"/>
      <c r="ANW73" s="12"/>
      <c r="ANX73" s="12"/>
      <c r="AOO73" s="12"/>
      <c r="AOP73" s="12"/>
      <c r="APG73" s="12"/>
      <c r="APH73" s="12"/>
      <c r="APY73" s="12"/>
      <c r="APZ73" s="12"/>
      <c r="AQQ73" s="12"/>
      <c r="AQR73" s="12"/>
      <c r="ARI73" s="12"/>
      <c r="ARJ73" s="12"/>
      <c r="ASA73" s="12"/>
      <c r="ASB73" s="12"/>
      <c r="ASS73" s="12"/>
      <c r="AST73" s="12"/>
      <c r="ATK73" s="12"/>
      <c r="ATL73" s="12"/>
      <c r="AUC73" s="12"/>
      <c r="AUD73" s="12"/>
      <c r="AUU73" s="12"/>
      <c r="AUV73" s="12"/>
      <c r="AVM73" s="12"/>
      <c r="AVN73" s="12"/>
      <c r="AWE73" s="12"/>
      <c r="AWF73" s="12"/>
      <c r="AWW73" s="12"/>
      <c r="AWX73" s="12"/>
      <c r="AXO73" s="12"/>
      <c r="AXP73" s="12"/>
      <c r="AYG73" s="12"/>
      <c r="AYH73" s="12"/>
      <c r="AYY73" s="12"/>
      <c r="AYZ73" s="12"/>
      <c r="AZQ73" s="12"/>
      <c r="AZR73" s="12"/>
      <c r="BAI73" s="12"/>
      <c r="BAJ73" s="12"/>
      <c r="BBA73" s="12"/>
      <c r="BBB73" s="12"/>
      <c r="BBS73" s="12"/>
      <c r="BBT73" s="12"/>
      <c r="BCK73" s="12"/>
      <c r="BCL73" s="12"/>
      <c r="BDC73" s="12"/>
      <c r="BDD73" s="12"/>
      <c r="BDU73" s="12"/>
      <c r="BDV73" s="12"/>
      <c r="BEM73" s="12"/>
      <c r="BEN73" s="12"/>
      <c r="BFE73" s="12"/>
      <c r="BFF73" s="12"/>
      <c r="BFW73" s="12"/>
      <c r="BFX73" s="12"/>
      <c r="BGO73" s="12"/>
      <c r="BGP73" s="12"/>
      <c r="BHG73" s="12"/>
      <c r="BHH73" s="12"/>
      <c r="BHY73" s="12"/>
      <c r="BHZ73" s="12"/>
      <c r="BIQ73" s="12"/>
      <c r="BIR73" s="12"/>
      <c r="BJI73" s="12"/>
      <c r="BJJ73" s="12"/>
      <c r="BKA73" s="12"/>
      <c r="BKB73" s="12"/>
      <c r="BKS73" s="12"/>
      <c r="BKT73" s="12"/>
      <c r="BLK73" s="12"/>
      <c r="BLL73" s="12"/>
      <c r="BMC73" s="12"/>
      <c r="BMD73" s="12"/>
      <c r="BMU73" s="12"/>
      <c r="BMV73" s="12"/>
      <c r="BNM73" s="12"/>
      <c r="BNN73" s="12"/>
      <c r="BOE73" s="12"/>
      <c r="BOF73" s="12"/>
      <c r="BOW73" s="12"/>
      <c r="BOX73" s="12"/>
      <c r="BPO73" s="12"/>
      <c r="BPP73" s="12"/>
      <c r="BQG73" s="12"/>
      <c r="BQH73" s="12"/>
      <c r="BQY73" s="12"/>
      <c r="BQZ73" s="12"/>
      <c r="BRQ73" s="12"/>
      <c r="BRR73" s="12"/>
      <c r="BSI73" s="12"/>
      <c r="BSJ73" s="12"/>
      <c r="BTA73" s="12"/>
      <c r="BTB73" s="12"/>
      <c r="BTS73" s="12"/>
      <c r="BTT73" s="12"/>
      <c r="BUK73" s="12"/>
      <c r="BUL73" s="12"/>
      <c r="BVC73" s="12"/>
      <c r="BVD73" s="12"/>
      <c r="BVU73" s="12"/>
      <c r="BVV73" s="12"/>
      <c r="BWM73" s="12"/>
      <c r="BWN73" s="12"/>
      <c r="BXE73" s="12"/>
      <c r="BXF73" s="12"/>
      <c r="BXW73" s="12"/>
      <c r="BXX73" s="12"/>
      <c r="BYO73" s="12"/>
      <c r="BYP73" s="12"/>
      <c r="BZG73" s="12"/>
      <c r="BZH73" s="12"/>
      <c r="BZY73" s="12"/>
      <c r="BZZ73" s="12"/>
      <c r="CAQ73" s="12"/>
      <c r="CAR73" s="12"/>
      <c r="CBI73" s="12"/>
      <c r="CBJ73" s="12"/>
      <c r="CCA73" s="12"/>
      <c r="CCB73" s="12"/>
      <c r="CCS73" s="12"/>
      <c r="CCT73" s="12"/>
      <c r="CDK73" s="12"/>
      <c r="CDL73" s="12"/>
      <c r="CEC73" s="12"/>
      <c r="CED73" s="12"/>
      <c r="CEU73" s="12"/>
      <c r="CEV73" s="12"/>
      <c r="CFM73" s="12"/>
      <c r="CFN73" s="12"/>
      <c r="CGE73" s="12"/>
      <c r="CGF73" s="12"/>
      <c r="CGW73" s="12"/>
      <c r="CGX73" s="12"/>
      <c r="CHO73" s="12"/>
      <c r="CHP73" s="12"/>
      <c r="CIG73" s="12"/>
      <c r="CIH73" s="12"/>
      <c r="CIY73" s="12"/>
      <c r="CIZ73" s="12"/>
      <c r="CJQ73" s="12"/>
      <c r="CJR73" s="12"/>
      <c r="CKI73" s="12"/>
      <c r="CKJ73" s="12"/>
      <c r="CLA73" s="12"/>
      <c r="CLB73" s="12"/>
      <c r="CLS73" s="12"/>
      <c r="CLT73" s="12"/>
      <c r="CMK73" s="12"/>
      <c r="CML73" s="12"/>
      <c r="CNC73" s="12"/>
      <c r="CND73" s="12"/>
      <c r="CNU73" s="12"/>
      <c r="CNV73" s="12"/>
      <c r="COM73" s="12"/>
      <c r="CON73" s="12"/>
      <c r="CPE73" s="12"/>
      <c r="CPF73" s="12"/>
      <c r="CPW73" s="12"/>
      <c r="CPX73" s="12"/>
      <c r="CQO73" s="12"/>
      <c r="CQP73" s="12"/>
      <c r="CRG73" s="12"/>
      <c r="CRH73" s="12"/>
      <c r="CRY73" s="12"/>
      <c r="CRZ73" s="12"/>
      <c r="CSQ73" s="12"/>
      <c r="CSR73" s="12"/>
      <c r="CTI73" s="12"/>
      <c r="CTJ73" s="12"/>
      <c r="CUA73" s="12"/>
      <c r="CUB73" s="12"/>
      <c r="CUS73" s="12"/>
      <c r="CUT73" s="12"/>
      <c r="CVK73" s="12"/>
      <c r="CVL73" s="12"/>
      <c r="CWC73" s="12"/>
      <c r="CWD73" s="12"/>
      <c r="CWU73" s="12"/>
      <c r="CWV73" s="12"/>
      <c r="CXM73" s="12"/>
      <c r="CXN73" s="12"/>
      <c r="CYE73" s="12"/>
      <c r="CYF73" s="12"/>
      <c r="CYW73" s="12"/>
      <c r="CYX73" s="12"/>
      <c r="CZO73" s="12"/>
      <c r="CZP73" s="12"/>
      <c r="DAG73" s="12"/>
      <c r="DAH73" s="12"/>
      <c r="DAY73" s="12"/>
      <c r="DAZ73" s="12"/>
      <c r="DBQ73" s="12"/>
      <c r="DBR73" s="12"/>
      <c r="DCI73" s="12"/>
      <c r="DCJ73" s="12"/>
      <c r="DDA73" s="12"/>
      <c r="DDB73" s="12"/>
      <c r="DDS73" s="12"/>
      <c r="DDT73" s="12"/>
      <c r="DEK73" s="12"/>
      <c r="DEL73" s="12"/>
      <c r="DFC73" s="12"/>
      <c r="DFD73" s="12"/>
      <c r="DFU73" s="12"/>
      <c r="DFV73" s="12"/>
      <c r="DGM73" s="12"/>
      <c r="DGN73" s="12"/>
      <c r="DHE73" s="12"/>
      <c r="DHF73" s="12"/>
      <c r="DHW73" s="12"/>
      <c r="DHX73" s="12"/>
      <c r="DIO73" s="12"/>
      <c r="DIP73" s="12"/>
      <c r="DJG73" s="12"/>
      <c r="DJH73" s="12"/>
      <c r="DJY73" s="12"/>
      <c r="DJZ73" s="12"/>
      <c r="DKQ73" s="12"/>
      <c r="DKR73" s="12"/>
      <c r="DLI73" s="12"/>
      <c r="DLJ73" s="12"/>
      <c r="DMA73" s="12"/>
      <c r="DMB73" s="12"/>
      <c r="DMS73" s="12"/>
      <c r="DMT73" s="12"/>
      <c r="DNK73" s="12"/>
      <c r="DNL73" s="12"/>
      <c r="DOC73" s="12"/>
      <c r="DOD73" s="12"/>
      <c r="DOU73" s="12"/>
      <c r="DOV73" s="12"/>
      <c r="DPM73" s="12"/>
      <c r="DPN73" s="12"/>
      <c r="DQE73" s="12"/>
      <c r="DQF73" s="12"/>
      <c r="DQW73" s="12"/>
      <c r="DQX73" s="12"/>
      <c r="DRO73" s="12"/>
      <c r="DRP73" s="12"/>
      <c r="DSG73" s="12"/>
      <c r="DSH73" s="12"/>
      <c r="DSY73" s="12"/>
      <c r="DSZ73" s="12"/>
      <c r="DTQ73" s="12"/>
      <c r="DTR73" s="12"/>
      <c r="DUI73" s="12"/>
      <c r="DUJ73" s="12"/>
      <c r="DVA73" s="12"/>
      <c r="DVB73" s="12"/>
      <c r="DVS73" s="12"/>
      <c r="DVT73" s="12"/>
      <c r="DWK73" s="12"/>
      <c r="DWL73" s="12"/>
      <c r="DXC73" s="12"/>
      <c r="DXD73" s="12"/>
      <c r="DXU73" s="12"/>
      <c r="DXV73" s="12"/>
      <c r="DYM73" s="12"/>
      <c r="DYN73" s="12"/>
      <c r="DZE73" s="12"/>
      <c r="DZF73" s="12"/>
      <c r="DZW73" s="12"/>
      <c r="DZX73" s="12"/>
      <c r="EAO73" s="12"/>
      <c r="EAP73" s="12"/>
      <c r="EBG73" s="12"/>
      <c r="EBH73" s="12"/>
      <c r="EBY73" s="12"/>
      <c r="EBZ73" s="12"/>
      <c r="ECQ73" s="12"/>
      <c r="ECR73" s="12"/>
      <c r="EDI73" s="12"/>
      <c r="EDJ73" s="12"/>
      <c r="EEA73" s="12"/>
      <c r="EEB73" s="12"/>
      <c r="EES73" s="12"/>
      <c r="EET73" s="12"/>
      <c r="EFK73" s="12"/>
      <c r="EFL73" s="12"/>
      <c r="EGC73" s="12"/>
      <c r="EGD73" s="12"/>
      <c r="EGU73" s="12"/>
      <c r="EGV73" s="12"/>
      <c r="EHM73" s="12"/>
      <c r="EHN73" s="12"/>
      <c r="EIE73" s="12"/>
      <c r="EIF73" s="12"/>
      <c r="EIW73" s="12"/>
      <c r="EIX73" s="12"/>
      <c r="EJO73" s="12"/>
      <c r="EJP73" s="12"/>
      <c r="EKG73" s="12"/>
      <c r="EKH73" s="12"/>
      <c r="EKY73" s="12"/>
      <c r="EKZ73" s="12"/>
      <c r="ELQ73" s="12"/>
      <c r="ELR73" s="12"/>
      <c r="EMI73" s="12"/>
      <c r="EMJ73" s="12"/>
      <c r="ENA73" s="12"/>
      <c r="ENB73" s="12"/>
      <c r="ENS73" s="12"/>
      <c r="ENT73" s="12"/>
      <c r="EOK73" s="12"/>
      <c r="EOL73" s="12"/>
      <c r="EPC73" s="12"/>
      <c r="EPD73" s="12"/>
      <c r="EPU73" s="12"/>
      <c r="EPV73" s="12"/>
      <c r="EQM73" s="12"/>
      <c r="EQN73" s="12"/>
      <c r="ERE73" s="12"/>
      <c r="ERF73" s="12"/>
      <c r="ERW73" s="12"/>
      <c r="ERX73" s="12"/>
      <c r="ESO73" s="12"/>
      <c r="ESP73" s="12"/>
      <c r="ETG73" s="12"/>
      <c r="ETH73" s="12"/>
      <c r="ETY73" s="12"/>
      <c r="ETZ73" s="12"/>
      <c r="EUQ73" s="12"/>
      <c r="EUR73" s="12"/>
      <c r="EVI73" s="12"/>
      <c r="EVJ73" s="12"/>
      <c r="EWA73" s="12"/>
      <c r="EWB73" s="12"/>
      <c r="EWS73" s="12"/>
      <c r="EWT73" s="12"/>
      <c r="EXK73" s="12"/>
      <c r="EXL73" s="12"/>
      <c r="EYC73" s="12"/>
      <c r="EYD73" s="12"/>
      <c r="EYU73" s="12"/>
      <c r="EYV73" s="12"/>
      <c r="EZM73" s="12"/>
      <c r="EZN73" s="12"/>
      <c r="FAE73" s="12"/>
      <c r="FAF73" s="12"/>
      <c r="FAW73" s="12"/>
      <c r="FAX73" s="12"/>
      <c r="FBO73" s="12"/>
      <c r="FBP73" s="12"/>
      <c r="FCG73" s="12"/>
      <c r="FCH73" s="12"/>
      <c r="FCY73" s="12"/>
      <c r="FCZ73" s="12"/>
      <c r="FDQ73" s="12"/>
      <c r="FDR73" s="12"/>
      <c r="FEI73" s="12"/>
      <c r="FEJ73" s="12"/>
      <c r="FFA73" s="12"/>
      <c r="FFB73" s="12"/>
      <c r="FFS73" s="12"/>
      <c r="FFT73" s="12"/>
      <c r="FGK73" s="12"/>
      <c r="FGL73" s="12"/>
      <c r="FHC73" s="12"/>
      <c r="FHD73" s="12"/>
      <c r="FHU73" s="12"/>
      <c r="FHV73" s="12"/>
      <c r="FIM73" s="12"/>
      <c r="FIN73" s="12"/>
      <c r="FJE73" s="12"/>
      <c r="FJF73" s="12"/>
      <c r="FJW73" s="12"/>
      <c r="FJX73" s="12"/>
      <c r="FKO73" s="12"/>
      <c r="FKP73" s="12"/>
      <c r="FLG73" s="12"/>
      <c r="FLH73" s="12"/>
      <c r="FLY73" s="12"/>
      <c r="FLZ73" s="12"/>
      <c r="FMQ73" s="12"/>
      <c r="FMR73" s="12"/>
      <c r="FNI73" s="12"/>
      <c r="FNJ73" s="12"/>
      <c r="FOA73" s="12"/>
      <c r="FOB73" s="12"/>
      <c r="FOS73" s="12"/>
      <c r="FOT73" s="12"/>
      <c r="FPK73" s="12"/>
      <c r="FPL73" s="12"/>
      <c r="FQC73" s="12"/>
      <c r="FQD73" s="12"/>
      <c r="FQU73" s="12"/>
      <c r="FQV73" s="12"/>
      <c r="FRM73" s="12"/>
      <c r="FRN73" s="12"/>
      <c r="FSE73" s="12"/>
      <c r="FSF73" s="12"/>
      <c r="FSW73" s="12"/>
      <c r="FSX73" s="12"/>
      <c r="FTO73" s="12"/>
      <c r="FTP73" s="12"/>
      <c r="FUG73" s="12"/>
      <c r="FUH73" s="12"/>
      <c r="FUY73" s="12"/>
      <c r="FUZ73" s="12"/>
      <c r="FVQ73" s="12"/>
      <c r="FVR73" s="12"/>
      <c r="FWI73" s="12"/>
      <c r="FWJ73" s="12"/>
      <c r="FXA73" s="12"/>
      <c r="FXB73" s="12"/>
      <c r="FXS73" s="12"/>
      <c r="FXT73" s="12"/>
      <c r="FYK73" s="12"/>
      <c r="FYL73" s="12"/>
      <c r="FZC73" s="12"/>
      <c r="FZD73" s="12"/>
      <c r="FZU73" s="12"/>
      <c r="FZV73" s="12"/>
      <c r="GAM73" s="12"/>
      <c r="GAN73" s="12"/>
      <c r="GBE73" s="12"/>
      <c r="GBF73" s="12"/>
      <c r="GBW73" s="12"/>
      <c r="GBX73" s="12"/>
      <c r="GCO73" s="12"/>
      <c r="GCP73" s="12"/>
      <c r="GDG73" s="12"/>
      <c r="GDH73" s="12"/>
      <c r="GDY73" s="12"/>
      <c r="GDZ73" s="12"/>
      <c r="GEQ73" s="12"/>
      <c r="GER73" s="12"/>
      <c r="GFI73" s="12"/>
      <c r="GFJ73" s="12"/>
      <c r="GGA73" s="12"/>
      <c r="GGB73" s="12"/>
      <c r="GGS73" s="12"/>
      <c r="GGT73" s="12"/>
      <c r="GHK73" s="12"/>
      <c r="GHL73" s="12"/>
      <c r="GIC73" s="12"/>
      <c r="GID73" s="12"/>
      <c r="GIU73" s="12"/>
      <c r="GIV73" s="12"/>
      <c r="GJM73" s="12"/>
      <c r="GJN73" s="12"/>
      <c r="GKE73" s="12"/>
      <c r="GKF73" s="12"/>
      <c r="GKW73" s="12"/>
      <c r="GKX73" s="12"/>
      <c r="GLO73" s="12"/>
      <c r="GLP73" s="12"/>
      <c r="GMG73" s="12"/>
      <c r="GMH73" s="12"/>
      <c r="GMY73" s="12"/>
      <c r="GMZ73" s="12"/>
      <c r="GNQ73" s="12"/>
      <c r="GNR73" s="12"/>
      <c r="GOI73" s="12"/>
      <c r="GOJ73" s="12"/>
      <c r="GPA73" s="12"/>
      <c r="GPB73" s="12"/>
      <c r="GPS73" s="12"/>
      <c r="GPT73" s="12"/>
      <c r="GQK73" s="12"/>
      <c r="GQL73" s="12"/>
      <c r="GRC73" s="12"/>
      <c r="GRD73" s="12"/>
      <c r="GRU73" s="12"/>
      <c r="GRV73" s="12"/>
      <c r="GSM73" s="12"/>
      <c r="GSN73" s="12"/>
      <c r="GTE73" s="12"/>
      <c r="GTF73" s="12"/>
      <c r="GTW73" s="12"/>
      <c r="GTX73" s="12"/>
      <c r="GUO73" s="12"/>
      <c r="GUP73" s="12"/>
      <c r="GVG73" s="12"/>
      <c r="GVH73" s="12"/>
      <c r="GVY73" s="12"/>
      <c r="GVZ73" s="12"/>
      <c r="GWQ73" s="12"/>
      <c r="GWR73" s="12"/>
      <c r="GXI73" s="12"/>
      <c r="GXJ73" s="12"/>
      <c r="GYA73" s="12"/>
      <c r="GYB73" s="12"/>
      <c r="GYS73" s="12"/>
      <c r="GYT73" s="12"/>
      <c r="GZK73" s="12"/>
      <c r="GZL73" s="12"/>
      <c r="HAC73" s="12"/>
      <c r="HAD73" s="12"/>
      <c r="HAU73" s="12"/>
      <c r="HAV73" s="12"/>
      <c r="HBM73" s="12"/>
      <c r="HBN73" s="12"/>
      <c r="HCE73" s="12"/>
      <c r="HCF73" s="12"/>
      <c r="HCW73" s="12"/>
      <c r="HCX73" s="12"/>
      <c r="HDO73" s="12"/>
      <c r="HDP73" s="12"/>
      <c r="HEG73" s="12"/>
      <c r="HEH73" s="12"/>
      <c r="HEY73" s="12"/>
      <c r="HEZ73" s="12"/>
      <c r="HFQ73" s="12"/>
      <c r="HFR73" s="12"/>
      <c r="HGI73" s="12"/>
      <c r="HGJ73" s="12"/>
      <c r="HHA73" s="12"/>
      <c r="HHB73" s="12"/>
      <c r="HHS73" s="12"/>
      <c r="HHT73" s="12"/>
      <c r="HIK73" s="12"/>
      <c r="HIL73" s="12"/>
      <c r="HJC73" s="12"/>
      <c r="HJD73" s="12"/>
      <c r="HJU73" s="12"/>
      <c r="HJV73" s="12"/>
      <c r="HKM73" s="12"/>
      <c r="HKN73" s="12"/>
      <c r="HLE73" s="12"/>
      <c r="HLF73" s="12"/>
      <c r="HLW73" s="12"/>
      <c r="HLX73" s="12"/>
      <c r="HMO73" s="12"/>
      <c r="HMP73" s="12"/>
      <c r="HNG73" s="12"/>
      <c r="HNH73" s="12"/>
      <c r="HNY73" s="12"/>
      <c r="HNZ73" s="12"/>
      <c r="HOQ73" s="12"/>
      <c r="HOR73" s="12"/>
      <c r="HPI73" s="12"/>
      <c r="HPJ73" s="12"/>
      <c r="HQA73" s="12"/>
      <c r="HQB73" s="12"/>
      <c r="HQS73" s="12"/>
      <c r="HQT73" s="12"/>
      <c r="HRK73" s="12"/>
      <c r="HRL73" s="12"/>
      <c r="HSC73" s="12"/>
      <c r="HSD73" s="12"/>
      <c r="HSU73" s="12"/>
      <c r="HSV73" s="12"/>
      <c r="HTM73" s="12"/>
      <c r="HTN73" s="12"/>
      <c r="HUE73" s="12"/>
      <c r="HUF73" s="12"/>
      <c r="HUW73" s="12"/>
      <c r="HUX73" s="12"/>
      <c r="HVO73" s="12"/>
      <c r="HVP73" s="12"/>
      <c r="HWG73" s="12"/>
      <c r="HWH73" s="12"/>
      <c r="HWY73" s="12"/>
      <c r="HWZ73" s="12"/>
      <c r="HXQ73" s="12"/>
      <c r="HXR73" s="12"/>
      <c r="HYI73" s="12"/>
      <c r="HYJ73" s="12"/>
      <c r="HZA73" s="12"/>
      <c r="HZB73" s="12"/>
      <c r="HZS73" s="12"/>
      <c r="HZT73" s="12"/>
      <c r="IAK73" s="12"/>
      <c r="IAL73" s="12"/>
      <c r="IBC73" s="12"/>
      <c r="IBD73" s="12"/>
      <c r="IBU73" s="12"/>
      <c r="IBV73" s="12"/>
      <c r="ICM73" s="12"/>
      <c r="ICN73" s="12"/>
      <c r="IDE73" s="12"/>
      <c r="IDF73" s="12"/>
      <c r="IDW73" s="12"/>
      <c r="IDX73" s="12"/>
      <c r="IEO73" s="12"/>
      <c r="IEP73" s="12"/>
      <c r="IFG73" s="12"/>
      <c r="IFH73" s="12"/>
      <c r="IFY73" s="12"/>
      <c r="IFZ73" s="12"/>
      <c r="IGQ73" s="12"/>
      <c r="IGR73" s="12"/>
      <c r="IHI73" s="12"/>
      <c r="IHJ73" s="12"/>
      <c r="IIA73" s="12"/>
      <c r="IIB73" s="12"/>
      <c r="IIS73" s="12"/>
      <c r="IIT73" s="12"/>
      <c r="IJK73" s="12"/>
      <c r="IJL73" s="12"/>
      <c r="IKC73" s="12"/>
      <c r="IKD73" s="12"/>
      <c r="IKU73" s="12"/>
      <c r="IKV73" s="12"/>
      <c r="ILM73" s="12"/>
      <c r="ILN73" s="12"/>
      <c r="IME73" s="12"/>
      <c r="IMF73" s="12"/>
      <c r="IMW73" s="12"/>
      <c r="IMX73" s="12"/>
      <c r="INO73" s="12"/>
      <c r="INP73" s="12"/>
      <c r="IOG73" s="12"/>
      <c r="IOH73" s="12"/>
      <c r="IOY73" s="12"/>
      <c r="IOZ73" s="12"/>
      <c r="IPQ73" s="12"/>
      <c r="IPR73" s="12"/>
      <c r="IQI73" s="12"/>
      <c r="IQJ73" s="12"/>
      <c r="IRA73" s="12"/>
      <c r="IRB73" s="12"/>
      <c r="IRS73" s="12"/>
      <c r="IRT73" s="12"/>
      <c r="ISK73" s="12"/>
      <c r="ISL73" s="12"/>
      <c r="ITC73" s="12"/>
      <c r="ITD73" s="12"/>
      <c r="ITU73" s="12"/>
      <c r="ITV73" s="12"/>
      <c r="IUM73" s="12"/>
      <c r="IUN73" s="12"/>
      <c r="IVE73" s="12"/>
      <c r="IVF73" s="12"/>
      <c r="IVW73" s="12"/>
      <c r="IVX73" s="12"/>
      <c r="IWO73" s="12"/>
      <c r="IWP73" s="12"/>
      <c r="IXG73" s="12"/>
      <c r="IXH73" s="12"/>
      <c r="IXY73" s="12"/>
      <c r="IXZ73" s="12"/>
      <c r="IYQ73" s="12"/>
      <c r="IYR73" s="12"/>
      <c r="IZI73" s="12"/>
      <c r="IZJ73" s="12"/>
      <c r="JAA73" s="12"/>
      <c r="JAB73" s="12"/>
      <c r="JAS73" s="12"/>
      <c r="JAT73" s="12"/>
      <c r="JBK73" s="12"/>
      <c r="JBL73" s="12"/>
      <c r="JCC73" s="12"/>
      <c r="JCD73" s="12"/>
      <c r="JCU73" s="12"/>
      <c r="JCV73" s="12"/>
      <c r="JDM73" s="12"/>
      <c r="JDN73" s="12"/>
      <c r="JEE73" s="12"/>
      <c r="JEF73" s="12"/>
      <c r="JEW73" s="12"/>
      <c r="JEX73" s="12"/>
      <c r="JFO73" s="12"/>
      <c r="JFP73" s="12"/>
      <c r="JGG73" s="12"/>
      <c r="JGH73" s="12"/>
      <c r="JGY73" s="12"/>
      <c r="JGZ73" s="12"/>
      <c r="JHQ73" s="12"/>
      <c r="JHR73" s="12"/>
      <c r="JII73" s="12"/>
      <c r="JIJ73" s="12"/>
      <c r="JJA73" s="12"/>
      <c r="JJB73" s="12"/>
      <c r="JJS73" s="12"/>
      <c r="JJT73" s="12"/>
      <c r="JKK73" s="12"/>
      <c r="JKL73" s="12"/>
      <c r="JLC73" s="12"/>
      <c r="JLD73" s="12"/>
      <c r="JLU73" s="12"/>
      <c r="JLV73" s="12"/>
      <c r="JMM73" s="12"/>
      <c r="JMN73" s="12"/>
      <c r="JNE73" s="12"/>
      <c r="JNF73" s="12"/>
      <c r="JNW73" s="12"/>
      <c r="JNX73" s="12"/>
      <c r="JOO73" s="12"/>
      <c r="JOP73" s="12"/>
      <c r="JPG73" s="12"/>
      <c r="JPH73" s="12"/>
      <c r="JPY73" s="12"/>
      <c r="JPZ73" s="12"/>
      <c r="JQQ73" s="12"/>
      <c r="JQR73" s="12"/>
      <c r="JRI73" s="12"/>
      <c r="JRJ73" s="12"/>
      <c r="JSA73" s="12"/>
      <c r="JSB73" s="12"/>
      <c r="JSS73" s="12"/>
      <c r="JST73" s="12"/>
      <c r="JTK73" s="12"/>
      <c r="JTL73" s="12"/>
      <c r="JUC73" s="12"/>
      <c r="JUD73" s="12"/>
      <c r="JUU73" s="12"/>
      <c r="JUV73" s="12"/>
      <c r="JVM73" s="12"/>
      <c r="JVN73" s="12"/>
      <c r="JWE73" s="12"/>
      <c r="JWF73" s="12"/>
      <c r="JWW73" s="12"/>
      <c r="JWX73" s="12"/>
      <c r="JXO73" s="12"/>
      <c r="JXP73" s="12"/>
      <c r="JYG73" s="12"/>
      <c r="JYH73" s="12"/>
      <c r="JYY73" s="12"/>
      <c r="JYZ73" s="12"/>
      <c r="JZQ73" s="12"/>
      <c r="JZR73" s="12"/>
      <c r="KAI73" s="12"/>
      <c r="KAJ73" s="12"/>
      <c r="KBA73" s="12"/>
      <c r="KBB73" s="12"/>
      <c r="KBS73" s="12"/>
      <c r="KBT73" s="12"/>
      <c r="KCK73" s="12"/>
      <c r="KCL73" s="12"/>
      <c r="KDC73" s="12"/>
      <c r="KDD73" s="12"/>
      <c r="KDU73" s="12"/>
      <c r="KDV73" s="12"/>
      <c r="KEM73" s="12"/>
      <c r="KEN73" s="12"/>
      <c r="KFE73" s="12"/>
      <c r="KFF73" s="12"/>
      <c r="KFW73" s="12"/>
      <c r="KFX73" s="12"/>
      <c r="KGO73" s="12"/>
      <c r="KGP73" s="12"/>
      <c r="KHG73" s="12"/>
      <c r="KHH73" s="12"/>
      <c r="KHY73" s="12"/>
      <c r="KHZ73" s="12"/>
      <c r="KIQ73" s="12"/>
      <c r="KIR73" s="12"/>
      <c r="KJI73" s="12"/>
      <c r="KJJ73" s="12"/>
      <c r="KKA73" s="12"/>
      <c r="KKB73" s="12"/>
      <c r="KKS73" s="12"/>
      <c r="KKT73" s="12"/>
      <c r="KLK73" s="12"/>
      <c r="KLL73" s="12"/>
      <c r="KMC73" s="12"/>
      <c r="KMD73" s="12"/>
      <c r="KMU73" s="12"/>
      <c r="KMV73" s="12"/>
      <c r="KNM73" s="12"/>
      <c r="KNN73" s="12"/>
      <c r="KOE73" s="12"/>
      <c r="KOF73" s="12"/>
      <c r="KOW73" s="12"/>
      <c r="KOX73" s="12"/>
      <c r="KPO73" s="12"/>
      <c r="KPP73" s="12"/>
      <c r="KQG73" s="12"/>
      <c r="KQH73" s="12"/>
      <c r="KQY73" s="12"/>
      <c r="KQZ73" s="12"/>
      <c r="KRQ73" s="12"/>
      <c r="KRR73" s="12"/>
      <c r="KSI73" s="12"/>
      <c r="KSJ73" s="12"/>
      <c r="KTA73" s="12"/>
      <c r="KTB73" s="12"/>
      <c r="KTS73" s="12"/>
      <c r="KTT73" s="12"/>
      <c r="KUK73" s="12"/>
      <c r="KUL73" s="12"/>
      <c r="KVC73" s="12"/>
      <c r="KVD73" s="12"/>
      <c r="KVU73" s="12"/>
      <c r="KVV73" s="12"/>
      <c r="KWM73" s="12"/>
      <c r="KWN73" s="12"/>
      <c r="KXE73" s="12"/>
      <c r="KXF73" s="12"/>
      <c r="KXW73" s="12"/>
      <c r="KXX73" s="12"/>
      <c r="KYO73" s="12"/>
      <c r="KYP73" s="12"/>
      <c r="KZG73" s="12"/>
      <c r="KZH73" s="12"/>
      <c r="KZY73" s="12"/>
      <c r="KZZ73" s="12"/>
      <c r="LAQ73" s="12"/>
      <c r="LAR73" s="12"/>
      <c r="LBI73" s="12"/>
      <c r="LBJ73" s="12"/>
      <c r="LCA73" s="12"/>
      <c r="LCB73" s="12"/>
      <c r="LCS73" s="12"/>
      <c r="LCT73" s="12"/>
      <c r="LDK73" s="12"/>
      <c r="LDL73" s="12"/>
      <c r="LEC73" s="12"/>
      <c r="LED73" s="12"/>
      <c r="LEU73" s="12"/>
      <c r="LEV73" s="12"/>
      <c r="LFM73" s="12"/>
      <c r="LFN73" s="12"/>
      <c r="LGE73" s="12"/>
      <c r="LGF73" s="12"/>
      <c r="LGW73" s="12"/>
      <c r="LGX73" s="12"/>
      <c r="LHO73" s="12"/>
      <c r="LHP73" s="12"/>
      <c r="LIG73" s="12"/>
      <c r="LIH73" s="12"/>
      <c r="LIY73" s="12"/>
      <c r="LIZ73" s="12"/>
      <c r="LJQ73" s="12"/>
      <c r="LJR73" s="12"/>
      <c r="LKI73" s="12"/>
      <c r="LKJ73" s="12"/>
      <c r="LLA73" s="12"/>
      <c r="LLB73" s="12"/>
      <c r="LLS73" s="12"/>
      <c r="LLT73" s="12"/>
      <c r="LMK73" s="12"/>
      <c r="LML73" s="12"/>
      <c r="LNC73" s="12"/>
      <c r="LND73" s="12"/>
      <c r="LNU73" s="12"/>
      <c r="LNV73" s="12"/>
      <c r="LOM73" s="12"/>
      <c r="LON73" s="12"/>
      <c r="LPE73" s="12"/>
      <c r="LPF73" s="12"/>
      <c r="LPW73" s="12"/>
      <c r="LPX73" s="12"/>
      <c r="LQO73" s="12"/>
      <c r="LQP73" s="12"/>
      <c r="LRG73" s="12"/>
      <c r="LRH73" s="12"/>
      <c r="LRY73" s="12"/>
      <c r="LRZ73" s="12"/>
      <c r="LSQ73" s="12"/>
      <c r="LSR73" s="12"/>
      <c r="LTI73" s="12"/>
      <c r="LTJ73" s="12"/>
      <c r="LUA73" s="12"/>
      <c r="LUB73" s="12"/>
      <c r="LUS73" s="12"/>
      <c r="LUT73" s="12"/>
      <c r="LVK73" s="12"/>
      <c r="LVL73" s="12"/>
      <c r="LWC73" s="12"/>
      <c r="LWD73" s="12"/>
      <c r="LWU73" s="12"/>
      <c r="LWV73" s="12"/>
      <c r="LXM73" s="12"/>
      <c r="LXN73" s="12"/>
      <c r="LYE73" s="12"/>
      <c r="LYF73" s="12"/>
      <c r="LYW73" s="12"/>
      <c r="LYX73" s="12"/>
      <c r="LZO73" s="12"/>
      <c r="LZP73" s="12"/>
      <c r="MAG73" s="12"/>
      <c r="MAH73" s="12"/>
      <c r="MAY73" s="12"/>
      <c r="MAZ73" s="12"/>
      <c r="MBQ73" s="12"/>
      <c r="MBR73" s="12"/>
      <c r="MCI73" s="12"/>
      <c r="MCJ73" s="12"/>
      <c r="MDA73" s="12"/>
      <c r="MDB73" s="12"/>
      <c r="MDS73" s="12"/>
      <c r="MDT73" s="12"/>
      <c r="MEK73" s="12"/>
      <c r="MEL73" s="12"/>
      <c r="MFC73" s="12"/>
      <c r="MFD73" s="12"/>
      <c r="MFU73" s="12"/>
      <c r="MFV73" s="12"/>
      <c r="MGM73" s="12"/>
      <c r="MGN73" s="12"/>
      <c r="MHE73" s="12"/>
      <c r="MHF73" s="12"/>
      <c r="MHW73" s="12"/>
      <c r="MHX73" s="12"/>
      <c r="MIO73" s="12"/>
      <c r="MIP73" s="12"/>
      <c r="MJG73" s="12"/>
      <c r="MJH73" s="12"/>
      <c r="MJY73" s="12"/>
      <c r="MJZ73" s="12"/>
      <c r="MKQ73" s="12"/>
      <c r="MKR73" s="12"/>
      <c r="MLI73" s="12"/>
      <c r="MLJ73" s="12"/>
      <c r="MMA73" s="12"/>
      <c r="MMB73" s="12"/>
      <c r="MMS73" s="12"/>
      <c r="MMT73" s="12"/>
      <c r="MNK73" s="12"/>
      <c r="MNL73" s="12"/>
      <c r="MOC73" s="12"/>
      <c r="MOD73" s="12"/>
      <c r="MOU73" s="12"/>
      <c r="MOV73" s="12"/>
      <c r="MPM73" s="12"/>
      <c r="MPN73" s="12"/>
      <c r="MQE73" s="12"/>
      <c r="MQF73" s="12"/>
      <c r="MQW73" s="12"/>
      <c r="MQX73" s="12"/>
      <c r="MRO73" s="12"/>
      <c r="MRP73" s="12"/>
      <c r="MSG73" s="12"/>
      <c r="MSH73" s="12"/>
      <c r="MSY73" s="12"/>
      <c r="MSZ73" s="12"/>
      <c r="MTQ73" s="12"/>
      <c r="MTR73" s="12"/>
      <c r="MUI73" s="12"/>
      <c r="MUJ73" s="12"/>
      <c r="MVA73" s="12"/>
      <c r="MVB73" s="12"/>
      <c r="MVS73" s="12"/>
      <c r="MVT73" s="12"/>
      <c r="MWK73" s="12"/>
      <c r="MWL73" s="12"/>
      <c r="MXC73" s="12"/>
      <c r="MXD73" s="12"/>
      <c r="MXU73" s="12"/>
      <c r="MXV73" s="12"/>
      <c r="MYM73" s="12"/>
      <c r="MYN73" s="12"/>
      <c r="MZE73" s="12"/>
      <c r="MZF73" s="12"/>
      <c r="MZW73" s="12"/>
      <c r="MZX73" s="12"/>
      <c r="NAO73" s="12"/>
      <c r="NAP73" s="12"/>
      <c r="NBG73" s="12"/>
      <c r="NBH73" s="12"/>
      <c r="NBY73" s="12"/>
      <c r="NBZ73" s="12"/>
      <c r="NCQ73" s="12"/>
      <c r="NCR73" s="12"/>
      <c r="NDI73" s="12"/>
      <c r="NDJ73" s="12"/>
      <c r="NEA73" s="12"/>
      <c r="NEB73" s="12"/>
      <c r="NES73" s="12"/>
      <c r="NET73" s="12"/>
      <c r="NFK73" s="12"/>
      <c r="NFL73" s="12"/>
      <c r="NGC73" s="12"/>
      <c r="NGD73" s="12"/>
      <c r="NGU73" s="12"/>
      <c r="NGV73" s="12"/>
      <c r="NHM73" s="12"/>
      <c r="NHN73" s="12"/>
      <c r="NIE73" s="12"/>
      <c r="NIF73" s="12"/>
      <c r="NIW73" s="12"/>
      <c r="NIX73" s="12"/>
      <c r="NJO73" s="12"/>
      <c r="NJP73" s="12"/>
      <c r="NKG73" s="12"/>
      <c r="NKH73" s="12"/>
      <c r="NKY73" s="12"/>
      <c r="NKZ73" s="12"/>
      <c r="NLQ73" s="12"/>
      <c r="NLR73" s="12"/>
      <c r="NMI73" s="12"/>
      <c r="NMJ73" s="12"/>
      <c r="NNA73" s="12"/>
      <c r="NNB73" s="12"/>
      <c r="NNS73" s="12"/>
      <c r="NNT73" s="12"/>
      <c r="NOK73" s="12"/>
      <c r="NOL73" s="12"/>
      <c r="NPC73" s="12"/>
      <c r="NPD73" s="12"/>
      <c r="NPU73" s="12"/>
      <c r="NPV73" s="12"/>
      <c r="NQM73" s="12"/>
      <c r="NQN73" s="12"/>
      <c r="NRE73" s="12"/>
      <c r="NRF73" s="12"/>
      <c r="NRW73" s="12"/>
      <c r="NRX73" s="12"/>
      <c r="NSO73" s="12"/>
      <c r="NSP73" s="12"/>
      <c r="NTG73" s="12"/>
      <c r="NTH73" s="12"/>
      <c r="NTY73" s="12"/>
      <c r="NTZ73" s="12"/>
      <c r="NUQ73" s="12"/>
      <c r="NUR73" s="12"/>
      <c r="NVI73" s="12"/>
      <c r="NVJ73" s="12"/>
      <c r="NWA73" s="12"/>
      <c r="NWB73" s="12"/>
      <c r="NWS73" s="12"/>
      <c r="NWT73" s="12"/>
      <c r="NXK73" s="12"/>
      <c r="NXL73" s="12"/>
      <c r="NYC73" s="12"/>
      <c r="NYD73" s="12"/>
      <c r="NYU73" s="12"/>
      <c r="NYV73" s="12"/>
      <c r="NZM73" s="12"/>
      <c r="NZN73" s="12"/>
      <c r="OAE73" s="12"/>
      <c r="OAF73" s="12"/>
      <c r="OAW73" s="12"/>
      <c r="OAX73" s="12"/>
      <c r="OBO73" s="12"/>
      <c r="OBP73" s="12"/>
      <c r="OCG73" s="12"/>
      <c r="OCH73" s="12"/>
      <c r="OCY73" s="12"/>
      <c r="OCZ73" s="12"/>
      <c r="ODQ73" s="12"/>
      <c r="ODR73" s="12"/>
      <c r="OEI73" s="12"/>
      <c r="OEJ73" s="12"/>
      <c r="OFA73" s="12"/>
      <c r="OFB73" s="12"/>
      <c r="OFS73" s="12"/>
      <c r="OFT73" s="12"/>
      <c r="OGK73" s="12"/>
      <c r="OGL73" s="12"/>
      <c r="OHC73" s="12"/>
      <c r="OHD73" s="12"/>
      <c r="OHU73" s="12"/>
      <c r="OHV73" s="12"/>
      <c r="OIM73" s="12"/>
      <c r="OIN73" s="12"/>
      <c r="OJE73" s="12"/>
      <c r="OJF73" s="12"/>
      <c r="OJW73" s="12"/>
      <c r="OJX73" s="12"/>
      <c r="OKO73" s="12"/>
      <c r="OKP73" s="12"/>
      <c r="OLG73" s="12"/>
      <c r="OLH73" s="12"/>
      <c r="OLY73" s="12"/>
      <c r="OLZ73" s="12"/>
      <c r="OMQ73" s="12"/>
      <c r="OMR73" s="12"/>
      <c r="ONI73" s="12"/>
      <c r="ONJ73" s="12"/>
      <c r="OOA73" s="12"/>
      <c r="OOB73" s="12"/>
      <c r="OOS73" s="12"/>
      <c r="OOT73" s="12"/>
      <c r="OPK73" s="12"/>
      <c r="OPL73" s="12"/>
      <c r="OQC73" s="12"/>
      <c r="OQD73" s="12"/>
      <c r="OQU73" s="12"/>
      <c r="OQV73" s="12"/>
      <c r="ORM73" s="12"/>
      <c r="ORN73" s="12"/>
      <c r="OSE73" s="12"/>
      <c r="OSF73" s="12"/>
      <c r="OSW73" s="12"/>
      <c r="OSX73" s="12"/>
      <c r="OTO73" s="12"/>
      <c r="OTP73" s="12"/>
      <c r="OUG73" s="12"/>
      <c r="OUH73" s="12"/>
      <c r="OUY73" s="12"/>
      <c r="OUZ73" s="12"/>
      <c r="OVQ73" s="12"/>
      <c r="OVR73" s="12"/>
      <c r="OWI73" s="12"/>
      <c r="OWJ73" s="12"/>
      <c r="OXA73" s="12"/>
      <c r="OXB73" s="12"/>
      <c r="OXS73" s="12"/>
      <c r="OXT73" s="12"/>
      <c r="OYK73" s="12"/>
      <c r="OYL73" s="12"/>
      <c r="OZC73" s="12"/>
      <c r="OZD73" s="12"/>
      <c r="OZU73" s="12"/>
      <c r="OZV73" s="12"/>
      <c r="PAM73" s="12"/>
      <c r="PAN73" s="12"/>
      <c r="PBE73" s="12"/>
      <c r="PBF73" s="12"/>
      <c r="PBW73" s="12"/>
      <c r="PBX73" s="12"/>
      <c r="PCO73" s="12"/>
      <c r="PCP73" s="12"/>
      <c r="PDG73" s="12"/>
      <c r="PDH73" s="12"/>
      <c r="PDY73" s="12"/>
      <c r="PDZ73" s="12"/>
      <c r="PEQ73" s="12"/>
      <c r="PER73" s="12"/>
      <c r="PFI73" s="12"/>
      <c r="PFJ73" s="12"/>
      <c r="PGA73" s="12"/>
      <c r="PGB73" s="12"/>
      <c r="PGS73" s="12"/>
      <c r="PGT73" s="12"/>
      <c r="PHK73" s="12"/>
      <c r="PHL73" s="12"/>
      <c r="PIC73" s="12"/>
      <c r="PID73" s="12"/>
      <c r="PIU73" s="12"/>
      <c r="PIV73" s="12"/>
      <c r="PJM73" s="12"/>
      <c r="PJN73" s="12"/>
      <c r="PKE73" s="12"/>
      <c r="PKF73" s="12"/>
      <c r="PKW73" s="12"/>
      <c r="PKX73" s="12"/>
      <c r="PLO73" s="12"/>
      <c r="PLP73" s="12"/>
      <c r="PMG73" s="12"/>
      <c r="PMH73" s="12"/>
      <c r="PMY73" s="12"/>
      <c r="PMZ73" s="12"/>
      <c r="PNQ73" s="12"/>
      <c r="PNR73" s="12"/>
      <c r="POI73" s="12"/>
      <c r="POJ73" s="12"/>
      <c r="PPA73" s="12"/>
      <c r="PPB73" s="12"/>
      <c r="PPS73" s="12"/>
      <c r="PPT73" s="12"/>
      <c r="PQK73" s="12"/>
      <c r="PQL73" s="12"/>
      <c r="PRC73" s="12"/>
      <c r="PRD73" s="12"/>
      <c r="PRU73" s="12"/>
      <c r="PRV73" s="12"/>
      <c r="PSM73" s="12"/>
      <c r="PSN73" s="12"/>
      <c r="PTE73" s="12"/>
      <c r="PTF73" s="12"/>
      <c r="PTW73" s="12"/>
      <c r="PTX73" s="12"/>
      <c r="PUO73" s="12"/>
      <c r="PUP73" s="12"/>
      <c r="PVG73" s="12"/>
      <c r="PVH73" s="12"/>
      <c r="PVY73" s="12"/>
      <c r="PVZ73" s="12"/>
      <c r="PWQ73" s="12"/>
      <c r="PWR73" s="12"/>
      <c r="PXI73" s="12"/>
      <c r="PXJ73" s="12"/>
      <c r="PYA73" s="12"/>
      <c r="PYB73" s="12"/>
      <c r="PYS73" s="12"/>
      <c r="PYT73" s="12"/>
      <c r="PZK73" s="12"/>
      <c r="PZL73" s="12"/>
      <c r="QAC73" s="12"/>
      <c r="QAD73" s="12"/>
      <c r="QAU73" s="12"/>
      <c r="QAV73" s="12"/>
      <c r="QBM73" s="12"/>
      <c r="QBN73" s="12"/>
      <c r="QCE73" s="12"/>
      <c r="QCF73" s="12"/>
      <c r="QCW73" s="12"/>
      <c r="QCX73" s="12"/>
      <c r="QDO73" s="12"/>
      <c r="QDP73" s="12"/>
      <c r="QEG73" s="12"/>
      <c r="QEH73" s="12"/>
      <c r="QEY73" s="12"/>
      <c r="QEZ73" s="12"/>
      <c r="QFQ73" s="12"/>
      <c r="QFR73" s="12"/>
      <c r="QGI73" s="12"/>
      <c r="QGJ73" s="12"/>
      <c r="QHA73" s="12"/>
      <c r="QHB73" s="12"/>
      <c r="QHS73" s="12"/>
      <c r="QHT73" s="12"/>
      <c r="QIK73" s="12"/>
      <c r="QIL73" s="12"/>
      <c r="QJC73" s="12"/>
      <c r="QJD73" s="12"/>
      <c r="QJU73" s="12"/>
      <c r="QJV73" s="12"/>
      <c r="QKM73" s="12"/>
      <c r="QKN73" s="12"/>
      <c r="QLE73" s="12"/>
      <c r="QLF73" s="12"/>
      <c r="QLW73" s="12"/>
      <c r="QLX73" s="12"/>
      <c r="QMO73" s="12"/>
      <c r="QMP73" s="12"/>
      <c r="QNG73" s="12"/>
      <c r="QNH73" s="12"/>
      <c r="QNY73" s="12"/>
      <c r="QNZ73" s="12"/>
      <c r="QOQ73" s="12"/>
      <c r="QOR73" s="12"/>
      <c r="QPI73" s="12"/>
      <c r="QPJ73" s="12"/>
      <c r="QQA73" s="12"/>
      <c r="QQB73" s="12"/>
      <c r="QQS73" s="12"/>
      <c r="QQT73" s="12"/>
      <c r="QRK73" s="12"/>
      <c r="QRL73" s="12"/>
      <c r="QSC73" s="12"/>
      <c r="QSD73" s="12"/>
      <c r="QSU73" s="12"/>
      <c r="QSV73" s="12"/>
      <c r="QTM73" s="12"/>
      <c r="QTN73" s="12"/>
      <c r="QUE73" s="12"/>
      <c r="QUF73" s="12"/>
      <c r="QUW73" s="12"/>
      <c r="QUX73" s="12"/>
      <c r="QVO73" s="12"/>
      <c r="QVP73" s="12"/>
      <c r="QWG73" s="12"/>
      <c r="QWH73" s="12"/>
      <c r="QWY73" s="12"/>
      <c r="QWZ73" s="12"/>
      <c r="QXQ73" s="12"/>
      <c r="QXR73" s="12"/>
      <c r="QYI73" s="12"/>
      <c r="QYJ73" s="12"/>
      <c r="QZA73" s="12"/>
      <c r="QZB73" s="12"/>
      <c r="QZS73" s="12"/>
      <c r="QZT73" s="12"/>
      <c r="RAK73" s="12"/>
      <c r="RAL73" s="12"/>
      <c r="RBC73" s="12"/>
      <c r="RBD73" s="12"/>
      <c r="RBU73" s="12"/>
      <c r="RBV73" s="12"/>
      <c r="RCM73" s="12"/>
      <c r="RCN73" s="12"/>
      <c r="RDE73" s="12"/>
      <c r="RDF73" s="12"/>
      <c r="RDW73" s="12"/>
      <c r="RDX73" s="12"/>
      <c r="REO73" s="12"/>
      <c r="REP73" s="12"/>
      <c r="RFG73" s="12"/>
      <c r="RFH73" s="12"/>
      <c r="RFY73" s="12"/>
      <c r="RFZ73" s="12"/>
      <c r="RGQ73" s="12"/>
      <c r="RGR73" s="12"/>
      <c r="RHI73" s="12"/>
      <c r="RHJ73" s="12"/>
      <c r="RIA73" s="12"/>
      <c r="RIB73" s="12"/>
      <c r="RIS73" s="12"/>
      <c r="RIT73" s="12"/>
      <c r="RJK73" s="12"/>
      <c r="RJL73" s="12"/>
      <c r="RKC73" s="12"/>
      <c r="RKD73" s="12"/>
      <c r="RKU73" s="12"/>
      <c r="RKV73" s="12"/>
      <c r="RLM73" s="12"/>
      <c r="RLN73" s="12"/>
      <c r="RME73" s="12"/>
      <c r="RMF73" s="12"/>
      <c r="RMW73" s="12"/>
      <c r="RMX73" s="12"/>
      <c r="RNO73" s="12"/>
      <c r="RNP73" s="12"/>
      <c r="ROG73" s="12"/>
      <c r="ROH73" s="12"/>
      <c r="ROY73" s="12"/>
      <c r="ROZ73" s="12"/>
      <c r="RPQ73" s="12"/>
      <c r="RPR73" s="12"/>
      <c r="RQI73" s="12"/>
      <c r="RQJ73" s="12"/>
      <c r="RRA73" s="12"/>
      <c r="RRB73" s="12"/>
      <c r="RRS73" s="12"/>
      <c r="RRT73" s="12"/>
      <c r="RSK73" s="12"/>
      <c r="RSL73" s="12"/>
      <c r="RTC73" s="12"/>
      <c r="RTD73" s="12"/>
      <c r="RTU73" s="12"/>
      <c r="RTV73" s="12"/>
      <c r="RUM73" s="12"/>
      <c r="RUN73" s="12"/>
      <c r="RVE73" s="12"/>
      <c r="RVF73" s="12"/>
      <c r="RVW73" s="12"/>
      <c r="RVX73" s="12"/>
      <c r="RWO73" s="12"/>
      <c r="RWP73" s="12"/>
      <c r="RXG73" s="12"/>
      <c r="RXH73" s="12"/>
      <c r="RXY73" s="12"/>
      <c r="RXZ73" s="12"/>
      <c r="RYQ73" s="12"/>
      <c r="RYR73" s="12"/>
      <c r="RZI73" s="12"/>
      <c r="RZJ73" s="12"/>
      <c r="SAA73" s="12"/>
      <c r="SAB73" s="12"/>
      <c r="SAS73" s="12"/>
      <c r="SAT73" s="12"/>
      <c r="SBK73" s="12"/>
      <c r="SBL73" s="12"/>
      <c r="SCC73" s="12"/>
      <c r="SCD73" s="12"/>
      <c r="SCU73" s="12"/>
      <c r="SCV73" s="12"/>
      <c r="SDM73" s="12"/>
      <c r="SDN73" s="12"/>
      <c r="SEE73" s="12"/>
      <c r="SEF73" s="12"/>
      <c r="SEW73" s="12"/>
      <c r="SEX73" s="12"/>
      <c r="SFO73" s="12"/>
      <c r="SFP73" s="12"/>
      <c r="SGG73" s="12"/>
      <c r="SGH73" s="12"/>
      <c r="SGY73" s="12"/>
      <c r="SGZ73" s="12"/>
      <c r="SHQ73" s="12"/>
      <c r="SHR73" s="12"/>
      <c r="SII73" s="12"/>
      <c r="SIJ73" s="12"/>
      <c r="SJA73" s="12"/>
      <c r="SJB73" s="12"/>
      <c r="SJS73" s="12"/>
      <c r="SJT73" s="12"/>
      <c r="SKK73" s="12"/>
      <c r="SKL73" s="12"/>
      <c r="SLC73" s="12"/>
      <c r="SLD73" s="12"/>
      <c r="SLU73" s="12"/>
      <c r="SLV73" s="12"/>
      <c r="SMM73" s="12"/>
      <c r="SMN73" s="12"/>
      <c r="SNE73" s="12"/>
      <c r="SNF73" s="12"/>
      <c r="SNW73" s="12"/>
      <c r="SNX73" s="12"/>
      <c r="SOO73" s="12"/>
      <c r="SOP73" s="12"/>
      <c r="SPG73" s="12"/>
      <c r="SPH73" s="12"/>
      <c r="SPY73" s="12"/>
      <c r="SPZ73" s="12"/>
      <c r="SQQ73" s="12"/>
      <c r="SQR73" s="12"/>
      <c r="SRI73" s="12"/>
      <c r="SRJ73" s="12"/>
      <c r="SSA73" s="12"/>
      <c r="SSB73" s="12"/>
      <c r="SSS73" s="12"/>
      <c r="SST73" s="12"/>
      <c r="STK73" s="12"/>
      <c r="STL73" s="12"/>
      <c r="SUC73" s="12"/>
      <c r="SUD73" s="12"/>
      <c r="SUU73" s="12"/>
      <c r="SUV73" s="12"/>
      <c r="SVM73" s="12"/>
      <c r="SVN73" s="12"/>
      <c r="SWE73" s="12"/>
      <c r="SWF73" s="12"/>
      <c r="SWW73" s="12"/>
      <c r="SWX73" s="12"/>
      <c r="SXO73" s="12"/>
      <c r="SXP73" s="12"/>
      <c r="SYG73" s="12"/>
      <c r="SYH73" s="12"/>
      <c r="SYY73" s="12"/>
      <c r="SYZ73" s="12"/>
      <c r="SZQ73" s="12"/>
      <c r="SZR73" s="12"/>
      <c r="TAI73" s="12"/>
      <c r="TAJ73" s="12"/>
      <c r="TBA73" s="12"/>
      <c r="TBB73" s="12"/>
      <c r="TBS73" s="12"/>
      <c r="TBT73" s="12"/>
      <c r="TCK73" s="12"/>
      <c r="TCL73" s="12"/>
      <c r="TDC73" s="12"/>
      <c r="TDD73" s="12"/>
      <c r="TDU73" s="12"/>
      <c r="TDV73" s="12"/>
      <c r="TEM73" s="12"/>
      <c r="TEN73" s="12"/>
      <c r="TFE73" s="12"/>
      <c r="TFF73" s="12"/>
      <c r="TFW73" s="12"/>
      <c r="TFX73" s="12"/>
      <c r="TGO73" s="12"/>
      <c r="TGP73" s="12"/>
      <c r="THG73" s="12"/>
      <c r="THH73" s="12"/>
      <c r="THY73" s="12"/>
      <c r="THZ73" s="12"/>
      <c r="TIQ73" s="12"/>
      <c r="TIR73" s="12"/>
      <c r="TJI73" s="12"/>
      <c r="TJJ73" s="12"/>
      <c r="TKA73" s="12"/>
      <c r="TKB73" s="12"/>
      <c r="TKS73" s="12"/>
      <c r="TKT73" s="12"/>
      <c r="TLK73" s="12"/>
      <c r="TLL73" s="12"/>
      <c r="TMC73" s="12"/>
      <c r="TMD73" s="12"/>
      <c r="TMU73" s="12"/>
      <c r="TMV73" s="12"/>
      <c r="TNM73" s="12"/>
      <c r="TNN73" s="12"/>
      <c r="TOE73" s="12"/>
      <c r="TOF73" s="12"/>
      <c r="TOW73" s="12"/>
      <c r="TOX73" s="12"/>
      <c r="TPO73" s="12"/>
      <c r="TPP73" s="12"/>
      <c r="TQG73" s="12"/>
      <c r="TQH73" s="12"/>
      <c r="TQY73" s="12"/>
      <c r="TQZ73" s="12"/>
      <c r="TRQ73" s="12"/>
      <c r="TRR73" s="12"/>
      <c r="TSI73" s="12"/>
      <c r="TSJ73" s="12"/>
      <c r="TTA73" s="12"/>
      <c r="TTB73" s="12"/>
      <c r="TTS73" s="12"/>
      <c r="TTT73" s="12"/>
      <c r="TUK73" s="12"/>
      <c r="TUL73" s="12"/>
      <c r="TVC73" s="12"/>
      <c r="TVD73" s="12"/>
      <c r="TVU73" s="12"/>
      <c r="TVV73" s="12"/>
      <c r="TWM73" s="12"/>
      <c r="TWN73" s="12"/>
      <c r="TXE73" s="12"/>
      <c r="TXF73" s="12"/>
      <c r="TXW73" s="12"/>
      <c r="TXX73" s="12"/>
      <c r="TYO73" s="12"/>
      <c r="TYP73" s="12"/>
      <c r="TZG73" s="12"/>
      <c r="TZH73" s="12"/>
      <c r="TZY73" s="12"/>
      <c r="TZZ73" s="12"/>
      <c r="UAQ73" s="12"/>
      <c r="UAR73" s="12"/>
      <c r="UBI73" s="12"/>
      <c r="UBJ73" s="12"/>
      <c r="UCA73" s="12"/>
      <c r="UCB73" s="12"/>
      <c r="UCS73" s="12"/>
      <c r="UCT73" s="12"/>
      <c r="UDK73" s="12"/>
      <c r="UDL73" s="12"/>
      <c r="UEC73" s="12"/>
      <c r="UED73" s="12"/>
      <c r="UEU73" s="12"/>
      <c r="UEV73" s="12"/>
      <c r="UFM73" s="12"/>
      <c r="UFN73" s="12"/>
      <c r="UGE73" s="12"/>
      <c r="UGF73" s="12"/>
      <c r="UGW73" s="12"/>
      <c r="UGX73" s="12"/>
      <c r="UHO73" s="12"/>
      <c r="UHP73" s="12"/>
      <c r="UIG73" s="12"/>
      <c r="UIH73" s="12"/>
      <c r="UIY73" s="12"/>
      <c r="UIZ73" s="12"/>
      <c r="UJQ73" s="12"/>
      <c r="UJR73" s="12"/>
      <c r="UKI73" s="12"/>
      <c r="UKJ73" s="12"/>
      <c r="ULA73" s="12"/>
      <c r="ULB73" s="12"/>
      <c r="ULS73" s="12"/>
      <c r="ULT73" s="12"/>
      <c r="UMK73" s="12"/>
      <c r="UML73" s="12"/>
      <c r="UNC73" s="12"/>
      <c r="UND73" s="12"/>
      <c r="UNU73" s="12"/>
      <c r="UNV73" s="12"/>
      <c r="UOM73" s="12"/>
      <c r="UON73" s="12"/>
      <c r="UPE73" s="12"/>
      <c r="UPF73" s="12"/>
      <c r="UPW73" s="12"/>
      <c r="UPX73" s="12"/>
      <c r="UQO73" s="12"/>
      <c r="UQP73" s="12"/>
      <c r="URG73" s="12"/>
      <c r="URH73" s="12"/>
      <c r="URY73" s="12"/>
      <c r="URZ73" s="12"/>
      <c r="USQ73" s="12"/>
      <c r="USR73" s="12"/>
      <c r="UTI73" s="12"/>
      <c r="UTJ73" s="12"/>
      <c r="UUA73" s="12"/>
      <c r="UUB73" s="12"/>
      <c r="UUS73" s="12"/>
      <c r="UUT73" s="12"/>
      <c r="UVK73" s="12"/>
      <c r="UVL73" s="12"/>
      <c r="UWC73" s="12"/>
      <c r="UWD73" s="12"/>
      <c r="UWU73" s="12"/>
      <c r="UWV73" s="12"/>
      <c r="UXM73" s="12"/>
      <c r="UXN73" s="12"/>
      <c r="UYE73" s="12"/>
      <c r="UYF73" s="12"/>
      <c r="UYW73" s="12"/>
      <c r="UYX73" s="12"/>
      <c r="UZO73" s="12"/>
      <c r="UZP73" s="12"/>
      <c r="VAG73" s="12"/>
      <c r="VAH73" s="12"/>
      <c r="VAY73" s="12"/>
      <c r="VAZ73" s="12"/>
      <c r="VBQ73" s="12"/>
      <c r="VBR73" s="12"/>
      <c r="VCI73" s="12"/>
      <c r="VCJ73" s="12"/>
      <c r="VDA73" s="12"/>
      <c r="VDB73" s="12"/>
      <c r="VDS73" s="12"/>
      <c r="VDT73" s="12"/>
      <c r="VEK73" s="12"/>
      <c r="VEL73" s="12"/>
      <c r="VFC73" s="12"/>
      <c r="VFD73" s="12"/>
      <c r="VFU73" s="12"/>
      <c r="VFV73" s="12"/>
      <c r="VGM73" s="12"/>
      <c r="VGN73" s="12"/>
      <c r="VHE73" s="12"/>
      <c r="VHF73" s="12"/>
      <c r="VHW73" s="12"/>
      <c r="VHX73" s="12"/>
      <c r="VIO73" s="12"/>
      <c r="VIP73" s="12"/>
      <c r="VJG73" s="12"/>
      <c r="VJH73" s="12"/>
      <c r="VJY73" s="12"/>
      <c r="VJZ73" s="12"/>
      <c r="VKQ73" s="12"/>
      <c r="VKR73" s="12"/>
      <c r="VLI73" s="12"/>
      <c r="VLJ73" s="12"/>
      <c r="VMA73" s="12"/>
      <c r="VMB73" s="12"/>
      <c r="VMS73" s="12"/>
      <c r="VMT73" s="12"/>
      <c r="VNK73" s="12"/>
      <c r="VNL73" s="12"/>
      <c r="VOC73" s="12"/>
      <c r="VOD73" s="12"/>
      <c r="VOU73" s="12"/>
      <c r="VOV73" s="12"/>
      <c r="VPM73" s="12"/>
      <c r="VPN73" s="12"/>
      <c r="VQE73" s="12"/>
      <c r="VQF73" s="12"/>
      <c r="VQW73" s="12"/>
      <c r="VQX73" s="12"/>
      <c r="VRO73" s="12"/>
      <c r="VRP73" s="12"/>
      <c r="VSG73" s="12"/>
      <c r="VSH73" s="12"/>
      <c r="VSY73" s="12"/>
      <c r="VSZ73" s="12"/>
      <c r="VTQ73" s="12"/>
      <c r="VTR73" s="12"/>
      <c r="VUI73" s="12"/>
      <c r="VUJ73" s="12"/>
      <c r="VVA73" s="12"/>
      <c r="VVB73" s="12"/>
      <c r="VVS73" s="12"/>
      <c r="VVT73" s="12"/>
      <c r="VWK73" s="12"/>
      <c r="VWL73" s="12"/>
      <c r="VXC73" s="12"/>
      <c r="VXD73" s="12"/>
      <c r="VXU73" s="12"/>
      <c r="VXV73" s="12"/>
      <c r="VYM73" s="12"/>
      <c r="VYN73" s="12"/>
      <c r="VZE73" s="12"/>
      <c r="VZF73" s="12"/>
      <c r="VZW73" s="12"/>
      <c r="VZX73" s="12"/>
      <c r="WAO73" s="12"/>
      <c r="WAP73" s="12"/>
      <c r="WBG73" s="12"/>
      <c r="WBH73" s="12"/>
      <c r="WBY73" s="12"/>
      <c r="WBZ73" s="12"/>
      <c r="WCQ73" s="12"/>
      <c r="WCR73" s="12"/>
      <c r="WDI73" s="12"/>
      <c r="WDJ73" s="12"/>
      <c r="WEA73" s="12"/>
      <c r="WEB73" s="12"/>
      <c r="WES73" s="12"/>
      <c r="WET73" s="12"/>
      <c r="WFK73" s="12"/>
      <c r="WFL73" s="12"/>
      <c r="WGC73" s="12"/>
      <c r="WGD73" s="12"/>
      <c r="WGU73" s="12"/>
      <c r="WGV73" s="12"/>
      <c r="WHM73" s="12"/>
      <c r="WHN73" s="12"/>
      <c r="WIE73" s="12"/>
      <c r="WIF73" s="12"/>
      <c r="WIW73" s="12"/>
      <c r="WIX73" s="12"/>
      <c r="WJO73" s="12"/>
      <c r="WJP73" s="12"/>
      <c r="WKG73" s="12"/>
      <c r="WKH73" s="12"/>
      <c r="WKY73" s="12"/>
      <c r="WKZ73" s="12"/>
      <c r="WLQ73" s="12"/>
      <c r="WLR73" s="12"/>
      <c r="WMI73" s="12"/>
      <c r="WMJ73" s="12"/>
      <c r="WNA73" s="12"/>
      <c r="WNB73" s="12"/>
      <c r="WNS73" s="12"/>
      <c r="WNT73" s="12"/>
      <c r="WOK73" s="12"/>
      <c r="WOL73" s="12"/>
      <c r="WPC73" s="12"/>
      <c r="WPD73" s="12"/>
      <c r="WPU73" s="12"/>
      <c r="WPV73" s="12"/>
      <c r="WQM73" s="12"/>
      <c r="WQN73" s="12"/>
      <c r="WRE73" s="12"/>
      <c r="WRF73" s="12"/>
      <c r="WRW73" s="12"/>
      <c r="WRX73" s="12"/>
      <c r="WSO73" s="12"/>
      <c r="WSP73" s="12"/>
      <c r="WTG73" s="12"/>
      <c r="WTH73" s="12"/>
      <c r="WTY73" s="12"/>
      <c r="WTZ73" s="12"/>
      <c r="WUQ73" s="12"/>
      <c r="WUR73" s="12"/>
      <c r="WVI73" s="12"/>
      <c r="WVJ73" s="12"/>
      <c r="WWA73" s="12"/>
      <c r="WWB73" s="12"/>
      <c r="WWS73" s="12"/>
      <c r="WWT73" s="12"/>
      <c r="WXK73" s="12"/>
      <c r="WXL73" s="12"/>
      <c r="WYC73" s="12"/>
      <c r="WYD73" s="12"/>
      <c r="WYU73" s="12"/>
      <c r="WYV73" s="12"/>
      <c r="WZM73" s="12"/>
      <c r="WZN73" s="12"/>
      <c r="XAE73" s="12"/>
      <c r="XAF73" s="12"/>
      <c r="XAW73" s="12"/>
      <c r="XAX73" s="12"/>
      <c r="XBO73" s="12"/>
      <c r="XBP73" s="12"/>
      <c r="XCG73" s="12"/>
      <c r="XCH73" s="12"/>
      <c r="XCY73" s="12"/>
      <c r="XCZ73" s="12"/>
      <c r="XDQ73" s="12"/>
      <c r="XDR73" s="12"/>
      <c r="XEI73" s="12"/>
      <c r="XEJ73" s="12"/>
      <c r="XFA73" s="12"/>
      <c r="XFB73" s="12"/>
    </row>
    <row r="74" spans="1:1010 1027:2036 2053:3062 3079:4088 4105:5114 5131:6140 6157:7166 7183:8192 8209:9200 9217:10226 10243:11252 11269:12278 12295:13304 13321:14330 14347:15356 15373:16382" x14ac:dyDescent="0.35">
      <c r="A74" s="181" t="s">
        <v>125</v>
      </c>
      <c r="B74" s="181" t="s">
        <v>126</v>
      </c>
      <c r="C74" s="198">
        <v>0</v>
      </c>
      <c r="D74" s="198">
        <v>0</v>
      </c>
      <c r="E74" s="198">
        <v>0</v>
      </c>
      <c r="F74" s="198">
        <v>0</v>
      </c>
      <c r="G74" s="198">
        <v>0</v>
      </c>
      <c r="H74" s="198">
        <v>0</v>
      </c>
      <c r="I74" s="198">
        <v>0</v>
      </c>
      <c r="J74" s="198">
        <v>0</v>
      </c>
      <c r="K74" s="198">
        <v>0</v>
      </c>
      <c r="L74" s="198">
        <v>0</v>
      </c>
      <c r="M74" s="11"/>
      <c r="N74" s="11"/>
      <c r="O74" s="11"/>
      <c r="P74" s="11"/>
      <c r="Q74" s="11"/>
      <c r="R74" s="11"/>
      <c r="T74" s="12"/>
      <c r="U74" s="12"/>
    </row>
    <row r="75" spans="1:1010 1027:2036 2053:3062 3079:4088 4105:5114 5131:6140 6157:7166 7183:8192 8209:9200 9217:10226 10243:11252 11269:12278 12295:13304 13321:14330 14347:15356 15373:16382" x14ac:dyDescent="0.35">
      <c r="A75" s="181" t="s">
        <v>127</v>
      </c>
      <c r="B75" s="181" t="s">
        <v>128</v>
      </c>
      <c r="C75" s="198">
        <v>0.19700000000000001</v>
      </c>
      <c r="D75" s="198">
        <v>0.20100000000000001</v>
      </c>
      <c r="E75" s="198">
        <v>0.20499999999999999</v>
      </c>
      <c r="F75" s="198">
        <v>0.20899999999999999</v>
      </c>
      <c r="G75" s="198">
        <v>0.19500000000000001</v>
      </c>
      <c r="H75" s="198">
        <v>0.217</v>
      </c>
      <c r="I75" s="198">
        <v>0.222</v>
      </c>
      <c r="J75" s="198">
        <v>0.22600000000000001</v>
      </c>
      <c r="K75" s="198">
        <v>0.22800000000000001</v>
      </c>
      <c r="L75" s="198">
        <v>0.23300000000000001</v>
      </c>
      <c r="M75" s="11"/>
      <c r="N75" s="11"/>
      <c r="O75" s="11"/>
      <c r="P75" s="11"/>
      <c r="Q75" s="11"/>
      <c r="R75" s="11"/>
      <c r="T75" s="12"/>
      <c r="U75" s="12"/>
    </row>
    <row r="76" spans="1:1010 1027:2036 2053:3062 3079:4088 4105:5114 5131:6140 6157:7166 7183:8192 8209:9200 9217:10226 10243:11252 11269:12278 12295:13304 13321:14330 14347:15356 15373:16382" x14ac:dyDescent="0.35">
      <c r="A76" s="23" t="s">
        <v>29</v>
      </c>
      <c r="B76" s="23"/>
      <c r="C76" s="321">
        <f t="shared" ref="C76:L76" si="14">ROUND(IF(C70="",0,C70)-IF(C71="",0,C71)-IF(C74="",0,C74)-IF(C75="",0,C75),1)</f>
        <v>0</v>
      </c>
      <c r="D76" s="321">
        <f t="shared" si="14"/>
        <v>0</v>
      </c>
      <c r="E76" s="321">
        <f t="shared" si="14"/>
        <v>0</v>
      </c>
      <c r="F76" s="321">
        <f t="shared" si="14"/>
        <v>0</v>
      </c>
      <c r="G76" s="321">
        <f t="shared" si="14"/>
        <v>0</v>
      </c>
      <c r="H76" s="321">
        <f t="shared" si="14"/>
        <v>0</v>
      </c>
      <c r="I76" s="321">
        <f t="shared" si="14"/>
        <v>0</v>
      </c>
      <c r="J76" s="321">
        <f t="shared" si="14"/>
        <v>0</v>
      </c>
      <c r="K76" s="321">
        <f t="shared" si="14"/>
        <v>0</v>
      </c>
      <c r="L76" s="321">
        <f t="shared" si="14"/>
        <v>0</v>
      </c>
      <c r="M76" s="118"/>
      <c r="N76" s="118"/>
      <c r="O76" s="118"/>
      <c r="P76" s="118"/>
      <c r="Q76" s="118"/>
      <c r="R76" s="118"/>
      <c r="T76" s="12"/>
      <c r="U76" s="12"/>
    </row>
    <row r="77" spans="1:1010 1027:2036 2053:3062 3079:4088 4105:5114 5131:6140 6157:7166 7183:8192 8209:9200 9217:10226 10243:11252 11269:12278 12295:13304 13321:14330 14347:15356 15373:16382" s="11" customFormat="1" x14ac:dyDescent="0.35">
      <c r="A77" s="183" t="s">
        <v>129</v>
      </c>
      <c r="B77" s="183" t="s">
        <v>130</v>
      </c>
      <c r="C77" s="184">
        <v>51.195</v>
      </c>
      <c r="D77" s="184">
        <v>52.305999999999997</v>
      </c>
      <c r="E77" s="184">
        <v>48.066000000000003</v>
      </c>
      <c r="F77" s="184">
        <v>49.241999999999997</v>
      </c>
      <c r="G77" s="184">
        <v>63.796999999999997</v>
      </c>
      <c r="H77" s="184">
        <v>87.751000000000005</v>
      </c>
      <c r="I77" s="184">
        <v>89.704999999999998</v>
      </c>
      <c r="J77" s="184">
        <v>79.388999999999996</v>
      </c>
      <c r="K77" s="184">
        <v>78.004000000000005</v>
      </c>
      <c r="L77" s="184">
        <v>82.959000000000003</v>
      </c>
      <c r="M77" s="312">
        <f>IF(OR(K77=0,K77=""),"",L77/K77-1)</f>
        <v>6.3522383467514487E-2</v>
      </c>
      <c r="S77" s="12"/>
      <c r="T77" s="12"/>
      <c r="AK77" s="12"/>
      <c r="AL77" s="12"/>
      <c r="BC77" s="12"/>
      <c r="BD77" s="12"/>
      <c r="BU77" s="12"/>
      <c r="BV77" s="12"/>
      <c r="CM77" s="12"/>
      <c r="CN77" s="12"/>
      <c r="DE77" s="12"/>
      <c r="DF77" s="12"/>
      <c r="DW77" s="12"/>
      <c r="DX77" s="12"/>
      <c r="EO77" s="12"/>
      <c r="EP77" s="12"/>
      <c r="FG77" s="12"/>
      <c r="FH77" s="12"/>
      <c r="FY77" s="12"/>
      <c r="FZ77" s="12"/>
      <c r="GQ77" s="12"/>
      <c r="GR77" s="12"/>
      <c r="HI77" s="12"/>
      <c r="HJ77" s="12"/>
      <c r="IA77" s="12"/>
      <c r="IB77" s="12"/>
      <c r="IS77" s="12"/>
      <c r="IT77" s="12"/>
      <c r="JK77" s="12"/>
      <c r="JL77" s="12"/>
      <c r="KC77" s="12"/>
      <c r="KD77" s="12"/>
      <c r="KU77" s="12"/>
      <c r="KV77" s="12"/>
      <c r="LM77" s="12"/>
      <c r="LN77" s="12"/>
      <c r="ME77" s="12"/>
      <c r="MF77" s="12"/>
      <c r="MW77" s="12"/>
      <c r="MX77" s="12"/>
      <c r="NO77" s="12"/>
      <c r="NP77" s="12"/>
      <c r="OG77" s="12"/>
      <c r="OH77" s="12"/>
      <c r="OY77" s="12"/>
      <c r="OZ77" s="12"/>
      <c r="PQ77" s="12"/>
      <c r="PR77" s="12"/>
      <c r="QI77" s="12"/>
      <c r="QJ77" s="12"/>
      <c r="RA77" s="12"/>
      <c r="RB77" s="12"/>
      <c r="RS77" s="12"/>
      <c r="RT77" s="12"/>
      <c r="SK77" s="12"/>
      <c r="SL77" s="12"/>
      <c r="TC77" s="12"/>
      <c r="TD77" s="12"/>
      <c r="TU77" s="12"/>
      <c r="TV77" s="12"/>
      <c r="UM77" s="12"/>
      <c r="UN77" s="12"/>
      <c r="VE77" s="12"/>
      <c r="VF77" s="12"/>
      <c r="VW77" s="12"/>
      <c r="VX77" s="12"/>
      <c r="WO77" s="12"/>
      <c r="WP77" s="12"/>
      <c r="XG77" s="12"/>
      <c r="XH77" s="12"/>
      <c r="XY77" s="12"/>
      <c r="XZ77" s="12"/>
      <c r="YQ77" s="12"/>
      <c r="YR77" s="12"/>
      <c r="ZI77" s="12"/>
      <c r="ZJ77" s="12"/>
      <c r="AAA77" s="12"/>
      <c r="AAB77" s="12"/>
      <c r="AAS77" s="12"/>
      <c r="AAT77" s="12"/>
      <c r="ABK77" s="12"/>
      <c r="ABL77" s="12"/>
      <c r="ACC77" s="12"/>
      <c r="ACD77" s="12"/>
      <c r="ACU77" s="12"/>
      <c r="ACV77" s="12"/>
      <c r="ADM77" s="12"/>
      <c r="ADN77" s="12"/>
      <c r="AEE77" s="12"/>
      <c r="AEF77" s="12"/>
      <c r="AEW77" s="12"/>
      <c r="AEX77" s="12"/>
      <c r="AFO77" s="12"/>
      <c r="AFP77" s="12"/>
      <c r="AGG77" s="12"/>
      <c r="AGH77" s="12"/>
      <c r="AGY77" s="12"/>
      <c r="AGZ77" s="12"/>
      <c r="AHQ77" s="12"/>
      <c r="AHR77" s="12"/>
      <c r="AII77" s="12"/>
      <c r="AIJ77" s="12"/>
      <c r="AJA77" s="12"/>
      <c r="AJB77" s="12"/>
      <c r="AJS77" s="12"/>
      <c r="AJT77" s="12"/>
      <c r="AKK77" s="12"/>
      <c r="AKL77" s="12"/>
      <c r="ALC77" s="12"/>
      <c r="ALD77" s="12"/>
      <c r="ALU77" s="12"/>
      <c r="ALV77" s="12"/>
      <c r="AMM77" s="12"/>
      <c r="AMN77" s="12"/>
      <c r="ANE77" s="12"/>
      <c r="ANF77" s="12"/>
      <c r="ANW77" s="12"/>
      <c r="ANX77" s="12"/>
      <c r="AOO77" s="12"/>
      <c r="AOP77" s="12"/>
      <c r="APG77" s="12"/>
      <c r="APH77" s="12"/>
      <c r="APY77" s="12"/>
      <c r="APZ77" s="12"/>
      <c r="AQQ77" s="12"/>
      <c r="AQR77" s="12"/>
      <c r="ARI77" s="12"/>
      <c r="ARJ77" s="12"/>
      <c r="ASA77" s="12"/>
      <c r="ASB77" s="12"/>
      <c r="ASS77" s="12"/>
      <c r="AST77" s="12"/>
      <c r="ATK77" s="12"/>
      <c r="ATL77" s="12"/>
      <c r="AUC77" s="12"/>
      <c r="AUD77" s="12"/>
      <c r="AUU77" s="12"/>
      <c r="AUV77" s="12"/>
      <c r="AVM77" s="12"/>
      <c r="AVN77" s="12"/>
      <c r="AWE77" s="12"/>
      <c r="AWF77" s="12"/>
      <c r="AWW77" s="12"/>
      <c r="AWX77" s="12"/>
      <c r="AXO77" s="12"/>
      <c r="AXP77" s="12"/>
      <c r="AYG77" s="12"/>
      <c r="AYH77" s="12"/>
      <c r="AYY77" s="12"/>
      <c r="AYZ77" s="12"/>
      <c r="AZQ77" s="12"/>
      <c r="AZR77" s="12"/>
      <c r="BAI77" s="12"/>
      <c r="BAJ77" s="12"/>
      <c r="BBA77" s="12"/>
      <c r="BBB77" s="12"/>
      <c r="BBS77" s="12"/>
      <c r="BBT77" s="12"/>
      <c r="BCK77" s="12"/>
      <c r="BCL77" s="12"/>
      <c r="BDC77" s="12"/>
      <c r="BDD77" s="12"/>
      <c r="BDU77" s="12"/>
      <c r="BDV77" s="12"/>
      <c r="BEM77" s="12"/>
      <c r="BEN77" s="12"/>
      <c r="BFE77" s="12"/>
      <c r="BFF77" s="12"/>
      <c r="BFW77" s="12"/>
      <c r="BFX77" s="12"/>
      <c r="BGO77" s="12"/>
      <c r="BGP77" s="12"/>
      <c r="BHG77" s="12"/>
      <c r="BHH77" s="12"/>
      <c r="BHY77" s="12"/>
      <c r="BHZ77" s="12"/>
      <c r="BIQ77" s="12"/>
      <c r="BIR77" s="12"/>
      <c r="BJI77" s="12"/>
      <c r="BJJ77" s="12"/>
      <c r="BKA77" s="12"/>
      <c r="BKB77" s="12"/>
      <c r="BKS77" s="12"/>
      <c r="BKT77" s="12"/>
      <c r="BLK77" s="12"/>
      <c r="BLL77" s="12"/>
      <c r="BMC77" s="12"/>
      <c r="BMD77" s="12"/>
      <c r="BMU77" s="12"/>
      <c r="BMV77" s="12"/>
      <c r="BNM77" s="12"/>
      <c r="BNN77" s="12"/>
      <c r="BOE77" s="12"/>
      <c r="BOF77" s="12"/>
      <c r="BOW77" s="12"/>
      <c r="BOX77" s="12"/>
      <c r="BPO77" s="12"/>
      <c r="BPP77" s="12"/>
      <c r="BQG77" s="12"/>
      <c r="BQH77" s="12"/>
      <c r="BQY77" s="12"/>
      <c r="BQZ77" s="12"/>
      <c r="BRQ77" s="12"/>
      <c r="BRR77" s="12"/>
      <c r="BSI77" s="12"/>
      <c r="BSJ77" s="12"/>
      <c r="BTA77" s="12"/>
      <c r="BTB77" s="12"/>
      <c r="BTS77" s="12"/>
      <c r="BTT77" s="12"/>
      <c r="BUK77" s="12"/>
      <c r="BUL77" s="12"/>
      <c r="BVC77" s="12"/>
      <c r="BVD77" s="12"/>
      <c r="BVU77" s="12"/>
      <c r="BVV77" s="12"/>
      <c r="BWM77" s="12"/>
      <c r="BWN77" s="12"/>
      <c r="BXE77" s="12"/>
      <c r="BXF77" s="12"/>
      <c r="BXW77" s="12"/>
      <c r="BXX77" s="12"/>
      <c r="BYO77" s="12"/>
      <c r="BYP77" s="12"/>
      <c r="BZG77" s="12"/>
      <c r="BZH77" s="12"/>
      <c r="BZY77" s="12"/>
      <c r="BZZ77" s="12"/>
      <c r="CAQ77" s="12"/>
      <c r="CAR77" s="12"/>
      <c r="CBI77" s="12"/>
      <c r="CBJ77" s="12"/>
      <c r="CCA77" s="12"/>
      <c r="CCB77" s="12"/>
      <c r="CCS77" s="12"/>
      <c r="CCT77" s="12"/>
      <c r="CDK77" s="12"/>
      <c r="CDL77" s="12"/>
      <c r="CEC77" s="12"/>
      <c r="CED77" s="12"/>
      <c r="CEU77" s="12"/>
      <c r="CEV77" s="12"/>
      <c r="CFM77" s="12"/>
      <c r="CFN77" s="12"/>
      <c r="CGE77" s="12"/>
      <c r="CGF77" s="12"/>
      <c r="CGW77" s="12"/>
      <c r="CGX77" s="12"/>
      <c r="CHO77" s="12"/>
      <c r="CHP77" s="12"/>
      <c r="CIG77" s="12"/>
      <c r="CIH77" s="12"/>
      <c r="CIY77" s="12"/>
      <c r="CIZ77" s="12"/>
      <c r="CJQ77" s="12"/>
      <c r="CJR77" s="12"/>
      <c r="CKI77" s="12"/>
      <c r="CKJ77" s="12"/>
      <c r="CLA77" s="12"/>
      <c r="CLB77" s="12"/>
      <c r="CLS77" s="12"/>
      <c r="CLT77" s="12"/>
      <c r="CMK77" s="12"/>
      <c r="CML77" s="12"/>
      <c r="CNC77" s="12"/>
      <c r="CND77" s="12"/>
      <c r="CNU77" s="12"/>
      <c r="CNV77" s="12"/>
      <c r="COM77" s="12"/>
      <c r="CON77" s="12"/>
      <c r="CPE77" s="12"/>
      <c r="CPF77" s="12"/>
      <c r="CPW77" s="12"/>
      <c r="CPX77" s="12"/>
      <c r="CQO77" s="12"/>
      <c r="CQP77" s="12"/>
      <c r="CRG77" s="12"/>
      <c r="CRH77" s="12"/>
      <c r="CRY77" s="12"/>
      <c r="CRZ77" s="12"/>
      <c r="CSQ77" s="12"/>
      <c r="CSR77" s="12"/>
      <c r="CTI77" s="12"/>
      <c r="CTJ77" s="12"/>
      <c r="CUA77" s="12"/>
      <c r="CUB77" s="12"/>
      <c r="CUS77" s="12"/>
      <c r="CUT77" s="12"/>
      <c r="CVK77" s="12"/>
      <c r="CVL77" s="12"/>
      <c r="CWC77" s="12"/>
      <c r="CWD77" s="12"/>
      <c r="CWU77" s="12"/>
      <c r="CWV77" s="12"/>
      <c r="CXM77" s="12"/>
      <c r="CXN77" s="12"/>
      <c r="CYE77" s="12"/>
      <c r="CYF77" s="12"/>
      <c r="CYW77" s="12"/>
      <c r="CYX77" s="12"/>
      <c r="CZO77" s="12"/>
      <c r="CZP77" s="12"/>
      <c r="DAG77" s="12"/>
      <c r="DAH77" s="12"/>
      <c r="DAY77" s="12"/>
      <c r="DAZ77" s="12"/>
      <c r="DBQ77" s="12"/>
      <c r="DBR77" s="12"/>
      <c r="DCI77" s="12"/>
      <c r="DCJ77" s="12"/>
      <c r="DDA77" s="12"/>
      <c r="DDB77" s="12"/>
      <c r="DDS77" s="12"/>
      <c r="DDT77" s="12"/>
      <c r="DEK77" s="12"/>
      <c r="DEL77" s="12"/>
      <c r="DFC77" s="12"/>
      <c r="DFD77" s="12"/>
      <c r="DFU77" s="12"/>
      <c r="DFV77" s="12"/>
      <c r="DGM77" s="12"/>
      <c r="DGN77" s="12"/>
      <c r="DHE77" s="12"/>
      <c r="DHF77" s="12"/>
      <c r="DHW77" s="12"/>
      <c r="DHX77" s="12"/>
      <c r="DIO77" s="12"/>
      <c r="DIP77" s="12"/>
      <c r="DJG77" s="12"/>
      <c r="DJH77" s="12"/>
      <c r="DJY77" s="12"/>
      <c r="DJZ77" s="12"/>
      <c r="DKQ77" s="12"/>
      <c r="DKR77" s="12"/>
      <c r="DLI77" s="12"/>
      <c r="DLJ77" s="12"/>
      <c r="DMA77" s="12"/>
      <c r="DMB77" s="12"/>
      <c r="DMS77" s="12"/>
      <c r="DMT77" s="12"/>
      <c r="DNK77" s="12"/>
      <c r="DNL77" s="12"/>
      <c r="DOC77" s="12"/>
      <c r="DOD77" s="12"/>
      <c r="DOU77" s="12"/>
      <c r="DOV77" s="12"/>
      <c r="DPM77" s="12"/>
      <c r="DPN77" s="12"/>
      <c r="DQE77" s="12"/>
      <c r="DQF77" s="12"/>
      <c r="DQW77" s="12"/>
      <c r="DQX77" s="12"/>
      <c r="DRO77" s="12"/>
      <c r="DRP77" s="12"/>
      <c r="DSG77" s="12"/>
      <c r="DSH77" s="12"/>
      <c r="DSY77" s="12"/>
      <c r="DSZ77" s="12"/>
      <c r="DTQ77" s="12"/>
      <c r="DTR77" s="12"/>
      <c r="DUI77" s="12"/>
      <c r="DUJ77" s="12"/>
      <c r="DVA77" s="12"/>
      <c r="DVB77" s="12"/>
      <c r="DVS77" s="12"/>
      <c r="DVT77" s="12"/>
      <c r="DWK77" s="12"/>
      <c r="DWL77" s="12"/>
      <c r="DXC77" s="12"/>
      <c r="DXD77" s="12"/>
      <c r="DXU77" s="12"/>
      <c r="DXV77" s="12"/>
      <c r="DYM77" s="12"/>
      <c r="DYN77" s="12"/>
      <c r="DZE77" s="12"/>
      <c r="DZF77" s="12"/>
      <c r="DZW77" s="12"/>
      <c r="DZX77" s="12"/>
      <c r="EAO77" s="12"/>
      <c r="EAP77" s="12"/>
      <c r="EBG77" s="12"/>
      <c r="EBH77" s="12"/>
      <c r="EBY77" s="12"/>
      <c r="EBZ77" s="12"/>
      <c r="ECQ77" s="12"/>
      <c r="ECR77" s="12"/>
      <c r="EDI77" s="12"/>
      <c r="EDJ77" s="12"/>
      <c r="EEA77" s="12"/>
      <c r="EEB77" s="12"/>
      <c r="EES77" s="12"/>
      <c r="EET77" s="12"/>
      <c r="EFK77" s="12"/>
      <c r="EFL77" s="12"/>
      <c r="EGC77" s="12"/>
      <c r="EGD77" s="12"/>
      <c r="EGU77" s="12"/>
      <c r="EGV77" s="12"/>
      <c r="EHM77" s="12"/>
      <c r="EHN77" s="12"/>
      <c r="EIE77" s="12"/>
      <c r="EIF77" s="12"/>
      <c r="EIW77" s="12"/>
      <c r="EIX77" s="12"/>
      <c r="EJO77" s="12"/>
      <c r="EJP77" s="12"/>
      <c r="EKG77" s="12"/>
      <c r="EKH77" s="12"/>
      <c r="EKY77" s="12"/>
      <c r="EKZ77" s="12"/>
      <c r="ELQ77" s="12"/>
      <c r="ELR77" s="12"/>
      <c r="EMI77" s="12"/>
      <c r="EMJ77" s="12"/>
      <c r="ENA77" s="12"/>
      <c r="ENB77" s="12"/>
      <c r="ENS77" s="12"/>
      <c r="ENT77" s="12"/>
      <c r="EOK77" s="12"/>
      <c r="EOL77" s="12"/>
      <c r="EPC77" s="12"/>
      <c r="EPD77" s="12"/>
      <c r="EPU77" s="12"/>
      <c r="EPV77" s="12"/>
      <c r="EQM77" s="12"/>
      <c r="EQN77" s="12"/>
      <c r="ERE77" s="12"/>
      <c r="ERF77" s="12"/>
      <c r="ERW77" s="12"/>
      <c r="ERX77" s="12"/>
      <c r="ESO77" s="12"/>
      <c r="ESP77" s="12"/>
      <c r="ETG77" s="12"/>
      <c r="ETH77" s="12"/>
      <c r="ETY77" s="12"/>
      <c r="ETZ77" s="12"/>
      <c r="EUQ77" s="12"/>
      <c r="EUR77" s="12"/>
      <c r="EVI77" s="12"/>
      <c r="EVJ77" s="12"/>
      <c r="EWA77" s="12"/>
      <c r="EWB77" s="12"/>
      <c r="EWS77" s="12"/>
      <c r="EWT77" s="12"/>
      <c r="EXK77" s="12"/>
      <c r="EXL77" s="12"/>
      <c r="EYC77" s="12"/>
      <c r="EYD77" s="12"/>
      <c r="EYU77" s="12"/>
      <c r="EYV77" s="12"/>
      <c r="EZM77" s="12"/>
      <c r="EZN77" s="12"/>
      <c r="FAE77" s="12"/>
      <c r="FAF77" s="12"/>
      <c r="FAW77" s="12"/>
      <c r="FAX77" s="12"/>
      <c r="FBO77" s="12"/>
      <c r="FBP77" s="12"/>
      <c r="FCG77" s="12"/>
      <c r="FCH77" s="12"/>
      <c r="FCY77" s="12"/>
      <c r="FCZ77" s="12"/>
      <c r="FDQ77" s="12"/>
      <c r="FDR77" s="12"/>
      <c r="FEI77" s="12"/>
      <c r="FEJ77" s="12"/>
      <c r="FFA77" s="12"/>
      <c r="FFB77" s="12"/>
      <c r="FFS77" s="12"/>
      <c r="FFT77" s="12"/>
      <c r="FGK77" s="12"/>
      <c r="FGL77" s="12"/>
      <c r="FHC77" s="12"/>
      <c r="FHD77" s="12"/>
      <c r="FHU77" s="12"/>
      <c r="FHV77" s="12"/>
      <c r="FIM77" s="12"/>
      <c r="FIN77" s="12"/>
      <c r="FJE77" s="12"/>
      <c r="FJF77" s="12"/>
      <c r="FJW77" s="12"/>
      <c r="FJX77" s="12"/>
      <c r="FKO77" s="12"/>
      <c r="FKP77" s="12"/>
      <c r="FLG77" s="12"/>
      <c r="FLH77" s="12"/>
      <c r="FLY77" s="12"/>
      <c r="FLZ77" s="12"/>
      <c r="FMQ77" s="12"/>
      <c r="FMR77" s="12"/>
      <c r="FNI77" s="12"/>
      <c r="FNJ77" s="12"/>
      <c r="FOA77" s="12"/>
      <c r="FOB77" s="12"/>
      <c r="FOS77" s="12"/>
      <c r="FOT77" s="12"/>
      <c r="FPK77" s="12"/>
      <c r="FPL77" s="12"/>
      <c r="FQC77" s="12"/>
      <c r="FQD77" s="12"/>
      <c r="FQU77" s="12"/>
      <c r="FQV77" s="12"/>
      <c r="FRM77" s="12"/>
      <c r="FRN77" s="12"/>
      <c r="FSE77" s="12"/>
      <c r="FSF77" s="12"/>
      <c r="FSW77" s="12"/>
      <c r="FSX77" s="12"/>
      <c r="FTO77" s="12"/>
      <c r="FTP77" s="12"/>
      <c r="FUG77" s="12"/>
      <c r="FUH77" s="12"/>
      <c r="FUY77" s="12"/>
      <c r="FUZ77" s="12"/>
      <c r="FVQ77" s="12"/>
      <c r="FVR77" s="12"/>
      <c r="FWI77" s="12"/>
      <c r="FWJ77" s="12"/>
      <c r="FXA77" s="12"/>
      <c r="FXB77" s="12"/>
      <c r="FXS77" s="12"/>
      <c r="FXT77" s="12"/>
      <c r="FYK77" s="12"/>
      <c r="FYL77" s="12"/>
      <c r="FZC77" s="12"/>
      <c r="FZD77" s="12"/>
      <c r="FZU77" s="12"/>
      <c r="FZV77" s="12"/>
      <c r="GAM77" s="12"/>
      <c r="GAN77" s="12"/>
      <c r="GBE77" s="12"/>
      <c r="GBF77" s="12"/>
      <c r="GBW77" s="12"/>
      <c r="GBX77" s="12"/>
      <c r="GCO77" s="12"/>
      <c r="GCP77" s="12"/>
      <c r="GDG77" s="12"/>
      <c r="GDH77" s="12"/>
      <c r="GDY77" s="12"/>
      <c r="GDZ77" s="12"/>
      <c r="GEQ77" s="12"/>
      <c r="GER77" s="12"/>
      <c r="GFI77" s="12"/>
      <c r="GFJ77" s="12"/>
      <c r="GGA77" s="12"/>
      <c r="GGB77" s="12"/>
      <c r="GGS77" s="12"/>
      <c r="GGT77" s="12"/>
      <c r="GHK77" s="12"/>
      <c r="GHL77" s="12"/>
      <c r="GIC77" s="12"/>
      <c r="GID77" s="12"/>
      <c r="GIU77" s="12"/>
      <c r="GIV77" s="12"/>
      <c r="GJM77" s="12"/>
      <c r="GJN77" s="12"/>
      <c r="GKE77" s="12"/>
      <c r="GKF77" s="12"/>
      <c r="GKW77" s="12"/>
      <c r="GKX77" s="12"/>
      <c r="GLO77" s="12"/>
      <c r="GLP77" s="12"/>
      <c r="GMG77" s="12"/>
      <c r="GMH77" s="12"/>
      <c r="GMY77" s="12"/>
      <c r="GMZ77" s="12"/>
      <c r="GNQ77" s="12"/>
      <c r="GNR77" s="12"/>
      <c r="GOI77" s="12"/>
      <c r="GOJ77" s="12"/>
      <c r="GPA77" s="12"/>
      <c r="GPB77" s="12"/>
      <c r="GPS77" s="12"/>
      <c r="GPT77" s="12"/>
      <c r="GQK77" s="12"/>
      <c r="GQL77" s="12"/>
      <c r="GRC77" s="12"/>
      <c r="GRD77" s="12"/>
      <c r="GRU77" s="12"/>
      <c r="GRV77" s="12"/>
      <c r="GSM77" s="12"/>
      <c r="GSN77" s="12"/>
      <c r="GTE77" s="12"/>
      <c r="GTF77" s="12"/>
      <c r="GTW77" s="12"/>
      <c r="GTX77" s="12"/>
      <c r="GUO77" s="12"/>
      <c r="GUP77" s="12"/>
      <c r="GVG77" s="12"/>
      <c r="GVH77" s="12"/>
      <c r="GVY77" s="12"/>
      <c r="GVZ77" s="12"/>
      <c r="GWQ77" s="12"/>
      <c r="GWR77" s="12"/>
      <c r="GXI77" s="12"/>
      <c r="GXJ77" s="12"/>
      <c r="GYA77" s="12"/>
      <c r="GYB77" s="12"/>
      <c r="GYS77" s="12"/>
      <c r="GYT77" s="12"/>
      <c r="GZK77" s="12"/>
      <c r="GZL77" s="12"/>
      <c r="HAC77" s="12"/>
      <c r="HAD77" s="12"/>
      <c r="HAU77" s="12"/>
      <c r="HAV77" s="12"/>
      <c r="HBM77" s="12"/>
      <c r="HBN77" s="12"/>
      <c r="HCE77" s="12"/>
      <c r="HCF77" s="12"/>
      <c r="HCW77" s="12"/>
      <c r="HCX77" s="12"/>
      <c r="HDO77" s="12"/>
      <c r="HDP77" s="12"/>
      <c r="HEG77" s="12"/>
      <c r="HEH77" s="12"/>
      <c r="HEY77" s="12"/>
      <c r="HEZ77" s="12"/>
      <c r="HFQ77" s="12"/>
      <c r="HFR77" s="12"/>
      <c r="HGI77" s="12"/>
      <c r="HGJ77" s="12"/>
      <c r="HHA77" s="12"/>
      <c r="HHB77" s="12"/>
      <c r="HHS77" s="12"/>
      <c r="HHT77" s="12"/>
      <c r="HIK77" s="12"/>
      <c r="HIL77" s="12"/>
      <c r="HJC77" s="12"/>
      <c r="HJD77" s="12"/>
      <c r="HJU77" s="12"/>
      <c r="HJV77" s="12"/>
      <c r="HKM77" s="12"/>
      <c r="HKN77" s="12"/>
      <c r="HLE77" s="12"/>
      <c r="HLF77" s="12"/>
      <c r="HLW77" s="12"/>
      <c r="HLX77" s="12"/>
      <c r="HMO77" s="12"/>
      <c r="HMP77" s="12"/>
      <c r="HNG77" s="12"/>
      <c r="HNH77" s="12"/>
      <c r="HNY77" s="12"/>
      <c r="HNZ77" s="12"/>
      <c r="HOQ77" s="12"/>
      <c r="HOR77" s="12"/>
      <c r="HPI77" s="12"/>
      <c r="HPJ77" s="12"/>
      <c r="HQA77" s="12"/>
      <c r="HQB77" s="12"/>
      <c r="HQS77" s="12"/>
      <c r="HQT77" s="12"/>
      <c r="HRK77" s="12"/>
      <c r="HRL77" s="12"/>
      <c r="HSC77" s="12"/>
      <c r="HSD77" s="12"/>
      <c r="HSU77" s="12"/>
      <c r="HSV77" s="12"/>
      <c r="HTM77" s="12"/>
      <c r="HTN77" s="12"/>
      <c r="HUE77" s="12"/>
      <c r="HUF77" s="12"/>
      <c r="HUW77" s="12"/>
      <c r="HUX77" s="12"/>
      <c r="HVO77" s="12"/>
      <c r="HVP77" s="12"/>
      <c r="HWG77" s="12"/>
      <c r="HWH77" s="12"/>
      <c r="HWY77" s="12"/>
      <c r="HWZ77" s="12"/>
      <c r="HXQ77" s="12"/>
      <c r="HXR77" s="12"/>
      <c r="HYI77" s="12"/>
      <c r="HYJ77" s="12"/>
      <c r="HZA77" s="12"/>
      <c r="HZB77" s="12"/>
      <c r="HZS77" s="12"/>
      <c r="HZT77" s="12"/>
      <c r="IAK77" s="12"/>
      <c r="IAL77" s="12"/>
      <c r="IBC77" s="12"/>
      <c r="IBD77" s="12"/>
      <c r="IBU77" s="12"/>
      <c r="IBV77" s="12"/>
      <c r="ICM77" s="12"/>
      <c r="ICN77" s="12"/>
      <c r="IDE77" s="12"/>
      <c r="IDF77" s="12"/>
      <c r="IDW77" s="12"/>
      <c r="IDX77" s="12"/>
      <c r="IEO77" s="12"/>
      <c r="IEP77" s="12"/>
      <c r="IFG77" s="12"/>
      <c r="IFH77" s="12"/>
      <c r="IFY77" s="12"/>
      <c r="IFZ77" s="12"/>
      <c r="IGQ77" s="12"/>
      <c r="IGR77" s="12"/>
      <c r="IHI77" s="12"/>
      <c r="IHJ77" s="12"/>
      <c r="IIA77" s="12"/>
      <c r="IIB77" s="12"/>
      <c r="IIS77" s="12"/>
      <c r="IIT77" s="12"/>
      <c r="IJK77" s="12"/>
      <c r="IJL77" s="12"/>
      <c r="IKC77" s="12"/>
      <c r="IKD77" s="12"/>
      <c r="IKU77" s="12"/>
      <c r="IKV77" s="12"/>
      <c r="ILM77" s="12"/>
      <c r="ILN77" s="12"/>
      <c r="IME77" s="12"/>
      <c r="IMF77" s="12"/>
      <c r="IMW77" s="12"/>
      <c r="IMX77" s="12"/>
      <c r="INO77" s="12"/>
      <c r="INP77" s="12"/>
      <c r="IOG77" s="12"/>
      <c r="IOH77" s="12"/>
      <c r="IOY77" s="12"/>
      <c r="IOZ77" s="12"/>
      <c r="IPQ77" s="12"/>
      <c r="IPR77" s="12"/>
      <c r="IQI77" s="12"/>
      <c r="IQJ77" s="12"/>
      <c r="IRA77" s="12"/>
      <c r="IRB77" s="12"/>
      <c r="IRS77" s="12"/>
      <c r="IRT77" s="12"/>
      <c r="ISK77" s="12"/>
      <c r="ISL77" s="12"/>
      <c r="ITC77" s="12"/>
      <c r="ITD77" s="12"/>
      <c r="ITU77" s="12"/>
      <c r="ITV77" s="12"/>
      <c r="IUM77" s="12"/>
      <c r="IUN77" s="12"/>
      <c r="IVE77" s="12"/>
      <c r="IVF77" s="12"/>
      <c r="IVW77" s="12"/>
      <c r="IVX77" s="12"/>
      <c r="IWO77" s="12"/>
      <c r="IWP77" s="12"/>
      <c r="IXG77" s="12"/>
      <c r="IXH77" s="12"/>
      <c r="IXY77" s="12"/>
      <c r="IXZ77" s="12"/>
      <c r="IYQ77" s="12"/>
      <c r="IYR77" s="12"/>
      <c r="IZI77" s="12"/>
      <c r="IZJ77" s="12"/>
      <c r="JAA77" s="12"/>
      <c r="JAB77" s="12"/>
      <c r="JAS77" s="12"/>
      <c r="JAT77" s="12"/>
      <c r="JBK77" s="12"/>
      <c r="JBL77" s="12"/>
      <c r="JCC77" s="12"/>
      <c r="JCD77" s="12"/>
      <c r="JCU77" s="12"/>
      <c r="JCV77" s="12"/>
      <c r="JDM77" s="12"/>
      <c r="JDN77" s="12"/>
      <c r="JEE77" s="12"/>
      <c r="JEF77" s="12"/>
      <c r="JEW77" s="12"/>
      <c r="JEX77" s="12"/>
      <c r="JFO77" s="12"/>
      <c r="JFP77" s="12"/>
      <c r="JGG77" s="12"/>
      <c r="JGH77" s="12"/>
      <c r="JGY77" s="12"/>
      <c r="JGZ77" s="12"/>
      <c r="JHQ77" s="12"/>
      <c r="JHR77" s="12"/>
      <c r="JII77" s="12"/>
      <c r="JIJ77" s="12"/>
      <c r="JJA77" s="12"/>
      <c r="JJB77" s="12"/>
      <c r="JJS77" s="12"/>
      <c r="JJT77" s="12"/>
      <c r="JKK77" s="12"/>
      <c r="JKL77" s="12"/>
      <c r="JLC77" s="12"/>
      <c r="JLD77" s="12"/>
      <c r="JLU77" s="12"/>
      <c r="JLV77" s="12"/>
      <c r="JMM77" s="12"/>
      <c r="JMN77" s="12"/>
      <c r="JNE77" s="12"/>
      <c r="JNF77" s="12"/>
      <c r="JNW77" s="12"/>
      <c r="JNX77" s="12"/>
      <c r="JOO77" s="12"/>
      <c r="JOP77" s="12"/>
      <c r="JPG77" s="12"/>
      <c r="JPH77" s="12"/>
      <c r="JPY77" s="12"/>
      <c r="JPZ77" s="12"/>
      <c r="JQQ77" s="12"/>
      <c r="JQR77" s="12"/>
      <c r="JRI77" s="12"/>
      <c r="JRJ77" s="12"/>
      <c r="JSA77" s="12"/>
      <c r="JSB77" s="12"/>
      <c r="JSS77" s="12"/>
      <c r="JST77" s="12"/>
      <c r="JTK77" s="12"/>
      <c r="JTL77" s="12"/>
      <c r="JUC77" s="12"/>
      <c r="JUD77" s="12"/>
      <c r="JUU77" s="12"/>
      <c r="JUV77" s="12"/>
      <c r="JVM77" s="12"/>
      <c r="JVN77" s="12"/>
      <c r="JWE77" s="12"/>
      <c r="JWF77" s="12"/>
      <c r="JWW77" s="12"/>
      <c r="JWX77" s="12"/>
      <c r="JXO77" s="12"/>
      <c r="JXP77" s="12"/>
      <c r="JYG77" s="12"/>
      <c r="JYH77" s="12"/>
      <c r="JYY77" s="12"/>
      <c r="JYZ77" s="12"/>
      <c r="JZQ77" s="12"/>
      <c r="JZR77" s="12"/>
      <c r="KAI77" s="12"/>
      <c r="KAJ77" s="12"/>
      <c r="KBA77" s="12"/>
      <c r="KBB77" s="12"/>
      <c r="KBS77" s="12"/>
      <c r="KBT77" s="12"/>
      <c r="KCK77" s="12"/>
      <c r="KCL77" s="12"/>
      <c r="KDC77" s="12"/>
      <c r="KDD77" s="12"/>
      <c r="KDU77" s="12"/>
      <c r="KDV77" s="12"/>
      <c r="KEM77" s="12"/>
      <c r="KEN77" s="12"/>
      <c r="KFE77" s="12"/>
      <c r="KFF77" s="12"/>
      <c r="KFW77" s="12"/>
      <c r="KFX77" s="12"/>
      <c r="KGO77" s="12"/>
      <c r="KGP77" s="12"/>
      <c r="KHG77" s="12"/>
      <c r="KHH77" s="12"/>
      <c r="KHY77" s="12"/>
      <c r="KHZ77" s="12"/>
      <c r="KIQ77" s="12"/>
      <c r="KIR77" s="12"/>
      <c r="KJI77" s="12"/>
      <c r="KJJ77" s="12"/>
      <c r="KKA77" s="12"/>
      <c r="KKB77" s="12"/>
      <c r="KKS77" s="12"/>
      <c r="KKT77" s="12"/>
      <c r="KLK77" s="12"/>
      <c r="KLL77" s="12"/>
      <c r="KMC77" s="12"/>
      <c r="KMD77" s="12"/>
      <c r="KMU77" s="12"/>
      <c r="KMV77" s="12"/>
      <c r="KNM77" s="12"/>
      <c r="KNN77" s="12"/>
      <c r="KOE77" s="12"/>
      <c r="KOF77" s="12"/>
      <c r="KOW77" s="12"/>
      <c r="KOX77" s="12"/>
      <c r="KPO77" s="12"/>
      <c r="KPP77" s="12"/>
      <c r="KQG77" s="12"/>
      <c r="KQH77" s="12"/>
      <c r="KQY77" s="12"/>
      <c r="KQZ77" s="12"/>
      <c r="KRQ77" s="12"/>
      <c r="KRR77" s="12"/>
      <c r="KSI77" s="12"/>
      <c r="KSJ77" s="12"/>
      <c r="KTA77" s="12"/>
      <c r="KTB77" s="12"/>
      <c r="KTS77" s="12"/>
      <c r="KTT77" s="12"/>
      <c r="KUK77" s="12"/>
      <c r="KUL77" s="12"/>
      <c r="KVC77" s="12"/>
      <c r="KVD77" s="12"/>
      <c r="KVU77" s="12"/>
      <c r="KVV77" s="12"/>
      <c r="KWM77" s="12"/>
      <c r="KWN77" s="12"/>
      <c r="KXE77" s="12"/>
      <c r="KXF77" s="12"/>
      <c r="KXW77" s="12"/>
      <c r="KXX77" s="12"/>
      <c r="KYO77" s="12"/>
      <c r="KYP77" s="12"/>
      <c r="KZG77" s="12"/>
      <c r="KZH77" s="12"/>
      <c r="KZY77" s="12"/>
      <c r="KZZ77" s="12"/>
      <c r="LAQ77" s="12"/>
      <c r="LAR77" s="12"/>
      <c r="LBI77" s="12"/>
      <c r="LBJ77" s="12"/>
      <c r="LCA77" s="12"/>
      <c r="LCB77" s="12"/>
      <c r="LCS77" s="12"/>
      <c r="LCT77" s="12"/>
      <c r="LDK77" s="12"/>
      <c r="LDL77" s="12"/>
      <c r="LEC77" s="12"/>
      <c r="LED77" s="12"/>
      <c r="LEU77" s="12"/>
      <c r="LEV77" s="12"/>
      <c r="LFM77" s="12"/>
      <c r="LFN77" s="12"/>
      <c r="LGE77" s="12"/>
      <c r="LGF77" s="12"/>
      <c r="LGW77" s="12"/>
      <c r="LGX77" s="12"/>
      <c r="LHO77" s="12"/>
      <c r="LHP77" s="12"/>
      <c r="LIG77" s="12"/>
      <c r="LIH77" s="12"/>
      <c r="LIY77" s="12"/>
      <c r="LIZ77" s="12"/>
      <c r="LJQ77" s="12"/>
      <c r="LJR77" s="12"/>
      <c r="LKI77" s="12"/>
      <c r="LKJ77" s="12"/>
      <c r="LLA77" s="12"/>
      <c r="LLB77" s="12"/>
      <c r="LLS77" s="12"/>
      <c r="LLT77" s="12"/>
      <c r="LMK77" s="12"/>
      <c r="LML77" s="12"/>
      <c r="LNC77" s="12"/>
      <c r="LND77" s="12"/>
      <c r="LNU77" s="12"/>
      <c r="LNV77" s="12"/>
      <c r="LOM77" s="12"/>
      <c r="LON77" s="12"/>
      <c r="LPE77" s="12"/>
      <c r="LPF77" s="12"/>
      <c r="LPW77" s="12"/>
      <c r="LPX77" s="12"/>
      <c r="LQO77" s="12"/>
      <c r="LQP77" s="12"/>
      <c r="LRG77" s="12"/>
      <c r="LRH77" s="12"/>
      <c r="LRY77" s="12"/>
      <c r="LRZ77" s="12"/>
      <c r="LSQ77" s="12"/>
      <c r="LSR77" s="12"/>
      <c r="LTI77" s="12"/>
      <c r="LTJ77" s="12"/>
      <c r="LUA77" s="12"/>
      <c r="LUB77" s="12"/>
      <c r="LUS77" s="12"/>
      <c r="LUT77" s="12"/>
      <c r="LVK77" s="12"/>
      <c r="LVL77" s="12"/>
      <c r="LWC77" s="12"/>
      <c r="LWD77" s="12"/>
      <c r="LWU77" s="12"/>
      <c r="LWV77" s="12"/>
      <c r="LXM77" s="12"/>
      <c r="LXN77" s="12"/>
      <c r="LYE77" s="12"/>
      <c r="LYF77" s="12"/>
      <c r="LYW77" s="12"/>
      <c r="LYX77" s="12"/>
      <c r="LZO77" s="12"/>
      <c r="LZP77" s="12"/>
      <c r="MAG77" s="12"/>
      <c r="MAH77" s="12"/>
      <c r="MAY77" s="12"/>
      <c r="MAZ77" s="12"/>
      <c r="MBQ77" s="12"/>
      <c r="MBR77" s="12"/>
      <c r="MCI77" s="12"/>
      <c r="MCJ77" s="12"/>
      <c r="MDA77" s="12"/>
      <c r="MDB77" s="12"/>
      <c r="MDS77" s="12"/>
      <c r="MDT77" s="12"/>
      <c r="MEK77" s="12"/>
      <c r="MEL77" s="12"/>
      <c r="MFC77" s="12"/>
      <c r="MFD77" s="12"/>
      <c r="MFU77" s="12"/>
      <c r="MFV77" s="12"/>
      <c r="MGM77" s="12"/>
      <c r="MGN77" s="12"/>
      <c r="MHE77" s="12"/>
      <c r="MHF77" s="12"/>
      <c r="MHW77" s="12"/>
      <c r="MHX77" s="12"/>
      <c r="MIO77" s="12"/>
      <c r="MIP77" s="12"/>
      <c r="MJG77" s="12"/>
      <c r="MJH77" s="12"/>
      <c r="MJY77" s="12"/>
      <c r="MJZ77" s="12"/>
      <c r="MKQ77" s="12"/>
      <c r="MKR77" s="12"/>
      <c r="MLI77" s="12"/>
      <c r="MLJ77" s="12"/>
      <c r="MMA77" s="12"/>
      <c r="MMB77" s="12"/>
      <c r="MMS77" s="12"/>
      <c r="MMT77" s="12"/>
      <c r="MNK77" s="12"/>
      <c r="MNL77" s="12"/>
      <c r="MOC77" s="12"/>
      <c r="MOD77" s="12"/>
      <c r="MOU77" s="12"/>
      <c r="MOV77" s="12"/>
      <c r="MPM77" s="12"/>
      <c r="MPN77" s="12"/>
      <c r="MQE77" s="12"/>
      <c r="MQF77" s="12"/>
      <c r="MQW77" s="12"/>
      <c r="MQX77" s="12"/>
      <c r="MRO77" s="12"/>
      <c r="MRP77" s="12"/>
      <c r="MSG77" s="12"/>
      <c r="MSH77" s="12"/>
      <c r="MSY77" s="12"/>
      <c r="MSZ77" s="12"/>
      <c r="MTQ77" s="12"/>
      <c r="MTR77" s="12"/>
      <c r="MUI77" s="12"/>
      <c r="MUJ77" s="12"/>
      <c r="MVA77" s="12"/>
      <c r="MVB77" s="12"/>
      <c r="MVS77" s="12"/>
      <c r="MVT77" s="12"/>
      <c r="MWK77" s="12"/>
      <c r="MWL77" s="12"/>
      <c r="MXC77" s="12"/>
      <c r="MXD77" s="12"/>
      <c r="MXU77" s="12"/>
      <c r="MXV77" s="12"/>
      <c r="MYM77" s="12"/>
      <c r="MYN77" s="12"/>
      <c r="MZE77" s="12"/>
      <c r="MZF77" s="12"/>
      <c r="MZW77" s="12"/>
      <c r="MZX77" s="12"/>
      <c r="NAO77" s="12"/>
      <c r="NAP77" s="12"/>
      <c r="NBG77" s="12"/>
      <c r="NBH77" s="12"/>
      <c r="NBY77" s="12"/>
      <c r="NBZ77" s="12"/>
      <c r="NCQ77" s="12"/>
      <c r="NCR77" s="12"/>
      <c r="NDI77" s="12"/>
      <c r="NDJ77" s="12"/>
      <c r="NEA77" s="12"/>
      <c r="NEB77" s="12"/>
      <c r="NES77" s="12"/>
      <c r="NET77" s="12"/>
      <c r="NFK77" s="12"/>
      <c r="NFL77" s="12"/>
      <c r="NGC77" s="12"/>
      <c r="NGD77" s="12"/>
      <c r="NGU77" s="12"/>
      <c r="NGV77" s="12"/>
      <c r="NHM77" s="12"/>
      <c r="NHN77" s="12"/>
      <c r="NIE77" s="12"/>
      <c r="NIF77" s="12"/>
      <c r="NIW77" s="12"/>
      <c r="NIX77" s="12"/>
      <c r="NJO77" s="12"/>
      <c r="NJP77" s="12"/>
      <c r="NKG77" s="12"/>
      <c r="NKH77" s="12"/>
      <c r="NKY77" s="12"/>
      <c r="NKZ77" s="12"/>
      <c r="NLQ77" s="12"/>
      <c r="NLR77" s="12"/>
      <c r="NMI77" s="12"/>
      <c r="NMJ77" s="12"/>
      <c r="NNA77" s="12"/>
      <c r="NNB77" s="12"/>
      <c r="NNS77" s="12"/>
      <c r="NNT77" s="12"/>
      <c r="NOK77" s="12"/>
      <c r="NOL77" s="12"/>
      <c r="NPC77" s="12"/>
      <c r="NPD77" s="12"/>
      <c r="NPU77" s="12"/>
      <c r="NPV77" s="12"/>
      <c r="NQM77" s="12"/>
      <c r="NQN77" s="12"/>
      <c r="NRE77" s="12"/>
      <c r="NRF77" s="12"/>
      <c r="NRW77" s="12"/>
      <c r="NRX77" s="12"/>
      <c r="NSO77" s="12"/>
      <c r="NSP77" s="12"/>
      <c r="NTG77" s="12"/>
      <c r="NTH77" s="12"/>
      <c r="NTY77" s="12"/>
      <c r="NTZ77" s="12"/>
      <c r="NUQ77" s="12"/>
      <c r="NUR77" s="12"/>
      <c r="NVI77" s="12"/>
      <c r="NVJ77" s="12"/>
      <c r="NWA77" s="12"/>
      <c r="NWB77" s="12"/>
      <c r="NWS77" s="12"/>
      <c r="NWT77" s="12"/>
      <c r="NXK77" s="12"/>
      <c r="NXL77" s="12"/>
      <c r="NYC77" s="12"/>
      <c r="NYD77" s="12"/>
      <c r="NYU77" s="12"/>
      <c r="NYV77" s="12"/>
      <c r="NZM77" s="12"/>
      <c r="NZN77" s="12"/>
      <c r="OAE77" s="12"/>
      <c r="OAF77" s="12"/>
      <c r="OAW77" s="12"/>
      <c r="OAX77" s="12"/>
      <c r="OBO77" s="12"/>
      <c r="OBP77" s="12"/>
      <c r="OCG77" s="12"/>
      <c r="OCH77" s="12"/>
      <c r="OCY77" s="12"/>
      <c r="OCZ77" s="12"/>
      <c r="ODQ77" s="12"/>
      <c r="ODR77" s="12"/>
      <c r="OEI77" s="12"/>
      <c r="OEJ77" s="12"/>
      <c r="OFA77" s="12"/>
      <c r="OFB77" s="12"/>
      <c r="OFS77" s="12"/>
      <c r="OFT77" s="12"/>
      <c r="OGK77" s="12"/>
      <c r="OGL77" s="12"/>
      <c r="OHC77" s="12"/>
      <c r="OHD77" s="12"/>
      <c r="OHU77" s="12"/>
      <c r="OHV77" s="12"/>
      <c r="OIM77" s="12"/>
      <c r="OIN77" s="12"/>
      <c r="OJE77" s="12"/>
      <c r="OJF77" s="12"/>
      <c r="OJW77" s="12"/>
      <c r="OJX77" s="12"/>
      <c r="OKO77" s="12"/>
      <c r="OKP77" s="12"/>
      <c r="OLG77" s="12"/>
      <c r="OLH77" s="12"/>
      <c r="OLY77" s="12"/>
      <c r="OLZ77" s="12"/>
      <c r="OMQ77" s="12"/>
      <c r="OMR77" s="12"/>
      <c r="ONI77" s="12"/>
      <c r="ONJ77" s="12"/>
      <c r="OOA77" s="12"/>
      <c r="OOB77" s="12"/>
      <c r="OOS77" s="12"/>
      <c r="OOT77" s="12"/>
      <c r="OPK77" s="12"/>
      <c r="OPL77" s="12"/>
      <c r="OQC77" s="12"/>
      <c r="OQD77" s="12"/>
      <c r="OQU77" s="12"/>
      <c r="OQV77" s="12"/>
      <c r="ORM77" s="12"/>
      <c r="ORN77" s="12"/>
      <c r="OSE77" s="12"/>
      <c r="OSF77" s="12"/>
      <c r="OSW77" s="12"/>
      <c r="OSX77" s="12"/>
      <c r="OTO77" s="12"/>
      <c r="OTP77" s="12"/>
      <c r="OUG77" s="12"/>
      <c r="OUH77" s="12"/>
      <c r="OUY77" s="12"/>
      <c r="OUZ77" s="12"/>
      <c r="OVQ77" s="12"/>
      <c r="OVR77" s="12"/>
      <c r="OWI77" s="12"/>
      <c r="OWJ77" s="12"/>
      <c r="OXA77" s="12"/>
      <c r="OXB77" s="12"/>
      <c r="OXS77" s="12"/>
      <c r="OXT77" s="12"/>
      <c r="OYK77" s="12"/>
      <c r="OYL77" s="12"/>
      <c r="OZC77" s="12"/>
      <c r="OZD77" s="12"/>
      <c r="OZU77" s="12"/>
      <c r="OZV77" s="12"/>
      <c r="PAM77" s="12"/>
      <c r="PAN77" s="12"/>
      <c r="PBE77" s="12"/>
      <c r="PBF77" s="12"/>
      <c r="PBW77" s="12"/>
      <c r="PBX77" s="12"/>
      <c r="PCO77" s="12"/>
      <c r="PCP77" s="12"/>
      <c r="PDG77" s="12"/>
      <c r="PDH77" s="12"/>
      <c r="PDY77" s="12"/>
      <c r="PDZ77" s="12"/>
      <c r="PEQ77" s="12"/>
      <c r="PER77" s="12"/>
      <c r="PFI77" s="12"/>
      <c r="PFJ77" s="12"/>
      <c r="PGA77" s="12"/>
      <c r="PGB77" s="12"/>
      <c r="PGS77" s="12"/>
      <c r="PGT77" s="12"/>
      <c r="PHK77" s="12"/>
      <c r="PHL77" s="12"/>
      <c r="PIC77" s="12"/>
      <c r="PID77" s="12"/>
      <c r="PIU77" s="12"/>
      <c r="PIV77" s="12"/>
      <c r="PJM77" s="12"/>
      <c r="PJN77" s="12"/>
      <c r="PKE77" s="12"/>
      <c r="PKF77" s="12"/>
      <c r="PKW77" s="12"/>
      <c r="PKX77" s="12"/>
      <c r="PLO77" s="12"/>
      <c r="PLP77" s="12"/>
      <c r="PMG77" s="12"/>
      <c r="PMH77" s="12"/>
      <c r="PMY77" s="12"/>
      <c r="PMZ77" s="12"/>
      <c r="PNQ77" s="12"/>
      <c r="PNR77" s="12"/>
      <c r="POI77" s="12"/>
      <c r="POJ77" s="12"/>
      <c r="PPA77" s="12"/>
      <c r="PPB77" s="12"/>
      <c r="PPS77" s="12"/>
      <c r="PPT77" s="12"/>
      <c r="PQK77" s="12"/>
      <c r="PQL77" s="12"/>
      <c r="PRC77" s="12"/>
      <c r="PRD77" s="12"/>
      <c r="PRU77" s="12"/>
      <c r="PRV77" s="12"/>
      <c r="PSM77" s="12"/>
      <c r="PSN77" s="12"/>
      <c r="PTE77" s="12"/>
      <c r="PTF77" s="12"/>
      <c r="PTW77" s="12"/>
      <c r="PTX77" s="12"/>
      <c r="PUO77" s="12"/>
      <c r="PUP77" s="12"/>
      <c r="PVG77" s="12"/>
      <c r="PVH77" s="12"/>
      <c r="PVY77" s="12"/>
      <c r="PVZ77" s="12"/>
      <c r="PWQ77" s="12"/>
      <c r="PWR77" s="12"/>
      <c r="PXI77" s="12"/>
      <c r="PXJ77" s="12"/>
      <c r="PYA77" s="12"/>
      <c r="PYB77" s="12"/>
      <c r="PYS77" s="12"/>
      <c r="PYT77" s="12"/>
      <c r="PZK77" s="12"/>
      <c r="PZL77" s="12"/>
      <c r="QAC77" s="12"/>
      <c r="QAD77" s="12"/>
      <c r="QAU77" s="12"/>
      <c r="QAV77" s="12"/>
      <c r="QBM77" s="12"/>
      <c r="QBN77" s="12"/>
      <c r="QCE77" s="12"/>
      <c r="QCF77" s="12"/>
      <c r="QCW77" s="12"/>
      <c r="QCX77" s="12"/>
      <c r="QDO77" s="12"/>
      <c r="QDP77" s="12"/>
      <c r="QEG77" s="12"/>
      <c r="QEH77" s="12"/>
      <c r="QEY77" s="12"/>
      <c r="QEZ77" s="12"/>
      <c r="QFQ77" s="12"/>
      <c r="QFR77" s="12"/>
      <c r="QGI77" s="12"/>
      <c r="QGJ77" s="12"/>
      <c r="QHA77" s="12"/>
      <c r="QHB77" s="12"/>
      <c r="QHS77" s="12"/>
      <c r="QHT77" s="12"/>
      <c r="QIK77" s="12"/>
      <c r="QIL77" s="12"/>
      <c r="QJC77" s="12"/>
      <c r="QJD77" s="12"/>
      <c r="QJU77" s="12"/>
      <c r="QJV77" s="12"/>
      <c r="QKM77" s="12"/>
      <c r="QKN77" s="12"/>
      <c r="QLE77" s="12"/>
      <c r="QLF77" s="12"/>
      <c r="QLW77" s="12"/>
      <c r="QLX77" s="12"/>
      <c r="QMO77" s="12"/>
      <c r="QMP77" s="12"/>
      <c r="QNG77" s="12"/>
      <c r="QNH77" s="12"/>
      <c r="QNY77" s="12"/>
      <c r="QNZ77" s="12"/>
      <c r="QOQ77" s="12"/>
      <c r="QOR77" s="12"/>
      <c r="QPI77" s="12"/>
      <c r="QPJ77" s="12"/>
      <c r="QQA77" s="12"/>
      <c r="QQB77" s="12"/>
      <c r="QQS77" s="12"/>
      <c r="QQT77" s="12"/>
      <c r="QRK77" s="12"/>
      <c r="QRL77" s="12"/>
      <c r="QSC77" s="12"/>
      <c r="QSD77" s="12"/>
      <c r="QSU77" s="12"/>
      <c r="QSV77" s="12"/>
      <c r="QTM77" s="12"/>
      <c r="QTN77" s="12"/>
      <c r="QUE77" s="12"/>
      <c r="QUF77" s="12"/>
      <c r="QUW77" s="12"/>
      <c r="QUX77" s="12"/>
      <c r="QVO77" s="12"/>
      <c r="QVP77" s="12"/>
      <c r="QWG77" s="12"/>
      <c r="QWH77" s="12"/>
      <c r="QWY77" s="12"/>
      <c r="QWZ77" s="12"/>
      <c r="QXQ77" s="12"/>
      <c r="QXR77" s="12"/>
      <c r="QYI77" s="12"/>
      <c r="QYJ77" s="12"/>
      <c r="QZA77" s="12"/>
      <c r="QZB77" s="12"/>
      <c r="QZS77" s="12"/>
      <c r="QZT77" s="12"/>
      <c r="RAK77" s="12"/>
      <c r="RAL77" s="12"/>
      <c r="RBC77" s="12"/>
      <c r="RBD77" s="12"/>
      <c r="RBU77" s="12"/>
      <c r="RBV77" s="12"/>
      <c r="RCM77" s="12"/>
      <c r="RCN77" s="12"/>
      <c r="RDE77" s="12"/>
      <c r="RDF77" s="12"/>
      <c r="RDW77" s="12"/>
      <c r="RDX77" s="12"/>
      <c r="REO77" s="12"/>
      <c r="REP77" s="12"/>
      <c r="RFG77" s="12"/>
      <c r="RFH77" s="12"/>
      <c r="RFY77" s="12"/>
      <c r="RFZ77" s="12"/>
      <c r="RGQ77" s="12"/>
      <c r="RGR77" s="12"/>
      <c r="RHI77" s="12"/>
      <c r="RHJ77" s="12"/>
      <c r="RIA77" s="12"/>
      <c r="RIB77" s="12"/>
      <c r="RIS77" s="12"/>
      <c r="RIT77" s="12"/>
      <c r="RJK77" s="12"/>
      <c r="RJL77" s="12"/>
      <c r="RKC77" s="12"/>
      <c r="RKD77" s="12"/>
      <c r="RKU77" s="12"/>
      <c r="RKV77" s="12"/>
      <c r="RLM77" s="12"/>
      <c r="RLN77" s="12"/>
      <c r="RME77" s="12"/>
      <c r="RMF77" s="12"/>
      <c r="RMW77" s="12"/>
      <c r="RMX77" s="12"/>
      <c r="RNO77" s="12"/>
      <c r="RNP77" s="12"/>
      <c r="ROG77" s="12"/>
      <c r="ROH77" s="12"/>
      <c r="ROY77" s="12"/>
      <c r="ROZ77" s="12"/>
      <c r="RPQ77" s="12"/>
      <c r="RPR77" s="12"/>
      <c r="RQI77" s="12"/>
      <c r="RQJ77" s="12"/>
      <c r="RRA77" s="12"/>
      <c r="RRB77" s="12"/>
      <c r="RRS77" s="12"/>
      <c r="RRT77" s="12"/>
      <c r="RSK77" s="12"/>
      <c r="RSL77" s="12"/>
      <c r="RTC77" s="12"/>
      <c r="RTD77" s="12"/>
      <c r="RTU77" s="12"/>
      <c r="RTV77" s="12"/>
      <c r="RUM77" s="12"/>
      <c r="RUN77" s="12"/>
      <c r="RVE77" s="12"/>
      <c r="RVF77" s="12"/>
      <c r="RVW77" s="12"/>
      <c r="RVX77" s="12"/>
      <c r="RWO77" s="12"/>
      <c r="RWP77" s="12"/>
      <c r="RXG77" s="12"/>
      <c r="RXH77" s="12"/>
      <c r="RXY77" s="12"/>
      <c r="RXZ77" s="12"/>
      <c r="RYQ77" s="12"/>
      <c r="RYR77" s="12"/>
      <c r="RZI77" s="12"/>
      <c r="RZJ77" s="12"/>
      <c r="SAA77" s="12"/>
      <c r="SAB77" s="12"/>
      <c r="SAS77" s="12"/>
      <c r="SAT77" s="12"/>
      <c r="SBK77" s="12"/>
      <c r="SBL77" s="12"/>
      <c r="SCC77" s="12"/>
      <c r="SCD77" s="12"/>
      <c r="SCU77" s="12"/>
      <c r="SCV77" s="12"/>
      <c r="SDM77" s="12"/>
      <c r="SDN77" s="12"/>
      <c r="SEE77" s="12"/>
      <c r="SEF77" s="12"/>
      <c r="SEW77" s="12"/>
      <c r="SEX77" s="12"/>
      <c r="SFO77" s="12"/>
      <c r="SFP77" s="12"/>
      <c r="SGG77" s="12"/>
      <c r="SGH77" s="12"/>
      <c r="SGY77" s="12"/>
      <c r="SGZ77" s="12"/>
      <c r="SHQ77" s="12"/>
      <c r="SHR77" s="12"/>
      <c r="SII77" s="12"/>
      <c r="SIJ77" s="12"/>
      <c r="SJA77" s="12"/>
      <c r="SJB77" s="12"/>
      <c r="SJS77" s="12"/>
      <c r="SJT77" s="12"/>
      <c r="SKK77" s="12"/>
      <c r="SKL77" s="12"/>
      <c r="SLC77" s="12"/>
      <c r="SLD77" s="12"/>
      <c r="SLU77" s="12"/>
      <c r="SLV77" s="12"/>
      <c r="SMM77" s="12"/>
      <c r="SMN77" s="12"/>
      <c r="SNE77" s="12"/>
      <c r="SNF77" s="12"/>
      <c r="SNW77" s="12"/>
      <c r="SNX77" s="12"/>
      <c r="SOO77" s="12"/>
      <c r="SOP77" s="12"/>
      <c r="SPG77" s="12"/>
      <c r="SPH77" s="12"/>
      <c r="SPY77" s="12"/>
      <c r="SPZ77" s="12"/>
      <c r="SQQ77" s="12"/>
      <c r="SQR77" s="12"/>
      <c r="SRI77" s="12"/>
      <c r="SRJ77" s="12"/>
      <c r="SSA77" s="12"/>
      <c r="SSB77" s="12"/>
      <c r="SSS77" s="12"/>
      <c r="SST77" s="12"/>
      <c r="STK77" s="12"/>
      <c r="STL77" s="12"/>
      <c r="SUC77" s="12"/>
      <c r="SUD77" s="12"/>
      <c r="SUU77" s="12"/>
      <c r="SUV77" s="12"/>
      <c r="SVM77" s="12"/>
      <c r="SVN77" s="12"/>
      <c r="SWE77" s="12"/>
      <c r="SWF77" s="12"/>
      <c r="SWW77" s="12"/>
      <c r="SWX77" s="12"/>
      <c r="SXO77" s="12"/>
      <c r="SXP77" s="12"/>
      <c r="SYG77" s="12"/>
      <c r="SYH77" s="12"/>
      <c r="SYY77" s="12"/>
      <c r="SYZ77" s="12"/>
      <c r="SZQ77" s="12"/>
      <c r="SZR77" s="12"/>
      <c r="TAI77" s="12"/>
      <c r="TAJ77" s="12"/>
      <c r="TBA77" s="12"/>
      <c r="TBB77" s="12"/>
      <c r="TBS77" s="12"/>
      <c r="TBT77" s="12"/>
      <c r="TCK77" s="12"/>
      <c r="TCL77" s="12"/>
      <c r="TDC77" s="12"/>
      <c r="TDD77" s="12"/>
      <c r="TDU77" s="12"/>
      <c r="TDV77" s="12"/>
      <c r="TEM77" s="12"/>
      <c r="TEN77" s="12"/>
      <c r="TFE77" s="12"/>
      <c r="TFF77" s="12"/>
      <c r="TFW77" s="12"/>
      <c r="TFX77" s="12"/>
      <c r="TGO77" s="12"/>
      <c r="TGP77" s="12"/>
      <c r="THG77" s="12"/>
      <c r="THH77" s="12"/>
      <c r="THY77" s="12"/>
      <c r="THZ77" s="12"/>
      <c r="TIQ77" s="12"/>
      <c r="TIR77" s="12"/>
      <c r="TJI77" s="12"/>
      <c r="TJJ77" s="12"/>
      <c r="TKA77" s="12"/>
      <c r="TKB77" s="12"/>
      <c r="TKS77" s="12"/>
      <c r="TKT77" s="12"/>
      <c r="TLK77" s="12"/>
      <c r="TLL77" s="12"/>
      <c r="TMC77" s="12"/>
      <c r="TMD77" s="12"/>
      <c r="TMU77" s="12"/>
      <c r="TMV77" s="12"/>
      <c r="TNM77" s="12"/>
      <c r="TNN77" s="12"/>
      <c r="TOE77" s="12"/>
      <c r="TOF77" s="12"/>
      <c r="TOW77" s="12"/>
      <c r="TOX77" s="12"/>
      <c r="TPO77" s="12"/>
      <c r="TPP77" s="12"/>
      <c r="TQG77" s="12"/>
      <c r="TQH77" s="12"/>
      <c r="TQY77" s="12"/>
      <c r="TQZ77" s="12"/>
      <c r="TRQ77" s="12"/>
      <c r="TRR77" s="12"/>
      <c r="TSI77" s="12"/>
      <c r="TSJ77" s="12"/>
      <c r="TTA77" s="12"/>
      <c r="TTB77" s="12"/>
      <c r="TTS77" s="12"/>
      <c r="TTT77" s="12"/>
      <c r="TUK77" s="12"/>
      <c r="TUL77" s="12"/>
      <c r="TVC77" s="12"/>
      <c r="TVD77" s="12"/>
      <c r="TVU77" s="12"/>
      <c r="TVV77" s="12"/>
      <c r="TWM77" s="12"/>
      <c r="TWN77" s="12"/>
      <c r="TXE77" s="12"/>
      <c r="TXF77" s="12"/>
      <c r="TXW77" s="12"/>
      <c r="TXX77" s="12"/>
      <c r="TYO77" s="12"/>
      <c r="TYP77" s="12"/>
      <c r="TZG77" s="12"/>
      <c r="TZH77" s="12"/>
      <c r="TZY77" s="12"/>
      <c r="TZZ77" s="12"/>
      <c r="UAQ77" s="12"/>
      <c r="UAR77" s="12"/>
      <c r="UBI77" s="12"/>
      <c r="UBJ77" s="12"/>
      <c r="UCA77" s="12"/>
      <c r="UCB77" s="12"/>
      <c r="UCS77" s="12"/>
      <c r="UCT77" s="12"/>
      <c r="UDK77" s="12"/>
      <c r="UDL77" s="12"/>
      <c r="UEC77" s="12"/>
      <c r="UED77" s="12"/>
      <c r="UEU77" s="12"/>
      <c r="UEV77" s="12"/>
      <c r="UFM77" s="12"/>
      <c r="UFN77" s="12"/>
      <c r="UGE77" s="12"/>
      <c r="UGF77" s="12"/>
      <c r="UGW77" s="12"/>
      <c r="UGX77" s="12"/>
      <c r="UHO77" s="12"/>
      <c r="UHP77" s="12"/>
      <c r="UIG77" s="12"/>
      <c r="UIH77" s="12"/>
      <c r="UIY77" s="12"/>
      <c r="UIZ77" s="12"/>
      <c r="UJQ77" s="12"/>
      <c r="UJR77" s="12"/>
      <c r="UKI77" s="12"/>
      <c r="UKJ77" s="12"/>
      <c r="ULA77" s="12"/>
      <c r="ULB77" s="12"/>
      <c r="ULS77" s="12"/>
      <c r="ULT77" s="12"/>
      <c r="UMK77" s="12"/>
      <c r="UML77" s="12"/>
      <c r="UNC77" s="12"/>
      <c r="UND77" s="12"/>
      <c r="UNU77" s="12"/>
      <c r="UNV77" s="12"/>
      <c r="UOM77" s="12"/>
      <c r="UON77" s="12"/>
      <c r="UPE77" s="12"/>
      <c r="UPF77" s="12"/>
      <c r="UPW77" s="12"/>
      <c r="UPX77" s="12"/>
      <c r="UQO77" s="12"/>
      <c r="UQP77" s="12"/>
      <c r="URG77" s="12"/>
      <c r="URH77" s="12"/>
      <c r="URY77" s="12"/>
      <c r="URZ77" s="12"/>
      <c r="USQ77" s="12"/>
      <c r="USR77" s="12"/>
      <c r="UTI77" s="12"/>
      <c r="UTJ77" s="12"/>
      <c r="UUA77" s="12"/>
      <c r="UUB77" s="12"/>
      <c r="UUS77" s="12"/>
      <c r="UUT77" s="12"/>
      <c r="UVK77" s="12"/>
      <c r="UVL77" s="12"/>
      <c r="UWC77" s="12"/>
      <c r="UWD77" s="12"/>
      <c r="UWU77" s="12"/>
      <c r="UWV77" s="12"/>
      <c r="UXM77" s="12"/>
      <c r="UXN77" s="12"/>
      <c r="UYE77" s="12"/>
      <c r="UYF77" s="12"/>
      <c r="UYW77" s="12"/>
      <c r="UYX77" s="12"/>
      <c r="UZO77" s="12"/>
      <c r="UZP77" s="12"/>
      <c r="VAG77" s="12"/>
      <c r="VAH77" s="12"/>
      <c r="VAY77" s="12"/>
      <c r="VAZ77" s="12"/>
      <c r="VBQ77" s="12"/>
      <c r="VBR77" s="12"/>
      <c r="VCI77" s="12"/>
      <c r="VCJ77" s="12"/>
      <c r="VDA77" s="12"/>
      <c r="VDB77" s="12"/>
      <c r="VDS77" s="12"/>
      <c r="VDT77" s="12"/>
      <c r="VEK77" s="12"/>
      <c r="VEL77" s="12"/>
      <c r="VFC77" s="12"/>
      <c r="VFD77" s="12"/>
      <c r="VFU77" s="12"/>
      <c r="VFV77" s="12"/>
      <c r="VGM77" s="12"/>
      <c r="VGN77" s="12"/>
      <c r="VHE77" s="12"/>
      <c r="VHF77" s="12"/>
      <c r="VHW77" s="12"/>
      <c r="VHX77" s="12"/>
      <c r="VIO77" s="12"/>
      <c r="VIP77" s="12"/>
      <c r="VJG77" s="12"/>
      <c r="VJH77" s="12"/>
      <c r="VJY77" s="12"/>
      <c r="VJZ77" s="12"/>
      <c r="VKQ77" s="12"/>
      <c r="VKR77" s="12"/>
      <c r="VLI77" s="12"/>
      <c r="VLJ77" s="12"/>
      <c r="VMA77" s="12"/>
      <c r="VMB77" s="12"/>
      <c r="VMS77" s="12"/>
      <c r="VMT77" s="12"/>
      <c r="VNK77" s="12"/>
      <c r="VNL77" s="12"/>
      <c r="VOC77" s="12"/>
      <c r="VOD77" s="12"/>
      <c r="VOU77" s="12"/>
      <c r="VOV77" s="12"/>
      <c r="VPM77" s="12"/>
      <c r="VPN77" s="12"/>
      <c r="VQE77" s="12"/>
      <c r="VQF77" s="12"/>
      <c r="VQW77" s="12"/>
      <c r="VQX77" s="12"/>
      <c r="VRO77" s="12"/>
      <c r="VRP77" s="12"/>
      <c r="VSG77" s="12"/>
      <c r="VSH77" s="12"/>
      <c r="VSY77" s="12"/>
      <c r="VSZ77" s="12"/>
      <c r="VTQ77" s="12"/>
      <c r="VTR77" s="12"/>
      <c r="VUI77" s="12"/>
      <c r="VUJ77" s="12"/>
      <c r="VVA77" s="12"/>
      <c r="VVB77" s="12"/>
      <c r="VVS77" s="12"/>
      <c r="VVT77" s="12"/>
      <c r="VWK77" s="12"/>
      <c r="VWL77" s="12"/>
      <c r="VXC77" s="12"/>
      <c r="VXD77" s="12"/>
      <c r="VXU77" s="12"/>
      <c r="VXV77" s="12"/>
      <c r="VYM77" s="12"/>
      <c r="VYN77" s="12"/>
      <c r="VZE77" s="12"/>
      <c r="VZF77" s="12"/>
      <c r="VZW77" s="12"/>
      <c r="VZX77" s="12"/>
      <c r="WAO77" s="12"/>
      <c r="WAP77" s="12"/>
      <c r="WBG77" s="12"/>
      <c r="WBH77" s="12"/>
      <c r="WBY77" s="12"/>
      <c r="WBZ77" s="12"/>
      <c r="WCQ77" s="12"/>
      <c r="WCR77" s="12"/>
      <c r="WDI77" s="12"/>
      <c r="WDJ77" s="12"/>
      <c r="WEA77" s="12"/>
      <c r="WEB77" s="12"/>
      <c r="WES77" s="12"/>
      <c r="WET77" s="12"/>
      <c r="WFK77" s="12"/>
      <c r="WFL77" s="12"/>
      <c r="WGC77" s="12"/>
      <c r="WGD77" s="12"/>
      <c r="WGU77" s="12"/>
      <c r="WGV77" s="12"/>
      <c r="WHM77" s="12"/>
      <c r="WHN77" s="12"/>
      <c r="WIE77" s="12"/>
      <c r="WIF77" s="12"/>
      <c r="WIW77" s="12"/>
      <c r="WIX77" s="12"/>
      <c r="WJO77" s="12"/>
      <c r="WJP77" s="12"/>
      <c r="WKG77" s="12"/>
      <c r="WKH77" s="12"/>
      <c r="WKY77" s="12"/>
      <c r="WKZ77" s="12"/>
      <c r="WLQ77" s="12"/>
      <c r="WLR77" s="12"/>
      <c r="WMI77" s="12"/>
      <c r="WMJ77" s="12"/>
      <c r="WNA77" s="12"/>
      <c r="WNB77" s="12"/>
      <c r="WNS77" s="12"/>
      <c r="WNT77" s="12"/>
      <c r="WOK77" s="12"/>
      <c r="WOL77" s="12"/>
      <c r="WPC77" s="12"/>
      <c r="WPD77" s="12"/>
      <c r="WPU77" s="12"/>
      <c r="WPV77" s="12"/>
      <c r="WQM77" s="12"/>
      <c r="WQN77" s="12"/>
      <c r="WRE77" s="12"/>
      <c r="WRF77" s="12"/>
      <c r="WRW77" s="12"/>
      <c r="WRX77" s="12"/>
      <c r="WSO77" s="12"/>
      <c r="WSP77" s="12"/>
      <c r="WTG77" s="12"/>
      <c r="WTH77" s="12"/>
      <c r="WTY77" s="12"/>
      <c r="WTZ77" s="12"/>
      <c r="WUQ77" s="12"/>
      <c r="WUR77" s="12"/>
      <c r="WVI77" s="12"/>
      <c r="WVJ77" s="12"/>
      <c r="WWA77" s="12"/>
      <c r="WWB77" s="12"/>
      <c r="WWS77" s="12"/>
      <c r="WWT77" s="12"/>
      <c r="WXK77" s="12"/>
      <c r="WXL77" s="12"/>
      <c r="WYC77" s="12"/>
      <c r="WYD77" s="12"/>
      <c r="WYU77" s="12"/>
      <c r="WYV77" s="12"/>
      <c r="WZM77" s="12"/>
      <c r="WZN77" s="12"/>
      <c r="XAE77" s="12"/>
      <c r="XAF77" s="12"/>
      <c r="XAW77" s="12"/>
      <c r="XAX77" s="12"/>
      <c r="XBO77" s="12"/>
      <c r="XBP77" s="12"/>
      <c r="XCG77" s="12"/>
      <c r="XCH77" s="12"/>
      <c r="XCY77" s="12"/>
      <c r="XCZ77" s="12"/>
      <c r="XDQ77" s="12"/>
      <c r="XDR77" s="12"/>
      <c r="XEI77" s="12"/>
      <c r="XEJ77" s="12"/>
      <c r="XFA77" s="12"/>
      <c r="XFB77" s="12"/>
    </row>
    <row r="78" spans="1:1010 1027:2036 2053:3062 3079:4088 4105:5114 5131:6140 6157:7166 7183:8192 8209:9200 9217:10226 10243:11252 11269:12278 12295:13304 13321:14330 14347:15356 15373:16382" s="105" customFormat="1" x14ac:dyDescent="0.35">
      <c r="A78" s="181" t="s">
        <v>131</v>
      </c>
      <c r="B78" s="181" t="s">
        <v>132</v>
      </c>
      <c r="C78" s="198">
        <v>7.5940000000000003</v>
      </c>
      <c r="D78" s="198">
        <v>6.1660000000000004</v>
      </c>
      <c r="E78" s="198">
        <v>6.3369999999999997</v>
      </c>
      <c r="F78" s="198">
        <v>0</v>
      </c>
      <c r="G78" s="198">
        <v>1.8220000000000001</v>
      </c>
      <c r="H78" s="198">
        <v>3.456</v>
      </c>
      <c r="I78" s="198">
        <v>1.0640000000000001</v>
      </c>
      <c r="J78" s="198">
        <v>2.83</v>
      </c>
      <c r="K78" s="198">
        <v>23.236000000000001</v>
      </c>
      <c r="L78" s="198">
        <v>17.939</v>
      </c>
      <c r="M78" s="123"/>
      <c r="N78" s="123"/>
      <c r="O78" s="123"/>
      <c r="P78" s="123"/>
      <c r="Q78" s="123"/>
      <c r="R78" s="123"/>
      <c r="T78" s="6"/>
      <c r="U78" s="6"/>
    </row>
    <row r="79" spans="1:1010 1027:2036 2053:3062 3079:4088 4105:5114 5131:6140 6157:7166 7183:8192 8209:9200 9217:10226 10243:11252 11269:12278 12295:13304 13321:14330 14347:15356 15373:16382" s="105" customFormat="1" x14ac:dyDescent="0.35">
      <c r="A79" s="181" t="s">
        <v>133</v>
      </c>
      <c r="B79" s="181" t="s">
        <v>134</v>
      </c>
      <c r="C79" s="198">
        <v>0.59499999999999997</v>
      </c>
      <c r="D79" s="198">
        <v>1.7470000000000001</v>
      </c>
      <c r="E79" s="198">
        <v>1.2E-2</v>
      </c>
      <c r="F79" s="198">
        <v>0</v>
      </c>
      <c r="G79" s="198">
        <v>0</v>
      </c>
      <c r="H79" s="198">
        <v>0</v>
      </c>
      <c r="I79" s="198">
        <v>0</v>
      </c>
      <c r="J79" s="198">
        <v>0</v>
      </c>
      <c r="K79" s="198">
        <v>0</v>
      </c>
      <c r="L79" s="198">
        <v>0</v>
      </c>
      <c r="M79" s="123"/>
      <c r="N79" s="123"/>
      <c r="O79" s="123"/>
      <c r="P79" s="123"/>
      <c r="Q79" s="123"/>
      <c r="R79" s="123"/>
      <c r="T79" s="6"/>
      <c r="U79" s="6"/>
    </row>
    <row r="80" spans="1:1010 1027:2036 2053:3062 3079:4088 4105:5114 5131:6140 6157:7166 7183:8192 8209:9200 9217:10226 10243:11252 11269:12278 12295:13304 13321:14330 14347:15356 15373:16382" s="105" customFormat="1" x14ac:dyDescent="0.35">
      <c r="A80" s="181" t="s">
        <v>135</v>
      </c>
      <c r="B80" s="181" t="s">
        <v>136</v>
      </c>
      <c r="C80" s="198"/>
      <c r="D80" s="198"/>
      <c r="E80" s="198"/>
      <c r="F80" s="198"/>
      <c r="G80" s="198"/>
      <c r="H80" s="198"/>
      <c r="I80" s="198"/>
      <c r="J80" s="198"/>
      <c r="K80" s="198"/>
      <c r="L80" s="198"/>
      <c r="M80" s="123"/>
      <c r="N80" s="123"/>
      <c r="O80" s="123"/>
      <c r="P80" s="123"/>
      <c r="Q80" s="123"/>
      <c r="R80" s="123"/>
      <c r="T80" s="6"/>
      <c r="U80" s="6"/>
    </row>
    <row r="81" spans="1:1010 1027:2036 2053:3062 3079:4088 4105:5114 5131:6140 6157:7166 7183:8192 8209:9200 9217:10226 10243:11252 11269:12278 12295:13304 13321:14330 14347:15356 15373:16382" s="105" customFormat="1" x14ac:dyDescent="0.35">
      <c r="A81" s="181" t="s">
        <v>137</v>
      </c>
      <c r="B81" s="181" t="s">
        <v>138</v>
      </c>
      <c r="C81" s="198"/>
      <c r="D81" s="198"/>
      <c r="E81" s="198"/>
      <c r="F81" s="198"/>
      <c r="G81" s="198"/>
      <c r="H81" s="198"/>
      <c r="I81" s="198"/>
      <c r="J81" s="198"/>
      <c r="K81" s="198"/>
      <c r="L81" s="198"/>
      <c r="M81" s="123"/>
      <c r="N81" s="123"/>
      <c r="O81" s="123"/>
      <c r="P81" s="123"/>
      <c r="Q81" s="123"/>
      <c r="R81" s="123"/>
      <c r="T81" s="6"/>
      <c r="U81" s="6"/>
    </row>
    <row r="82" spans="1:1010 1027:2036 2053:3062 3079:4088 4105:5114 5131:6140 6157:7166 7183:8192 8209:9200 9217:10226 10243:11252 11269:12278 12295:13304 13321:14330 14347:15356 15373:16382" x14ac:dyDescent="0.35">
      <c r="A82" s="181" t="s">
        <v>139</v>
      </c>
      <c r="B82" s="181" t="s">
        <v>140</v>
      </c>
      <c r="C82" s="198">
        <v>43.006</v>
      </c>
      <c r="D82" s="198">
        <v>44.393000000000001</v>
      </c>
      <c r="E82" s="198">
        <v>41.716999999999999</v>
      </c>
      <c r="F82" s="198">
        <v>49.241999999999997</v>
      </c>
      <c r="G82" s="198">
        <v>61.975000000000001</v>
      </c>
      <c r="H82" s="198">
        <v>84.295000000000002</v>
      </c>
      <c r="I82" s="198">
        <v>88.641000000000005</v>
      </c>
      <c r="J82" s="198">
        <v>76.558999999999997</v>
      </c>
      <c r="K82" s="198">
        <v>54.768000000000001</v>
      </c>
      <c r="L82" s="198">
        <v>65.02</v>
      </c>
      <c r="M82" s="11"/>
      <c r="N82" s="11"/>
      <c r="O82" s="11"/>
      <c r="P82" s="11"/>
      <c r="Q82" s="11"/>
      <c r="R82" s="11"/>
      <c r="T82" s="12"/>
      <c r="U82" s="12"/>
    </row>
    <row r="83" spans="1:1010 1027:2036 2053:3062 3079:4088 4105:5114 5131:6140 6157:7166 7183:8192 8209:9200 9217:10226 10243:11252 11269:12278 12295:13304 13321:14330 14347:15356 15373:16382" x14ac:dyDescent="0.35">
      <c r="A83" s="23" t="s">
        <v>29</v>
      </c>
      <c r="B83" s="23"/>
      <c r="C83" s="321">
        <f t="shared" ref="C83:L83" si="15">ROUND(SUM(C78:C82)-IF(C77="",0,C77),1)</f>
        <v>0</v>
      </c>
      <c r="D83" s="321">
        <f t="shared" si="15"/>
        <v>0</v>
      </c>
      <c r="E83" s="321">
        <f t="shared" si="15"/>
        <v>0</v>
      </c>
      <c r="F83" s="321">
        <f t="shared" si="15"/>
        <v>0</v>
      </c>
      <c r="G83" s="321">
        <f t="shared" si="15"/>
        <v>0</v>
      </c>
      <c r="H83" s="321">
        <f t="shared" si="15"/>
        <v>0</v>
      </c>
      <c r="I83" s="321">
        <f t="shared" si="15"/>
        <v>0</v>
      </c>
      <c r="J83" s="321">
        <f t="shared" si="15"/>
        <v>0</v>
      </c>
      <c r="K83" s="321">
        <f t="shared" si="15"/>
        <v>0</v>
      </c>
      <c r="L83" s="321">
        <f t="shared" si="15"/>
        <v>0</v>
      </c>
      <c r="M83" s="118"/>
      <c r="N83" s="118"/>
      <c r="O83" s="118"/>
      <c r="P83" s="118"/>
      <c r="Q83" s="118"/>
      <c r="R83" s="118"/>
      <c r="T83" s="12"/>
      <c r="U83" s="12"/>
    </row>
    <row r="84" spans="1:1010 1027:2036 2053:3062 3079:4088 4105:5114 5131:6140 6157:7166 7183:8192 8209:9200 9217:10226 10243:11252 11269:12278 12295:13304 13321:14330 14347:15356 15373:16382" x14ac:dyDescent="0.35">
      <c r="A84" s="189" t="s">
        <v>141</v>
      </c>
      <c r="B84" s="189" t="s">
        <v>142</v>
      </c>
      <c r="C84" s="205">
        <v>87.86</v>
      </c>
      <c r="D84" s="205">
        <v>92.037000000000006</v>
      </c>
      <c r="E84" s="205">
        <v>80.093999999999994</v>
      </c>
      <c r="F84" s="205">
        <v>82.131</v>
      </c>
      <c r="G84" s="205">
        <v>102.395</v>
      </c>
      <c r="H84" s="205">
        <v>138.24</v>
      </c>
      <c r="I84" s="205">
        <v>160.94200000000001</v>
      </c>
      <c r="J84" s="205">
        <v>136.108</v>
      </c>
      <c r="K84" s="205">
        <v>125.816</v>
      </c>
      <c r="L84" s="205">
        <v>143.59200000000001</v>
      </c>
      <c r="M84" s="312">
        <f>IF(OR(K84=0,K84=""),"",L84/K84-1)</f>
        <v>0.14128568703503541</v>
      </c>
      <c r="N84" s="124"/>
      <c r="O84" s="124"/>
      <c r="P84" s="124"/>
      <c r="Q84" s="124"/>
      <c r="R84" s="124"/>
      <c r="T84" s="5"/>
      <c r="U84" s="5"/>
    </row>
    <row r="85" spans="1:1010 1027:2036 2053:3062 3079:4088 4105:5114 5131:6140 6157:7166 7183:8192 8209:9200 9217:10226 10243:11252 11269:12278 12295:13304 13321:14330 14347:15356 15373:16382" x14ac:dyDescent="0.35">
      <c r="A85" s="24" t="s">
        <v>29</v>
      </c>
      <c r="B85" s="24"/>
      <c r="C85" s="175">
        <f t="shared" ref="C85:L85" si="16">ROUND(IF(C64="",0,C64)+IF(C70="",0,C70)+IF(C77="",0,C77)-IF(C84="",0,C84),1)</f>
        <v>0</v>
      </c>
      <c r="D85" s="175">
        <f t="shared" si="16"/>
        <v>0</v>
      </c>
      <c r="E85" s="175">
        <f t="shared" si="16"/>
        <v>0</v>
      </c>
      <c r="F85" s="175">
        <f t="shared" si="16"/>
        <v>0</v>
      </c>
      <c r="G85" s="175">
        <f t="shared" si="16"/>
        <v>0</v>
      </c>
      <c r="H85" s="175">
        <f t="shared" si="16"/>
        <v>0</v>
      </c>
      <c r="I85" s="175">
        <f t="shared" si="16"/>
        <v>0</v>
      </c>
      <c r="J85" s="175">
        <f t="shared" si="16"/>
        <v>0</v>
      </c>
      <c r="K85" s="175">
        <f t="shared" si="16"/>
        <v>0</v>
      </c>
      <c r="L85" s="175">
        <f t="shared" si="16"/>
        <v>0</v>
      </c>
      <c r="M85" s="121"/>
      <c r="N85" s="121"/>
      <c r="O85" s="121"/>
      <c r="P85" s="121"/>
      <c r="Q85" s="121"/>
      <c r="R85" s="121"/>
      <c r="T85" s="5"/>
      <c r="U85" s="5"/>
    </row>
    <row r="86" spans="1:1010 1027:2036 2053:3062 3079:4088 4105:5114 5131:6140 6157:7166 7183:8192 8209:9200 9217:10226 10243:11252 11269:12278 12295:13304 13321:14330 14347:15356 15373:16382" s="11" customFormat="1" x14ac:dyDescent="0.35">
      <c r="A86" s="183" t="s">
        <v>143</v>
      </c>
      <c r="B86" s="183" t="s">
        <v>144</v>
      </c>
      <c r="C86" s="184">
        <v>116.976</v>
      </c>
      <c r="D86" s="184">
        <v>116.77500000000001</v>
      </c>
      <c r="E86" s="184">
        <v>116.57</v>
      </c>
      <c r="F86" s="184">
        <v>115.846</v>
      </c>
      <c r="G86" s="184">
        <v>141.54400000000001</v>
      </c>
      <c r="H86" s="184">
        <v>133.815</v>
      </c>
      <c r="I86" s="184">
        <v>135.15100000000001</v>
      </c>
      <c r="J86" s="184">
        <v>132.85300000000001</v>
      </c>
      <c r="K86" s="184">
        <v>130.535</v>
      </c>
      <c r="L86" s="184">
        <v>132.16399999999999</v>
      </c>
      <c r="M86" s="312">
        <f>IF(OR(K86=0,K86=""),"",L86/K86-1)</f>
        <v>1.2479411652047245E-2</v>
      </c>
      <c r="S86" s="12"/>
      <c r="T86" s="12"/>
      <c r="AK86" s="12"/>
      <c r="AL86" s="12"/>
      <c r="BC86" s="12"/>
      <c r="BD86" s="12"/>
      <c r="BU86" s="12"/>
      <c r="BV86" s="12"/>
      <c r="CM86" s="12"/>
      <c r="CN86" s="12"/>
      <c r="DE86" s="12"/>
      <c r="DF86" s="12"/>
      <c r="DW86" s="12"/>
      <c r="DX86" s="12"/>
      <c r="EO86" s="12"/>
      <c r="EP86" s="12"/>
      <c r="FG86" s="12"/>
      <c r="FH86" s="12"/>
      <c r="FY86" s="12"/>
      <c r="FZ86" s="12"/>
      <c r="GQ86" s="12"/>
      <c r="GR86" s="12"/>
      <c r="HI86" s="12"/>
      <c r="HJ86" s="12"/>
      <c r="IA86" s="12"/>
      <c r="IB86" s="12"/>
      <c r="IS86" s="12"/>
      <c r="IT86" s="12"/>
      <c r="JK86" s="12"/>
      <c r="JL86" s="12"/>
      <c r="KC86" s="12"/>
      <c r="KD86" s="12"/>
      <c r="KU86" s="12"/>
      <c r="KV86" s="12"/>
      <c r="LM86" s="12"/>
      <c r="LN86" s="12"/>
      <c r="ME86" s="12"/>
      <c r="MF86" s="12"/>
      <c r="MW86" s="12"/>
      <c r="MX86" s="12"/>
      <c r="NO86" s="12"/>
      <c r="NP86" s="12"/>
      <c r="OG86" s="12"/>
      <c r="OH86" s="12"/>
      <c r="OY86" s="12"/>
      <c r="OZ86" s="12"/>
      <c r="PQ86" s="12"/>
      <c r="PR86" s="12"/>
      <c r="QI86" s="12"/>
      <c r="QJ86" s="12"/>
      <c r="RA86" s="12"/>
      <c r="RB86" s="12"/>
      <c r="RS86" s="12"/>
      <c r="RT86" s="12"/>
      <c r="SK86" s="12"/>
      <c r="SL86" s="12"/>
      <c r="TC86" s="12"/>
      <c r="TD86" s="12"/>
      <c r="TU86" s="12"/>
      <c r="TV86" s="12"/>
      <c r="UM86" s="12"/>
      <c r="UN86" s="12"/>
      <c r="VE86" s="12"/>
      <c r="VF86" s="12"/>
      <c r="VW86" s="12"/>
      <c r="VX86" s="12"/>
      <c r="WO86" s="12"/>
      <c r="WP86" s="12"/>
      <c r="XG86" s="12"/>
      <c r="XH86" s="12"/>
      <c r="XY86" s="12"/>
      <c r="XZ86" s="12"/>
      <c r="YQ86" s="12"/>
      <c r="YR86" s="12"/>
      <c r="ZI86" s="12"/>
      <c r="ZJ86" s="12"/>
      <c r="AAA86" s="12"/>
      <c r="AAB86" s="12"/>
      <c r="AAS86" s="12"/>
      <c r="AAT86" s="12"/>
      <c r="ABK86" s="12"/>
      <c r="ABL86" s="12"/>
      <c r="ACC86" s="12"/>
      <c r="ACD86" s="12"/>
      <c r="ACU86" s="12"/>
      <c r="ACV86" s="12"/>
      <c r="ADM86" s="12"/>
      <c r="ADN86" s="12"/>
      <c r="AEE86" s="12"/>
      <c r="AEF86" s="12"/>
      <c r="AEW86" s="12"/>
      <c r="AEX86" s="12"/>
      <c r="AFO86" s="12"/>
      <c r="AFP86" s="12"/>
      <c r="AGG86" s="12"/>
      <c r="AGH86" s="12"/>
      <c r="AGY86" s="12"/>
      <c r="AGZ86" s="12"/>
      <c r="AHQ86" s="12"/>
      <c r="AHR86" s="12"/>
      <c r="AII86" s="12"/>
      <c r="AIJ86" s="12"/>
      <c r="AJA86" s="12"/>
      <c r="AJB86" s="12"/>
      <c r="AJS86" s="12"/>
      <c r="AJT86" s="12"/>
      <c r="AKK86" s="12"/>
      <c r="AKL86" s="12"/>
      <c r="ALC86" s="12"/>
      <c r="ALD86" s="12"/>
      <c r="ALU86" s="12"/>
      <c r="ALV86" s="12"/>
      <c r="AMM86" s="12"/>
      <c r="AMN86" s="12"/>
      <c r="ANE86" s="12"/>
      <c r="ANF86" s="12"/>
      <c r="ANW86" s="12"/>
      <c r="ANX86" s="12"/>
      <c r="AOO86" s="12"/>
      <c r="AOP86" s="12"/>
      <c r="APG86" s="12"/>
      <c r="APH86" s="12"/>
      <c r="APY86" s="12"/>
      <c r="APZ86" s="12"/>
      <c r="AQQ86" s="12"/>
      <c r="AQR86" s="12"/>
      <c r="ARI86" s="12"/>
      <c r="ARJ86" s="12"/>
      <c r="ASA86" s="12"/>
      <c r="ASB86" s="12"/>
      <c r="ASS86" s="12"/>
      <c r="AST86" s="12"/>
      <c r="ATK86" s="12"/>
      <c r="ATL86" s="12"/>
      <c r="AUC86" s="12"/>
      <c r="AUD86" s="12"/>
      <c r="AUU86" s="12"/>
      <c r="AUV86" s="12"/>
      <c r="AVM86" s="12"/>
      <c r="AVN86" s="12"/>
      <c r="AWE86" s="12"/>
      <c r="AWF86" s="12"/>
      <c r="AWW86" s="12"/>
      <c r="AWX86" s="12"/>
      <c r="AXO86" s="12"/>
      <c r="AXP86" s="12"/>
      <c r="AYG86" s="12"/>
      <c r="AYH86" s="12"/>
      <c r="AYY86" s="12"/>
      <c r="AYZ86" s="12"/>
      <c r="AZQ86" s="12"/>
      <c r="AZR86" s="12"/>
      <c r="BAI86" s="12"/>
      <c r="BAJ86" s="12"/>
      <c r="BBA86" s="12"/>
      <c r="BBB86" s="12"/>
      <c r="BBS86" s="12"/>
      <c r="BBT86" s="12"/>
      <c r="BCK86" s="12"/>
      <c r="BCL86" s="12"/>
      <c r="BDC86" s="12"/>
      <c r="BDD86" s="12"/>
      <c r="BDU86" s="12"/>
      <c r="BDV86" s="12"/>
      <c r="BEM86" s="12"/>
      <c r="BEN86" s="12"/>
      <c r="BFE86" s="12"/>
      <c r="BFF86" s="12"/>
      <c r="BFW86" s="12"/>
      <c r="BFX86" s="12"/>
      <c r="BGO86" s="12"/>
      <c r="BGP86" s="12"/>
      <c r="BHG86" s="12"/>
      <c r="BHH86" s="12"/>
      <c r="BHY86" s="12"/>
      <c r="BHZ86" s="12"/>
      <c r="BIQ86" s="12"/>
      <c r="BIR86" s="12"/>
      <c r="BJI86" s="12"/>
      <c r="BJJ86" s="12"/>
      <c r="BKA86" s="12"/>
      <c r="BKB86" s="12"/>
      <c r="BKS86" s="12"/>
      <c r="BKT86" s="12"/>
      <c r="BLK86" s="12"/>
      <c r="BLL86" s="12"/>
      <c r="BMC86" s="12"/>
      <c r="BMD86" s="12"/>
      <c r="BMU86" s="12"/>
      <c r="BMV86" s="12"/>
      <c r="BNM86" s="12"/>
      <c r="BNN86" s="12"/>
      <c r="BOE86" s="12"/>
      <c r="BOF86" s="12"/>
      <c r="BOW86" s="12"/>
      <c r="BOX86" s="12"/>
      <c r="BPO86" s="12"/>
      <c r="BPP86" s="12"/>
      <c r="BQG86" s="12"/>
      <c r="BQH86" s="12"/>
      <c r="BQY86" s="12"/>
      <c r="BQZ86" s="12"/>
      <c r="BRQ86" s="12"/>
      <c r="BRR86" s="12"/>
      <c r="BSI86" s="12"/>
      <c r="BSJ86" s="12"/>
      <c r="BTA86" s="12"/>
      <c r="BTB86" s="12"/>
      <c r="BTS86" s="12"/>
      <c r="BTT86" s="12"/>
      <c r="BUK86" s="12"/>
      <c r="BUL86" s="12"/>
      <c r="BVC86" s="12"/>
      <c r="BVD86" s="12"/>
      <c r="BVU86" s="12"/>
      <c r="BVV86" s="12"/>
      <c r="BWM86" s="12"/>
      <c r="BWN86" s="12"/>
      <c r="BXE86" s="12"/>
      <c r="BXF86" s="12"/>
      <c r="BXW86" s="12"/>
      <c r="BXX86" s="12"/>
      <c r="BYO86" s="12"/>
      <c r="BYP86" s="12"/>
      <c r="BZG86" s="12"/>
      <c r="BZH86" s="12"/>
      <c r="BZY86" s="12"/>
      <c r="BZZ86" s="12"/>
      <c r="CAQ86" s="12"/>
      <c r="CAR86" s="12"/>
      <c r="CBI86" s="12"/>
      <c r="CBJ86" s="12"/>
      <c r="CCA86" s="12"/>
      <c r="CCB86" s="12"/>
      <c r="CCS86" s="12"/>
      <c r="CCT86" s="12"/>
      <c r="CDK86" s="12"/>
      <c r="CDL86" s="12"/>
      <c r="CEC86" s="12"/>
      <c r="CED86" s="12"/>
      <c r="CEU86" s="12"/>
      <c r="CEV86" s="12"/>
      <c r="CFM86" s="12"/>
      <c r="CFN86" s="12"/>
      <c r="CGE86" s="12"/>
      <c r="CGF86" s="12"/>
      <c r="CGW86" s="12"/>
      <c r="CGX86" s="12"/>
      <c r="CHO86" s="12"/>
      <c r="CHP86" s="12"/>
      <c r="CIG86" s="12"/>
      <c r="CIH86" s="12"/>
      <c r="CIY86" s="12"/>
      <c r="CIZ86" s="12"/>
      <c r="CJQ86" s="12"/>
      <c r="CJR86" s="12"/>
      <c r="CKI86" s="12"/>
      <c r="CKJ86" s="12"/>
      <c r="CLA86" s="12"/>
      <c r="CLB86" s="12"/>
      <c r="CLS86" s="12"/>
      <c r="CLT86" s="12"/>
      <c r="CMK86" s="12"/>
      <c r="CML86" s="12"/>
      <c r="CNC86" s="12"/>
      <c r="CND86" s="12"/>
      <c r="CNU86" s="12"/>
      <c r="CNV86" s="12"/>
      <c r="COM86" s="12"/>
      <c r="CON86" s="12"/>
      <c r="CPE86" s="12"/>
      <c r="CPF86" s="12"/>
      <c r="CPW86" s="12"/>
      <c r="CPX86" s="12"/>
      <c r="CQO86" s="12"/>
      <c r="CQP86" s="12"/>
      <c r="CRG86" s="12"/>
      <c r="CRH86" s="12"/>
      <c r="CRY86" s="12"/>
      <c r="CRZ86" s="12"/>
      <c r="CSQ86" s="12"/>
      <c r="CSR86" s="12"/>
      <c r="CTI86" s="12"/>
      <c r="CTJ86" s="12"/>
      <c r="CUA86" s="12"/>
      <c r="CUB86" s="12"/>
      <c r="CUS86" s="12"/>
      <c r="CUT86" s="12"/>
      <c r="CVK86" s="12"/>
      <c r="CVL86" s="12"/>
      <c r="CWC86" s="12"/>
      <c r="CWD86" s="12"/>
      <c r="CWU86" s="12"/>
      <c r="CWV86" s="12"/>
      <c r="CXM86" s="12"/>
      <c r="CXN86" s="12"/>
      <c r="CYE86" s="12"/>
      <c r="CYF86" s="12"/>
      <c r="CYW86" s="12"/>
      <c r="CYX86" s="12"/>
      <c r="CZO86" s="12"/>
      <c r="CZP86" s="12"/>
      <c r="DAG86" s="12"/>
      <c r="DAH86" s="12"/>
      <c r="DAY86" s="12"/>
      <c r="DAZ86" s="12"/>
      <c r="DBQ86" s="12"/>
      <c r="DBR86" s="12"/>
      <c r="DCI86" s="12"/>
      <c r="DCJ86" s="12"/>
      <c r="DDA86" s="12"/>
      <c r="DDB86" s="12"/>
      <c r="DDS86" s="12"/>
      <c r="DDT86" s="12"/>
      <c r="DEK86" s="12"/>
      <c r="DEL86" s="12"/>
      <c r="DFC86" s="12"/>
      <c r="DFD86" s="12"/>
      <c r="DFU86" s="12"/>
      <c r="DFV86" s="12"/>
      <c r="DGM86" s="12"/>
      <c r="DGN86" s="12"/>
      <c r="DHE86" s="12"/>
      <c r="DHF86" s="12"/>
      <c r="DHW86" s="12"/>
      <c r="DHX86" s="12"/>
      <c r="DIO86" s="12"/>
      <c r="DIP86" s="12"/>
      <c r="DJG86" s="12"/>
      <c r="DJH86" s="12"/>
      <c r="DJY86" s="12"/>
      <c r="DJZ86" s="12"/>
      <c r="DKQ86" s="12"/>
      <c r="DKR86" s="12"/>
      <c r="DLI86" s="12"/>
      <c r="DLJ86" s="12"/>
      <c r="DMA86" s="12"/>
      <c r="DMB86" s="12"/>
      <c r="DMS86" s="12"/>
      <c r="DMT86" s="12"/>
      <c r="DNK86" s="12"/>
      <c r="DNL86" s="12"/>
      <c r="DOC86" s="12"/>
      <c r="DOD86" s="12"/>
      <c r="DOU86" s="12"/>
      <c r="DOV86" s="12"/>
      <c r="DPM86" s="12"/>
      <c r="DPN86" s="12"/>
      <c r="DQE86" s="12"/>
      <c r="DQF86" s="12"/>
      <c r="DQW86" s="12"/>
      <c r="DQX86" s="12"/>
      <c r="DRO86" s="12"/>
      <c r="DRP86" s="12"/>
      <c r="DSG86" s="12"/>
      <c r="DSH86" s="12"/>
      <c r="DSY86" s="12"/>
      <c r="DSZ86" s="12"/>
      <c r="DTQ86" s="12"/>
      <c r="DTR86" s="12"/>
      <c r="DUI86" s="12"/>
      <c r="DUJ86" s="12"/>
      <c r="DVA86" s="12"/>
      <c r="DVB86" s="12"/>
      <c r="DVS86" s="12"/>
      <c r="DVT86" s="12"/>
      <c r="DWK86" s="12"/>
      <c r="DWL86" s="12"/>
      <c r="DXC86" s="12"/>
      <c r="DXD86" s="12"/>
      <c r="DXU86" s="12"/>
      <c r="DXV86" s="12"/>
      <c r="DYM86" s="12"/>
      <c r="DYN86" s="12"/>
      <c r="DZE86" s="12"/>
      <c r="DZF86" s="12"/>
      <c r="DZW86" s="12"/>
      <c r="DZX86" s="12"/>
      <c r="EAO86" s="12"/>
      <c r="EAP86" s="12"/>
      <c r="EBG86" s="12"/>
      <c r="EBH86" s="12"/>
      <c r="EBY86" s="12"/>
      <c r="EBZ86" s="12"/>
      <c r="ECQ86" s="12"/>
      <c r="ECR86" s="12"/>
      <c r="EDI86" s="12"/>
      <c r="EDJ86" s="12"/>
      <c r="EEA86" s="12"/>
      <c r="EEB86" s="12"/>
      <c r="EES86" s="12"/>
      <c r="EET86" s="12"/>
      <c r="EFK86" s="12"/>
      <c r="EFL86" s="12"/>
      <c r="EGC86" s="12"/>
      <c r="EGD86" s="12"/>
      <c r="EGU86" s="12"/>
      <c r="EGV86" s="12"/>
      <c r="EHM86" s="12"/>
      <c r="EHN86" s="12"/>
      <c r="EIE86" s="12"/>
      <c r="EIF86" s="12"/>
      <c r="EIW86" s="12"/>
      <c r="EIX86" s="12"/>
      <c r="EJO86" s="12"/>
      <c r="EJP86" s="12"/>
      <c r="EKG86" s="12"/>
      <c r="EKH86" s="12"/>
      <c r="EKY86" s="12"/>
      <c r="EKZ86" s="12"/>
      <c r="ELQ86" s="12"/>
      <c r="ELR86" s="12"/>
      <c r="EMI86" s="12"/>
      <c r="EMJ86" s="12"/>
      <c r="ENA86" s="12"/>
      <c r="ENB86" s="12"/>
      <c r="ENS86" s="12"/>
      <c r="ENT86" s="12"/>
      <c r="EOK86" s="12"/>
      <c r="EOL86" s="12"/>
      <c r="EPC86" s="12"/>
      <c r="EPD86" s="12"/>
      <c r="EPU86" s="12"/>
      <c r="EPV86" s="12"/>
      <c r="EQM86" s="12"/>
      <c r="EQN86" s="12"/>
      <c r="ERE86" s="12"/>
      <c r="ERF86" s="12"/>
      <c r="ERW86" s="12"/>
      <c r="ERX86" s="12"/>
      <c r="ESO86" s="12"/>
      <c r="ESP86" s="12"/>
      <c r="ETG86" s="12"/>
      <c r="ETH86" s="12"/>
      <c r="ETY86" s="12"/>
      <c r="ETZ86" s="12"/>
      <c r="EUQ86" s="12"/>
      <c r="EUR86" s="12"/>
      <c r="EVI86" s="12"/>
      <c r="EVJ86" s="12"/>
      <c r="EWA86" s="12"/>
      <c r="EWB86" s="12"/>
      <c r="EWS86" s="12"/>
      <c r="EWT86" s="12"/>
      <c r="EXK86" s="12"/>
      <c r="EXL86" s="12"/>
      <c r="EYC86" s="12"/>
      <c r="EYD86" s="12"/>
      <c r="EYU86" s="12"/>
      <c r="EYV86" s="12"/>
      <c r="EZM86" s="12"/>
      <c r="EZN86" s="12"/>
      <c r="FAE86" s="12"/>
      <c r="FAF86" s="12"/>
      <c r="FAW86" s="12"/>
      <c r="FAX86" s="12"/>
      <c r="FBO86" s="12"/>
      <c r="FBP86" s="12"/>
      <c r="FCG86" s="12"/>
      <c r="FCH86" s="12"/>
      <c r="FCY86" s="12"/>
      <c r="FCZ86" s="12"/>
      <c r="FDQ86" s="12"/>
      <c r="FDR86" s="12"/>
      <c r="FEI86" s="12"/>
      <c r="FEJ86" s="12"/>
      <c r="FFA86" s="12"/>
      <c r="FFB86" s="12"/>
      <c r="FFS86" s="12"/>
      <c r="FFT86" s="12"/>
      <c r="FGK86" s="12"/>
      <c r="FGL86" s="12"/>
      <c r="FHC86" s="12"/>
      <c r="FHD86" s="12"/>
      <c r="FHU86" s="12"/>
      <c r="FHV86" s="12"/>
      <c r="FIM86" s="12"/>
      <c r="FIN86" s="12"/>
      <c r="FJE86" s="12"/>
      <c r="FJF86" s="12"/>
      <c r="FJW86" s="12"/>
      <c r="FJX86" s="12"/>
      <c r="FKO86" s="12"/>
      <c r="FKP86" s="12"/>
      <c r="FLG86" s="12"/>
      <c r="FLH86" s="12"/>
      <c r="FLY86" s="12"/>
      <c r="FLZ86" s="12"/>
      <c r="FMQ86" s="12"/>
      <c r="FMR86" s="12"/>
      <c r="FNI86" s="12"/>
      <c r="FNJ86" s="12"/>
      <c r="FOA86" s="12"/>
      <c r="FOB86" s="12"/>
      <c r="FOS86" s="12"/>
      <c r="FOT86" s="12"/>
      <c r="FPK86" s="12"/>
      <c r="FPL86" s="12"/>
      <c r="FQC86" s="12"/>
      <c r="FQD86" s="12"/>
      <c r="FQU86" s="12"/>
      <c r="FQV86" s="12"/>
      <c r="FRM86" s="12"/>
      <c r="FRN86" s="12"/>
      <c r="FSE86" s="12"/>
      <c r="FSF86" s="12"/>
      <c r="FSW86" s="12"/>
      <c r="FSX86" s="12"/>
      <c r="FTO86" s="12"/>
      <c r="FTP86" s="12"/>
      <c r="FUG86" s="12"/>
      <c r="FUH86" s="12"/>
      <c r="FUY86" s="12"/>
      <c r="FUZ86" s="12"/>
      <c r="FVQ86" s="12"/>
      <c r="FVR86" s="12"/>
      <c r="FWI86" s="12"/>
      <c r="FWJ86" s="12"/>
      <c r="FXA86" s="12"/>
      <c r="FXB86" s="12"/>
      <c r="FXS86" s="12"/>
      <c r="FXT86" s="12"/>
      <c r="FYK86" s="12"/>
      <c r="FYL86" s="12"/>
      <c r="FZC86" s="12"/>
      <c r="FZD86" s="12"/>
      <c r="FZU86" s="12"/>
      <c r="FZV86" s="12"/>
      <c r="GAM86" s="12"/>
      <c r="GAN86" s="12"/>
      <c r="GBE86" s="12"/>
      <c r="GBF86" s="12"/>
      <c r="GBW86" s="12"/>
      <c r="GBX86" s="12"/>
      <c r="GCO86" s="12"/>
      <c r="GCP86" s="12"/>
      <c r="GDG86" s="12"/>
      <c r="GDH86" s="12"/>
      <c r="GDY86" s="12"/>
      <c r="GDZ86" s="12"/>
      <c r="GEQ86" s="12"/>
      <c r="GER86" s="12"/>
      <c r="GFI86" s="12"/>
      <c r="GFJ86" s="12"/>
      <c r="GGA86" s="12"/>
      <c r="GGB86" s="12"/>
      <c r="GGS86" s="12"/>
      <c r="GGT86" s="12"/>
      <c r="GHK86" s="12"/>
      <c r="GHL86" s="12"/>
      <c r="GIC86" s="12"/>
      <c r="GID86" s="12"/>
      <c r="GIU86" s="12"/>
      <c r="GIV86" s="12"/>
      <c r="GJM86" s="12"/>
      <c r="GJN86" s="12"/>
      <c r="GKE86" s="12"/>
      <c r="GKF86" s="12"/>
      <c r="GKW86" s="12"/>
      <c r="GKX86" s="12"/>
      <c r="GLO86" s="12"/>
      <c r="GLP86" s="12"/>
      <c r="GMG86" s="12"/>
      <c r="GMH86" s="12"/>
      <c r="GMY86" s="12"/>
      <c r="GMZ86" s="12"/>
      <c r="GNQ86" s="12"/>
      <c r="GNR86" s="12"/>
      <c r="GOI86" s="12"/>
      <c r="GOJ86" s="12"/>
      <c r="GPA86" s="12"/>
      <c r="GPB86" s="12"/>
      <c r="GPS86" s="12"/>
      <c r="GPT86" s="12"/>
      <c r="GQK86" s="12"/>
      <c r="GQL86" s="12"/>
      <c r="GRC86" s="12"/>
      <c r="GRD86" s="12"/>
      <c r="GRU86" s="12"/>
      <c r="GRV86" s="12"/>
      <c r="GSM86" s="12"/>
      <c r="GSN86" s="12"/>
      <c r="GTE86" s="12"/>
      <c r="GTF86" s="12"/>
      <c r="GTW86" s="12"/>
      <c r="GTX86" s="12"/>
      <c r="GUO86" s="12"/>
      <c r="GUP86" s="12"/>
      <c r="GVG86" s="12"/>
      <c r="GVH86" s="12"/>
      <c r="GVY86" s="12"/>
      <c r="GVZ86" s="12"/>
      <c r="GWQ86" s="12"/>
      <c r="GWR86" s="12"/>
      <c r="GXI86" s="12"/>
      <c r="GXJ86" s="12"/>
      <c r="GYA86" s="12"/>
      <c r="GYB86" s="12"/>
      <c r="GYS86" s="12"/>
      <c r="GYT86" s="12"/>
      <c r="GZK86" s="12"/>
      <c r="GZL86" s="12"/>
      <c r="HAC86" s="12"/>
      <c r="HAD86" s="12"/>
      <c r="HAU86" s="12"/>
      <c r="HAV86" s="12"/>
      <c r="HBM86" s="12"/>
      <c r="HBN86" s="12"/>
      <c r="HCE86" s="12"/>
      <c r="HCF86" s="12"/>
      <c r="HCW86" s="12"/>
      <c r="HCX86" s="12"/>
      <c r="HDO86" s="12"/>
      <c r="HDP86" s="12"/>
      <c r="HEG86" s="12"/>
      <c r="HEH86" s="12"/>
      <c r="HEY86" s="12"/>
      <c r="HEZ86" s="12"/>
      <c r="HFQ86" s="12"/>
      <c r="HFR86" s="12"/>
      <c r="HGI86" s="12"/>
      <c r="HGJ86" s="12"/>
      <c r="HHA86" s="12"/>
      <c r="HHB86" s="12"/>
      <c r="HHS86" s="12"/>
      <c r="HHT86" s="12"/>
      <c r="HIK86" s="12"/>
      <c r="HIL86" s="12"/>
      <c r="HJC86" s="12"/>
      <c r="HJD86" s="12"/>
      <c r="HJU86" s="12"/>
      <c r="HJV86" s="12"/>
      <c r="HKM86" s="12"/>
      <c r="HKN86" s="12"/>
      <c r="HLE86" s="12"/>
      <c r="HLF86" s="12"/>
      <c r="HLW86" s="12"/>
      <c r="HLX86" s="12"/>
      <c r="HMO86" s="12"/>
      <c r="HMP86" s="12"/>
      <c r="HNG86" s="12"/>
      <c r="HNH86" s="12"/>
      <c r="HNY86" s="12"/>
      <c r="HNZ86" s="12"/>
      <c r="HOQ86" s="12"/>
      <c r="HOR86" s="12"/>
      <c r="HPI86" s="12"/>
      <c r="HPJ86" s="12"/>
      <c r="HQA86" s="12"/>
      <c r="HQB86" s="12"/>
      <c r="HQS86" s="12"/>
      <c r="HQT86" s="12"/>
      <c r="HRK86" s="12"/>
      <c r="HRL86" s="12"/>
      <c r="HSC86" s="12"/>
      <c r="HSD86" s="12"/>
      <c r="HSU86" s="12"/>
      <c r="HSV86" s="12"/>
      <c r="HTM86" s="12"/>
      <c r="HTN86" s="12"/>
      <c r="HUE86" s="12"/>
      <c r="HUF86" s="12"/>
      <c r="HUW86" s="12"/>
      <c r="HUX86" s="12"/>
      <c r="HVO86" s="12"/>
      <c r="HVP86" s="12"/>
      <c r="HWG86" s="12"/>
      <c r="HWH86" s="12"/>
      <c r="HWY86" s="12"/>
      <c r="HWZ86" s="12"/>
      <c r="HXQ86" s="12"/>
      <c r="HXR86" s="12"/>
      <c r="HYI86" s="12"/>
      <c r="HYJ86" s="12"/>
      <c r="HZA86" s="12"/>
      <c r="HZB86" s="12"/>
      <c r="HZS86" s="12"/>
      <c r="HZT86" s="12"/>
      <c r="IAK86" s="12"/>
      <c r="IAL86" s="12"/>
      <c r="IBC86" s="12"/>
      <c r="IBD86" s="12"/>
      <c r="IBU86" s="12"/>
      <c r="IBV86" s="12"/>
      <c r="ICM86" s="12"/>
      <c r="ICN86" s="12"/>
      <c r="IDE86" s="12"/>
      <c r="IDF86" s="12"/>
      <c r="IDW86" s="12"/>
      <c r="IDX86" s="12"/>
      <c r="IEO86" s="12"/>
      <c r="IEP86" s="12"/>
      <c r="IFG86" s="12"/>
      <c r="IFH86" s="12"/>
      <c r="IFY86" s="12"/>
      <c r="IFZ86" s="12"/>
      <c r="IGQ86" s="12"/>
      <c r="IGR86" s="12"/>
      <c r="IHI86" s="12"/>
      <c r="IHJ86" s="12"/>
      <c r="IIA86" s="12"/>
      <c r="IIB86" s="12"/>
      <c r="IIS86" s="12"/>
      <c r="IIT86" s="12"/>
      <c r="IJK86" s="12"/>
      <c r="IJL86" s="12"/>
      <c r="IKC86" s="12"/>
      <c r="IKD86" s="12"/>
      <c r="IKU86" s="12"/>
      <c r="IKV86" s="12"/>
      <c r="ILM86" s="12"/>
      <c r="ILN86" s="12"/>
      <c r="IME86" s="12"/>
      <c r="IMF86" s="12"/>
      <c r="IMW86" s="12"/>
      <c r="IMX86" s="12"/>
      <c r="INO86" s="12"/>
      <c r="INP86" s="12"/>
      <c r="IOG86" s="12"/>
      <c r="IOH86" s="12"/>
      <c r="IOY86" s="12"/>
      <c r="IOZ86" s="12"/>
      <c r="IPQ86" s="12"/>
      <c r="IPR86" s="12"/>
      <c r="IQI86" s="12"/>
      <c r="IQJ86" s="12"/>
      <c r="IRA86" s="12"/>
      <c r="IRB86" s="12"/>
      <c r="IRS86" s="12"/>
      <c r="IRT86" s="12"/>
      <c r="ISK86" s="12"/>
      <c r="ISL86" s="12"/>
      <c r="ITC86" s="12"/>
      <c r="ITD86" s="12"/>
      <c r="ITU86" s="12"/>
      <c r="ITV86" s="12"/>
      <c r="IUM86" s="12"/>
      <c r="IUN86" s="12"/>
      <c r="IVE86" s="12"/>
      <c r="IVF86" s="12"/>
      <c r="IVW86" s="12"/>
      <c r="IVX86" s="12"/>
      <c r="IWO86" s="12"/>
      <c r="IWP86" s="12"/>
      <c r="IXG86" s="12"/>
      <c r="IXH86" s="12"/>
      <c r="IXY86" s="12"/>
      <c r="IXZ86" s="12"/>
      <c r="IYQ86" s="12"/>
      <c r="IYR86" s="12"/>
      <c r="IZI86" s="12"/>
      <c r="IZJ86" s="12"/>
      <c r="JAA86" s="12"/>
      <c r="JAB86" s="12"/>
      <c r="JAS86" s="12"/>
      <c r="JAT86" s="12"/>
      <c r="JBK86" s="12"/>
      <c r="JBL86" s="12"/>
      <c r="JCC86" s="12"/>
      <c r="JCD86" s="12"/>
      <c r="JCU86" s="12"/>
      <c r="JCV86" s="12"/>
      <c r="JDM86" s="12"/>
      <c r="JDN86" s="12"/>
      <c r="JEE86" s="12"/>
      <c r="JEF86" s="12"/>
      <c r="JEW86" s="12"/>
      <c r="JEX86" s="12"/>
      <c r="JFO86" s="12"/>
      <c r="JFP86" s="12"/>
      <c r="JGG86" s="12"/>
      <c r="JGH86" s="12"/>
      <c r="JGY86" s="12"/>
      <c r="JGZ86" s="12"/>
      <c r="JHQ86" s="12"/>
      <c r="JHR86" s="12"/>
      <c r="JII86" s="12"/>
      <c r="JIJ86" s="12"/>
      <c r="JJA86" s="12"/>
      <c r="JJB86" s="12"/>
      <c r="JJS86" s="12"/>
      <c r="JJT86" s="12"/>
      <c r="JKK86" s="12"/>
      <c r="JKL86" s="12"/>
      <c r="JLC86" s="12"/>
      <c r="JLD86" s="12"/>
      <c r="JLU86" s="12"/>
      <c r="JLV86" s="12"/>
      <c r="JMM86" s="12"/>
      <c r="JMN86" s="12"/>
      <c r="JNE86" s="12"/>
      <c r="JNF86" s="12"/>
      <c r="JNW86" s="12"/>
      <c r="JNX86" s="12"/>
      <c r="JOO86" s="12"/>
      <c r="JOP86" s="12"/>
      <c r="JPG86" s="12"/>
      <c r="JPH86" s="12"/>
      <c r="JPY86" s="12"/>
      <c r="JPZ86" s="12"/>
      <c r="JQQ86" s="12"/>
      <c r="JQR86" s="12"/>
      <c r="JRI86" s="12"/>
      <c r="JRJ86" s="12"/>
      <c r="JSA86" s="12"/>
      <c r="JSB86" s="12"/>
      <c r="JSS86" s="12"/>
      <c r="JST86" s="12"/>
      <c r="JTK86" s="12"/>
      <c r="JTL86" s="12"/>
      <c r="JUC86" s="12"/>
      <c r="JUD86" s="12"/>
      <c r="JUU86" s="12"/>
      <c r="JUV86" s="12"/>
      <c r="JVM86" s="12"/>
      <c r="JVN86" s="12"/>
      <c r="JWE86" s="12"/>
      <c r="JWF86" s="12"/>
      <c r="JWW86" s="12"/>
      <c r="JWX86" s="12"/>
      <c r="JXO86" s="12"/>
      <c r="JXP86" s="12"/>
      <c r="JYG86" s="12"/>
      <c r="JYH86" s="12"/>
      <c r="JYY86" s="12"/>
      <c r="JYZ86" s="12"/>
      <c r="JZQ86" s="12"/>
      <c r="JZR86" s="12"/>
      <c r="KAI86" s="12"/>
      <c r="KAJ86" s="12"/>
      <c r="KBA86" s="12"/>
      <c r="KBB86" s="12"/>
      <c r="KBS86" s="12"/>
      <c r="KBT86" s="12"/>
      <c r="KCK86" s="12"/>
      <c r="KCL86" s="12"/>
      <c r="KDC86" s="12"/>
      <c r="KDD86" s="12"/>
      <c r="KDU86" s="12"/>
      <c r="KDV86" s="12"/>
      <c r="KEM86" s="12"/>
      <c r="KEN86" s="12"/>
      <c r="KFE86" s="12"/>
      <c r="KFF86" s="12"/>
      <c r="KFW86" s="12"/>
      <c r="KFX86" s="12"/>
      <c r="KGO86" s="12"/>
      <c r="KGP86" s="12"/>
      <c r="KHG86" s="12"/>
      <c r="KHH86" s="12"/>
      <c r="KHY86" s="12"/>
      <c r="KHZ86" s="12"/>
      <c r="KIQ86" s="12"/>
      <c r="KIR86" s="12"/>
      <c r="KJI86" s="12"/>
      <c r="KJJ86" s="12"/>
      <c r="KKA86" s="12"/>
      <c r="KKB86" s="12"/>
      <c r="KKS86" s="12"/>
      <c r="KKT86" s="12"/>
      <c r="KLK86" s="12"/>
      <c r="KLL86" s="12"/>
      <c r="KMC86" s="12"/>
      <c r="KMD86" s="12"/>
      <c r="KMU86" s="12"/>
      <c r="KMV86" s="12"/>
      <c r="KNM86" s="12"/>
      <c r="KNN86" s="12"/>
      <c r="KOE86" s="12"/>
      <c r="KOF86" s="12"/>
      <c r="KOW86" s="12"/>
      <c r="KOX86" s="12"/>
      <c r="KPO86" s="12"/>
      <c r="KPP86" s="12"/>
      <c r="KQG86" s="12"/>
      <c r="KQH86" s="12"/>
      <c r="KQY86" s="12"/>
      <c r="KQZ86" s="12"/>
      <c r="KRQ86" s="12"/>
      <c r="KRR86" s="12"/>
      <c r="KSI86" s="12"/>
      <c r="KSJ86" s="12"/>
      <c r="KTA86" s="12"/>
      <c r="KTB86" s="12"/>
      <c r="KTS86" s="12"/>
      <c r="KTT86" s="12"/>
      <c r="KUK86" s="12"/>
      <c r="KUL86" s="12"/>
      <c r="KVC86" s="12"/>
      <c r="KVD86" s="12"/>
      <c r="KVU86" s="12"/>
      <c r="KVV86" s="12"/>
      <c r="KWM86" s="12"/>
      <c r="KWN86" s="12"/>
      <c r="KXE86" s="12"/>
      <c r="KXF86" s="12"/>
      <c r="KXW86" s="12"/>
      <c r="KXX86" s="12"/>
      <c r="KYO86" s="12"/>
      <c r="KYP86" s="12"/>
      <c r="KZG86" s="12"/>
      <c r="KZH86" s="12"/>
      <c r="KZY86" s="12"/>
      <c r="KZZ86" s="12"/>
      <c r="LAQ86" s="12"/>
      <c r="LAR86" s="12"/>
      <c r="LBI86" s="12"/>
      <c r="LBJ86" s="12"/>
      <c r="LCA86" s="12"/>
      <c r="LCB86" s="12"/>
      <c r="LCS86" s="12"/>
      <c r="LCT86" s="12"/>
      <c r="LDK86" s="12"/>
      <c r="LDL86" s="12"/>
      <c r="LEC86" s="12"/>
      <c r="LED86" s="12"/>
      <c r="LEU86" s="12"/>
      <c r="LEV86" s="12"/>
      <c r="LFM86" s="12"/>
      <c r="LFN86" s="12"/>
      <c r="LGE86" s="12"/>
      <c r="LGF86" s="12"/>
      <c r="LGW86" s="12"/>
      <c r="LGX86" s="12"/>
      <c r="LHO86" s="12"/>
      <c r="LHP86" s="12"/>
      <c r="LIG86" s="12"/>
      <c r="LIH86" s="12"/>
      <c r="LIY86" s="12"/>
      <c r="LIZ86" s="12"/>
      <c r="LJQ86" s="12"/>
      <c r="LJR86" s="12"/>
      <c r="LKI86" s="12"/>
      <c r="LKJ86" s="12"/>
      <c r="LLA86" s="12"/>
      <c r="LLB86" s="12"/>
      <c r="LLS86" s="12"/>
      <c r="LLT86" s="12"/>
      <c r="LMK86" s="12"/>
      <c r="LML86" s="12"/>
      <c r="LNC86" s="12"/>
      <c r="LND86" s="12"/>
      <c r="LNU86" s="12"/>
      <c r="LNV86" s="12"/>
      <c r="LOM86" s="12"/>
      <c r="LON86" s="12"/>
      <c r="LPE86" s="12"/>
      <c r="LPF86" s="12"/>
      <c r="LPW86" s="12"/>
      <c r="LPX86" s="12"/>
      <c r="LQO86" s="12"/>
      <c r="LQP86" s="12"/>
      <c r="LRG86" s="12"/>
      <c r="LRH86" s="12"/>
      <c r="LRY86" s="12"/>
      <c r="LRZ86" s="12"/>
      <c r="LSQ86" s="12"/>
      <c r="LSR86" s="12"/>
      <c r="LTI86" s="12"/>
      <c r="LTJ86" s="12"/>
      <c r="LUA86" s="12"/>
      <c r="LUB86" s="12"/>
      <c r="LUS86" s="12"/>
      <c r="LUT86" s="12"/>
      <c r="LVK86" s="12"/>
      <c r="LVL86" s="12"/>
      <c r="LWC86" s="12"/>
      <c r="LWD86" s="12"/>
      <c r="LWU86" s="12"/>
      <c r="LWV86" s="12"/>
      <c r="LXM86" s="12"/>
      <c r="LXN86" s="12"/>
      <c r="LYE86" s="12"/>
      <c r="LYF86" s="12"/>
      <c r="LYW86" s="12"/>
      <c r="LYX86" s="12"/>
      <c r="LZO86" s="12"/>
      <c r="LZP86" s="12"/>
      <c r="MAG86" s="12"/>
      <c r="MAH86" s="12"/>
      <c r="MAY86" s="12"/>
      <c r="MAZ86" s="12"/>
      <c r="MBQ86" s="12"/>
      <c r="MBR86" s="12"/>
      <c r="MCI86" s="12"/>
      <c r="MCJ86" s="12"/>
      <c r="MDA86" s="12"/>
      <c r="MDB86" s="12"/>
      <c r="MDS86" s="12"/>
      <c r="MDT86" s="12"/>
      <c r="MEK86" s="12"/>
      <c r="MEL86" s="12"/>
      <c r="MFC86" s="12"/>
      <c r="MFD86" s="12"/>
      <c r="MFU86" s="12"/>
      <c r="MFV86" s="12"/>
      <c r="MGM86" s="12"/>
      <c r="MGN86" s="12"/>
      <c r="MHE86" s="12"/>
      <c r="MHF86" s="12"/>
      <c r="MHW86" s="12"/>
      <c r="MHX86" s="12"/>
      <c r="MIO86" s="12"/>
      <c r="MIP86" s="12"/>
      <c r="MJG86" s="12"/>
      <c r="MJH86" s="12"/>
      <c r="MJY86" s="12"/>
      <c r="MJZ86" s="12"/>
      <c r="MKQ86" s="12"/>
      <c r="MKR86" s="12"/>
      <c r="MLI86" s="12"/>
      <c r="MLJ86" s="12"/>
      <c r="MMA86" s="12"/>
      <c r="MMB86" s="12"/>
      <c r="MMS86" s="12"/>
      <c r="MMT86" s="12"/>
      <c r="MNK86" s="12"/>
      <c r="MNL86" s="12"/>
      <c r="MOC86" s="12"/>
      <c r="MOD86" s="12"/>
      <c r="MOU86" s="12"/>
      <c r="MOV86" s="12"/>
      <c r="MPM86" s="12"/>
      <c r="MPN86" s="12"/>
      <c r="MQE86" s="12"/>
      <c r="MQF86" s="12"/>
      <c r="MQW86" s="12"/>
      <c r="MQX86" s="12"/>
      <c r="MRO86" s="12"/>
      <c r="MRP86" s="12"/>
      <c r="MSG86" s="12"/>
      <c r="MSH86" s="12"/>
      <c r="MSY86" s="12"/>
      <c r="MSZ86" s="12"/>
      <c r="MTQ86" s="12"/>
      <c r="MTR86" s="12"/>
      <c r="MUI86" s="12"/>
      <c r="MUJ86" s="12"/>
      <c r="MVA86" s="12"/>
      <c r="MVB86" s="12"/>
      <c r="MVS86" s="12"/>
      <c r="MVT86" s="12"/>
      <c r="MWK86" s="12"/>
      <c r="MWL86" s="12"/>
      <c r="MXC86" s="12"/>
      <c r="MXD86" s="12"/>
      <c r="MXU86" s="12"/>
      <c r="MXV86" s="12"/>
      <c r="MYM86" s="12"/>
      <c r="MYN86" s="12"/>
      <c r="MZE86" s="12"/>
      <c r="MZF86" s="12"/>
      <c r="MZW86" s="12"/>
      <c r="MZX86" s="12"/>
      <c r="NAO86" s="12"/>
      <c r="NAP86" s="12"/>
      <c r="NBG86" s="12"/>
      <c r="NBH86" s="12"/>
      <c r="NBY86" s="12"/>
      <c r="NBZ86" s="12"/>
      <c r="NCQ86" s="12"/>
      <c r="NCR86" s="12"/>
      <c r="NDI86" s="12"/>
      <c r="NDJ86" s="12"/>
      <c r="NEA86" s="12"/>
      <c r="NEB86" s="12"/>
      <c r="NES86" s="12"/>
      <c r="NET86" s="12"/>
      <c r="NFK86" s="12"/>
      <c r="NFL86" s="12"/>
      <c r="NGC86" s="12"/>
      <c r="NGD86" s="12"/>
      <c r="NGU86" s="12"/>
      <c r="NGV86" s="12"/>
      <c r="NHM86" s="12"/>
      <c r="NHN86" s="12"/>
      <c r="NIE86" s="12"/>
      <c r="NIF86" s="12"/>
      <c r="NIW86" s="12"/>
      <c r="NIX86" s="12"/>
      <c r="NJO86" s="12"/>
      <c r="NJP86" s="12"/>
      <c r="NKG86" s="12"/>
      <c r="NKH86" s="12"/>
      <c r="NKY86" s="12"/>
      <c r="NKZ86" s="12"/>
      <c r="NLQ86" s="12"/>
      <c r="NLR86" s="12"/>
      <c r="NMI86" s="12"/>
      <c r="NMJ86" s="12"/>
      <c r="NNA86" s="12"/>
      <c r="NNB86" s="12"/>
      <c r="NNS86" s="12"/>
      <c r="NNT86" s="12"/>
      <c r="NOK86" s="12"/>
      <c r="NOL86" s="12"/>
      <c r="NPC86" s="12"/>
      <c r="NPD86" s="12"/>
      <c r="NPU86" s="12"/>
      <c r="NPV86" s="12"/>
      <c r="NQM86" s="12"/>
      <c r="NQN86" s="12"/>
      <c r="NRE86" s="12"/>
      <c r="NRF86" s="12"/>
      <c r="NRW86" s="12"/>
      <c r="NRX86" s="12"/>
      <c r="NSO86" s="12"/>
      <c r="NSP86" s="12"/>
      <c r="NTG86" s="12"/>
      <c r="NTH86" s="12"/>
      <c r="NTY86" s="12"/>
      <c r="NTZ86" s="12"/>
      <c r="NUQ86" s="12"/>
      <c r="NUR86" s="12"/>
      <c r="NVI86" s="12"/>
      <c r="NVJ86" s="12"/>
      <c r="NWA86" s="12"/>
      <c r="NWB86" s="12"/>
      <c r="NWS86" s="12"/>
      <c r="NWT86" s="12"/>
      <c r="NXK86" s="12"/>
      <c r="NXL86" s="12"/>
      <c r="NYC86" s="12"/>
      <c r="NYD86" s="12"/>
      <c r="NYU86" s="12"/>
      <c r="NYV86" s="12"/>
      <c r="NZM86" s="12"/>
      <c r="NZN86" s="12"/>
      <c r="OAE86" s="12"/>
      <c r="OAF86" s="12"/>
      <c r="OAW86" s="12"/>
      <c r="OAX86" s="12"/>
      <c r="OBO86" s="12"/>
      <c r="OBP86" s="12"/>
      <c r="OCG86" s="12"/>
      <c r="OCH86" s="12"/>
      <c r="OCY86" s="12"/>
      <c r="OCZ86" s="12"/>
      <c r="ODQ86" s="12"/>
      <c r="ODR86" s="12"/>
      <c r="OEI86" s="12"/>
      <c r="OEJ86" s="12"/>
      <c r="OFA86" s="12"/>
      <c r="OFB86" s="12"/>
      <c r="OFS86" s="12"/>
      <c r="OFT86" s="12"/>
      <c r="OGK86" s="12"/>
      <c r="OGL86" s="12"/>
      <c r="OHC86" s="12"/>
      <c r="OHD86" s="12"/>
      <c r="OHU86" s="12"/>
      <c r="OHV86" s="12"/>
      <c r="OIM86" s="12"/>
      <c r="OIN86" s="12"/>
      <c r="OJE86" s="12"/>
      <c r="OJF86" s="12"/>
      <c r="OJW86" s="12"/>
      <c r="OJX86" s="12"/>
      <c r="OKO86" s="12"/>
      <c r="OKP86" s="12"/>
      <c r="OLG86" s="12"/>
      <c r="OLH86" s="12"/>
      <c r="OLY86" s="12"/>
      <c r="OLZ86" s="12"/>
      <c r="OMQ86" s="12"/>
      <c r="OMR86" s="12"/>
      <c r="ONI86" s="12"/>
      <c r="ONJ86" s="12"/>
      <c r="OOA86" s="12"/>
      <c r="OOB86" s="12"/>
      <c r="OOS86" s="12"/>
      <c r="OOT86" s="12"/>
      <c r="OPK86" s="12"/>
      <c r="OPL86" s="12"/>
      <c r="OQC86" s="12"/>
      <c r="OQD86" s="12"/>
      <c r="OQU86" s="12"/>
      <c r="OQV86" s="12"/>
      <c r="ORM86" s="12"/>
      <c r="ORN86" s="12"/>
      <c r="OSE86" s="12"/>
      <c r="OSF86" s="12"/>
      <c r="OSW86" s="12"/>
      <c r="OSX86" s="12"/>
      <c r="OTO86" s="12"/>
      <c r="OTP86" s="12"/>
      <c r="OUG86" s="12"/>
      <c r="OUH86" s="12"/>
      <c r="OUY86" s="12"/>
      <c r="OUZ86" s="12"/>
      <c r="OVQ86" s="12"/>
      <c r="OVR86" s="12"/>
      <c r="OWI86" s="12"/>
      <c r="OWJ86" s="12"/>
      <c r="OXA86" s="12"/>
      <c r="OXB86" s="12"/>
      <c r="OXS86" s="12"/>
      <c r="OXT86" s="12"/>
      <c r="OYK86" s="12"/>
      <c r="OYL86" s="12"/>
      <c r="OZC86" s="12"/>
      <c r="OZD86" s="12"/>
      <c r="OZU86" s="12"/>
      <c r="OZV86" s="12"/>
      <c r="PAM86" s="12"/>
      <c r="PAN86" s="12"/>
      <c r="PBE86" s="12"/>
      <c r="PBF86" s="12"/>
      <c r="PBW86" s="12"/>
      <c r="PBX86" s="12"/>
      <c r="PCO86" s="12"/>
      <c r="PCP86" s="12"/>
      <c r="PDG86" s="12"/>
      <c r="PDH86" s="12"/>
      <c r="PDY86" s="12"/>
      <c r="PDZ86" s="12"/>
      <c r="PEQ86" s="12"/>
      <c r="PER86" s="12"/>
      <c r="PFI86" s="12"/>
      <c r="PFJ86" s="12"/>
      <c r="PGA86" s="12"/>
      <c r="PGB86" s="12"/>
      <c r="PGS86" s="12"/>
      <c r="PGT86" s="12"/>
      <c r="PHK86" s="12"/>
      <c r="PHL86" s="12"/>
      <c r="PIC86" s="12"/>
      <c r="PID86" s="12"/>
      <c r="PIU86" s="12"/>
      <c r="PIV86" s="12"/>
      <c r="PJM86" s="12"/>
      <c r="PJN86" s="12"/>
      <c r="PKE86" s="12"/>
      <c r="PKF86" s="12"/>
      <c r="PKW86" s="12"/>
      <c r="PKX86" s="12"/>
      <c r="PLO86" s="12"/>
      <c r="PLP86" s="12"/>
      <c r="PMG86" s="12"/>
      <c r="PMH86" s="12"/>
      <c r="PMY86" s="12"/>
      <c r="PMZ86" s="12"/>
      <c r="PNQ86" s="12"/>
      <c r="PNR86" s="12"/>
      <c r="POI86" s="12"/>
      <c r="POJ86" s="12"/>
      <c r="PPA86" s="12"/>
      <c r="PPB86" s="12"/>
      <c r="PPS86" s="12"/>
      <c r="PPT86" s="12"/>
      <c r="PQK86" s="12"/>
      <c r="PQL86" s="12"/>
      <c r="PRC86" s="12"/>
      <c r="PRD86" s="12"/>
      <c r="PRU86" s="12"/>
      <c r="PRV86" s="12"/>
      <c r="PSM86" s="12"/>
      <c r="PSN86" s="12"/>
      <c r="PTE86" s="12"/>
      <c r="PTF86" s="12"/>
      <c r="PTW86" s="12"/>
      <c r="PTX86" s="12"/>
      <c r="PUO86" s="12"/>
      <c r="PUP86" s="12"/>
      <c r="PVG86" s="12"/>
      <c r="PVH86" s="12"/>
      <c r="PVY86" s="12"/>
      <c r="PVZ86" s="12"/>
      <c r="PWQ86" s="12"/>
      <c r="PWR86" s="12"/>
      <c r="PXI86" s="12"/>
      <c r="PXJ86" s="12"/>
      <c r="PYA86" s="12"/>
      <c r="PYB86" s="12"/>
      <c r="PYS86" s="12"/>
      <c r="PYT86" s="12"/>
      <c r="PZK86" s="12"/>
      <c r="PZL86" s="12"/>
      <c r="QAC86" s="12"/>
      <c r="QAD86" s="12"/>
      <c r="QAU86" s="12"/>
      <c r="QAV86" s="12"/>
      <c r="QBM86" s="12"/>
      <c r="QBN86" s="12"/>
      <c r="QCE86" s="12"/>
      <c r="QCF86" s="12"/>
      <c r="QCW86" s="12"/>
      <c r="QCX86" s="12"/>
      <c r="QDO86" s="12"/>
      <c r="QDP86" s="12"/>
      <c r="QEG86" s="12"/>
      <c r="QEH86" s="12"/>
      <c r="QEY86" s="12"/>
      <c r="QEZ86" s="12"/>
      <c r="QFQ86" s="12"/>
      <c r="QFR86" s="12"/>
      <c r="QGI86" s="12"/>
      <c r="QGJ86" s="12"/>
      <c r="QHA86" s="12"/>
      <c r="QHB86" s="12"/>
      <c r="QHS86" s="12"/>
      <c r="QHT86" s="12"/>
      <c r="QIK86" s="12"/>
      <c r="QIL86" s="12"/>
      <c r="QJC86" s="12"/>
      <c r="QJD86" s="12"/>
      <c r="QJU86" s="12"/>
      <c r="QJV86" s="12"/>
      <c r="QKM86" s="12"/>
      <c r="QKN86" s="12"/>
      <c r="QLE86" s="12"/>
      <c r="QLF86" s="12"/>
      <c r="QLW86" s="12"/>
      <c r="QLX86" s="12"/>
      <c r="QMO86" s="12"/>
      <c r="QMP86" s="12"/>
      <c r="QNG86" s="12"/>
      <c r="QNH86" s="12"/>
      <c r="QNY86" s="12"/>
      <c r="QNZ86" s="12"/>
      <c r="QOQ86" s="12"/>
      <c r="QOR86" s="12"/>
      <c r="QPI86" s="12"/>
      <c r="QPJ86" s="12"/>
      <c r="QQA86" s="12"/>
      <c r="QQB86" s="12"/>
      <c r="QQS86" s="12"/>
      <c r="QQT86" s="12"/>
      <c r="QRK86" s="12"/>
      <c r="QRL86" s="12"/>
      <c r="QSC86" s="12"/>
      <c r="QSD86" s="12"/>
      <c r="QSU86" s="12"/>
      <c r="QSV86" s="12"/>
      <c r="QTM86" s="12"/>
      <c r="QTN86" s="12"/>
      <c r="QUE86" s="12"/>
      <c r="QUF86" s="12"/>
      <c r="QUW86" s="12"/>
      <c r="QUX86" s="12"/>
      <c r="QVO86" s="12"/>
      <c r="QVP86" s="12"/>
      <c r="QWG86" s="12"/>
      <c r="QWH86" s="12"/>
      <c r="QWY86" s="12"/>
      <c r="QWZ86" s="12"/>
      <c r="QXQ86" s="12"/>
      <c r="QXR86" s="12"/>
      <c r="QYI86" s="12"/>
      <c r="QYJ86" s="12"/>
      <c r="QZA86" s="12"/>
      <c r="QZB86" s="12"/>
      <c r="QZS86" s="12"/>
      <c r="QZT86" s="12"/>
      <c r="RAK86" s="12"/>
      <c r="RAL86" s="12"/>
      <c r="RBC86" s="12"/>
      <c r="RBD86" s="12"/>
      <c r="RBU86" s="12"/>
      <c r="RBV86" s="12"/>
      <c r="RCM86" s="12"/>
      <c r="RCN86" s="12"/>
      <c r="RDE86" s="12"/>
      <c r="RDF86" s="12"/>
      <c r="RDW86" s="12"/>
      <c r="RDX86" s="12"/>
      <c r="REO86" s="12"/>
      <c r="REP86" s="12"/>
      <c r="RFG86" s="12"/>
      <c r="RFH86" s="12"/>
      <c r="RFY86" s="12"/>
      <c r="RFZ86" s="12"/>
      <c r="RGQ86" s="12"/>
      <c r="RGR86" s="12"/>
      <c r="RHI86" s="12"/>
      <c r="RHJ86" s="12"/>
      <c r="RIA86" s="12"/>
      <c r="RIB86" s="12"/>
      <c r="RIS86" s="12"/>
      <c r="RIT86" s="12"/>
      <c r="RJK86" s="12"/>
      <c r="RJL86" s="12"/>
      <c r="RKC86" s="12"/>
      <c r="RKD86" s="12"/>
      <c r="RKU86" s="12"/>
      <c r="RKV86" s="12"/>
      <c r="RLM86" s="12"/>
      <c r="RLN86" s="12"/>
      <c r="RME86" s="12"/>
      <c r="RMF86" s="12"/>
      <c r="RMW86" s="12"/>
      <c r="RMX86" s="12"/>
      <c r="RNO86" s="12"/>
      <c r="RNP86" s="12"/>
      <c r="ROG86" s="12"/>
      <c r="ROH86" s="12"/>
      <c r="ROY86" s="12"/>
      <c r="ROZ86" s="12"/>
      <c r="RPQ86" s="12"/>
      <c r="RPR86" s="12"/>
      <c r="RQI86" s="12"/>
      <c r="RQJ86" s="12"/>
      <c r="RRA86" s="12"/>
      <c r="RRB86" s="12"/>
      <c r="RRS86" s="12"/>
      <c r="RRT86" s="12"/>
      <c r="RSK86" s="12"/>
      <c r="RSL86" s="12"/>
      <c r="RTC86" s="12"/>
      <c r="RTD86" s="12"/>
      <c r="RTU86" s="12"/>
      <c r="RTV86" s="12"/>
      <c r="RUM86" s="12"/>
      <c r="RUN86" s="12"/>
      <c r="RVE86" s="12"/>
      <c r="RVF86" s="12"/>
      <c r="RVW86" s="12"/>
      <c r="RVX86" s="12"/>
      <c r="RWO86" s="12"/>
      <c r="RWP86" s="12"/>
      <c r="RXG86" s="12"/>
      <c r="RXH86" s="12"/>
      <c r="RXY86" s="12"/>
      <c r="RXZ86" s="12"/>
      <c r="RYQ86" s="12"/>
      <c r="RYR86" s="12"/>
      <c r="RZI86" s="12"/>
      <c r="RZJ86" s="12"/>
      <c r="SAA86" s="12"/>
      <c r="SAB86" s="12"/>
      <c r="SAS86" s="12"/>
      <c r="SAT86" s="12"/>
      <c r="SBK86" s="12"/>
      <c r="SBL86" s="12"/>
      <c r="SCC86" s="12"/>
      <c r="SCD86" s="12"/>
      <c r="SCU86" s="12"/>
      <c r="SCV86" s="12"/>
      <c r="SDM86" s="12"/>
      <c r="SDN86" s="12"/>
      <c r="SEE86" s="12"/>
      <c r="SEF86" s="12"/>
      <c r="SEW86" s="12"/>
      <c r="SEX86" s="12"/>
      <c r="SFO86" s="12"/>
      <c r="SFP86" s="12"/>
      <c r="SGG86" s="12"/>
      <c r="SGH86" s="12"/>
      <c r="SGY86" s="12"/>
      <c r="SGZ86" s="12"/>
      <c r="SHQ86" s="12"/>
      <c r="SHR86" s="12"/>
      <c r="SII86" s="12"/>
      <c r="SIJ86" s="12"/>
      <c r="SJA86" s="12"/>
      <c r="SJB86" s="12"/>
      <c r="SJS86" s="12"/>
      <c r="SJT86" s="12"/>
      <c r="SKK86" s="12"/>
      <c r="SKL86" s="12"/>
      <c r="SLC86" s="12"/>
      <c r="SLD86" s="12"/>
      <c r="SLU86" s="12"/>
      <c r="SLV86" s="12"/>
      <c r="SMM86" s="12"/>
      <c r="SMN86" s="12"/>
      <c r="SNE86" s="12"/>
      <c r="SNF86" s="12"/>
      <c r="SNW86" s="12"/>
      <c r="SNX86" s="12"/>
      <c r="SOO86" s="12"/>
      <c r="SOP86" s="12"/>
      <c r="SPG86" s="12"/>
      <c r="SPH86" s="12"/>
      <c r="SPY86" s="12"/>
      <c r="SPZ86" s="12"/>
      <c r="SQQ86" s="12"/>
      <c r="SQR86" s="12"/>
      <c r="SRI86" s="12"/>
      <c r="SRJ86" s="12"/>
      <c r="SSA86" s="12"/>
      <c r="SSB86" s="12"/>
      <c r="SSS86" s="12"/>
      <c r="SST86" s="12"/>
      <c r="STK86" s="12"/>
      <c r="STL86" s="12"/>
      <c r="SUC86" s="12"/>
      <c r="SUD86" s="12"/>
      <c r="SUU86" s="12"/>
      <c r="SUV86" s="12"/>
      <c r="SVM86" s="12"/>
      <c r="SVN86" s="12"/>
      <c r="SWE86" s="12"/>
      <c r="SWF86" s="12"/>
      <c r="SWW86" s="12"/>
      <c r="SWX86" s="12"/>
      <c r="SXO86" s="12"/>
      <c r="SXP86" s="12"/>
      <c r="SYG86" s="12"/>
      <c r="SYH86" s="12"/>
      <c r="SYY86" s="12"/>
      <c r="SYZ86" s="12"/>
      <c r="SZQ86" s="12"/>
      <c r="SZR86" s="12"/>
      <c r="TAI86" s="12"/>
      <c r="TAJ86" s="12"/>
      <c r="TBA86" s="12"/>
      <c r="TBB86" s="12"/>
      <c r="TBS86" s="12"/>
      <c r="TBT86" s="12"/>
      <c r="TCK86" s="12"/>
      <c r="TCL86" s="12"/>
      <c r="TDC86" s="12"/>
      <c r="TDD86" s="12"/>
      <c r="TDU86" s="12"/>
      <c r="TDV86" s="12"/>
      <c r="TEM86" s="12"/>
      <c r="TEN86" s="12"/>
      <c r="TFE86" s="12"/>
      <c r="TFF86" s="12"/>
      <c r="TFW86" s="12"/>
      <c r="TFX86" s="12"/>
      <c r="TGO86" s="12"/>
      <c r="TGP86" s="12"/>
      <c r="THG86" s="12"/>
      <c r="THH86" s="12"/>
      <c r="THY86" s="12"/>
      <c r="THZ86" s="12"/>
      <c r="TIQ86" s="12"/>
      <c r="TIR86" s="12"/>
      <c r="TJI86" s="12"/>
      <c r="TJJ86" s="12"/>
      <c r="TKA86" s="12"/>
      <c r="TKB86" s="12"/>
      <c r="TKS86" s="12"/>
      <c r="TKT86" s="12"/>
      <c r="TLK86" s="12"/>
      <c r="TLL86" s="12"/>
      <c r="TMC86" s="12"/>
      <c r="TMD86" s="12"/>
      <c r="TMU86" s="12"/>
      <c r="TMV86" s="12"/>
      <c r="TNM86" s="12"/>
      <c r="TNN86" s="12"/>
      <c r="TOE86" s="12"/>
      <c r="TOF86" s="12"/>
      <c r="TOW86" s="12"/>
      <c r="TOX86" s="12"/>
      <c r="TPO86" s="12"/>
      <c r="TPP86" s="12"/>
      <c r="TQG86" s="12"/>
      <c r="TQH86" s="12"/>
      <c r="TQY86" s="12"/>
      <c r="TQZ86" s="12"/>
      <c r="TRQ86" s="12"/>
      <c r="TRR86" s="12"/>
      <c r="TSI86" s="12"/>
      <c r="TSJ86" s="12"/>
      <c r="TTA86" s="12"/>
      <c r="TTB86" s="12"/>
      <c r="TTS86" s="12"/>
      <c r="TTT86" s="12"/>
      <c r="TUK86" s="12"/>
      <c r="TUL86" s="12"/>
      <c r="TVC86" s="12"/>
      <c r="TVD86" s="12"/>
      <c r="TVU86" s="12"/>
      <c r="TVV86" s="12"/>
      <c r="TWM86" s="12"/>
      <c r="TWN86" s="12"/>
      <c r="TXE86" s="12"/>
      <c r="TXF86" s="12"/>
      <c r="TXW86" s="12"/>
      <c r="TXX86" s="12"/>
      <c r="TYO86" s="12"/>
      <c r="TYP86" s="12"/>
      <c r="TZG86" s="12"/>
      <c r="TZH86" s="12"/>
      <c r="TZY86" s="12"/>
      <c r="TZZ86" s="12"/>
      <c r="UAQ86" s="12"/>
      <c r="UAR86" s="12"/>
      <c r="UBI86" s="12"/>
      <c r="UBJ86" s="12"/>
      <c r="UCA86" s="12"/>
      <c r="UCB86" s="12"/>
      <c r="UCS86" s="12"/>
      <c r="UCT86" s="12"/>
      <c r="UDK86" s="12"/>
      <c r="UDL86" s="12"/>
      <c r="UEC86" s="12"/>
      <c r="UED86" s="12"/>
      <c r="UEU86" s="12"/>
      <c r="UEV86" s="12"/>
      <c r="UFM86" s="12"/>
      <c r="UFN86" s="12"/>
      <c r="UGE86" s="12"/>
      <c r="UGF86" s="12"/>
      <c r="UGW86" s="12"/>
      <c r="UGX86" s="12"/>
      <c r="UHO86" s="12"/>
      <c r="UHP86" s="12"/>
      <c r="UIG86" s="12"/>
      <c r="UIH86" s="12"/>
      <c r="UIY86" s="12"/>
      <c r="UIZ86" s="12"/>
      <c r="UJQ86" s="12"/>
      <c r="UJR86" s="12"/>
      <c r="UKI86" s="12"/>
      <c r="UKJ86" s="12"/>
      <c r="ULA86" s="12"/>
      <c r="ULB86" s="12"/>
      <c r="ULS86" s="12"/>
      <c r="ULT86" s="12"/>
      <c r="UMK86" s="12"/>
      <c r="UML86" s="12"/>
      <c r="UNC86" s="12"/>
      <c r="UND86" s="12"/>
      <c r="UNU86" s="12"/>
      <c r="UNV86" s="12"/>
      <c r="UOM86" s="12"/>
      <c r="UON86" s="12"/>
      <c r="UPE86" s="12"/>
      <c r="UPF86" s="12"/>
      <c r="UPW86" s="12"/>
      <c r="UPX86" s="12"/>
      <c r="UQO86" s="12"/>
      <c r="UQP86" s="12"/>
      <c r="URG86" s="12"/>
      <c r="URH86" s="12"/>
      <c r="URY86" s="12"/>
      <c r="URZ86" s="12"/>
      <c r="USQ86" s="12"/>
      <c r="USR86" s="12"/>
      <c r="UTI86" s="12"/>
      <c r="UTJ86" s="12"/>
      <c r="UUA86" s="12"/>
      <c r="UUB86" s="12"/>
      <c r="UUS86" s="12"/>
      <c r="UUT86" s="12"/>
      <c r="UVK86" s="12"/>
      <c r="UVL86" s="12"/>
      <c r="UWC86" s="12"/>
      <c r="UWD86" s="12"/>
      <c r="UWU86" s="12"/>
      <c r="UWV86" s="12"/>
      <c r="UXM86" s="12"/>
      <c r="UXN86" s="12"/>
      <c r="UYE86" s="12"/>
      <c r="UYF86" s="12"/>
      <c r="UYW86" s="12"/>
      <c r="UYX86" s="12"/>
      <c r="UZO86" s="12"/>
      <c r="UZP86" s="12"/>
      <c r="VAG86" s="12"/>
      <c r="VAH86" s="12"/>
      <c r="VAY86" s="12"/>
      <c r="VAZ86" s="12"/>
      <c r="VBQ86" s="12"/>
      <c r="VBR86" s="12"/>
      <c r="VCI86" s="12"/>
      <c r="VCJ86" s="12"/>
      <c r="VDA86" s="12"/>
      <c r="VDB86" s="12"/>
      <c r="VDS86" s="12"/>
      <c r="VDT86" s="12"/>
      <c r="VEK86" s="12"/>
      <c r="VEL86" s="12"/>
      <c r="VFC86" s="12"/>
      <c r="VFD86" s="12"/>
      <c r="VFU86" s="12"/>
      <c r="VFV86" s="12"/>
      <c r="VGM86" s="12"/>
      <c r="VGN86" s="12"/>
      <c r="VHE86" s="12"/>
      <c r="VHF86" s="12"/>
      <c r="VHW86" s="12"/>
      <c r="VHX86" s="12"/>
      <c r="VIO86" s="12"/>
      <c r="VIP86" s="12"/>
      <c r="VJG86" s="12"/>
      <c r="VJH86" s="12"/>
      <c r="VJY86" s="12"/>
      <c r="VJZ86" s="12"/>
      <c r="VKQ86" s="12"/>
      <c r="VKR86" s="12"/>
      <c r="VLI86" s="12"/>
      <c r="VLJ86" s="12"/>
      <c r="VMA86" s="12"/>
      <c r="VMB86" s="12"/>
      <c r="VMS86" s="12"/>
      <c r="VMT86" s="12"/>
      <c r="VNK86" s="12"/>
      <c r="VNL86" s="12"/>
      <c r="VOC86" s="12"/>
      <c r="VOD86" s="12"/>
      <c r="VOU86" s="12"/>
      <c r="VOV86" s="12"/>
      <c r="VPM86" s="12"/>
      <c r="VPN86" s="12"/>
      <c r="VQE86" s="12"/>
      <c r="VQF86" s="12"/>
      <c r="VQW86" s="12"/>
      <c r="VQX86" s="12"/>
      <c r="VRO86" s="12"/>
      <c r="VRP86" s="12"/>
      <c r="VSG86" s="12"/>
      <c r="VSH86" s="12"/>
      <c r="VSY86" s="12"/>
      <c r="VSZ86" s="12"/>
      <c r="VTQ86" s="12"/>
      <c r="VTR86" s="12"/>
      <c r="VUI86" s="12"/>
      <c r="VUJ86" s="12"/>
      <c r="VVA86" s="12"/>
      <c r="VVB86" s="12"/>
      <c r="VVS86" s="12"/>
      <c r="VVT86" s="12"/>
      <c r="VWK86" s="12"/>
      <c r="VWL86" s="12"/>
      <c r="VXC86" s="12"/>
      <c r="VXD86" s="12"/>
      <c r="VXU86" s="12"/>
      <c r="VXV86" s="12"/>
      <c r="VYM86" s="12"/>
      <c r="VYN86" s="12"/>
      <c r="VZE86" s="12"/>
      <c r="VZF86" s="12"/>
      <c r="VZW86" s="12"/>
      <c r="VZX86" s="12"/>
      <c r="WAO86" s="12"/>
      <c r="WAP86" s="12"/>
      <c r="WBG86" s="12"/>
      <c r="WBH86" s="12"/>
      <c r="WBY86" s="12"/>
      <c r="WBZ86" s="12"/>
      <c r="WCQ86" s="12"/>
      <c r="WCR86" s="12"/>
      <c r="WDI86" s="12"/>
      <c r="WDJ86" s="12"/>
      <c r="WEA86" s="12"/>
      <c r="WEB86" s="12"/>
      <c r="WES86" s="12"/>
      <c r="WET86" s="12"/>
      <c r="WFK86" s="12"/>
      <c r="WFL86" s="12"/>
      <c r="WGC86" s="12"/>
      <c r="WGD86" s="12"/>
      <c r="WGU86" s="12"/>
      <c r="WGV86" s="12"/>
      <c r="WHM86" s="12"/>
      <c r="WHN86" s="12"/>
      <c r="WIE86" s="12"/>
      <c r="WIF86" s="12"/>
      <c r="WIW86" s="12"/>
      <c r="WIX86" s="12"/>
      <c r="WJO86" s="12"/>
      <c r="WJP86" s="12"/>
      <c r="WKG86" s="12"/>
      <c r="WKH86" s="12"/>
      <c r="WKY86" s="12"/>
      <c r="WKZ86" s="12"/>
      <c r="WLQ86" s="12"/>
      <c r="WLR86" s="12"/>
      <c r="WMI86" s="12"/>
      <c r="WMJ86" s="12"/>
      <c r="WNA86" s="12"/>
      <c r="WNB86" s="12"/>
      <c r="WNS86" s="12"/>
      <c r="WNT86" s="12"/>
      <c r="WOK86" s="12"/>
      <c r="WOL86" s="12"/>
      <c r="WPC86" s="12"/>
      <c r="WPD86" s="12"/>
      <c r="WPU86" s="12"/>
      <c r="WPV86" s="12"/>
      <c r="WQM86" s="12"/>
      <c r="WQN86" s="12"/>
      <c r="WRE86" s="12"/>
      <c r="WRF86" s="12"/>
      <c r="WRW86" s="12"/>
      <c r="WRX86" s="12"/>
      <c r="WSO86" s="12"/>
      <c r="WSP86" s="12"/>
      <c r="WTG86" s="12"/>
      <c r="WTH86" s="12"/>
      <c r="WTY86" s="12"/>
      <c r="WTZ86" s="12"/>
      <c r="WUQ86" s="12"/>
      <c r="WUR86" s="12"/>
      <c r="WVI86" s="12"/>
      <c r="WVJ86" s="12"/>
      <c r="WWA86" s="12"/>
      <c r="WWB86" s="12"/>
      <c r="WWS86" s="12"/>
      <c r="WWT86" s="12"/>
      <c r="WXK86" s="12"/>
      <c r="WXL86" s="12"/>
      <c r="WYC86" s="12"/>
      <c r="WYD86" s="12"/>
      <c r="WYU86" s="12"/>
      <c r="WYV86" s="12"/>
      <c r="WZM86" s="12"/>
      <c r="WZN86" s="12"/>
      <c r="XAE86" s="12"/>
      <c r="XAF86" s="12"/>
      <c r="XAW86" s="12"/>
      <c r="XAX86" s="12"/>
      <c r="XBO86" s="12"/>
      <c r="XBP86" s="12"/>
      <c r="XCG86" s="12"/>
      <c r="XCH86" s="12"/>
      <c r="XCY86" s="12"/>
      <c r="XCZ86" s="12"/>
      <c r="XDQ86" s="12"/>
      <c r="XDR86" s="12"/>
      <c r="XEI86" s="12"/>
      <c r="XEJ86" s="12"/>
      <c r="XFA86" s="12"/>
      <c r="XFB86" s="12"/>
    </row>
    <row r="87" spans="1:1010 1027:2036 2053:3062 3079:4088 4105:5114 5131:6140 6157:7166 7183:8192 8209:9200 9217:10226 10243:11252 11269:12278 12295:13304 13321:14330 14347:15356 15373:16382" x14ac:dyDescent="0.35">
      <c r="A87" s="181" t="s">
        <v>145</v>
      </c>
      <c r="B87" s="181" t="s">
        <v>146</v>
      </c>
      <c r="C87" s="198">
        <v>116.976</v>
      </c>
      <c r="D87" s="198">
        <v>116.77500000000001</v>
      </c>
      <c r="E87" s="198">
        <v>116.57</v>
      </c>
      <c r="F87" s="198">
        <v>115.846</v>
      </c>
      <c r="G87" s="198">
        <v>115.682</v>
      </c>
      <c r="H87" s="198">
        <v>115.514</v>
      </c>
      <c r="I87" s="198">
        <v>115.34099999999999</v>
      </c>
      <c r="J87" s="198">
        <v>115.164</v>
      </c>
      <c r="K87" s="198">
        <v>114.994</v>
      </c>
      <c r="L87" s="198">
        <v>114.81</v>
      </c>
      <c r="M87" s="11"/>
      <c r="N87" s="11"/>
      <c r="O87" s="11"/>
      <c r="P87" s="11"/>
      <c r="Q87" s="11"/>
      <c r="R87" s="11"/>
      <c r="T87" s="12"/>
      <c r="U87" s="12"/>
    </row>
    <row r="88" spans="1:1010 1027:2036 2053:3062 3079:4088 4105:5114 5131:6140 6157:7166 7183:8192 8209:9200 9217:10226 10243:11252 11269:12278 12295:13304 13321:14330 14347:15356 15373:16382" x14ac:dyDescent="0.35">
      <c r="A88" s="181" t="s">
        <v>147</v>
      </c>
      <c r="B88" s="181" t="s">
        <v>148</v>
      </c>
      <c r="C88" s="198">
        <v>0</v>
      </c>
      <c r="D88" s="198">
        <v>0</v>
      </c>
      <c r="E88" s="198">
        <v>0</v>
      </c>
      <c r="F88" s="198">
        <v>0</v>
      </c>
      <c r="G88" s="198">
        <v>25.861999999999998</v>
      </c>
      <c r="H88" s="198">
        <v>18.300999999999998</v>
      </c>
      <c r="I88" s="198">
        <v>19.809999999999999</v>
      </c>
      <c r="J88" s="198">
        <v>17.689</v>
      </c>
      <c r="K88" s="198">
        <v>15.541</v>
      </c>
      <c r="L88" s="198">
        <v>17.353999999999999</v>
      </c>
      <c r="M88" s="11"/>
      <c r="N88" s="11"/>
      <c r="O88" s="11"/>
      <c r="P88" s="11"/>
      <c r="Q88" s="11"/>
      <c r="R88" s="11"/>
      <c r="T88" s="12"/>
      <c r="U88" s="12"/>
    </row>
    <row r="89" spans="1:1010 1027:2036 2053:3062 3079:4088 4105:5114 5131:6140 6157:7166 7183:8192 8209:9200 9217:10226 10243:11252 11269:12278 12295:13304 13321:14330 14347:15356 15373:16382" x14ac:dyDescent="0.35">
      <c r="A89" s="181" t="s">
        <v>149</v>
      </c>
      <c r="B89" s="181" t="s">
        <v>150</v>
      </c>
      <c r="C89" s="198">
        <v>0</v>
      </c>
      <c r="D89" s="198">
        <v>0</v>
      </c>
      <c r="E89" s="198">
        <v>0</v>
      </c>
      <c r="F89" s="198">
        <v>0</v>
      </c>
      <c r="G89" s="198">
        <v>0</v>
      </c>
      <c r="H89" s="198">
        <v>0</v>
      </c>
      <c r="I89" s="198">
        <v>0</v>
      </c>
      <c r="J89" s="198">
        <v>0</v>
      </c>
      <c r="K89" s="198">
        <v>0</v>
      </c>
      <c r="L89" s="198">
        <v>0</v>
      </c>
      <c r="M89" s="11"/>
      <c r="N89" s="11"/>
      <c r="O89" s="11"/>
      <c r="P89" s="11"/>
      <c r="Q89" s="11"/>
      <c r="R89" s="11"/>
      <c r="T89" s="12"/>
      <c r="U89" s="12"/>
    </row>
    <row r="90" spans="1:1010 1027:2036 2053:3062 3079:4088 4105:5114 5131:6140 6157:7166 7183:8192 8209:9200 9217:10226 10243:11252 11269:12278 12295:13304 13321:14330 14347:15356 15373:16382" x14ac:dyDescent="0.35">
      <c r="A90" s="181" t="s">
        <v>151</v>
      </c>
      <c r="B90" s="181" t="s">
        <v>152</v>
      </c>
      <c r="C90" s="198"/>
      <c r="D90" s="198"/>
      <c r="E90" s="198"/>
      <c r="F90" s="198"/>
      <c r="G90" s="198">
        <v>25.861999999999998</v>
      </c>
      <c r="H90" s="198">
        <v>18.300999999999998</v>
      </c>
      <c r="I90" s="198">
        <v>19.809999999999999</v>
      </c>
      <c r="J90" s="198">
        <v>17.689</v>
      </c>
      <c r="K90" s="198">
        <v>15.541</v>
      </c>
      <c r="L90" s="198">
        <v>17.353999999999999</v>
      </c>
      <c r="M90" s="11"/>
      <c r="N90" s="11"/>
      <c r="O90" s="11"/>
      <c r="P90" s="11"/>
      <c r="Q90" s="11"/>
      <c r="R90" s="11"/>
      <c r="T90" s="12"/>
      <c r="U90" s="12"/>
    </row>
    <row r="91" spans="1:1010 1027:2036 2053:3062 3079:4088 4105:5114 5131:6140 6157:7166 7183:8192 8209:9200 9217:10226 10243:11252 11269:12278 12295:13304 13321:14330 14347:15356 15373:16382" x14ac:dyDescent="0.35">
      <c r="A91" s="23" t="s">
        <v>29</v>
      </c>
      <c r="B91" s="23"/>
      <c r="C91" s="321">
        <f t="shared" ref="C91:L91" si="17">ROUND(SUM(C87:C88)-IF(C86="",0,C86),1)</f>
        <v>0</v>
      </c>
      <c r="D91" s="321">
        <f t="shared" si="17"/>
        <v>0</v>
      </c>
      <c r="E91" s="321">
        <f t="shared" si="17"/>
        <v>0</v>
      </c>
      <c r="F91" s="321">
        <f t="shared" si="17"/>
        <v>0</v>
      </c>
      <c r="G91" s="321">
        <f t="shared" si="17"/>
        <v>0</v>
      </c>
      <c r="H91" s="321">
        <f t="shared" si="17"/>
        <v>0</v>
      </c>
      <c r="I91" s="321">
        <f t="shared" si="17"/>
        <v>0</v>
      </c>
      <c r="J91" s="321">
        <f t="shared" si="17"/>
        <v>0</v>
      </c>
      <c r="K91" s="321">
        <f t="shared" si="17"/>
        <v>0</v>
      </c>
      <c r="L91" s="321">
        <f t="shared" si="17"/>
        <v>0</v>
      </c>
      <c r="M91" s="118"/>
      <c r="N91" s="118"/>
      <c r="O91" s="118"/>
      <c r="P91" s="118"/>
      <c r="Q91" s="118"/>
      <c r="R91" s="118"/>
      <c r="T91" s="12"/>
      <c r="U91" s="12"/>
    </row>
    <row r="92" spans="1:1010 1027:2036 2053:3062 3079:4088 4105:5114 5131:6140 6157:7166 7183:8192 8209:9200 9217:10226 10243:11252 11269:12278 12295:13304 13321:14330 14347:15356 15373:16382" s="11" customFormat="1" x14ac:dyDescent="0.35">
      <c r="A92" s="183" t="s">
        <v>153</v>
      </c>
      <c r="B92" s="183" t="s">
        <v>154</v>
      </c>
      <c r="C92" s="184">
        <v>31.111999999999998</v>
      </c>
      <c r="D92" s="184">
        <v>27.164999999999999</v>
      </c>
      <c r="E92" s="184">
        <v>26.725999999999999</v>
      </c>
      <c r="F92" s="184">
        <v>34.128</v>
      </c>
      <c r="G92" s="184">
        <v>28.068999999999999</v>
      </c>
      <c r="H92" s="184">
        <v>26.684999999999999</v>
      </c>
      <c r="I92" s="184">
        <v>21.202000000000002</v>
      </c>
      <c r="J92" s="184">
        <v>21.047999999999998</v>
      </c>
      <c r="K92" s="184">
        <v>22.988</v>
      </c>
      <c r="L92" s="184">
        <v>32.229999999999997</v>
      </c>
      <c r="M92" s="312">
        <f>IF(OR(K92=0,K92=""),"",L92/K92-1)</f>
        <v>0.40203584478858523</v>
      </c>
      <c r="S92" s="12"/>
      <c r="T92" s="12"/>
      <c r="AK92" s="12"/>
      <c r="AL92" s="12"/>
      <c r="BC92" s="12"/>
      <c r="BD92" s="12"/>
      <c r="BU92" s="12"/>
      <c r="BV92" s="12"/>
      <c r="CM92" s="12"/>
      <c r="CN92" s="12"/>
      <c r="DE92" s="12"/>
      <c r="DF92" s="12"/>
      <c r="DW92" s="12"/>
      <c r="DX92" s="12"/>
      <c r="EO92" s="12"/>
      <c r="EP92" s="12"/>
      <c r="FG92" s="12"/>
      <c r="FH92" s="12"/>
      <c r="FY92" s="12"/>
      <c r="FZ92" s="12"/>
      <c r="GQ92" s="12"/>
      <c r="GR92" s="12"/>
      <c r="HI92" s="12"/>
      <c r="HJ92" s="12"/>
      <c r="IA92" s="12"/>
      <c r="IB92" s="12"/>
      <c r="IS92" s="12"/>
      <c r="IT92" s="12"/>
      <c r="JK92" s="12"/>
      <c r="JL92" s="12"/>
      <c r="KC92" s="12"/>
      <c r="KD92" s="12"/>
      <c r="KU92" s="12"/>
      <c r="KV92" s="12"/>
      <c r="LM92" s="12"/>
      <c r="LN92" s="12"/>
      <c r="ME92" s="12"/>
      <c r="MF92" s="12"/>
      <c r="MW92" s="12"/>
      <c r="MX92" s="12"/>
      <c r="NO92" s="12"/>
      <c r="NP92" s="12"/>
      <c r="OG92" s="12"/>
      <c r="OH92" s="12"/>
      <c r="OY92" s="12"/>
      <c r="OZ92" s="12"/>
      <c r="PQ92" s="12"/>
      <c r="PR92" s="12"/>
      <c r="QI92" s="12"/>
      <c r="QJ92" s="12"/>
      <c r="RA92" s="12"/>
      <c r="RB92" s="12"/>
      <c r="RS92" s="12"/>
      <c r="RT92" s="12"/>
      <c r="SK92" s="12"/>
      <c r="SL92" s="12"/>
      <c r="TC92" s="12"/>
      <c r="TD92" s="12"/>
      <c r="TU92" s="12"/>
      <c r="TV92" s="12"/>
      <c r="UM92" s="12"/>
      <c r="UN92" s="12"/>
      <c r="VE92" s="12"/>
      <c r="VF92" s="12"/>
      <c r="VW92" s="12"/>
      <c r="VX92" s="12"/>
      <c r="WO92" s="12"/>
      <c r="WP92" s="12"/>
      <c r="XG92" s="12"/>
      <c r="XH92" s="12"/>
      <c r="XY92" s="12"/>
      <c r="XZ92" s="12"/>
      <c r="YQ92" s="12"/>
      <c r="YR92" s="12"/>
      <c r="ZI92" s="12"/>
      <c r="ZJ92" s="12"/>
      <c r="AAA92" s="12"/>
      <c r="AAB92" s="12"/>
      <c r="AAS92" s="12"/>
      <c r="AAT92" s="12"/>
      <c r="ABK92" s="12"/>
      <c r="ABL92" s="12"/>
      <c r="ACC92" s="12"/>
      <c r="ACD92" s="12"/>
      <c r="ACU92" s="12"/>
      <c r="ACV92" s="12"/>
      <c r="ADM92" s="12"/>
      <c r="ADN92" s="12"/>
      <c r="AEE92" s="12"/>
      <c r="AEF92" s="12"/>
      <c r="AEW92" s="12"/>
      <c r="AEX92" s="12"/>
      <c r="AFO92" s="12"/>
      <c r="AFP92" s="12"/>
      <c r="AGG92" s="12"/>
      <c r="AGH92" s="12"/>
      <c r="AGY92" s="12"/>
      <c r="AGZ92" s="12"/>
      <c r="AHQ92" s="12"/>
      <c r="AHR92" s="12"/>
      <c r="AII92" s="12"/>
      <c r="AIJ92" s="12"/>
      <c r="AJA92" s="12"/>
      <c r="AJB92" s="12"/>
      <c r="AJS92" s="12"/>
      <c r="AJT92" s="12"/>
      <c r="AKK92" s="12"/>
      <c r="AKL92" s="12"/>
      <c r="ALC92" s="12"/>
      <c r="ALD92" s="12"/>
      <c r="ALU92" s="12"/>
      <c r="ALV92" s="12"/>
      <c r="AMM92" s="12"/>
      <c r="AMN92" s="12"/>
      <c r="ANE92" s="12"/>
      <c r="ANF92" s="12"/>
      <c r="ANW92" s="12"/>
      <c r="ANX92" s="12"/>
      <c r="AOO92" s="12"/>
      <c r="AOP92" s="12"/>
      <c r="APG92" s="12"/>
      <c r="APH92" s="12"/>
      <c r="APY92" s="12"/>
      <c r="APZ92" s="12"/>
      <c r="AQQ92" s="12"/>
      <c r="AQR92" s="12"/>
      <c r="ARI92" s="12"/>
      <c r="ARJ92" s="12"/>
      <c r="ASA92" s="12"/>
      <c r="ASB92" s="12"/>
      <c r="ASS92" s="12"/>
      <c r="AST92" s="12"/>
      <c r="ATK92" s="12"/>
      <c r="ATL92" s="12"/>
      <c r="AUC92" s="12"/>
      <c r="AUD92" s="12"/>
      <c r="AUU92" s="12"/>
      <c r="AUV92" s="12"/>
      <c r="AVM92" s="12"/>
      <c r="AVN92" s="12"/>
      <c r="AWE92" s="12"/>
      <c r="AWF92" s="12"/>
      <c r="AWW92" s="12"/>
      <c r="AWX92" s="12"/>
      <c r="AXO92" s="12"/>
      <c r="AXP92" s="12"/>
      <c r="AYG92" s="12"/>
      <c r="AYH92" s="12"/>
      <c r="AYY92" s="12"/>
      <c r="AYZ92" s="12"/>
      <c r="AZQ92" s="12"/>
      <c r="AZR92" s="12"/>
      <c r="BAI92" s="12"/>
      <c r="BAJ92" s="12"/>
      <c r="BBA92" s="12"/>
      <c r="BBB92" s="12"/>
      <c r="BBS92" s="12"/>
      <c r="BBT92" s="12"/>
      <c r="BCK92" s="12"/>
      <c r="BCL92" s="12"/>
      <c r="BDC92" s="12"/>
      <c r="BDD92" s="12"/>
      <c r="BDU92" s="12"/>
      <c r="BDV92" s="12"/>
      <c r="BEM92" s="12"/>
      <c r="BEN92" s="12"/>
      <c r="BFE92" s="12"/>
      <c r="BFF92" s="12"/>
      <c r="BFW92" s="12"/>
      <c r="BFX92" s="12"/>
      <c r="BGO92" s="12"/>
      <c r="BGP92" s="12"/>
      <c r="BHG92" s="12"/>
      <c r="BHH92" s="12"/>
      <c r="BHY92" s="12"/>
      <c r="BHZ92" s="12"/>
      <c r="BIQ92" s="12"/>
      <c r="BIR92" s="12"/>
      <c r="BJI92" s="12"/>
      <c r="BJJ92" s="12"/>
      <c r="BKA92" s="12"/>
      <c r="BKB92" s="12"/>
      <c r="BKS92" s="12"/>
      <c r="BKT92" s="12"/>
      <c r="BLK92" s="12"/>
      <c r="BLL92" s="12"/>
      <c r="BMC92" s="12"/>
      <c r="BMD92" s="12"/>
      <c r="BMU92" s="12"/>
      <c r="BMV92" s="12"/>
      <c r="BNM92" s="12"/>
      <c r="BNN92" s="12"/>
      <c r="BOE92" s="12"/>
      <c r="BOF92" s="12"/>
      <c r="BOW92" s="12"/>
      <c r="BOX92" s="12"/>
      <c r="BPO92" s="12"/>
      <c r="BPP92" s="12"/>
      <c r="BQG92" s="12"/>
      <c r="BQH92" s="12"/>
      <c r="BQY92" s="12"/>
      <c r="BQZ92" s="12"/>
      <c r="BRQ92" s="12"/>
      <c r="BRR92" s="12"/>
      <c r="BSI92" s="12"/>
      <c r="BSJ92" s="12"/>
      <c r="BTA92" s="12"/>
      <c r="BTB92" s="12"/>
      <c r="BTS92" s="12"/>
      <c r="BTT92" s="12"/>
      <c r="BUK92" s="12"/>
      <c r="BUL92" s="12"/>
      <c r="BVC92" s="12"/>
      <c r="BVD92" s="12"/>
      <c r="BVU92" s="12"/>
      <c r="BVV92" s="12"/>
      <c r="BWM92" s="12"/>
      <c r="BWN92" s="12"/>
      <c r="BXE92" s="12"/>
      <c r="BXF92" s="12"/>
      <c r="BXW92" s="12"/>
      <c r="BXX92" s="12"/>
      <c r="BYO92" s="12"/>
      <c r="BYP92" s="12"/>
      <c r="BZG92" s="12"/>
      <c r="BZH92" s="12"/>
      <c r="BZY92" s="12"/>
      <c r="BZZ92" s="12"/>
      <c r="CAQ92" s="12"/>
      <c r="CAR92" s="12"/>
      <c r="CBI92" s="12"/>
      <c r="CBJ92" s="12"/>
      <c r="CCA92" s="12"/>
      <c r="CCB92" s="12"/>
      <c r="CCS92" s="12"/>
      <c r="CCT92" s="12"/>
      <c r="CDK92" s="12"/>
      <c r="CDL92" s="12"/>
      <c r="CEC92" s="12"/>
      <c r="CED92" s="12"/>
      <c r="CEU92" s="12"/>
      <c r="CEV92" s="12"/>
      <c r="CFM92" s="12"/>
      <c r="CFN92" s="12"/>
      <c r="CGE92" s="12"/>
      <c r="CGF92" s="12"/>
      <c r="CGW92" s="12"/>
      <c r="CGX92" s="12"/>
      <c r="CHO92" s="12"/>
      <c r="CHP92" s="12"/>
      <c r="CIG92" s="12"/>
      <c r="CIH92" s="12"/>
      <c r="CIY92" s="12"/>
      <c r="CIZ92" s="12"/>
      <c r="CJQ92" s="12"/>
      <c r="CJR92" s="12"/>
      <c r="CKI92" s="12"/>
      <c r="CKJ92" s="12"/>
      <c r="CLA92" s="12"/>
      <c r="CLB92" s="12"/>
      <c r="CLS92" s="12"/>
      <c r="CLT92" s="12"/>
      <c r="CMK92" s="12"/>
      <c r="CML92" s="12"/>
      <c r="CNC92" s="12"/>
      <c r="CND92" s="12"/>
      <c r="CNU92" s="12"/>
      <c r="CNV92" s="12"/>
      <c r="COM92" s="12"/>
      <c r="CON92" s="12"/>
      <c r="CPE92" s="12"/>
      <c r="CPF92" s="12"/>
      <c r="CPW92" s="12"/>
      <c r="CPX92" s="12"/>
      <c r="CQO92" s="12"/>
      <c r="CQP92" s="12"/>
      <c r="CRG92" s="12"/>
      <c r="CRH92" s="12"/>
      <c r="CRY92" s="12"/>
      <c r="CRZ92" s="12"/>
      <c r="CSQ92" s="12"/>
      <c r="CSR92" s="12"/>
      <c r="CTI92" s="12"/>
      <c r="CTJ92" s="12"/>
      <c r="CUA92" s="12"/>
      <c r="CUB92" s="12"/>
      <c r="CUS92" s="12"/>
      <c r="CUT92" s="12"/>
      <c r="CVK92" s="12"/>
      <c r="CVL92" s="12"/>
      <c r="CWC92" s="12"/>
      <c r="CWD92" s="12"/>
      <c r="CWU92" s="12"/>
      <c r="CWV92" s="12"/>
      <c r="CXM92" s="12"/>
      <c r="CXN92" s="12"/>
      <c r="CYE92" s="12"/>
      <c r="CYF92" s="12"/>
      <c r="CYW92" s="12"/>
      <c r="CYX92" s="12"/>
      <c r="CZO92" s="12"/>
      <c r="CZP92" s="12"/>
      <c r="DAG92" s="12"/>
      <c r="DAH92" s="12"/>
      <c r="DAY92" s="12"/>
      <c r="DAZ92" s="12"/>
      <c r="DBQ92" s="12"/>
      <c r="DBR92" s="12"/>
      <c r="DCI92" s="12"/>
      <c r="DCJ92" s="12"/>
      <c r="DDA92" s="12"/>
      <c r="DDB92" s="12"/>
      <c r="DDS92" s="12"/>
      <c r="DDT92" s="12"/>
      <c r="DEK92" s="12"/>
      <c r="DEL92" s="12"/>
      <c r="DFC92" s="12"/>
      <c r="DFD92" s="12"/>
      <c r="DFU92" s="12"/>
      <c r="DFV92" s="12"/>
      <c r="DGM92" s="12"/>
      <c r="DGN92" s="12"/>
      <c r="DHE92" s="12"/>
      <c r="DHF92" s="12"/>
      <c r="DHW92" s="12"/>
      <c r="DHX92" s="12"/>
      <c r="DIO92" s="12"/>
      <c r="DIP92" s="12"/>
      <c r="DJG92" s="12"/>
      <c r="DJH92" s="12"/>
      <c r="DJY92" s="12"/>
      <c r="DJZ92" s="12"/>
      <c r="DKQ92" s="12"/>
      <c r="DKR92" s="12"/>
      <c r="DLI92" s="12"/>
      <c r="DLJ92" s="12"/>
      <c r="DMA92" s="12"/>
      <c r="DMB92" s="12"/>
      <c r="DMS92" s="12"/>
      <c r="DMT92" s="12"/>
      <c r="DNK92" s="12"/>
      <c r="DNL92" s="12"/>
      <c r="DOC92" s="12"/>
      <c r="DOD92" s="12"/>
      <c r="DOU92" s="12"/>
      <c r="DOV92" s="12"/>
      <c r="DPM92" s="12"/>
      <c r="DPN92" s="12"/>
      <c r="DQE92" s="12"/>
      <c r="DQF92" s="12"/>
      <c r="DQW92" s="12"/>
      <c r="DQX92" s="12"/>
      <c r="DRO92" s="12"/>
      <c r="DRP92" s="12"/>
      <c r="DSG92" s="12"/>
      <c r="DSH92" s="12"/>
      <c r="DSY92" s="12"/>
      <c r="DSZ92" s="12"/>
      <c r="DTQ92" s="12"/>
      <c r="DTR92" s="12"/>
      <c r="DUI92" s="12"/>
      <c r="DUJ92" s="12"/>
      <c r="DVA92" s="12"/>
      <c r="DVB92" s="12"/>
      <c r="DVS92" s="12"/>
      <c r="DVT92" s="12"/>
      <c r="DWK92" s="12"/>
      <c r="DWL92" s="12"/>
      <c r="DXC92" s="12"/>
      <c r="DXD92" s="12"/>
      <c r="DXU92" s="12"/>
      <c r="DXV92" s="12"/>
      <c r="DYM92" s="12"/>
      <c r="DYN92" s="12"/>
      <c r="DZE92" s="12"/>
      <c r="DZF92" s="12"/>
      <c r="DZW92" s="12"/>
      <c r="DZX92" s="12"/>
      <c r="EAO92" s="12"/>
      <c r="EAP92" s="12"/>
      <c r="EBG92" s="12"/>
      <c r="EBH92" s="12"/>
      <c r="EBY92" s="12"/>
      <c r="EBZ92" s="12"/>
      <c r="ECQ92" s="12"/>
      <c r="ECR92" s="12"/>
      <c r="EDI92" s="12"/>
      <c r="EDJ92" s="12"/>
      <c r="EEA92" s="12"/>
      <c r="EEB92" s="12"/>
      <c r="EES92" s="12"/>
      <c r="EET92" s="12"/>
      <c r="EFK92" s="12"/>
      <c r="EFL92" s="12"/>
      <c r="EGC92" s="12"/>
      <c r="EGD92" s="12"/>
      <c r="EGU92" s="12"/>
      <c r="EGV92" s="12"/>
      <c r="EHM92" s="12"/>
      <c r="EHN92" s="12"/>
      <c r="EIE92" s="12"/>
      <c r="EIF92" s="12"/>
      <c r="EIW92" s="12"/>
      <c r="EIX92" s="12"/>
      <c r="EJO92" s="12"/>
      <c r="EJP92" s="12"/>
      <c r="EKG92" s="12"/>
      <c r="EKH92" s="12"/>
      <c r="EKY92" s="12"/>
      <c r="EKZ92" s="12"/>
      <c r="ELQ92" s="12"/>
      <c r="ELR92" s="12"/>
      <c r="EMI92" s="12"/>
      <c r="EMJ92" s="12"/>
      <c r="ENA92" s="12"/>
      <c r="ENB92" s="12"/>
      <c r="ENS92" s="12"/>
      <c r="ENT92" s="12"/>
      <c r="EOK92" s="12"/>
      <c r="EOL92" s="12"/>
      <c r="EPC92" s="12"/>
      <c r="EPD92" s="12"/>
      <c r="EPU92" s="12"/>
      <c r="EPV92" s="12"/>
      <c r="EQM92" s="12"/>
      <c r="EQN92" s="12"/>
      <c r="ERE92" s="12"/>
      <c r="ERF92" s="12"/>
      <c r="ERW92" s="12"/>
      <c r="ERX92" s="12"/>
      <c r="ESO92" s="12"/>
      <c r="ESP92" s="12"/>
      <c r="ETG92" s="12"/>
      <c r="ETH92" s="12"/>
      <c r="ETY92" s="12"/>
      <c r="ETZ92" s="12"/>
      <c r="EUQ92" s="12"/>
      <c r="EUR92" s="12"/>
      <c r="EVI92" s="12"/>
      <c r="EVJ92" s="12"/>
      <c r="EWA92" s="12"/>
      <c r="EWB92" s="12"/>
      <c r="EWS92" s="12"/>
      <c r="EWT92" s="12"/>
      <c r="EXK92" s="12"/>
      <c r="EXL92" s="12"/>
      <c r="EYC92" s="12"/>
      <c r="EYD92" s="12"/>
      <c r="EYU92" s="12"/>
      <c r="EYV92" s="12"/>
      <c r="EZM92" s="12"/>
      <c r="EZN92" s="12"/>
      <c r="FAE92" s="12"/>
      <c r="FAF92" s="12"/>
      <c r="FAW92" s="12"/>
      <c r="FAX92" s="12"/>
      <c r="FBO92" s="12"/>
      <c r="FBP92" s="12"/>
      <c r="FCG92" s="12"/>
      <c r="FCH92" s="12"/>
      <c r="FCY92" s="12"/>
      <c r="FCZ92" s="12"/>
      <c r="FDQ92" s="12"/>
      <c r="FDR92" s="12"/>
      <c r="FEI92" s="12"/>
      <c r="FEJ92" s="12"/>
      <c r="FFA92" s="12"/>
      <c r="FFB92" s="12"/>
      <c r="FFS92" s="12"/>
      <c r="FFT92" s="12"/>
      <c r="FGK92" s="12"/>
      <c r="FGL92" s="12"/>
      <c r="FHC92" s="12"/>
      <c r="FHD92" s="12"/>
      <c r="FHU92" s="12"/>
      <c r="FHV92" s="12"/>
      <c r="FIM92" s="12"/>
      <c r="FIN92" s="12"/>
      <c r="FJE92" s="12"/>
      <c r="FJF92" s="12"/>
      <c r="FJW92" s="12"/>
      <c r="FJX92" s="12"/>
      <c r="FKO92" s="12"/>
      <c r="FKP92" s="12"/>
      <c r="FLG92" s="12"/>
      <c r="FLH92" s="12"/>
      <c r="FLY92" s="12"/>
      <c r="FLZ92" s="12"/>
      <c r="FMQ92" s="12"/>
      <c r="FMR92" s="12"/>
      <c r="FNI92" s="12"/>
      <c r="FNJ92" s="12"/>
      <c r="FOA92" s="12"/>
      <c r="FOB92" s="12"/>
      <c r="FOS92" s="12"/>
      <c r="FOT92" s="12"/>
      <c r="FPK92" s="12"/>
      <c r="FPL92" s="12"/>
      <c r="FQC92" s="12"/>
      <c r="FQD92" s="12"/>
      <c r="FQU92" s="12"/>
      <c r="FQV92" s="12"/>
      <c r="FRM92" s="12"/>
      <c r="FRN92" s="12"/>
      <c r="FSE92" s="12"/>
      <c r="FSF92" s="12"/>
      <c r="FSW92" s="12"/>
      <c r="FSX92" s="12"/>
      <c r="FTO92" s="12"/>
      <c r="FTP92" s="12"/>
      <c r="FUG92" s="12"/>
      <c r="FUH92" s="12"/>
      <c r="FUY92" s="12"/>
      <c r="FUZ92" s="12"/>
      <c r="FVQ92" s="12"/>
      <c r="FVR92" s="12"/>
      <c r="FWI92" s="12"/>
      <c r="FWJ92" s="12"/>
      <c r="FXA92" s="12"/>
      <c r="FXB92" s="12"/>
      <c r="FXS92" s="12"/>
      <c r="FXT92" s="12"/>
      <c r="FYK92" s="12"/>
      <c r="FYL92" s="12"/>
      <c r="FZC92" s="12"/>
      <c r="FZD92" s="12"/>
      <c r="FZU92" s="12"/>
      <c r="FZV92" s="12"/>
      <c r="GAM92" s="12"/>
      <c r="GAN92" s="12"/>
      <c r="GBE92" s="12"/>
      <c r="GBF92" s="12"/>
      <c r="GBW92" s="12"/>
      <c r="GBX92" s="12"/>
      <c r="GCO92" s="12"/>
      <c r="GCP92" s="12"/>
      <c r="GDG92" s="12"/>
      <c r="GDH92" s="12"/>
      <c r="GDY92" s="12"/>
      <c r="GDZ92" s="12"/>
      <c r="GEQ92" s="12"/>
      <c r="GER92" s="12"/>
      <c r="GFI92" s="12"/>
      <c r="GFJ92" s="12"/>
      <c r="GGA92" s="12"/>
      <c r="GGB92" s="12"/>
      <c r="GGS92" s="12"/>
      <c r="GGT92" s="12"/>
      <c r="GHK92" s="12"/>
      <c r="GHL92" s="12"/>
      <c r="GIC92" s="12"/>
      <c r="GID92" s="12"/>
      <c r="GIU92" s="12"/>
      <c r="GIV92" s="12"/>
      <c r="GJM92" s="12"/>
      <c r="GJN92" s="12"/>
      <c r="GKE92" s="12"/>
      <c r="GKF92" s="12"/>
      <c r="GKW92" s="12"/>
      <c r="GKX92" s="12"/>
      <c r="GLO92" s="12"/>
      <c r="GLP92" s="12"/>
      <c r="GMG92" s="12"/>
      <c r="GMH92" s="12"/>
      <c r="GMY92" s="12"/>
      <c r="GMZ92" s="12"/>
      <c r="GNQ92" s="12"/>
      <c r="GNR92" s="12"/>
      <c r="GOI92" s="12"/>
      <c r="GOJ92" s="12"/>
      <c r="GPA92" s="12"/>
      <c r="GPB92" s="12"/>
      <c r="GPS92" s="12"/>
      <c r="GPT92" s="12"/>
      <c r="GQK92" s="12"/>
      <c r="GQL92" s="12"/>
      <c r="GRC92" s="12"/>
      <c r="GRD92" s="12"/>
      <c r="GRU92" s="12"/>
      <c r="GRV92" s="12"/>
      <c r="GSM92" s="12"/>
      <c r="GSN92" s="12"/>
      <c r="GTE92" s="12"/>
      <c r="GTF92" s="12"/>
      <c r="GTW92" s="12"/>
      <c r="GTX92" s="12"/>
      <c r="GUO92" s="12"/>
      <c r="GUP92" s="12"/>
      <c r="GVG92" s="12"/>
      <c r="GVH92" s="12"/>
      <c r="GVY92" s="12"/>
      <c r="GVZ92" s="12"/>
      <c r="GWQ92" s="12"/>
      <c r="GWR92" s="12"/>
      <c r="GXI92" s="12"/>
      <c r="GXJ92" s="12"/>
      <c r="GYA92" s="12"/>
      <c r="GYB92" s="12"/>
      <c r="GYS92" s="12"/>
      <c r="GYT92" s="12"/>
      <c r="GZK92" s="12"/>
      <c r="GZL92" s="12"/>
      <c r="HAC92" s="12"/>
      <c r="HAD92" s="12"/>
      <c r="HAU92" s="12"/>
      <c r="HAV92" s="12"/>
      <c r="HBM92" s="12"/>
      <c r="HBN92" s="12"/>
      <c r="HCE92" s="12"/>
      <c r="HCF92" s="12"/>
      <c r="HCW92" s="12"/>
      <c r="HCX92" s="12"/>
      <c r="HDO92" s="12"/>
      <c r="HDP92" s="12"/>
      <c r="HEG92" s="12"/>
      <c r="HEH92" s="12"/>
      <c r="HEY92" s="12"/>
      <c r="HEZ92" s="12"/>
      <c r="HFQ92" s="12"/>
      <c r="HFR92" s="12"/>
      <c r="HGI92" s="12"/>
      <c r="HGJ92" s="12"/>
      <c r="HHA92" s="12"/>
      <c r="HHB92" s="12"/>
      <c r="HHS92" s="12"/>
      <c r="HHT92" s="12"/>
      <c r="HIK92" s="12"/>
      <c r="HIL92" s="12"/>
      <c r="HJC92" s="12"/>
      <c r="HJD92" s="12"/>
      <c r="HJU92" s="12"/>
      <c r="HJV92" s="12"/>
      <c r="HKM92" s="12"/>
      <c r="HKN92" s="12"/>
      <c r="HLE92" s="12"/>
      <c r="HLF92" s="12"/>
      <c r="HLW92" s="12"/>
      <c r="HLX92" s="12"/>
      <c r="HMO92" s="12"/>
      <c r="HMP92" s="12"/>
      <c r="HNG92" s="12"/>
      <c r="HNH92" s="12"/>
      <c r="HNY92" s="12"/>
      <c r="HNZ92" s="12"/>
      <c r="HOQ92" s="12"/>
      <c r="HOR92" s="12"/>
      <c r="HPI92" s="12"/>
      <c r="HPJ92" s="12"/>
      <c r="HQA92" s="12"/>
      <c r="HQB92" s="12"/>
      <c r="HQS92" s="12"/>
      <c r="HQT92" s="12"/>
      <c r="HRK92" s="12"/>
      <c r="HRL92" s="12"/>
      <c r="HSC92" s="12"/>
      <c r="HSD92" s="12"/>
      <c r="HSU92" s="12"/>
      <c r="HSV92" s="12"/>
      <c r="HTM92" s="12"/>
      <c r="HTN92" s="12"/>
      <c r="HUE92" s="12"/>
      <c r="HUF92" s="12"/>
      <c r="HUW92" s="12"/>
      <c r="HUX92" s="12"/>
      <c r="HVO92" s="12"/>
      <c r="HVP92" s="12"/>
      <c r="HWG92" s="12"/>
      <c r="HWH92" s="12"/>
      <c r="HWY92" s="12"/>
      <c r="HWZ92" s="12"/>
      <c r="HXQ92" s="12"/>
      <c r="HXR92" s="12"/>
      <c r="HYI92" s="12"/>
      <c r="HYJ92" s="12"/>
      <c r="HZA92" s="12"/>
      <c r="HZB92" s="12"/>
      <c r="HZS92" s="12"/>
      <c r="HZT92" s="12"/>
      <c r="IAK92" s="12"/>
      <c r="IAL92" s="12"/>
      <c r="IBC92" s="12"/>
      <c r="IBD92" s="12"/>
      <c r="IBU92" s="12"/>
      <c r="IBV92" s="12"/>
      <c r="ICM92" s="12"/>
      <c r="ICN92" s="12"/>
      <c r="IDE92" s="12"/>
      <c r="IDF92" s="12"/>
      <c r="IDW92" s="12"/>
      <c r="IDX92" s="12"/>
      <c r="IEO92" s="12"/>
      <c r="IEP92" s="12"/>
      <c r="IFG92" s="12"/>
      <c r="IFH92" s="12"/>
      <c r="IFY92" s="12"/>
      <c r="IFZ92" s="12"/>
      <c r="IGQ92" s="12"/>
      <c r="IGR92" s="12"/>
      <c r="IHI92" s="12"/>
      <c r="IHJ92" s="12"/>
      <c r="IIA92" s="12"/>
      <c r="IIB92" s="12"/>
      <c r="IIS92" s="12"/>
      <c r="IIT92" s="12"/>
      <c r="IJK92" s="12"/>
      <c r="IJL92" s="12"/>
      <c r="IKC92" s="12"/>
      <c r="IKD92" s="12"/>
      <c r="IKU92" s="12"/>
      <c r="IKV92" s="12"/>
      <c r="ILM92" s="12"/>
      <c r="ILN92" s="12"/>
      <c r="IME92" s="12"/>
      <c r="IMF92" s="12"/>
      <c r="IMW92" s="12"/>
      <c r="IMX92" s="12"/>
      <c r="INO92" s="12"/>
      <c r="INP92" s="12"/>
      <c r="IOG92" s="12"/>
      <c r="IOH92" s="12"/>
      <c r="IOY92" s="12"/>
      <c r="IOZ92" s="12"/>
      <c r="IPQ92" s="12"/>
      <c r="IPR92" s="12"/>
      <c r="IQI92" s="12"/>
      <c r="IQJ92" s="12"/>
      <c r="IRA92" s="12"/>
      <c r="IRB92" s="12"/>
      <c r="IRS92" s="12"/>
      <c r="IRT92" s="12"/>
      <c r="ISK92" s="12"/>
      <c r="ISL92" s="12"/>
      <c r="ITC92" s="12"/>
      <c r="ITD92" s="12"/>
      <c r="ITU92" s="12"/>
      <c r="ITV92" s="12"/>
      <c r="IUM92" s="12"/>
      <c r="IUN92" s="12"/>
      <c r="IVE92" s="12"/>
      <c r="IVF92" s="12"/>
      <c r="IVW92" s="12"/>
      <c r="IVX92" s="12"/>
      <c r="IWO92" s="12"/>
      <c r="IWP92" s="12"/>
      <c r="IXG92" s="12"/>
      <c r="IXH92" s="12"/>
      <c r="IXY92" s="12"/>
      <c r="IXZ92" s="12"/>
      <c r="IYQ92" s="12"/>
      <c r="IYR92" s="12"/>
      <c r="IZI92" s="12"/>
      <c r="IZJ92" s="12"/>
      <c r="JAA92" s="12"/>
      <c r="JAB92" s="12"/>
      <c r="JAS92" s="12"/>
      <c r="JAT92" s="12"/>
      <c r="JBK92" s="12"/>
      <c r="JBL92" s="12"/>
      <c r="JCC92" s="12"/>
      <c r="JCD92" s="12"/>
      <c r="JCU92" s="12"/>
      <c r="JCV92" s="12"/>
      <c r="JDM92" s="12"/>
      <c r="JDN92" s="12"/>
      <c r="JEE92" s="12"/>
      <c r="JEF92" s="12"/>
      <c r="JEW92" s="12"/>
      <c r="JEX92" s="12"/>
      <c r="JFO92" s="12"/>
      <c r="JFP92" s="12"/>
      <c r="JGG92" s="12"/>
      <c r="JGH92" s="12"/>
      <c r="JGY92" s="12"/>
      <c r="JGZ92" s="12"/>
      <c r="JHQ92" s="12"/>
      <c r="JHR92" s="12"/>
      <c r="JII92" s="12"/>
      <c r="JIJ92" s="12"/>
      <c r="JJA92" s="12"/>
      <c r="JJB92" s="12"/>
      <c r="JJS92" s="12"/>
      <c r="JJT92" s="12"/>
      <c r="JKK92" s="12"/>
      <c r="JKL92" s="12"/>
      <c r="JLC92" s="12"/>
      <c r="JLD92" s="12"/>
      <c r="JLU92" s="12"/>
      <c r="JLV92" s="12"/>
      <c r="JMM92" s="12"/>
      <c r="JMN92" s="12"/>
      <c r="JNE92" s="12"/>
      <c r="JNF92" s="12"/>
      <c r="JNW92" s="12"/>
      <c r="JNX92" s="12"/>
      <c r="JOO92" s="12"/>
      <c r="JOP92" s="12"/>
      <c r="JPG92" s="12"/>
      <c r="JPH92" s="12"/>
      <c r="JPY92" s="12"/>
      <c r="JPZ92" s="12"/>
      <c r="JQQ92" s="12"/>
      <c r="JQR92" s="12"/>
      <c r="JRI92" s="12"/>
      <c r="JRJ92" s="12"/>
      <c r="JSA92" s="12"/>
      <c r="JSB92" s="12"/>
      <c r="JSS92" s="12"/>
      <c r="JST92" s="12"/>
      <c r="JTK92" s="12"/>
      <c r="JTL92" s="12"/>
      <c r="JUC92" s="12"/>
      <c r="JUD92" s="12"/>
      <c r="JUU92" s="12"/>
      <c r="JUV92" s="12"/>
      <c r="JVM92" s="12"/>
      <c r="JVN92" s="12"/>
      <c r="JWE92" s="12"/>
      <c r="JWF92" s="12"/>
      <c r="JWW92" s="12"/>
      <c r="JWX92" s="12"/>
      <c r="JXO92" s="12"/>
      <c r="JXP92" s="12"/>
      <c r="JYG92" s="12"/>
      <c r="JYH92" s="12"/>
      <c r="JYY92" s="12"/>
      <c r="JYZ92" s="12"/>
      <c r="JZQ92" s="12"/>
      <c r="JZR92" s="12"/>
      <c r="KAI92" s="12"/>
      <c r="KAJ92" s="12"/>
      <c r="KBA92" s="12"/>
      <c r="KBB92" s="12"/>
      <c r="KBS92" s="12"/>
      <c r="KBT92" s="12"/>
      <c r="KCK92" s="12"/>
      <c r="KCL92" s="12"/>
      <c r="KDC92" s="12"/>
      <c r="KDD92" s="12"/>
      <c r="KDU92" s="12"/>
      <c r="KDV92" s="12"/>
      <c r="KEM92" s="12"/>
      <c r="KEN92" s="12"/>
      <c r="KFE92" s="12"/>
      <c r="KFF92" s="12"/>
      <c r="KFW92" s="12"/>
      <c r="KFX92" s="12"/>
      <c r="KGO92" s="12"/>
      <c r="KGP92" s="12"/>
      <c r="KHG92" s="12"/>
      <c r="KHH92" s="12"/>
      <c r="KHY92" s="12"/>
      <c r="KHZ92" s="12"/>
      <c r="KIQ92" s="12"/>
      <c r="KIR92" s="12"/>
      <c r="KJI92" s="12"/>
      <c r="KJJ92" s="12"/>
      <c r="KKA92" s="12"/>
      <c r="KKB92" s="12"/>
      <c r="KKS92" s="12"/>
      <c r="KKT92" s="12"/>
      <c r="KLK92" s="12"/>
      <c r="KLL92" s="12"/>
      <c r="KMC92" s="12"/>
      <c r="KMD92" s="12"/>
      <c r="KMU92" s="12"/>
      <c r="KMV92" s="12"/>
      <c r="KNM92" s="12"/>
      <c r="KNN92" s="12"/>
      <c r="KOE92" s="12"/>
      <c r="KOF92" s="12"/>
      <c r="KOW92" s="12"/>
      <c r="KOX92" s="12"/>
      <c r="KPO92" s="12"/>
      <c r="KPP92" s="12"/>
      <c r="KQG92" s="12"/>
      <c r="KQH92" s="12"/>
      <c r="KQY92" s="12"/>
      <c r="KQZ92" s="12"/>
      <c r="KRQ92" s="12"/>
      <c r="KRR92" s="12"/>
      <c r="KSI92" s="12"/>
      <c r="KSJ92" s="12"/>
      <c r="KTA92" s="12"/>
      <c r="KTB92" s="12"/>
      <c r="KTS92" s="12"/>
      <c r="KTT92" s="12"/>
      <c r="KUK92" s="12"/>
      <c r="KUL92" s="12"/>
      <c r="KVC92" s="12"/>
      <c r="KVD92" s="12"/>
      <c r="KVU92" s="12"/>
      <c r="KVV92" s="12"/>
      <c r="KWM92" s="12"/>
      <c r="KWN92" s="12"/>
      <c r="KXE92" s="12"/>
      <c r="KXF92" s="12"/>
      <c r="KXW92" s="12"/>
      <c r="KXX92" s="12"/>
      <c r="KYO92" s="12"/>
      <c r="KYP92" s="12"/>
      <c r="KZG92" s="12"/>
      <c r="KZH92" s="12"/>
      <c r="KZY92" s="12"/>
      <c r="KZZ92" s="12"/>
      <c r="LAQ92" s="12"/>
      <c r="LAR92" s="12"/>
      <c r="LBI92" s="12"/>
      <c r="LBJ92" s="12"/>
      <c r="LCA92" s="12"/>
      <c r="LCB92" s="12"/>
      <c r="LCS92" s="12"/>
      <c r="LCT92" s="12"/>
      <c r="LDK92" s="12"/>
      <c r="LDL92" s="12"/>
      <c r="LEC92" s="12"/>
      <c r="LED92" s="12"/>
      <c r="LEU92" s="12"/>
      <c r="LEV92" s="12"/>
      <c r="LFM92" s="12"/>
      <c r="LFN92" s="12"/>
      <c r="LGE92" s="12"/>
      <c r="LGF92" s="12"/>
      <c r="LGW92" s="12"/>
      <c r="LGX92" s="12"/>
      <c r="LHO92" s="12"/>
      <c r="LHP92" s="12"/>
      <c r="LIG92" s="12"/>
      <c r="LIH92" s="12"/>
      <c r="LIY92" s="12"/>
      <c r="LIZ92" s="12"/>
      <c r="LJQ92" s="12"/>
      <c r="LJR92" s="12"/>
      <c r="LKI92" s="12"/>
      <c r="LKJ92" s="12"/>
      <c r="LLA92" s="12"/>
      <c r="LLB92" s="12"/>
      <c r="LLS92" s="12"/>
      <c r="LLT92" s="12"/>
      <c r="LMK92" s="12"/>
      <c r="LML92" s="12"/>
      <c r="LNC92" s="12"/>
      <c r="LND92" s="12"/>
      <c r="LNU92" s="12"/>
      <c r="LNV92" s="12"/>
      <c r="LOM92" s="12"/>
      <c r="LON92" s="12"/>
      <c r="LPE92" s="12"/>
      <c r="LPF92" s="12"/>
      <c r="LPW92" s="12"/>
      <c r="LPX92" s="12"/>
      <c r="LQO92" s="12"/>
      <c r="LQP92" s="12"/>
      <c r="LRG92" s="12"/>
      <c r="LRH92" s="12"/>
      <c r="LRY92" s="12"/>
      <c r="LRZ92" s="12"/>
      <c r="LSQ92" s="12"/>
      <c r="LSR92" s="12"/>
      <c r="LTI92" s="12"/>
      <c r="LTJ92" s="12"/>
      <c r="LUA92" s="12"/>
      <c r="LUB92" s="12"/>
      <c r="LUS92" s="12"/>
      <c r="LUT92" s="12"/>
      <c r="LVK92" s="12"/>
      <c r="LVL92" s="12"/>
      <c r="LWC92" s="12"/>
      <c r="LWD92" s="12"/>
      <c r="LWU92" s="12"/>
      <c r="LWV92" s="12"/>
      <c r="LXM92" s="12"/>
      <c r="LXN92" s="12"/>
      <c r="LYE92" s="12"/>
      <c r="LYF92" s="12"/>
      <c r="LYW92" s="12"/>
      <c r="LYX92" s="12"/>
      <c r="LZO92" s="12"/>
      <c r="LZP92" s="12"/>
      <c r="MAG92" s="12"/>
      <c r="MAH92" s="12"/>
      <c r="MAY92" s="12"/>
      <c r="MAZ92" s="12"/>
      <c r="MBQ92" s="12"/>
      <c r="MBR92" s="12"/>
      <c r="MCI92" s="12"/>
      <c r="MCJ92" s="12"/>
      <c r="MDA92" s="12"/>
      <c r="MDB92" s="12"/>
      <c r="MDS92" s="12"/>
      <c r="MDT92" s="12"/>
      <c r="MEK92" s="12"/>
      <c r="MEL92" s="12"/>
      <c r="MFC92" s="12"/>
      <c r="MFD92" s="12"/>
      <c r="MFU92" s="12"/>
      <c r="MFV92" s="12"/>
      <c r="MGM92" s="12"/>
      <c r="MGN92" s="12"/>
      <c r="MHE92" s="12"/>
      <c r="MHF92" s="12"/>
      <c r="MHW92" s="12"/>
      <c r="MHX92" s="12"/>
      <c r="MIO92" s="12"/>
      <c r="MIP92" s="12"/>
      <c r="MJG92" s="12"/>
      <c r="MJH92" s="12"/>
      <c r="MJY92" s="12"/>
      <c r="MJZ92" s="12"/>
      <c r="MKQ92" s="12"/>
      <c r="MKR92" s="12"/>
      <c r="MLI92" s="12"/>
      <c r="MLJ92" s="12"/>
      <c r="MMA92" s="12"/>
      <c r="MMB92" s="12"/>
      <c r="MMS92" s="12"/>
      <c r="MMT92" s="12"/>
      <c r="MNK92" s="12"/>
      <c r="MNL92" s="12"/>
      <c r="MOC92" s="12"/>
      <c r="MOD92" s="12"/>
      <c r="MOU92" s="12"/>
      <c r="MOV92" s="12"/>
      <c r="MPM92" s="12"/>
      <c r="MPN92" s="12"/>
      <c r="MQE92" s="12"/>
      <c r="MQF92" s="12"/>
      <c r="MQW92" s="12"/>
      <c r="MQX92" s="12"/>
      <c r="MRO92" s="12"/>
      <c r="MRP92" s="12"/>
      <c r="MSG92" s="12"/>
      <c r="MSH92" s="12"/>
      <c r="MSY92" s="12"/>
      <c r="MSZ92" s="12"/>
      <c r="MTQ92" s="12"/>
      <c r="MTR92" s="12"/>
      <c r="MUI92" s="12"/>
      <c r="MUJ92" s="12"/>
      <c r="MVA92" s="12"/>
      <c r="MVB92" s="12"/>
      <c r="MVS92" s="12"/>
      <c r="MVT92" s="12"/>
      <c r="MWK92" s="12"/>
      <c r="MWL92" s="12"/>
      <c r="MXC92" s="12"/>
      <c r="MXD92" s="12"/>
      <c r="MXU92" s="12"/>
      <c r="MXV92" s="12"/>
      <c r="MYM92" s="12"/>
      <c r="MYN92" s="12"/>
      <c r="MZE92" s="12"/>
      <c r="MZF92" s="12"/>
      <c r="MZW92" s="12"/>
      <c r="MZX92" s="12"/>
      <c r="NAO92" s="12"/>
      <c r="NAP92" s="12"/>
      <c r="NBG92" s="12"/>
      <c r="NBH92" s="12"/>
      <c r="NBY92" s="12"/>
      <c r="NBZ92" s="12"/>
      <c r="NCQ92" s="12"/>
      <c r="NCR92" s="12"/>
      <c r="NDI92" s="12"/>
      <c r="NDJ92" s="12"/>
      <c r="NEA92" s="12"/>
      <c r="NEB92" s="12"/>
      <c r="NES92" s="12"/>
      <c r="NET92" s="12"/>
      <c r="NFK92" s="12"/>
      <c r="NFL92" s="12"/>
      <c r="NGC92" s="12"/>
      <c r="NGD92" s="12"/>
      <c r="NGU92" s="12"/>
      <c r="NGV92" s="12"/>
      <c r="NHM92" s="12"/>
      <c r="NHN92" s="12"/>
      <c r="NIE92" s="12"/>
      <c r="NIF92" s="12"/>
      <c r="NIW92" s="12"/>
      <c r="NIX92" s="12"/>
      <c r="NJO92" s="12"/>
      <c r="NJP92" s="12"/>
      <c r="NKG92" s="12"/>
      <c r="NKH92" s="12"/>
      <c r="NKY92" s="12"/>
      <c r="NKZ92" s="12"/>
      <c r="NLQ92" s="12"/>
      <c r="NLR92" s="12"/>
      <c r="NMI92" s="12"/>
      <c r="NMJ92" s="12"/>
      <c r="NNA92" s="12"/>
      <c r="NNB92" s="12"/>
      <c r="NNS92" s="12"/>
      <c r="NNT92" s="12"/>
      <c r="NOK92" s="12"/>
      <c r="NOL92" s="12"/>
      <c r="NPC92" s="12"/>
      <c r="NPD92" s="12"/>
      <c r="NPU92" s="12"/>
      <c r="NPV92" s="12"/>
      <c r="NQM92" s="12"/>
      <c r="NQN92" s="12"/>
      <c r="NRE92" s="12"/>
      <c r="NRF92" s="12"/>
      <c r="NRW92" s="12"/>
      <c r="NRX92" s="12"/>
      <c r="NSO92" s="12"/>
      <c r="NSP92" s="12"/>
      <c r="NTG92" s="12"/>
      <c r="NTH92" s="12"/>
      <c r="NTY92" s="12"/>
      <c r="NTZ92" s="12"/>
      <c r="NUQ92" s="12"/>
      <c r="NUR92" s="12"/>
      <c r="NVI92" s="12"/>
      <c r="NVJ92" s="12"/>
      <c r="NWA92" s="12"/>
      <c r="NWB92" s="12"/>
      <c r="NWS92" s="12"/>
      <c r="NWT92" s="12"/>
      <c r="NXK92" s="12"/>
      <c r="NXL92" s="12"/>
      <c r="NYC92" s="12"/>
      <c r="NYD92" s="12"/>
      <c r="NYU92" s="12"/>
      <c r="NYV92" s="12"/>
      <c r="NZM92" s="12"/>
      <c r="NZN92" s="12"/>
      <c r="OAE92" s="12"/>
      <c r="OAF92" s="12"/>
      <c r="OAW92" s="12"/>
      <c r="OAX92" s="12"/>
      <c r="OBO92" s="12"/>
      <c r="OBP92" s="12"/>
      <c r="OCG92" s="12"/>
      <c r="OCH92" s="12"/>
      <c r="OCY92" s="12"/>
      <c r="OCZ92" s="12"/>
      <c r="ODQ92" s="12"/>
      <c r="ODR92" s="12"/>
      <c r="OEI92" s="12"/>
      <c r="OEJ92" s="12"/>
      <c r="OFA92" s="12"/>
      <c r="OFB92" s="12"/>
      <c r="OFS92" s="12"/>
      <c r="OFT92" s="12"/>
      <c r="OGK92" s="12"/>
      <c r="OGL92" s="12"/>
      <c r="OHC92" s="12"/>
      <c r="OHD92" s="12"/>
      <c r="OHU92" s="12"/>
      <c r="OHV92" s="12"/>
      <c r="OIM92" s="12"/>
      <c r="OIN92" s="12"/>
      <c r="OJE92" s="12"/>
      <c r="OJF92" s="12"/>
      <c r="OJW92" s="12"/>
      <c r="OJX92" s="12"/>
      <c r="OKO92" s="12"/>
      <c r="OKP92" s="12"/>
      <c r="OLG92" s="12"/>
      <c r="OLH92" s="12"/>
      <c r="OLY92" s="12"/>
      <c r="OLZ92" s="12"/>
      <c r="OMQ92" s="12"/>
      <c r="OMR92" s="12"/>
      <c r="ONI92" s="12"/>
      <c r="ONJ92" s="12"/>
      <c r="OOA92" s="12"/>
      <c r="OOB92" s="12"/>
      <c r="OOS92" s="12"/>
      <c r="OOT92" s="12"/>
      <c r="OPK92" s="12"/>
      <c r="OPL92" s="12"/>
      <c r="OQC92" s="12"/>
      <c r="OQD92" s="12"/>
      <c r="OQU92" s="12"/>
      <c r="OQV92" s="12"/>
      <c r="ORM92" s="12"/>
      <c r="ORN92" s="12"/>
      <c r="OSE92" s="12"/>
      <c r="OSF92" s="12"/>
      <c r="OSW92" s="12"/>
      <c r="OSX92" s="12"/>
      <c r="OTO92" s="12"/>
      <c r="OTP92" s="12"/>
      <c r="OUG92" s="12"/>
      <c r="OUH92" s="12"/>
      <c r="OUY92" s="12"/>
      <c r="OUZ92" s="12"/>
      <c r="OVQ92" s="12"/>
      <c r="OVR92" s="12"/>
      <c r="OWI92" s="12"/>
      <c r="OWJ92" s="12"/>
      <c r="OXA92" s="12"/>
      <c r="OXB92" s="12"/>
      <c r="OXS92" s="12"/>
      <c r="OXT92" s="12"/>
      <c r="OYK92" s="12"/>
      <c r="OYL92" s="12"/>
      <c r="OZC92" s="12"/>
      <c r="OZD92" s="12"/>
      <c r="OZU92" s="12"/>
      <c r="OZV92" s="12"/>
      <c r="PAM92" s="12"/>
      <c r="PAN92" s="12"/>
      <c r="PBE92" s="12"/>
      <c r="PBF92" s="12"/>
      <c r="PBW92" s="12"/>
      <c r="PBX92" s="12"/>
      <c r="PCO92" s="12"/>
      <c r="PCP92" s="12"/>
      <c r="PDG92" s="12"/>
      <c r="PDH92" s="12"/>
      <c r="PDY92" s="12"/>
      <c r="PDZ92" s="12"/>
      <c r="PEQ92" s="12"/>
      <c r="PER92" s="12"/>
      <c r="PFI92" s="12"/>
      <c r="PFJ92" s="12"/>
      <c r="PGA92" s="12"/>
      <c r="PGB92" s="12"/>
      <c r="PGS92" s="12"/>
      <c r="PGT92" s="12"/>
      <c r="PHK92" s="12"/>
      <c r="PHL92" s="12"/>
      <c r="PIC92" s="12"/>
      <c r="PID92" s="12"/>
      <c r="PIU92" s="12"/>
      <c r="PIV92" s="12"/>
      <c r="PJM92" s="12"/>
      <c r="PJN92" s="12"/>
      <c r="PKE92" s="12"/>
      <c r="PKF92" s="12"/>
      <c r="PKW92" s="12"/>
      <c r="PKX92" s="12"/>
      <c r="PLO92" s="12"/>
      <c r="PLP92" s="12"/>
      <c r="PMG92" s="12"/>
      <c r="PMH92" s="12"/>
      <c r="PMY92" s="12"/>
      <c r="PMZ92" s="12"/>
      <c r="PNQ92" s="12"/>
      <c r="PNR92" s="12"/>
      <c r="POI92" s="12"/>
      <c r="POJ92" s="12"/>
      <c r="PPA92" s="12"/>
      <c r="PPB92" s="12"/>
      <c r="PPS92" s="12"/>
      <c r="PPT92" s="12"/>
      <c r="PQK92" s="12"/>
      <c r="PQL92" s="12"/>
      <c r="PRC92" s="12"/>
      <c r="PRD92" s="12"/>
      <c r="PRU92" s="12"/>
      <c r="PRV92" s="12"/>
      <c r="PSM92" s="12"/>
      <c r="PSN92" s="12"/>
      <c r="PTE92" s="12"/>
      <c r="PTF92" s="12"/>
      <c r="PTW92" s="12"/>
      <c r="PTX92" s="12"/>
      <c r="PUO92" s="12"/>
      <c r="PUP92" s="12"/>
      <c r="PVG92" s="12"/>
      <c r="PVH92" s="12"/>
      <c r="PVY92" s="12"/>
      <c r="PVZ92" s="12"/>
      <c r="PWQ92" s="12"/>
      <c r="PWR92" s="12"/>
      <c r="PXI92" s="12"/>
      <c r="PXJ92" s="12"/>
      <c r="PYA92" s="12"/>
      <c r="PYB92" s="12"/>
      <c r="PYS92" s="12"/>
      <c r="PYT92" s="12"/>
      <c r="PZK92" s="12"/>
      <c r="PZL92" s="12"/>
      <c r="QAC92" s="12"/>
      <c r="QAD92" s="12"/>
      <c r="QAU92" s="12"/>
      <c r="QAV92" s="12"/>
      <c r="QBM92" s="12"/>
      <c r="QBN92" s="12"/>
      <c r="QCE92" s="12"/>
      <c r="QCF92" s="12"/>
      <c r="QCW92" s="12"/>
      <c r="QCX92" s="12"/>
      <c r="QDO92" s="12"/>
      <c r="QDP92" s="12"/>
      <c r="QEG92" s="12"/>
      <c r="QEH92" s="12"/>
      <c r="QEY92" s="12"/>
      <c r="QEZ92" s="12"/>
      <c r="QFQ92" s="12"/>
      <c r="QFR92" s="12"/>
      <c r="QGI92" s="12"/>
      <c r="QGJ92" s="12"/>
      <c r="QHA92" s="12"/>
      <c r="QHB92" s="12"/>
      <c r="QHS92" s="12"/>
      <c r="QHT92" s="12"/>
      <c r="QIK92" s="12"/>
      <c r="QIL92" s="12"/>
      <c r="QJC92" s="12"/>
      <c r="QJD92" s="12"/>
      <c r="QJU92" s="12"/>
      <c r="QJV92" s="12"/>
      <c r="QKM92" s="12"/>
      <c r="QKN92" s="12"/>
      <c r="QLE92" s="12"/>
      <c r="QLF92" s="12"/>
      <c r="QLW92" s="12"/>
      <c r="QLX92" s="12"/>
      <c r="QMO92" s="12"/>
      <c r="QMP92" s="12"/>
      <c r="QNG92" s="12"/>
      <c r="QNH92" s="12"/>
      <c r="QNY92" s="12"/>
      <c r="QNZ92" s="12"/>
      <c r="QOQ92" s="12"/>
      <c r="QOR92" s="12"/>
      <c r="QPI92" s="12"/>
      <c r="QPJ92" s="12"/>
      <c r="QQA92" s="12"/>
      <c r="QQB92" s="12"/>
      <c r="QQS92" s="12"/>
      <c r="QQT92" s="12"/>
      <c r="QRK92" s="12"/>
      <c r="QRL92" s="12"/>
      <c r="QSC92" s="12"/>
      <c r="QSD92" s="12"/>
      <c r="QSU92" s="12"/>
      <c r="QSV92" s="12"/>
      <c r="QTM92" s="12"/>
      <c r="QTN92" s="12"/>
      <c r="QUE92" s="12"/>
      <c r="QUF92" s="12"/>
      <c r="QUW92" s="12"/>
      <c r="QUX92" s="12"/>
      <c r="QVO92" s="12"/>
      <c r="QVP92" s="12"/>
      <c r="QWG92" s="12"/>
      <c r="QWH92" s="12"/>
      <c r="QWY92" s="12"/>
      <c r="QWZ92" s="12"/>
      <c r="QXQ92" s="12"/>
      <c r="QXR92" s="12"/>
      <c r="QYI92" s="12"/>
      <c r="QYJ92" s="12"/>
      <c r="QZA92" s="12"/>
      <c r="QZB92" s="12"/>
      <c r="QZS92" s="12"/>
      <c r="QZT92" s="12"/>
      <c r="RAK92" s="12"/>
      <c r="RAL92" s="12"/>
      <c r="RBC92" s="12"/>
      <c r="RBD92" s="12"/>
      <c r="RBU92" s="12"/>
      <c r="RBV92" s="12"/>
      <c r="RCM92" s="12"/>
      <c r="RCN92" s="12"/>
      <c r="RDE92" s="12"/>
      <c r="RDF92" s="12"/>
      <c r="RDW92" s="12"/>
      <c r="RDX92" s="12"/>
      <c r="REO92" s="12"/>
      <c r="REP92" s="12"/>
      <c r="RFG92" s="12"/>
      <c r="RFH92" s="12"/>
      <c r="RFY92" s="12"/>
      <c r="RFZ92" s="12"/>
      <c r="RGQ92" s="12"/>
      <c r="RGR92" s="12"/>
      <c r="RHI92" s="12"/>
      <c r="RHJ92" s="12"/>
      <c r="RIA92" s="12"/>
      <c r="RIB92" s="12"/>
      <c r="RIS92" s="12"/>
      <c r="RIT92" s="12"/>
      <c r="RJK92" s="12"/>
      <c r="RJL92" s="12"/>
      <c r="RKC92" s="12"/>
      <c r="RKD92" s="12"/>
      <c r="RKU92" s="12"/>
      <c r="RKV92" s="12"/>
      <c r="RLM92" s="12"/>
      <c r="RLN92" s="12"/>
      <c r="RME92" s="12"/>
      <c r="RMF92" s="12"/>
      <c r="RMW92" s="12"/>
      <c r="RMX92" s="12"/>
      <c r="RNO92" s="12"/>
      <c r="RNP92" s="12"/>
      <c r="ROG92" s="12"/>
      <c r="ROH92" s="12"/>
      <c r="ROY92" s="12"/>
      <c r="ROZ92" s="12"/>
      <c r="RPQ92" s="12"/>
      <c r="RPR92" s="12"/>
      <c r="RQI92" s="12"/>
      <c r="RQJ92" s="12"/>
      <c r="RRA92" s="12"/>
      <c r="RRB92" s="12"/>
      <c r="RRS92" s="12"/>
      <c r="RRT92" s="12"/>
      <c r="RSK92" s="12"/>
      <c r="RSL92" s="12"/>
      <c r="RTC92" s="12"/>
      <c r="RTD92" s="12"/>
      <c r="RTU92" s="12"/>
      <c r="RTV92" s="12"/>
      <c r="RUM92" s="12"/>
      <c r="RUN92" s="12"/>
      <c r="RVE92" s="12"/>
      <c r="RVF92" s="12"/>
      <c r="RVW92" s="12"/>
      <c r="RVX92" s="12"/>
      <c r="RWO92" s="12"/>
      <c r="RWP92" s="12"/>
      <c r="RXG92" s="12"/>
      <c r="RXH92" s="12"/>
      <c r="RXY92" s="12"/>
      <c r="RXZ92" s="12"/>
      <c r="RYQ92" s="12"/>
      <c r="RYR92" s="12"/>
      <c r="RZI92" s="12"/>
      <c r="RZJ92" s="12"/>
      <c r="SAA92" s="12"/>
      <c r="SAB92" s="12"/>
      <c r="SAS92" s="12"/>
      <c r="SAT92" s="12"/>
      <c r="SBK92" s="12"/>
      <c r="SBL92" s="12"/>
      <c r="SCC92" s="12"/>
      <c r="SCD92" s="12"/>
      <c r="SCU92" s="12"/>
      <c r="SCV92" s="12"/>
      <c r="SDM92" s="12"/>
      <c r="SDN92" s="12"/>
      <c r="SEE92" s="12"/>
      <c r="SEF92" s="12"/>
      <c r="SEW92" s="12"/>
      <c r="SEX92" s="12"/>
      <c r="SFO92" s="12"/>
      <c r="SFP92" s="12"/>
      <c r="SGG92" s="12"/>
      <c r="SGH92" s="12"/>
      <c r="SGY92" s="12"/>
      <c r="SGZ92" s="12"/>
      <c r="SHQ92" s="12"/>
      <c r="SHR92" s="12"/>
      <c r="SII92" s="12"/>
      <c r="SIJ92" s="12"/>
      <c r="SJA92" s="12"/>
      <c r="SJB92" s="12"/>
      <c r="SJS92" s="12"/>
      <c r="SJT92" s="12"/>
      <c r="SKK92" s="12"/>
      <c r="SKL92" s="12"/>
      <c r="SLC92" s="12"/>
      <c r="SLD92" s="12"/>
      <c r="SLU92" s="12"/>
      <c r="SLV92" s="12"/>
      <c r="SMM92" s="12"/>
      <c r="SMN92" s="12"/>
      <c r="SNE92" s="12"/>
      <c r="SNF92" s="12"/>
      <c r="SNW92" s="12"/>
      <c r="SNX92" s="12"/>
      <c r="SOO92" s="12"/>
      <c r="SOP92" s="12"/>
      <c r="SPG92" s="12"/>
      <c r="SPH92" s="12"/>
      <c r="SPY92" s="12"/>
      <c r="SPZ92" s="12"/>
      <c r="SQQ92" s="12"/>
      <c r="SQR92" s="12"/>
      <c r="SRI92" s="12"/>
      <c r="SRJ92" s="12"/>
      <c r="SSA92" s="12"/>
      <c r="SSB92" s="12"/>
      <c r="SSS92" s="12"/>
      <c r="SST92" s="12"/>
      <c r="STK92" s="12"/>
      <c r="STL92" s="12"/>
      <c r="SUC92" s="12"/>
      <c r="SUD92" s="12"/>
      <c r="SUU92" s="12"/>
      <c r="SUV92" s="12"/>
      <c r="SVM92" s="12"/>
      <c r="SVN92" s="12"/>
      <c r="SWE92" s="12"/>
      <c r="SWF92" s="12"/>
      <c r="SWW92" s="12"/>
      <c r="SWX92" s="12"/>
      <c r="SXO92" s="12"/>
      <c r="SXP92" s="12"/>
      <c r="SYG92" s="12"/>
      <c r="SYH92" s="12"/>
      <c r="SYY92" s="12"/>
      <c r="SYZ92" s="12"/>
      <c r="SZQ92" s="12"/>
      <c r="SZR92" s="12"/>
      <c r="TAI92" s="12"/>
      <c r="TAJ92" s="12"/>
      <c r="TBA92" s="12"/>
      <c r="TBB92" s="12"/>
      <c r="TBS92" s="12"/>
      <c r="TBT92" s="12"/>
      <c r="TCK92" s="12"/>
      <c r="TCL92" s="12"/>
      <c r="TDC92" s="12"/>
      <c r="TDD92" s="12"/>
      <c r="TDU92" s="12"/>
      <c r="TDV92" s="12"/>
      <c r="TEM92" s="12"/>
      <c r="TEN92" s="12"/>
      <c r="TFE92" s="12"/>
      <c r="TFF92" s="12"/>
      <c r="TFW92" s="12"/>
      <c r="TFX92" s="12"/>
      <c r="TGO92" s="12"/>
      <c r="TGP92" s="12"/>
      <c r="THG92" s="12"/>
      <c r="THH92" s="12"/>
      <c r="THY92" s="12"/>
      <c r="THZ92" s="12"/>
      <c r="TIQ92" s="12"/>
      <c r="TIR92" s="12"/>
      <c r="TJI92" s="12"/>
      <c r="TJJ92" s="12"/>
      <c r="TKA92" s="12"/>
      <c r="TKB92" s="12"/>
      <c r="TKS92" s="12"/>
      <c r="TKT92" s="12"/>
      <c r="TLK92" s="12"/>
      <c r="TLL92" s="12"/>
      <c r="TMC92" s="12"/>
      <c r="TMD92" s="12"/>
      <c r="TMU92" s="12"/>
      <c r="TMV92" s="12"/>
      <c r="TNM92" s="12"/>
      <c r="TNN92" s="12"/>
      <c r="TOE92" s="12"/>
      <c r="TOF92" s="12"/>
      <c r="TOW92" s="12"/>
      <c r="TOX92" s="12"/>
      <c r="TPO92" s="12"/>
      <c r="TPP92" s="12"/>
      <c r="TQG92" s="12"/>
      <c r="TQH92" s="12"/>
      <c r="TQY92" s="12"/>
      <c r="TQZ92" s="12"/>
      <c r="TRQ92" s="12"/>
      <c r="TRR92" s="12"/>
      <c r="TSI92" s="12"/>
      <c r="TSJ92" s="12"/>
      <c r="TTA92" s="12"/>
      <c r="TTB92" s="12"/>
      <c r="TTS92" s="12"/>
      <c r="TTT92" s="12"/>
      <c r="TUK92" s="12"/>
      <c r="TUL92" s="12"/>
      <c r="TVC92" s="12"/>
      <c r="TVD92" s="12"/>
      <c r="TVU92" s="12"/>
      <c r="TVV92" s="12"/>
      <c r="TWM92" s="12"/>
      <c r="TWN92" s="12"/>
      <c r="TXE92" s="12"/>
      <c r="TXF92" s="12"/>
      <c r="TXW92" s="12"/>
      <c r="TXX92" s="12"/>
      <c r="TYO92" s="12"/>
      <c r="TYP92" s="12"/>
      <c r="TZG92" s="12"/>
      <c r="TZH92" s="12"/>
      <c r="TZY92" s="12"/>
      <c r="TZZ92" s="12"/>
      <c r="UAQ92" s="12"/>
      <c r="UAR92" s="12"/>
      <c r="UBI92" s="12"/>
      <c r="UBJ92" s="12"/>
      <c r="UCA92" s="12"/>
      <c r="UCB92" s="12"/>
      <c r="UCS92" s="12"/>
      <c r="UCT92" s="12"/>
      <c r="UDK92" s="12"/>
      <c r="UDL92" s="12"/>
      <c r="UEC92" s="12"/>
      <c r="UED92" s="12"/>
      <c r="UEU92" s="12"/>
      <c r="UEV92" s="12"/>
      <c r="UFM92" s="12"/>
      <c r="UFN92" s="12"/>
      <c r="UGE92" s="12"/>
      <c r="UGF92" s="12"/>
      <c r="UGW92" s="12"/>
      <c r="UGX92" s="12"/>
      <c r="UHO92" s="12"/>
      <c r="UHP92" s="12"/>
      <c r="UIG92" s="12"/>
      <c r="UIH92" s="12"/>
      <c r="UIY92" s="12"/>
      <c r="UIZ92" s="12"/>
      <c r="UJQ92" s="12"/>
      <c r="UJR92" s="12"/>
      <c r="UKI92" s="12"/>
      <c r="UKJ92" s="12"/>
      <c r="ULA92" s="12"/>
      <c r="ULB92" s="12"/>
      <c r="ULS92" s="12"/>
      <c r="ULT92" s="12"/>
      <c r="UMK92" s="12"/>
      <c r="UML92" s="12"/>
      <c r="UNC92" s="12"/>
      <c r="UND92" s="12"/>
      <c r="UNU92" s="12"/>
      <c r="UNV92" s="12"/>
      <c r="UOM92" s="12"/>
      <c r="UON92" s="12"/>
      <c r="UPE92" s="12"/>
      <c r="UPF92" s="12"/>
      <c r="UPW92" s="12"/>
      <c r="UPX92" s="12"/>
      <c r="UQO92" s="12"/>
      <c r="UQP92" s="12"/>
      <c r="URG92" s="12"/>
      <c r="URH92" s="12"/>
      <c r="URY92" s="12"/>
      <c r="URZ92" s="12"/>
      <c r="USQ92" s="12"/>
      <c r="USR92" s="12"/>
      <c r="UTI92" s="12"/>
      <c r="UTJ92" s="12"/>
      <c r="UUA92" s="12"/>
      <c r="UUB92" s="12"/>
      <c r="UUS92" s="12"/>
      <c r="UUT92" s="12"/>
      <c r="UVK92" s="12"/>
      <c r="UVL92" s="12"/>
      <c r="UWC92" s="12"/>
      <c r="UWD92" s="12"/>
      <c r="UWU92" s="12"/>
      <c r="UWV92" s="12"/>
      <c r="UXM92" s="12"/>
      <c r="UXN92" s="12"/>
      <c r="UYE92" s="12"/>
      <c r="UYF92" s="12"/>
      <c r="UYW92" s="12"/>
      <c r="UYX92" s="12"/>
      <c r="UZO92" s="12"/>
      <c r="UZP92" s="12"/>
      <c r="VAG92" s="12"/>
      <c r="VAH92" s="12"/>
      <c r="VAY92" s="12"/>
      <c r="VAZ92" s="12"/>
      <c r="VBQ92" s="12"/>
      <c r="VBR92" s="12"/>
      <c r="VCI92" s="12"/>
      <c r="VCJ92" s="12"/>
      <c r="VDA92" s="12"/>
      <c r="VDB92" s="12"/>
      <c r="VDS92" s="12"/>
      <c r="VDT92" s="12"/>
      <c r="VEK92" s="12"/>
      <c r="VEL92" s="12"/>
      <c r="VFC92" s="12"/>
      <c r="VFD92" s="12"/>
      <c r="VFU92" s="12"/>
      <c r="VFV92" s="12"/>
      <c r="VGM92" s="12"/>
      <c r="VGN92" s="12"/>
      <c r="VHE92" s="12"/>
      <c r="VHF92" s="12"/>
      <c r="VHW92" s="12"/>
      <c r="VHX92" s="12"/>
      <c r="VIO92" s="12"/>
      <c r="VIP92" s="12"/>
      <c r="VJG92" s="12"/>
      <c r="VJH92" s="12"/>
      <c r="VJY92" s="12"/>
      <c r="VJZ92" s="12"/>
      <c r="VKQ92" s="12"/>
      <c r="VKR92" s="12"/>
      <c r="VLI92" s="12"/>
      <c r="VLJ92" s="12"/>
      <c r="VMA92" s="12"/>
      <c r="VMB92" s="12"/>
      <c r="VMS92" s="12"/>
      <c r="VMT92" s="12"/>
      <c r="VNK92" s="12"/>
      <c r="VNL92" s="12"/>
      <c r="VOC92" s="12"/>
      <c r="VOD92" s="12"/>
      <c r="VOU92" s="12"/>
      <c r="VOV92" s="12"/>
      <c r="VPM92" s="12"/>
      <c r="VPN92" s="12"/>
      <c r="VQE92" s="12"/>
      <c r="VQF92" s="12"/>
      <c r="VQW92" s="12"/>
      <c r="VQX92" s="12"/>
      <c r="VRO92" s="12"/>
      <c r="VRP92" s="12"/>
      <c r="VSG92" s="12"/>
      <c r="VSH92" s="12"/>
      <c r="VSY92" s="12"/>
      <c r="VSZ92" s="12"/>
      <c r="VTQ92" s="12"/>
      <c r="VTR92" s="12"/>
      <c r="VUI92" s="12"/>
      <c r="VUJ92" s="12"/>
      <c r="VVA92" s="12"/>
      <c r="VVB92" s="12"/>
      <c r="VVS92" s="12"/>
      <c r="VVT92" s="12"/>
      <c r="VWK92" s="12"/>
      <c r="VWL92" s="12"/>
      <c r="VXC92" s="12"/>
      <c r="VXD92" s="12"/>
      <c r="VXU92" s="12"/>
      <c r="VXV92" s="12"/>
      <c r="VYM92" s="12"/>
      <c r="VYN92" s="12"/>
      <c r="VZE92" s="12"/>
      <c r="VZF92" s="12"/>
      <c r="VZW92" s="12"/>
      <c r="VZX92" s="12"/>
      <c r="WAO92" s="12"/>
      <c r="WAP92" s="12"/>
      <c r="WBG92" s="12"/>
      <c r="WBH92" s="12"/>
      <c r="WBY92" s="12"/>
      <c r="WBZ92" s="12"/>
      <c r="WCQ92" s="12"/>
      <c r="WCR92" s="12"/>
      <c r="WDI92" s="12"/>
      <c r="WDJ92" s="12"/>
      <c r="WEA92" s="12"/>
      <c r="WEB92" s="12"/>
      <c r="WES92" s="12"/>
      <c r="WET92" s="12"/>
      <c r="WFK92" s="12"/>
      <c r="WFL92" s="12"/>
      <c r="WGC92" s="12"/>
      <c r="WGD92" s="12"/>
      <c r="WGU92" s="12"/>
      <c r="WGV92" s="12"/>
      <c r="WHM92" s="12"/>
      <c r="WHN92" s="12"/>
      <c r="WIE92" s="12"/>
      <c r="WIF92" s="12"/>
      <c r="WIW92" s="12"/>
      <c r="WIX92" s="12"/>
      <c r="WJO92" s="12"/>
      <c r="WJP92" s="12"/>
      <c r="WKG92" s="12"/>
      <c r="WKH92" s="12"/>
      <c r="WKY92" s="12"/>
      <c r="WKZ92" s="12"/>
      <c r="WLQ92" s="12"/>
      <c r="WLR92" s="12"/>
      <c r="WMI92" s="12"/>
      <c r="WMJ92" s="12"/>
      <c r="WNA92" s="12"/>
      <c r="WNB92" s="12"/>
      <c r="WNS92" s="12"/>
      <c r="WNT92" s="12"/>
      <c r="WOK92" s="12"/>
      <c r="WOL92" s="12"/>
      <c r="WPC92" s="12"/>
      <c r="WPD92" s="12"/>
      <c r="WPU92" s="12"/>
      <c r="WPV92" s="12"/>
      <c r="WQM92" s="12"/>
      <c r="WQN92" s="12"/>
      <c r="WRE92" s="12"/>
      <c r="WRF92" s="12"/>
      <c r="WRW92" s="12"/>
      <c r="WRX92" s="12"/>
      <c r="WSO92" s="12"/>
      <c r="WSP92" s="12"/>
      <c r="WTG92" s="12"/>
      <c r="WTH92" s="12"/>
      <c r="WTY92" s="12"/>
      <c r="WTZ92" s="12"/>
      <c r="WUQ92" s="12"/>
      <c r="WUR92" s="12"/>
      <c r="WVI92" s="12"/>
      <c r="WVJ92" s="12"/>
      <c r="WWA92" s="12"/>
      <c r="WWB92" s="12"/>
      <c r="WWS92" s="12"/>
      <c r="WWT92" s="12"/>
      <c r="WXK92" s="12"/>
      <c r="WXL92" s="12"/>
      <c r="WYC92" s="12"/>
      <c r="WYD92" s="12"/>
      <c r="WYU92" s="12"/>
      <c r="WYV92" s="12"/>
      <c r="WZM92" s="12"/>
      <c r="WZN92" s="12"/>
      <c r="XAE92" s="12"/>
      <c r="XAF92" s="12"/>
      <c r="XAW92" s="12"/>
      <c r="XAX92" s="12"/>
      <c r="XBO92" s="12"/>
      <c r="XBP92" s="12"/>
      <c r="XCG92" s="12"/>
      <c r="XCH92" s="12"/>
      <c r="XCY92" s="12"/>
      <c r="XCZ92" s="12"/>
      <c r="XDQ92" s="12"/>
      <c r="XDR92" s="12"/>
      <c r="XEI92" s="12"/>
      <c r="XEJ92" s="12"/>
      <c r="XFA92" s="12"/>
      <c r="XFB92" s="12"/>
    </row>
    <row r="93" spans="1:1010 1027:2036 2053:3062 3079:4088 4105:5114 5131:6140 6157:7166 7183:8192 8209:9200 9217:10226 10243:11252 11269:12278 12295:13304 13321:14330 14347:15356 15373:16382" x14ac:dyDescent="0.35">
      <c r="A93" s="181" t="s">
        <v>155</v>
      </c>
      <c r="B93" s="181" t="s">
        <v>156</v>
      </c>
      <c r="C93" s="198">
        <v>0</v>
      </c>
      <c r="D93" s="198">
        <v>0</v>
      </c>
      <c r="E93" s="198">
        <v>0</v>
      </c>
      <c r="F93" s="198">
        <v>0</v>
      </c>
      <c r="G93" s="198">
        <v>0</v>
      </c>
      <c r="H93" s="198">
        <v>0</v>
      </c>
      <c r="I93" s="198">
        <v>0</v>
      </c>
      <c r="J93" s="198">
        <v>0</v>
      </c>
      <c r="K93" s="198">
        <v>0</v>
      </c>
      <c r="L93" s="198">
        <v>0</v>
      </c>
      <c r="M93" s="11"/>
      <c r="N93" s="11"/>
      <c r="O93" s="11"/>
      <c r="P93" s="11"/>
      <c r="Q93" s="11"/>
      <c r="R93" s="11"/>
      <c r="T93" s="12"/>
      <c r="U93" s="12"/>
    </row>
    <row r="94" spans="1:1010 1027:2036 2053:3062 3079:4088 4105:5114 5131:6140 6157:7166 7183:8192 8209:9200 9217:10226 10243:11252 11269:12278 12295:13304 13321:14330 14347:15356 15373:16382" x14ac:dyDescent="0.35">
      <c r="A94" s="181" t="s">
        <v>157</v>
      </c>
      <c r="B94" s="181" t="s">
        <v>158</v>
      </c>
      <c r="C94" s="198">
        <v>6.8689999999999998</v>
      </c>
      <c r="D94" s="198">
        <v>6.2949999999999999</v>
      </c>
      <c r="E94" s="198">
        <v>5.8739999999999997</v>
      </c>
      <c r="F94" s="198">
        <v>6.0289999999999999</v>
      </c>
      <c r="G94" s="198">
        <v>6.3739999999999997</v>
      </c>
      <c r="H94" s="198">
        <v>5.7539999999999996</v>
      </c>
      <c r="I94" s="198">
        <v>4.8920000000000003</v>
      </c>
      <c r="J94" s="198">
        <v>4.3819999999999997</v>
      </c>
      <c r="K94" s="198">
        <v>4.1669999999999998</v>
      </c>
      <c r="L94" s="198">
        <v>3.4180000000000001</v>
      </c>
      <c r="M94" s="11"/>
      <c r="N94" s="11"/>
      <c r="O94" s="11"/>
      <c r="P94" s="11"/>
      <c r="Q94" s="11"/>
      <c r="R94" s="11"/>
      <c r="T94" s="12"/>
      <c r="U94" s="12"/>
    </row>
    <row r="95" spans="1:1010 1027:2036 2053:3062 3079:4088 4105:5114 5131:6140 6157:7166 7183:8192 8209:9200 9217:10226 10243:11252 11269:12278 12295:13304 13321:14330 14347:15356 15373:16382" x14ac:dyDescent="0.35">
      <c r="A95" s="185" t="s">
        <v>159</v>
      </c>
      <c r="B95" s="185" t="s">
        <v>160</v>
      </c>
      <c r="C95" s="198"/>
      <c r="D95" s="198"/>
      <c r="E95" s="198"/>
      <c r="F95" s="198"/>
      <c r="G95" s="198"/>
      <c r="H95" s="198"/>
      <c r="I95" s="198"/>
      <c r="J95" s="198"/>
      <c r="K95" s="198"/>
      <c r="L95" s="198"/>
      <c r="M95" s="11"/>
      <c r="N95" s="11"/>
      <c r="O95" s="11"/>
      <c r="P95" s="11"/>
      <c r="Q95" s="11"/>
      <c r="R95" s="11"/>
      <c r="T95" s="48"/>
      <c r="U95" s="48"/>
    </row>
    <row r="96" spans="1:1010 1027:2036 2053:3062 3079:4088 4105:5114 5131:6140 6157:7166 7183:8192 8209:9200 9217:10226 10243:11252 11269:12278 12295:13304 13321:14330 14347:15356 15373:16382" x14ac:dyDescent="0.35">
      <c r="A96" s="185" t="s">
        <v>161</v>
      </c>
      <c r="B96" s="185" t="s">
        <v>162</v>
      </c>
      <c r="C96" s="198"/>
      <c r="D96" s="198"/>
      <c r="E96" s="198"/>
      <c r="F96" s="198"/>
      <c r="G96" s="198"/>
      <c r="H96" s="198"/>
      <c r="I96" s="198"/>
      <c r="J96" s="198"/>
      <c r="K96" s="198"/>
      <c r="L96" s="198"/>
      <c r="M96" s="11"/>
      <c r="N96" s="11"/>
      <c r="O96" s="11"/>
      <c r="P96" s="11"/>
      <c r="Q96" s="11"/>
      <c r="R96" s="11"/>
      <c r="T96" s="48"/>
      <c r="U96" s="48"/>
    </row>
    <row r="97" spans="1:1010 1027:2036 2053:3062 3079:4088 4105:5114 5131:6140 6157:7166 7183:8192 8209:9200 9217:10226 10243:11252 11269:12278 12295:13304 13321:14330 14347:15356 15373:16382" x14ac:dyDescent="0.35">
      <c r="A97" s="185" t="s">
        <v>163</v>
      </c>
      <c r="B97" s="185" t="s">
        <v>164</v>
      </c>
      <c r="C97" s="198"/>
      <c r="D97" s="198"/>
      <c r="E97" s="198"/>
      <c r="F97" s="198"/>
      <c r="G97" s="198"/>
      <c r="H97" s="198"/>
      <c r="I97" s="198"/>
      <c r="J97" s="198"/>
      <c r="K97" s="198"/>
      <c r="L97" s="198"/>
      <c r="M97" s="11"/>
      <c r="N97" s="11"/>
      <c r="O97" s="11"/>
      <c r="P97" s="11"/>
      <c r="Q97" s="11"/>
      <c r="R97" s="11"/>
      <c r="T97" s="48"/>
      <c r="U97" s="48"/>
    </row>
    <row r="98" spans="1:1010 1027:2036 2053:3062 3079:4088 4105:5114 5131:6140 6157:7166 7183:8192 8209:9200 9217:10226 10243:11252 11269:12278 12295:13304 13321:14330 14347:15356 15373:16382" s="105" customFormat="1" x14ac:dyDescent="0.35">
      <c r="A98" s="181" t="s">
        <v>165</v>
      </c>
      <c r="B98" s="181" t="s">
        <v>166</v>
      </c>
      <c r="C98" s="198">
        <v>0</v>
      </c>
      <c r="D98" s="198">
        <v>0</v>
      </c>
      <c r="E98" s="198">
        <v>0</v>
      </c>
      <c r="F98" s="198">
        <v>0</v>
      </c>
      <c r="G98" s="198">
        <v>0</v>
      </c>
      <c r="H98" s="198">
        <v>0</v>
      </c>
      <c r="I98" s="198">
        <v>0</v>
      </c>
      <c r="J98" s="198">
        <v>0</v>
      </c>
      <c r="K98" s="198">
        <v>0</v>
      </c>
      <c r="L98" s="198">
        <v>0</v>
      </c>
      <c r="M98" s="123"/>
      <c r="N98" s="123"/>
      <c r="O98" s="123"/>
      <c r="P98" s="123"/>
      <c r="Q98" s="123"/>
      <c r="R98" s="123"/>
      <c r="T98" s="6"/>
      <c r="U98" s="6"/>
    </row>
    <row r="99" spans="1:1010 1027:2036 2053:3062 3079:4088 4105:5114 5131:6140 6157:7166 7183:8192 8209:9200 9217:10226 10243:11252 11269:12278 12295:13304 13321:14330 14347:15356 15373:16382" s="105" customFormat="1" x14ac:dyDescent="0.35">
      <c r="A99" s="181" t="s">
        <v>167</v>
      </c>
      <c r="B99" s="181" t="s">
        <v>168</v>
      </c>
      <c r="C99" s="198">
        <v>1.2230000000000001</v>
      </c>
      <c r="D99" s="198">
        <v>1.1910000000000001</v>
      </c>
      <c r="E99" s="198">
        <v>1.083</v>
      </c>
      <c r="F99" s="198">
        <v>0.872</v>
      </c>
      <c r="G99" s="198">
        <v>0.88900000000000001</v>
      </c>
      <c r="H99" s="198">
        <v>0.83199999999999996</v>
      </c>
      <c r="I99" s="198">
        <v>1.054</v>
      </c>
      <c r="J99" s="198">
        <v>0.68899999999999995</v>
      </c>
      <c r="K99" s="198">
        <v>0.67800000000000005</v>
      </c>
      <c r="L99" s="198">
        <v>1.024</v>
      </c>
      <c r="M99" s="123"/>
      <c r="N99" s="123"/>
      <c r="O99" s="123"/>
      <c r="P99" s="123"/>
      <c r="Q99" s="123"/>
      <c r="R99" s="123"/>
      <c r="T99" s="6"/>
      <c r="U99" s="6"/>
    </row>
    <row r="100" spans="1:1010 1027:2036 2053:3062 3079:4088 4105:5114 5131:6140 6157:7166 7183:8192 8209:9200 9217:10226 10243:11252 11269:12278 12295:13304 13321:14330 14347:15356 15373:16382" x14ac:dyDescent="0.35">
      <c r="A100" s="181" t="s">
        <v>169</v>
      </c>
      <c r="B100" s="181" t="s">
        <v>170</v>
      </c>
      <c r="C100" s="198">
        <v>0</v>
      </c>
      <c r="D100" s="198">
        <v>0</v>
      </c>
      <c r="E100" s="198">
        <v>0</v>
      </c>
      <c r="F100" s="198">
        <v>0</v>
      </c>
      <c r="G100" s="198">
        <v>0</v>
      </c>
      <c r="H100" s="198">
        <v>0</v>
      </c>
      <c r="I100" s="198">
        <v>0</v>
      </c>
      <c r="J100" s="198">
        <v>0</v>
      </c>
      <c r="K100" s="198">
        <v>0</v>
      </c>
      <c r="L100" s="198">
        <v>0</v>
      </c>
      <c r="M100" s="11"/>
      <c r="N100" s="11"/>
      <c r="O100" s="11"/>
      <c r="P100" s="11"/>
      <c r="Q100" s="11"/>
      <c r="R100" s="11"/>
      <c r="T100" s="12"/>
      <c r="U100" s="12"/>
    </row>
    <row r="101" spans="1:1010 1027:2036 2053:3062 3079:4088 4105:5114 5131:6140 6157:7166 7183:8192 8209:9200 9217:10226 10243:11252 11269:12278 12295:13304 13321:14330 14347:15356 15373:16382" x14ac:dyDescent="0.35">
      <c r="A101" s="181" t="s">
        <v>171</v>
      </c>
      <c r="B101" s="181" t="s">
        <v>172</v>
      </c>
      <c r="C101" s="198"/>
      <c r="D101" s="198"/>
      <c r="E101" s="198"/>
      <c r="F101" s="198"/>
      <c r="G101" s="198"/>
      <c r="H101" s="198"/>
      <c r="I101" s="198"/>
      <c r="J101" s="198"/>
      <c r="K101" s="198"/>
      <c r="L101" s="198"/>
      <c r="M101" s="11"/>
      <c r="N101" s="11"/>
      <c r="O101" s="11"/>
      <c r="P101" s="11"/>
      <c r="Q101" s="11"/>
      <c r="R101" s="11"/>
      <c r="T101" s="12"/>
      <c r="U101" s="12"/>
    </row>
    <row r="102" spans="1:1010 1027:2036 2053:3062 3079:4088 4105:5114 5131:6140 6157:7166 7183:8192 8209:9200 9217:10226 10243:11252 11269:12278 12295:13304 13321:14330 14347:15356 15373:16382" x14ac:dyDescent="0.35">
      <c r="A102" s="181" t="s">
        <v>173</v>
      </c>
      <c r="B102" s="181" t="s">
        <v>174</v>
      </c>
      <c r="C102" s="198">
        <v>23.02</v>
      </c>
      <c r="D102" s="198">
        <v>19.678999999999998</v>
      </c>
      <c r="E102" s="198">
        <v>19.768999999999998</v>
      </c>
      <c r="F102" s="198">
        <v>27.227</v>
      </c>
      <c r="G102" s="198">
        <v>20.806000000000001</v>
      </c>
      <c r="H102" s="198">
        <v>20.099</v>
      </c>
      <c r="I102" s="198">
        <v>15.256</v>
      </c>
      <c r="J102" s="198">
        <v>15.977</v>
      </c>
      <c r="K102" s="198">
        <v>18.143000000000001</v>
      </c>
      <c r="L102" s="198">
        <v>27.788</v>
      </c>
      <c r="M102" s="11"/>
      <c r="N102" s="11"/>
      <c r="O102" s="11"/>
      <c r="P102" s="11"/>
      <c r="Q102" s="11"/>
      <c r="R102" s="11"/>
      <c r="T102" s="12"/>
      <c r="U102" s="12"/>
    </row>
    <row r="103" spans="1:1010 1027:2036 2053:3062 3079:4088 4105:5114 5131:6140 6157:7166 7183:8192 8209:9200 9217:10226 10243:11252 11269:12278 12295:13304 13321:14330 14347:15356 15373:16382" x14ac:dyDescent="0.35">
      <c r="A103" s="23" t="s">
        <v>29</v>
      </c>
      <c r="B103" s="23"/>
      <c r="C103" s="321">
        <f t="shared" ref="C103:L103" si="18">ROUND(SUM(C93:C94,C97:C102)-IF(C92="",0,C92),1)</f>
        <v>0</v>
      </c>
      <c r="D103" s="321">
        <f t="shared" si="18"/>
        <v>0</v>
      </c>
      <c r="E103" s="321">
        <f t="shared" si="18"/>
        <v>0</v>
      </c>
      <c r="F103" s="321">
        <f t="shared" si="18"/>
        <v>0</v>
      </c>
      <c r="G103" s="321">
        <f t="shared" si="18"/>
        <v>0</v>
      </c>
      <c r="H103" s="321">
        <f t="shared" si="18"/>
        <v>0</v>
      </c>
      <c r="I103" s="321">
        <f t="shared" si="18"/>
        <v>0</v>
      </c>
      <c r="J103" s="321">
        <f t="shared" si="18"/>
        <v>0</v>
      </c>
      <c r="K103" s="321">
        <f t="shared" si="18"/>
        <v>0</v>
      </c>
      <c r="L103" s="321">
        <f t="shared" si="18"/>
        <v>0</v>
      </c>
      <c r="M103" s="118"/>
      <c r="N103" s="118"/>
      <c r="O103" s="118"/>
      <c r="P103" s="118"/>
      <c r="Q103" s="118"/>
      <c r="R103" s="118"/>
      <c r="T103" s="12"/>
      <c r="U103" s="12"/>
    </row>
    <row r="104" spans="1:1010 1027:2036 2053:3062 3079:4088 4105:5114 5131:6140 6157:7166 7183:8192 8209:9200 9217:10226 10243:11252 11269:12278 12295:13304 13321:14330 14347:15356 15373:16382" x14ac:dyDescent="0.35">
      <c r="A104" s="189" t="s">
        <v>175</v>
      </c>
      <c r="B104" s="189" t="s">
        <v>176</v>
      </c>
      <c r="C104" s="205">
        <v>148.08799999999999</v>
      </c>
      <c r="D104" s="205">
        <v>143.94</v>
      </c>
      <c r="E104" s="205">
        <v>143.29599999999999</v>
      </c>
      <c r="F104" s="205">
        <v>149.97399999999999</v>
      </c>
      <c r="G104" s="205">
        <v>169.613</v>
      </c>
      <c r="H104" s="205">
        <v>160.5</v>
      </c>
      <c r="I104" s="205">
        <v>156.35300000000001</v>
      </c>
      <c r="J104" s="205">
        <v>153.90100000000001</v>
      </c>
      <c r="K104" s="205">
        <v>153.523</v>
      </c>
      <c r="L104" s="205">
        <v>164.39400000000001</v>
      </c>
      <c r="M104" s="312">
        <f>IF(OR(K104=0,K104=""),"",L104/K104-1)</f>
        <v>7.081023690261401E-2</v>
      </c>
      <c r="N104" s="124"/>
      <c r="O104" s="124"/>
      <c r="P104" s="124"/>
      <c r="Q104" s="124"/>
      <c r="R104" s="124"/>
      <c r="T104" s="5"/>
      <c r="U104" s="5"/>
    </row>
    <row r="105" spans="1:1010 1027:2036 2053:3062 3079:4088 4105:5114 5131:6140 6157:7166 7183:8192 8209:9200 9217:10226 10243:11252 11269:12278 12295:13304 13321:14330 14347:15356 15373:16382" x14ac:dyDescent="0.35">
      <c r="A105" s="49" t="s">
        <v>29</v>
      </c>
      <c r="B105" s="50"/>
      <c r="C105" s="174">
        <f t="shared" ref="C105:L105" si="19">ROUND(IF(C86="",0,C86)+IF(C92="",0,C92)-IF(C104="",0,C104),1)</f>
        <v>0</v>
      </c>
      <c r="D105" s="174">
        <f t="shared" si="19"/>
        <v>0</v>
      </c>
      <c r="E105" s="174">
        <f t="shared" si="19"/>
        <v>0</v>
      </c>
      <c r="F105" s="174">
        <f t="shared" si="19"/>
        <v>0</v>
      </c>
      <c r="G105" s="174">
        <f t="shared" si="19"/>
        <v>0</v>
      </c>
      <c r="H105" s="174">
        <f t="shared" si="19"/>
        <v>0</v>
      </c>
      <c r="I105" s="174">
        <f t="shared" si="19"/>
        <v>0</v>
      </c>
      <c r="J105" s="174">
        <f t="shared" si="19"/>
        <v>0</v>
      </c>
      <c r="K105" s="174">
        <f t="shared" si="19"/>
        <v>0</v>
      </c>
      <c r="L105" s="174">
        <f t="shared" si="19"/>
        <v>0</v>
      </c>
      <c r="M105" s="118"/>
      <c r="N105" s="118"/>
      <c r="O105" s="118"/>
      <c r="P105" s="118"/>
      <c r="Q105" s="118"/>
      <c r="R105" s="118"/>
      <c r="T105" s="5"/>
      <c r="U105" s="5"/>
    </row>
    <row r="106" spans="1:1010 1027:2036 2053:3062 3079:4088 4105:5114 5131:6140 6157:7166 7183:8192 8209:9200 9217:10226 10243:11252 11269:12278 12295:13304 13321:14330 14347:15356 15373:16382" x14ac:dyDescent="0.35">
      <c r="A106" s="189" t="s">
        <v>177</v>
      </c>
      <c r="B106" s="189" t="s">
        <v>178</v>
      </c>
      <c r="C106" s="205">
        <v>235.94800000000001</v>
      </c>
      <c r="D106" s="205">
        <v>235.977</v>
      </c>
      <c r="E106" s="205">
        <v>223.39</v>
      </c>
      <c r="F106" s="205">
        <v>232.10499999999999</v>
      </c>
      <c r="G106" s="205">
        <v>272.00799999999998</v>
      </c>
      <c r="H106" s="205">
        <v>298.74</v>
      </c>
      <c r="I106" s="205">
        <v>317.29500000000002</v>
      </c>
      <c r="J106" s="205">
        <v>290.00900000000001</v>
      </c>
      <c r="K106" s="205">
        <v>279.339</v>
      </c>
      <c r="L106" s="205">
        <v>307.98599999999999</v>
      </c>
      <c r="M106" s="312">
        <f>IF(OR(K106=0,K106=""),"",L106/K106-1)</f>
        <v>0.10255281217445456</v>
      </c>
      <c r="N106" s="124"/>
      <c r="O106" s="124"/>
      <c r="P106" s="124"/>
      <c r="Q106" s="124"/>
      <c r="R106" s="124"/>
      <c r="T106" s="5"/>
      <c r="U106" s="5"/>
    </row>
    <row r="107" spans="1:1010 1027:2036 2053:3062 3079:4088 4105:5114 5131:6140 6157:7166 7183:8192 8209:9200 9217:10226 10243:11252 11269:12278 12295:13304 13321:14330 14347:15356 15373:16382" x14ac:dyDescent="0.35">
      <c r="A107" s="24" t="s">
        <v>29</v>
      </c>
      <c r="B107" s="24"/>
      <c r="C107" s="175">
        <f t="shared" ref="C107:L107" si="20">ROUND(IF(C84="",0,C84)+IF(C86="",0,C86)+IF(C92="",0,C92)-IF(C106="",0,C106),1)</f>
        <v>0</v>
      </c>
      <c r="D107" s="175">
        <f t="shared" si="20"/>
        <v>0</v>
      </c>
      <c r="E107" s="175">
        <f t="shared" si="20"/>
        <v>0</v>
      </c>
      <c r="F107" s="175">
        <f t="shared" si="20"/>
        <v>0</v>
      </c>
      <c r="G107" s="175">
        <f t="shared" si="20"/>
        <v>0</v>
      </c>
      <c r="H107" s="175">
        <f t="shared" si="20"/>
        <v>0</v>
      </c>
      <c r="I107" s="175">
        <f t="shared" si="20"/>
        <v>0</v>
      </c>
      <c r="J107" s="175">
        <f t="shared" si="20"/>
        <v>0</v>
      </c>
      <c r="K107" s="175">
        <f t="shared" si="20"/>
        <v>0</v>
      </c>
      <c r="L107" s="175">
        <f t="shared" si="20"/>
        <v>0</v>
      </c>
      <c r="M107" s="121"/>
      <c r="N107" s="121"/>
      <c r="O107" s="121"/>
      <c r="P107" s="121"/>
      <c r="Q107" s="121"/>
      <c r="R107" s="121"/>
      <c r="T107" s="5"/>
      <c r="U107" s="5"/>
    </row>
    <row r="108" spans="1:1010 1027:2036 2053:3062 3079:4088 4105:5114 5131:6140 6157:7166 7183:8192 8209:9200 9217:10226 10243:11252 11269:12278 12295:13304 13321:14330 14347:15356 15373:16382" s="11" customFormat="1" x14ac:dyDescent="0.35">
      <c r="A108" s="183" t="s">
        <v>179</v>
      </c>
      <c r="B108" s="183" t="s">
        <v>180</v>
      </c>
      <c r="C108" s="184">
        <v>0</v>
      </c>
      <c r="D108" s="184">
        <v>0</v>
      </c>
      <c r="E108" s="184">
        <v>0</v>
      </c>
      <c r="F108" s="184">
        <v>0</v>
      </c>
      <c r="G108" s="184">
        <v>0</v>
      </c>
      <c r="H108" s="184">
        <v>0</v>
      </c>
      <c r="I108" s="184">
        <v>0</v>
      </c>
      <c r="J108" s="184">
        <v>0</v>
      </c>
      <c r="K108" s="184">
        <v>0</v>
      </c>
      <c r="L108" s="184">
        <v>0</v>
      </c>
      <c r="M108" s="312"/>
      <c r="S108" s="12"/>
      <c r="T108" s="12"/>
      <c r="AK108" s="12"/>
      <c r="AL108" s="12"/>
      <c r="BC108" s="12"/>
      <c r="BD108" s="12"/>
      <c r="BU108" s="12"/>
      <c r="BV108" s="12"/>
      <c r="CM108" s="12"/>
      <c r="CN108" s="12"/>
      <c r="DE108" s="12"/>
      <c r="DF108" s="12"/>
      <c r="DW108" s="12"/>
      <c r="DX108" s="12"/>
      <c r="EO108" s="12"/>
      <c r="EP108" s="12"/>
      <c r="FG108" s="12"/>
      <c r="FH108" s="12"/>
      <c r="FY108" s="12"/>
      <c r="FZ108" s="12"/>
      <c r="GQ108" s="12"/>
      <c r="GR108" s="12"/>
      <c r="HI108" s="12"/>
      <c r="HJ108" s="12"/>
      <c r="IA108" s="12"/>
      <c r="IB108" s="12"/>
      <c r="IS108" s="12"/>
      <c r="IT108" s="12"/>
      <c r="JK108" s="12"/>
      <c r="JL108" s="12"/>
      <c r="KC108" s="12"/>
      <c r="KD108" s="12"/>
      <c r="KU108" s="12"/>
      <c r="KV108" s="12"/>
      <c r="LM108" s="12"/>
      <c r="LN108" s="12"/>
      <c r="ME108" s="12"/>
      <c r="MF108" s="12"/>
      <c r="MW108" s="12"/>
      <c r="MX108" s="12"/>
      <c r="NO108" s="12"/>
      <c r="NP108" s="12"/>
      <c r="OG108" s="12"/>
      <c r="OH108" s="12"/>
      <c r="OY108" s="12"/>
      <c r="OZ108" s="12"/>
      <c r="PQ108" s="12"/>
      <c r="PR108" s="12"/>
      <c r="QI108" s="12"/>
      <c r="QJ108" s="12"/>
      <c r="RA108" s="12"/>
      <c r="RB108" s="12"/>
      <c r="RS108" s="12"/>
      <c r="RT108" s="12"/>
      <c r="SK108" s="12"/>
      <c r="SL108" s="12"/>
      <c r="TC108" s="12"/>
      <c r="TD108" s="12"/>
      <c r="TU108" s="12"/>
      <c r="TV108" s="12"/>
      <c r="UM108" s="12"/>
      <c r="UN108" s="12"/>
      <c r="VE108" s="12"/>
      <c r="VF108" s="12"/>
      <c r="VW108" s="12"/>
      <c r="VX108" s="12"/>
      <c r="WO108" s="12"/>
      <c r="WP108" s="12"/>
      <c r="XG108" s="12"/>
      <c r="XH108" s="12"/>
      <c r="XY108" s="12"/>
      <c r="XZ108" s="12"/>
      <c r="YQ108" s="12"/>
      <c r="YR108" s="12"/>
      <c r="ZI108" s="12"/>
      <c r="ZJ108" s="12"/>
      <c r="AAA108" s="12"/>
      <c r="AAB108" s="12"/>
      <c r="AAS108" s="12"/>
      <c r="AAT108" s="12"/>
      <c r="ABK108" s="12"/>
      <c r="ABL108" s="12"/>
      <c r="ACC108" s="12"/>
      <c r="ACD108" s="12"/>
      <c r="ACU108" s="12"/>
      <c r="ACV108" s="12"/>
      <c r="ADM108" s="12"/>
      <c r="ADN108" s="12"/>
      <c r="AEE108" s="12"/>
      <c r="AEF108" s="12"/>
      <c r="AEW108" s="12"/>
      <c r="AEX108" s="12"/>
      <c r="AFO108" s="12"/>
      <c r="AFP108" s="12"/>
      <c r="AGG108" s="12"/>
      <c r="AGH108" s="12"/>
      <c r="AGY108" s="12"/>
      <c r="AGZ108" s="12"/>
      <c r="AHQ108" s="12"/>
      <c r="AHR108" s="12"/>
      <c r="AII108" s="12"/>
      <c r="AIJ108" s="12"/>
      <c r="AJA108" s="12"/>
      <c r="AJB108" s="12"/>
      <c r="AJS108" s="12"/>
      <c r="AJT108" s="12"/>
      <c r="AKK108" s="12"/>
      <c r="AKL108" s="12"/>
      <c r="ALC108" s="12"/>
      <c r="ALD108" s="12"/>
      <c r="ALU108" s="12"/>
      <c r="ALV108" s="12"/>
      <c r="AMM108" s="12"/>
      <c r="AMN108" s="12"/>
      <c r="ANE108" s="12"/>
      <c r="ANF108" s="12"/>
      <c r="ANW108" s="12"/>
      <c r="ANX108" s="12"/>
      <c r="AOO108" s="12"/>
      <c r="AOP108" s="12"/>
      <c r="APG108" s="12"/>
      <c r="APH108" s="12"/>
      <c r="APY108" s="12"/>
      <c r="APZ108" s="12"/>
      <c r="AQQ108" s="12"/>
      <c r="AQR108" s="12"/>
      <c r="ARI108" s="12"/>
      <c r="ARJ108" s="12"/>
      <c r="ASA108" s="12"/>
      <c r="ASB108" s="12"/>
      <c r="ASS108" s="12"/>
      <c r="AST108" s="12"/>
      <c r="ATK108" s="12"/>
      <c r="ATL108" s="12"/>
      <c r="AUC108" s="12"/>
      <c r="AUD108" s="12"/>
      <c r="AUU108" s="12"/>
      <c r="AUV108" s="12"/>
      <c r="AVM108" s="12"/>
      <c r="AVN108" s="12"/>
      <c r="AWE108" s="12"/>
      <c r="AWF108" s="12"/>
      <c r="AWW108" s="12"/>
      <c r="AWX108" s="12"/>
      <c r="AXO108" s="12"/>
      <c r="AXP108" s="12"/>
      <c r="AYG108" s="12"/>
      <c r="AYH108" s="12"/>
      <c r="AYY108" s="12"/>
      <c r="AYZ108" s="12"/>
      <c r="AZQ108" s="12"/>
      <c r="AZR108" s="12"/>
      <c r="BAI108" s="12"/>
      <c r="BAJ108" s="12"/>
      <c r="BBA108" s="12"/>
      <c r="BBB108" s="12"/>
      <c r="BBS108" s="12"/>
      <c r="BBT108" s="12"/>
      <c r="BCK108" s="12"/>
      <c r="BCL108" s="12"/>
      <c r="BDC108" s="12"/>
      <c r="BDD108" s="12"/>
      <c r="BDU108" s="12"/>
      <c r="BDV108" s="12"/>
      <c r="BEM108" s="12"/>
      <c r="BEN108" s="12"/>
      <c r="BFE108" s="12"/>
      <c r="BFF108" s="12"/>
      <c r="BFW108" s="12"/>
      <c r="BFX108" s="12"/>
      <c r="BGO108" s="12"/>
      <c r="BGP108" s="12"/>
      <c r="BHG108" s="12"/>
      <c r="BHH108" s="12"/>
      <c r="BHY108" s="12"/>
      <c r="BHZ108" s="12"/>
      <c r="BIQ108" s="12"/>
      <c r="BIR108" s="12"/>
      <c r="BJI108" s="12"/>
      <c r="BJJ108" s="12"/>
      <c r="BKA108" s="12"/>
      <c r="BKB108" s="12"/>
      <c r="BKS108" s="12"/>
      <c r="BKT108" s="12"/>
      <c r="BLK108" s="12"/>
      <c r="BLL108" s="12"/>
      <c r="BMC108" s="12"/>
      <c r="BMD108" s="12"/>
      <c r="BMU108" s="12"/>
      <c r="BMV108" s="12"/>
      <c r="BNM108" s="12"/>
      <c r="BNN108" s="12"/>
      <c r="BOE108" s="12"/>
      <c r="BOF108" s="12"/>
      <c r="BOW108" s="12"/>
      <c r="BOX108" s="12"/>
      <c r="BPO108" s="12"/>
      <c r="BPP108" s="12"/>
      <c r="BQG108" s="12"/>
      <c r="BQH108" s="12"/>
      <c r="BQY108" s="12"/>
      <c r="BQZ108" s="12"/>
      <c r="BRQ108" s="12"/>
      <c r="BRR108" s="12"/>
      <c r="BSI108" s="12"/>
      <c r="BSJ108" s="12"/>
      <c r="BTA108" s="12"/>
      <c r="BTB108" s="12"/>
      <c r="BTS108" s="12"/>
      <c r="BTT108" s="12"/>
      <c r="BUK108" s="12"/>
      <c r="BUL108" s="12"/>
      <c r="BVC108" s="12"/>
      <c r="BVD108" s="12"/>
      <c r="BVU108" s="12"/>
      <c r="BVV108" s="12"/>
      <c r="BWM108" s="12"/>
      <c r="BWN108" s="12"/>
      <c r="BXE108" s="12"/>
      <c r="BXF108" s="12"/>
      <c r="BXW108" s="12"/>
      <c r="BXX108" s="12"/>
      <c r="BYO108" s="12"/>
      <c r="BYP108" s="12"/>
      <c r="BZG108" s="12"/>
      <c r="BZH108" s="12"/>
      <c r="BZY108" s="12"/>
      <c r="BZZ108" s="12"/>
      <c r="CAQ108" s="12"/>
      <c r="CAR108" s="12"/>
      <c r="CBI108" s="12"/>
      <c r="CBJ108" s="12"/>
      <c r="CCA108" s="12"/>
      <c r="CCB108" s="12"/>
      <c r="CCS108" s="12"/>
      <c r="CCT108" s="12"/>
      <c r="CDK108" s="12"/>
      <c r="CDL108" s="12"/>
      <c r="CEC108" s="12"/>
      <c r="CED108" s="12"/>
      <c r="CEU108" s="12"/>
      <c r="CEV108" s="12"/>
      <c r="CFM108" s="12"/>
      <c r="CFN108" s="12"/>
      <c r="CGE108" s="12"/>
      <c r="CGF108" s="12"/>
      <c r="CGW108" s="12"/>
      <c r="CGX108" s="12"/>
      <c r="CHO108" s="12"/>
      <c r="CHP108" s="12"/>
      <c r="CIG108" s="12"/>
      <c r="CIH108" s="12"/>
      <c r="CIY108" s="12"/>
      <c r="CIZ108" s="12"/>
      <c r="CJQ108" s="12"/>
      <c r="CJR108" s="12"/>
      <c r="CKI108" s="12"/>
      <c r="CKJ108" s="12"/>
      <c r="CLA108" s="12"/>
      <c r="CLB108" s="12"/>
      <c r="CLS108" s="12"/>
      <c r="CLT108" s="12"/>
      <c r="CMK108" s="12"/>
      <c r="CML108" s="12"/>
      <c r="CNC108" s="12"/>
      <c r="CND108" s="12"/>
      <c r="CNU108" s="12"/>
      <c r="CNV108" s="12"/>
      <c r="COM108" s="12"/>
      <c r="CON108" s="12"/>
      <c r="CPE108" s="12"/>
      <c r="CPF108" s="12"/>
      <c r="CPW108" s="12"/>
      <c r="CPX108" s="12"/>
      <c r="CQO108" s="12"/>
      <c r="CQP108" s="12"/>
      <c r="CRG108" s="12"/>
      <c r="CRH108" s="12"/>
      <c r="CRY108" s="12"/>
      <c r="CRZ108" s="12"/>
      <c r="CSQ108" s="12"/>
      <c r="CSR108" s="12"/>
      <c r="CTI108" s="12"/>
      <c r="CTJ108" s="12"/>
      <c r="CUA108" s="12"/>
      <c r="CUB108" s="12"/>
      <c r="CUS108" s="12"/>
      <c r="CUT108" s="12"/>
      <c r="CVK108" s="12"/>
      <c r="CVL108" s="12"/>
      <c r="CWC108" s="12"/>
      <c r="CWD108" s="12"/>
      <c r="CWU108" s="12"/>
      <c r="CWV108" s="12"/>
      <c r="CXM108" s="12"/>
      <c r="CXN108" s="12"/>
      <c r="CYE108" s="12"/>
      <c r="CYF108" s="12"/>
      <c r="CYW108" s="12"/>
      <c r="CYX108" s="12"/>
      <c r="CZO108" s="12"/>
      <c r="CZP108" s="12"/>
      <c r="DAG108" s="12"/>
      <c r="DAH108" s="12"/>
      <c r="DAY108" s="12"/>
      <c r="DAZ108" s="12"/>
      <c r="DBQ108" s="12"/>
      <c r="DBR108" s="12"/>
      <c r="DCI108" s="12"/>
      <c r="DCJ108" s="12"/>
      <c r="DDA108" s="12"/>
      <c r="DDB108" s="12"/>
      <c r="DDS108" s="12"/>
      <c r="DDT108" s="12"/>
      <c r="DEK108" s="12"/>
      <c r="DEL108" s="12"/>
      <c r="DFC108" s="12"/>
      <c r="DFD108" s="12"/>
      <c r="DFU108" s="12"/>
      <c r="DFV108" s="12"/>
      <c r="DGM108" s="12"/>
      <c r="DGN108" s="12"/>
      <c r="DHE108" s="12"/>
      <c r="DHF108" s="12"/>
      <c r="DHW108" s="12"/>
      <c r="DHX108" s="12"/>
      <c r="DIO108" s="12"/>
      <c r="DIP108" s="12"/>
      <c r="DJG108" s="12"/>
      <c r="DJH108" s="12"/>
      <c r="DJY108" s="12"/>
      <c r="DJZ108" s="12"/>
      <c r="DKQ108" s="12"/>
      <c r="DKR108" s="12"/>
      <c r="DLI108" s="12"/>
      <c r="DLJ108" s="12"/>
      <c r="DMA108" s="12"/>
      <c r="DMB108" s="12"/>
      <c r="DMS108" s="12"/>
      <c r="DMT108" s="12"/>
      <c r="DNK108" s="12"/>
      <c r="DNL108" s="12"/>
      <c r="DOC108" s="12"/>
      <c r="DOD108" s="12"/>
      <c r="DOU108" s="12"/>
      <c r="DOV108" s="12"/>
      <c r="DPM108" s="12"/>
      <c r="DPN108" s="12"/>
      <c r="DQE108" s="12"/>
      <c r="DQF108" s="12"/>
      <c r="DQW108" s="12"/>
      <c r="DQX108" s="12"/>
      <c r="DRO108" s="12"/>
      <c r="DRP108" s="12"/>
      <c r="DSG108" s="12"/>
      <c r="DSH108" s="12"/>
      <c r="DSY108" s="12"/>
      <c r="DSZ108" s="12"/>
      <c r="DTQ108" s="12"/>
      <c r="DTR108" s="12"/>
      <c r="DUI108" s="12"/>
      <c r="DUJ108" s="12"/>
      <c r="DVA108" s="12"/>
      <c r="DVB108" s="12"/>
      <c r="DVS108" s="12"/>
      <c r="DVT108" s="12"/>
      <c r="DWK108" s="12"/>
      <c r="DWL108" s="12"/>
      <c r="DXC108" s="12"/>
      <c r="DXD108" s="12"/>
      <c r="DXU108" s="12"/>
      <c r="DXV108" s="12"/>
      <c r="DYM108" s="12"/>
      <c r="DYN108" s="12"/>
      <c r="DZE108" s="12"/>
      <c r="DZF108" s="12"/>
      <c r="DZW108" s="12"/>
      <c r="DZX108" s="12"/>
      <c r="EAO108" s="12"/>
      <c r="EAP108" s="12"/>
      <c r="EBG108" s="12"/>
      <c r="EBH108" s="12"/>
      <c r="EBY108" s="12"/>
      <c r="EBZ108" s="12"/>
      <c r="ECQ108" s="12"/>
      <c r="ECR108" s="12"/>
      <c r="EDI108" s="12"/>
      <c r="EDJ108" s="12"/>
      <c r="EEA108" s="12"/>
      <c r="EEB108" s="12"/>
      <c r="EES108" s="12"/>
      <c r="EET108" s="12"/>
      <c r="EFK108" s="12"/>
      <c r="EFL108" s="12"/>
      <c r="EGC108" s="12"/>
      <c r="EGD108" s="12"/>
      <c r="EGU108" s="12"/>
      <c r="EGV108" s="12"/>
      <c r="EHM108" s="12"/>
      <c r="EHN108" s="12"/>
      <c r="EIE108" s="12"/>
      <c r="EIF108" s="12"/>
      <c r="EIW108" s="12"/>
      <c r="EIX108" s="12"/>
      <c r="EJO108" s="12"/>
      <c r="EJP108" s="12"/>
      <c r="EKG108" s="12"/>
      <c r="EKH108" s="12"/>
      <c r="EKY108" s="12"/>
      <c r="EKZ108" s="12"/>
      <c r="ELQ108" s="12"/>
      <c r="ELR108" s="12"/>
      <c r="EMI108" s="12"/>
      <c r="EMJ108" s="12"/>
      <c r="ENA108" s="12"/>
      <c r="ENB108" s="12"/>
      <c r="ENS108" s="12"/>
      <c r="ENT108" s="12"/>
      <c r="EOK108" s="12"/>
      <c r="EOL108" s="12"/>
      <c r="EPC108" s="12"/>
      <c r="EPD108" s="12"/>
      <c r="EPU108" s="12"/>
      <c r="EPV108" s="12"/>
      <c r="EQM108" s="12"/>
      <c r="EQN108" s="12"/>
      <c r="ERE108" s="12"/>
      <c r="ERF108" s="12"/>
      <c r="ERW108" s="12"/>
      <c r="ERX108" s="12"/>
      <c r="ESO108" s="12"/>
      <c r="ESP108" s="12"/>
      <c r="ETG108" s="12"/>
      <c r="ETH108" s="12"/>
      <c r="ETY108" s="12"/>
      <c r="ETZ108" s="12"/>
      <c r="EUQ108" s="12"/>
      <c r="EUR108" s="12"/>
      <c r="EVI108" s="12"/>
      <c r="EVJ108" s="12"/>
      <c r="EWA108" s="12"/>
      <c r="EWB108" s="12"/>
      <c r="EWS108" s="12"/>
      <c r="EWT108" s="12"/>
      <c r="EXK108" s="12"/>
      <c r="EXL108" s="12"/>
      <c r="EYC108" s="12"/>
      <c r="EYD108" s="12"/>
      <c r="EYU108" s="12"/>
      <c r="EYV108" s="12"/>
      <c r="EZM108" s="12"/>
      <c r="EZN108" s="12"/>
      <c r="FAE108" s="12"/>
      <c r="FAF108" s="12"/>
      <c r="FAW108" s="12"/>
      <c r="FAX108" s="12"/>
      <c r="FBO108" s="12"/>
      <c r="FBP108" s="12"/>
      <c r="FCG108" s="12"/>
      <c r="FCH108" s="12"/>
      <c r="FCY108" s="12"/>
      <c r="FCZ108" s="12"/>
      <c r="FDQ108" s="12"/>
      <c r="FDR108" s="12"/>
      <c r="FEI108" s="12"/>
      <c r="FEJ108" s="12"/>
      <c r="FFA108" s="12"/>
      <c r="FFB108" s="12"/>
      <c r="FFS108" s="12"/>
      <c r="FFT108" s="12"/>
      <c r="FGK108" s="12"/>
      <c r="FGL108" s="12"/>
      <c r="FHC108" s="12"/>
      <c r="FHD108" s="12"/>
      <c r="FHU108" s="12"/>
      <c r="FHV108" s="12"/>
      <c r="FIM108" s="12"/>
      <c r="FIN108" s="12"/>
      <c r="FJE108" s="12"/>
      <c r="FJF108" s="12"/>
      <c r="FJW108" s="12"/>
      <c r="FJX108" s="12"/>
      <c r="FKO108" s="12"/>
      <c r="FKP108" s="12"/>
      <c r="FLG108" s="12"/>
      <c r="FLH108" s="12"/>
      <c r="FLY108" s="12"/>
      <c r="FLZ108" s="12"/>
      <c r="FMQ108" s="12"/>
      <c r="FMR108" s="12"/>
      <c r="FNI108" s="12"/>
      <c r="FNJ108" s="12"/>
      <c r="FOA108" s="12"/>
      <c r="FOB108" s="12"/>
      <c r="FOS108" s="12"/>
      <c r="FOT108" s="12"/>
      <c r="FPK108" s="12"/>
      <c r="FPL108" s="12"/>
      <c r="FQC108" s="12"/>
      <c r="FQD108" s="12"/>
      <c r="FQU108" s="12"/>
      <c r="FQV108" s="12"/>
      <c r="FRM108" s="12"/>
      <c r="FRN108" s="12"/>
      <c r="FSE108" s="12"/>
      <c r="FSF108" s="12"/>
      <c r="FSW108" s="12"/>
      <c r="FSX108" s="12"/>
      <c r="FTO108" s="12"/>
      <c r="FTP108" s="12"/>
      <c r="FUG108" s="12"/>
      <c r="FUH108" s="12"/>
      <c r="FUY108" s="12"/>
      <c r="FUZ108" s="12"/>
      <c r="FVQ108" s="12"/>
      <c r="FVR108" s="12"/>
      <c r="FWI108" s="12"/>
      <c r="FWJ108" s="12"/>
      <c r="FXA108" s="12"/>
      <c r="FXB108" s="12"/>
      <c r="FXS108" s="12"/>
      <c r="FXT108" s="12"/>
      <c r="FYK108" s="12"/>
      <c r="FYL108" s="12"/>
      <c r="FZC108" s="12"/>
      <c r="FZD108" s="12"/>
      <c r="FZU108" s="12"/>
      <c r="FZV108" s="12"/>
      <c r="GAM108" s="12"/>
      <c r="GAN108" s="12"/>
      <c r="GBE108" s="12"/>
      <c r="GBF108" s="12"/>
      <c r="GBW108" s="12"/>
      <c r="GBX108" s="12"/>
      <c r="GCO108" s="12"/>
      <c r="GCP108" s="12"/>
      <c r="GDG108" s="12"/>
      <c r="GDH108" s="12"/>
      <c r="GDY108" s="12"/>
      <c r="GDZ108" s="12"/>
      <c r="GEQ108" s="12"/>
      <c r="GER108" s="12"/>
      <c r="GFI108" s="12"/>
      <c r="GFJ108" s="12"/>
      <c r="GGA108" s="12"/>
      <c r="GGB108" s="12"/>
      <c r="GGS108" s="12"/>
      <c r="GGT108" s="12"/>
      <c r="GHK108" s="12"/>
      <c r="GHL108" s="12"/>
      <c r="GIC108" s="12"/>
      <c r="GID108" s="12"/>
      <c r="GIU108" s="12"/>
      <c r="GIV108" s="12"/>
      <c r="GJM108" s="12"/>
      <c r="GJN108" s="12"/>
      <c r="GKE108" s="12"/>
      <c r="GKF108" s="12"/>
      <c r="GKW108" s="12"/>
      <c r="GKX108" s="12"/>
      <c r="GLO108" s="12"/>
      <c r="GLP108" s="12"/>
      <c r="GMG108" s="12"/>
      <c r="GMH108" s="12"/>
      <c r="GMY108" s="12"/>
      <c r="GMZ108" s="12"/>
      <c r="GNQ108" s="12"/>
      <c r="GNR108" s="12"/>
      <c r="GOI108" s="12"/>
      <c r="GOJ108" s="12"/>
      <c r="GPA108" s="12"/>
      <c r="GPB108" s="12"/>
      <c r="GPS108" s="12"/>
      <c r="GPT108" s="12"/>
      <c r="GQK108" s="12"/>
      <c r="GQL108" s="12"/>
      <c r="GRC108" s="12"/>
      <c r="GRD108" s="12"/>
      <c r="GRU108" s="12"/>
      <c r="GRV108" s="12"/>
      <c r="GSM108" s="12"/>
      <c r="GSN108" s="12"/>
      <c r="GTE108" s="12"/>
      <c r="GTF108" s="12"/>
      <c r="GTW108" s="12"/>
      <c r="GTX108" s="12"/>
      <c r="GUO108" s="12"/>
      <c r="GUP108" s="12"/>
      <c r="GVG108" s="12"/>
      <c r="GVH108" s="12"/>
      <c r="GVY108" s="12"/>
      <c r="GVZ108" s="12"/>
      <c r="GWQ108" s="12"/>
      <c r="GWR108" s="12"/>
      <c r="GXI108" s="12"/>
      <c r="GXJ108" s="12"/>
      <c r="GYA108" s="12"/>
      <c r="GYB108" s="12"/>
      <c r="GYS108" s="12"/>
      <c r="GYT108" s="12"/>
      <c r="GZK108" s="12"/>
      <c r="GZL108" s="12"/>
      <c r="HAC108" s="12"/>
      <c r="HAD108" s="12"/>
      <c r="HAU108" s="12"/>
      <c r="HAV108" s="12"/>
      <c r="HBM108" s="12"/>
      <c r="HBN108" s="12"/>
      <c r="HCE108" s="12"/>
      <c r="HCF108" s="12"/>
      <c r="HCW108" s="12"/>
      <c r="HCX108" s="12"/>
      <c r="HDO108" s="12"/>
      <c r="HDP108" s="12"/>
      <c r="HEG108" s="12"/>
      <c r="HEH108" s="12"/>
      <c r="HEY108" s="12"/>
      <c r="HEZ108" s="12"/>
      <c r="HFQ108" s="12"/>
      <c r="HFR108" s="12"/>
      <c r="HGI108" s="12"/>
      <c r="HGJ108" s="12"/>
      <c r="HHA108" s="12"/>
      <c r="HHB108" s="12"/>
      <c r="HHS108" s="12"/>
      <c r="HHT108" s="12"/>
      <c r="HIK108" s="12"/>
      <c r="HIL108" s="12"/>
      <c r="HJC108" s="12"/>
      <c r="HJD108" s="12"/>
      <c r="HJU108" s="12"/>
      <c r="HJV108" s="12"/>
      <c r="HKM108" s="12"/>
      <c r="HKN108" s="12"/>
      <c r="HLE108" s="12"/>
      <c r="HLF108" s="12"/>
      <c r="HLW108" s="12"/>
      <c r="HLX108" s="12"/>
      <c r="HMO108" s="12"/>
      <c r="HMP108" s="12"/>
      <c r="HNG108" s="12"/>
      <c r="HNH108" s="12"/>
      <c r="HNY108" s="12"/>
      <c r="HNZ108" s="12"/>
      <c r="HOQ108" s="12"/>
      <c r="HOR108" s="12"/>
      <c r="HPI108" s="12"/>
      <c r="HPJ108" s="12"/>
      <c r="HQA108" s="12"/>
      <c r="HQB108" s="12"/>
      <c r="HQS108" s="12"/>
      <c r="HQT108" s="12"/>
      <c r="HRK108" s="12"/>
      <c r="HRL108" s="12"/>
      <c r="HSC108" s="12"/>
      <c r="HSD108" s="12"/>
      <c r="HSU108" s="12"/>
      <c r="HSV108" s="12"/>
      <c r="HTM108" s="12"/>
      <c r="HTN108" s="12"/>
      <c r="HUE108" s="12"/>
      <c r="HUF108" s="12"/>
      <c r="HUW108" s="12"/>
      <c r="HUX108" s="12"/>
      <c r="HVO108" s="12"/>
      <c r="HVP108" s="12"/>
      <c r="HWG108" s="12"/>
      <c r="HWH108" s="12"/>
      <c r="HWY108" s="12"/>
      <c r="HWZ108" s="12"/>
      <c r="HXQ108" s="12"/>
      <c r="HXR108" s="12"/>
      <c r="HYI108" s="12"/>
      <c r="HYJ108" s="12"/>
      <c r="HZA108" s="12"/>
      <c r="HZB108" s="12"/>
      <c r="HZS108" s="12"/>
      <c r="HZT108" s="12"/>
      <c r="IAK108" s="12"/>
      <c r="IAL108" s="12"/>
      <c r="IBC108" s="12"/>
      <c r="IBD108" s="12"/>
      <c r="IBU108" s="12"/>
      <c r="IBV108" s="12"/>
      <c r="ICM108" s="12"/>
      <c r="ICN108" s="12"/>
      <c r="IDE108" s="12"/>
      <c r="IDF108" s="12"/>
      <c r="IDW108" s="12"/>
      <c r="IDX108" s="12"/>
      <c r="IEO108" s="12"/>
      <c r="IEP108" s="12"/>
      <c r="IFG108" s="12"/>
      <c r="IFH108" s="12"/>
      <c r="IFY108" s="12"/>
      <c r="IFZ108" s="12"/>
      <c r="IGQ108" s="12"/>
      <c r="IGR108" s="12"/>
      <c r="IHI108" s="12"/>
      <c r="IHJ108" s="12"/>
      <c r="IIA108" s="12"/>
      <c r="IIB108" s="12"/>
      <c r="IIS108" s="12"/>
      <c r="IIT108" s="12"/>
      <c r="IJK108" s="12"/>
      <c r="IJL108" s="12"/>
      <c r="IKC108" s="12"/>
      <c r="IKD108" s="12"/>
      <c r="IKU108" s="12"/>
      <c r="IKV108" s="12"/>
      <c r="ILM108" s="12"/>
      <c r="ILN108" s="12"/>
      <c r="IME108" s="12"/>
      <c r="IMF108" s="12"/>
      <c r="IMW108" s="12"/>
      <c r="IMX108" s="12"/>
      <c r="INO108" s="12"/>
      <c r="INP108" s="12"/>
      <c r="IOG108" s="12"/>
      <c r="IOH108" s="12"/>
      <c r="IOY108" s="12"/>
      <c r="IOZ108" s="12"/>
      <c r="IPQ108" s="12"/>
      <c r="IPR108" s="12"/>
      <c r="IQI108" s="12"/>
      <c r="IQJ108" s="12"/>
      <c r="IRA108" s="12"/>
      <c r="IRB108" s="12"/>
      <c r="IRS108" s="12"/>
      <c r="IRT108" s="12"/>
      <c r="ISK108" s="12"/>
      <c r="ISL108" s="12"/>
      <c r="ITC108" s="12"/>
      <c r="ITD108" s="12"/>
      <c r="ITU108" s="12"/>
      <c r="ITV108" s="12"/>
      <c r="IUM108" s="12"/>
      <c r="IUN108" s="12"/>
      <c r="IVE108" s="12"/>
      <c r="IVF108" s="12"/>
      <c r="IVW108" s="12"/>
      <c r="IVX108" s="12"/>
      <c r="IWO108" s="12"/>
      <c r="IWP108" s="12"/>
      <c r="IXG108" s="12"/>
      <c r="IXH108" s="12"/>
      <c r="IXY108" s="12"/>
      <c r="IXZ108" s="12"/>
      <c r="IYQ108" s="12"/>
      <c r="IYR108" s="12"/>
      <c r="IZI108" s="12"/>
      <c r="IZJ108" s="12"/>
      <c r="JAA108" s="12"/>
      <c r="JAB108" s="12"/>
      <c r="JAS108" s="12"/>
      <c r="JAT108" s="12"/>
      <c r="JBK108" s="12"/>
      <c r="JBL108" s="12"/>
      <c r="JCC108" s="12"/>
      <c r="JCD108" s="12"/>
      <c r="JCU108" s="12"/>
      <c r="JCV108" s="12"/>
      <c r="JDM108" s="12"/>
      <c r="JDN108" s="12"/>
      <c r="JEE108" s="12"/>
      <c r="JEF108" s="12"/>
      <c r="JEW108" s="12"/>
      <c r="JEX108" s="12"/>
      <c r="JFO108" s="12"/>
      <c r="JFP108" s="12"/>
      <c r="JGG108" s="12"/>
      <c r="JGH108" s="12"/>
      <c r="JGY108" s="12"/>
      <c r="JGZ108" s="12"/>
      <c r="JHQ108" s="12"/>
      <c r="JHR108" s="12"/>
      <c r="JII108" s="12"/>
      <c r="JIJ108" s="12"/>
      <c r="JJA108" s="12"/>
      <c r="JJB108" s="12"/>
      <c r="JJS108" s="12"/>
      <c r="JJT108" s="12"/>
      <c r="JKK108" s="12"/>
      <c r="JKL108" s="12"/>
      <c r="JLC108" s="12"/>
      <c r="JLD108" s="12"/>
      <c r="JLU108" s="12"/>
      <c r="JLV108" s="12"/>
      <c r="JMM108" s="12"/>
      <c r="JMN108" s="12"/>
      <c r="JNE108" s="12"/>
      <c r="JNF108" s="12"/>
      <c r="JNW108" s="12"/>
      <c r="JNX108" s="12"/>
      <c r="JOO108" s="12"/>
      <c r="JOP108" s="12"/>
      <c r="JPG108" s="12"/>
      <c r="JPH108" s="12"/>
      <c r="JPY108" s="12"/>
      <c r="JPZ108" s="12"/>
      <c r="JQQ108" s="12"/>
      <c r="JQR108" s="12"/>
      <c r="JRI108" s="12"/>
      <c r="JRJ108" s="12"/>
      <c r="JSA108" s="12"/>
      <c r="JSB108" s="12"/>
      <c r="JSS108" s="12"/>
      <c r="JST108" s="12"/>
      <c r="JTK108" s="12"/>
      <c r="JTL108" s="12"/>
      <c r="JUC108" s="12"/>
      <c r="JUD108" s="12"/>
      <c r="JUU108" s="12"/>
      <c r="JUV108" s="12"/>
      <c r="JVM108" s="12"/>
      <c r="JVN108" s="12"/>
      <c r="JWE108" s="12"/>
      <c r="JWF108" s="12"/>
      <c r="JWW108" s="12"/>
      <c r="JWX108" s="12"/>
      <c r="JXO108" s="12"/>
      <c r="JXP108" s="12"/>
      <c r="JYG108" s="12"/>
      <c r="JYH108" s="12"/>
      <c r="JYY108" s="12"/>
      <c r="JYZ108" s="12"/>
      <c r="JZQ108" s="12"/>
      <c r="JZR108" s="12"/>
      <c r="KAI108" s="12"/>
      <c r="KAJ108" s="12"/>
      <c r="KBA108" s="12"/>
      <c r="KBB108" s="12"/>
      <c r="KBS108" s="12"/>
      <c r="KBT108" s="12"/>
      <c r="KCK108" s="12"/>
      <c r="KCL108" s="12"/>
      <c r="KDC108" s="12"/>
      <c r="KDD108" s="12"/>
      <c r="KDU108" s="12"/>
      <c r="KDV108" s="12"/>
      <c r="KEM108" s="12"/>
      <c r="KEN108" s="12"/>
      <c r="KFE108" s="12"/>
      <c r="KFF108" s="12"/>
      <c r="KFW108" s="12"/>
      <c r="KFX108" s="12"/>
      <c r="KGO108" s="12"/>
      <c r="KGP108" s="12"/>
      <c r="KHG108" s="12"/>
      <c r="KHH108" s="12"/>
      <c r="KHY108" s="12"/>
      <c r="KHZ108" s="12"/>
      <c r="KIQ108" s="12"/>
      <c r="KIR108" s="12"/>
      <c r="KJI108" s="12"/>
      <c r="KJJ108" s="12"/>
      <c r="KKA108" s="12"/>
      <c r="KKB108" s="12"/>
      <c r="KKS108" s="12"/>
      <c r="KKT108" s="12"/>
      <c r="KLK108" s="12"/>
      <c r="KLL108" s="12"/>
      <c r="KMC108" s="12"/>
      <c r="KMD108" s="12"/>
      <c r="KMU108" s="12"/>
      <c r="KMV108" s="12"/>
      <c r="KNM108" s="12"/>
      <c r="KNN108" s="12"/>
      <c r="KOE108" s="12"/>
      <c r="KOF108" s="12"/>
      <c r="KOW108" s="12"/>
      <c r="KOX108" s="12"/>
      <c r="KPO108" s="12"/>
      <c r="KPP108" s="12"/>
      <c r="KQG108" s="12"/>
      <c r="KQH108" s="12"/>
      <c r="KQY108" s="12"/>
      <c r="KQZ108" s="12"/>
      <c r="KRQ108" s="12"/>
      <c r="KRR108" s="12"/>
      <c r="KSI108" s="12"/>
      <c r="KSJ108" s="12"/>
      <c r="KTA108" s="12"/>
      <c r="KTB108" s="12"/>
      <c r="KTS108" s="12"/>
      <c r="KTT108" s="12"/>
      <c r="KUK108" s="12"/>
      <c r="KUL108" s="12"/>
      <c r="KVC108" s="12"/>
      <c r="KVD108" s="12"/>
      <c r="KVU108" s="12"/>
      <c r="KVV108" s="12"/>
      <c r="KWM108" s="12"/>
      <c r="KWN108" s="12"/>
      <c r="KXE108" s="12"/>
      <c r="KXF108" s="12"/>
      <c r="KXW108" s="12"/>
      <c r="KXX108" s="12"/>
      <c r="KYO108" s="12"/>
      <c r="KYP108" s="12"/>
      <c r="KZG108" s="12"/>
      <c r="KZH108" s="12"/>
      <c r="KZY108" s="12"/>
      <c r="KZZ108" s="12"/>
      <c r="LAQ108" s="12"/>
      <c r="LAR108" s="12"/>
      <c r="LBI108" s="12"/>
      <c r="LBJ108" s="12"/>
      <c r="LCA108" s="12"/>
      <c r="LCB108" s="12"/>
      <c r="LCS108" s="12"/>
      <c r="LCT108" s="12"/>
      <c r="LDK108" s="12"/>
      <c r="LDL108" s="12"/>
      <c r="LEC108" s="12"/>
      <c r="LED108" s="12"/>
      <c r="LEU108" s="12"/>
      <c r="LEV108" s="12"/>
      <c r="LFM108" s="12"/>
      <c r="LFN108" s="12"/>
      <c r="LGE108" s="12"/>
      <c r="LGF108" s="12"/>
      <c r="LGW108" s="12"/>
      <c r="LGX108" s="12"/>
      <c r="LHO108" s="12"/>
      <c r="LHP108" s="12"/>
      <c r="LIG108" s="12"/>
      <c r="LIH108" s="12"/>
      <c r="LIY108" s="12"/>
      <c r="LIZ108" s="12"/>
      <c r="LJQ108" s="12"/>
      <c r="LJR108" s="12"/>
      <c r="LKI108" s="12"/>
      <c r="LKJ108" s="12"/>
      <c r="LLA108" s="12"/>
      <c r="LLB108" s="12"/>
      <c r="LLS108" s="12"/>
      <c r="LLT108" s="12"/>
      <c r="LMK108" s="12"/>
      <c r="LML108" s="12"/>
      <c r="LNC108" s="12"/>
      <c r="LND108" s="12"/>
      <c r="LNU108" s="12"/>
      <c r="LNV108" s="12"/>
      <c r="LOM108" s="12"/>
      <c r="LON108" s="12"/>
      <c r="LPE108" s="12"/>
      <c r="LPF108" s="12"/>
      <c r="LPW108" s="12"/>
      <c r="LPX108" s="12"/>
      <c r="LQO108" s="12"/>
      <c r="LQP108" s="12"/>
      <c r="LRG108" s="12"/>
      <c r="LRH108" s="12"/>
      <c r="LRY108" s="12"/>
      <c r="LRZ108" s="12"/>
      <c r="LSQ108" s="12"/>
      <c r="LSR108" s="12"/>
      <c r="LTI108" s="12"/>
      <c r="LTJ108" s="12"/>
      <c r="LUA108" s="12"/>
      <c r="LUB108" s="12"/>
      <c r="LUS108" s="12"/>
      <c r="LUT108" s="12"/>
      <c r="LVK108" s="12"/>
      <c r="LVL108" s="12"/>
      <c r="LWC108" s="12"/>
      <c r="LWD108" s="12"/>
      <c r="LWU108" s="12"/>
      <c r="LWV108" s="12"/>
      <c r="LXM108" s="12"/>
      <c r="LXN108" s="12"/>
      <c r="LYE108" s="12"/>
      <c r="LYF108" s="12"/>
      <c r="LYW108" s="12"/>
      <c r="LYX108" s="12"/>
      <c r="LZO108" s="12"/>
      <c r="LZP108" s="12"/>
      <c r="MAG108" s="12"/>
      <c r="MAH108" s="12"/>
      <c r="MAY108" s="12"/>
      <c r="MAZ108" s="12"/>
      <c r="MBQ108" s="12"/>
      <c r="MBR108" s="12"/>
      <c r="MCI108" s="12"/>
      <c r="MCJ108" s="12"/>
      <c r="MDA108" s="12"/>
      <c r="MDB108" s="12"/>
      <c r="MDS108" s="12"/>
      <c r="MDT108" s="12"/>
      <c r="MEK108" s="12"/>
      <c r="MEL108" s="12"/>
      <c r="MFC108" s="12"/>
      <c r="MFD108" s="12"/>
      <c r="MFU108" s="12"/>
      <c r="MFV108" s="12"/>
      <c r="MGM108" s="12"/>
      <c r="MGN108" s="12"/>
      <c r="MHE108" s="12"/>
      <c r="MHF108" s="12"/>
      <c r="MHW108" s="12"/>
      <c r="MHX108" s="12"/>
      <c r="MIO108" s="12"/>
      <c r="MIP108" s="12"/>
      <c r="MJG108" s="12"/>
      <c r="MJH108" s="12"/>
      <c r="MJY108" s="12"/>
      <c r="MJZ108" s="12"/>
      <c r="MKQ108" s="12"/>
      <c r="MKR108" s="12"/>
      <c r="MLI108" s="12"/>
      <c r="MLJ108" s="12"/>
      <c r="MMA108" s="12"/>
      <c r="MMB108" s="12"/>
      <c r="MMS108" s="12"/>
      <c r="MMT108" s="12"/>
      <c r="MNK108" s="12"/>
      <c r="MNL108" s="12"/>
      <c r="MOC108" s="12"/>
      <c r="MOD108" s="12"/>
      <c r="MOU108" s="12"/>
      <c r="MOV108" s="12"/>
      <c r="MPM108" s="12"/>
      <c r="MPN108" s="12"/>
      <c r="MQE108" s="12"/>
      <c r="MQF108" s="12"/>
      <c r="MQW108" s="12"/>
      <c r="MQX108" s="12"/>
      <c r="MRO108" s="12"/>
      <c r="MRP108" s="12"/>
      <c r="MSG108" s="12"/>
      <c r="MSH108" s="12"/>
      <c r="MSY108" s="12"/>
      <c r="MSZ108" s="12"/>
      <c r="MTQ108" s="12"/>
      <c r="MTR108" s="12"/>
      <c r="MUI108" s="12"/>
      <c r="MUJ108" s="12"/>
      <c r="MVA108" s="12"/>
      <c r="MVB108" s="12"/>
      <c r="MVS108" s="12"/>
      <c r="MVT108" s="12"/>
      <c r="MWK108" s="12"/>
      <c r="MWL108" s="12"/>
      <c r="MXC108" s="12"/>
      <c r="MXD108" s="12"/>
      <c r="MXU108" s="12"/>
      <c r="MXV108" s="12"/>
      <c r="MYM108" s="12"/>
      <c r="MYN108" s="12"/>
      <c r="MZE108" s="12"/>
      <c r="MZF108" s="12"/>
      <c r="MZW108" s="12"/>
      <c r="MZX108" s="12"/>
      <c r="NAO108" s="12"/>
      <c r="NAP108" s="12"/>
      <c r="NBG108" s="12"/>
      <c r="NBH108" s="12"/>
      <c r="NBY108" s="12"/>
      <c r="NBZ108" s="12"/>
      <c r="NCQ108" s="12"/>
      <c r="NCR108" s="12"/>
      <c r="NDI108" s="12"/>
      <c r="NDJ108" s="12"/>
      <c r="NEA108" s="12"/>
      <c r="NEB108" s="12"/>
      <c r="NES108" s="12"/>
      <c r="NET108" s="12"/>
      <c r="NFK108" s="12"/>
      <c r="NFL108" s="12"/>
      <c r="NGC108" s="12"/>
      <c r="NGD108" s="12"/>
      <c r="NGU108" s="12"/>
      <c r="NGV108" s="12"/>
      <c r="NHM108" s="12"/>
      <c r="NHN108" s="12"/>
      <c r="NIE108" s="12"/>
      <c r="NIF108" s="12"/>
      <c r="NIW108" s="12"/>
      <c r="NIX108" s="12"/>
      <c r="NJO108" s="12"/>
      <c r="NJP108" s="12"/>
      <c r="NKG108" s="12"/>
      <c r="NKH108" s="12"/>
      <c r="NKY108" s="12"/>
      <c r="NKZ108" s="12"/>
      <c r="NLQ108" s="12"/>
      <c r="NLR108" s="12"/>
      <c r="NMI108" s="12"/>
      <c r="NMJ108" s="12"/>
      <c r="NNA108" s="12"/>
      <c r="NNB108" s="12"/>
      <c r="NNS108" s="12"/>
      <c r="NNT108" s="12"/>
      <c r="NOK108" s="12"/>
      <c r="NOL108" s="12"/>
      <c r="NPC108" s="12"/>
      <c r="NPD108" s="12"/>
      <c r="NPU108" s="12"/>
      <c r="NPV108" s="12"/>
      <c r="NQM108" s="12"/>
      <c r="NQN108" s="12"/>
      <c r="NRE108" s="12"/>
      <c r="NRF108" s="12"/>
      <c r="NRW108" s="12"/>
      <c r="NRX108" s="12"/>
      <c r="NSO108" s="12"/>
      <c r="NSP108" s="12"/>
      <c r="NTG108" s="12"/>
      <c r="NTH108" s="12"/>
      <c r="NTY108" s="12"/>
      <c r="NTZ108" s="12"/>
      <c r="NUQ108" s="12"/>
      <c r="NUR108" s="12"/>
      <c r="NVI108" s="12"/>
      <c r="NVJ108" s="12"/>
      <c r="NWA108" s="12"/>
      <c r="NWB108" s="12"/>
      <c r="NWS108" s="12"/>
      <c r="NWT108" s="12"/>
      <c r="NXK108" s="12"/>
      <c r="NXL108" s="12"/>
      <c r="NYC108" s="12"/>
      <c r="NYD108" s="12"/>
      <c r="NYU108" s="12"/>
      <c r="NYV108" s="12"/>
      <c r="NZM108" s="12"/>
      <c r="NZN108" s="12"/>
      <c r="OAE108" s="12"/>
      <c r="OAF108" s="12"/>
      <c r="OAW108" s="12"/>
      <c r="OAX108" s="12"/>
      <c r="OBO108" s="12"/>
      <c r="OBP108" s="12"/>
      <c r="OCG108" s="12"/>
      <c r="OCH108" s="12"/>
      <c r="OCY108" s="12"/>
      <c r="OCZ108" s="12"/>
      <c r="ODQ108" s="12"/>
      <c r="ODR108" s="12"/>
      <c r="OEI108" s="12"/>
      <c r="OEJ108" s="12"/>
      <c r="OFA108" s="12"/>
      <c r="OFB108" s="12"/>
      <c r="OFS108" s="12"/>
      <c r="OFT108" s="12"/>
      <c r="OGK108" s="12"/>
      <c r="OGL108" s="12"/>
      <c r="OHC108" s="12"/>
      <c r="OHD108" s="12"/>
      <c r="OHU108" s="12"/>
      <c r="OHV108" s="12"/>
      <c r="OIM108" s="12"/>
      <c r="OIN108" s="12"/>
      <c r="OJE108" s="12"/>
      <c r="OJF108" s="12"/>
      <c r="OJW108" s="12"/>
      <c r="OJX108" s="12"/>
      <c r="OKO108" s="12"/>
      <c r="OKP108" s="12"/>
      <c r="OLG108" s="12"/>
      <c r="OLH108" s="12"/>
      <c r="OLY108" s="12"/>
      <c r="OLZ108" s="12"/>
      <c r="OMQ108" s="12"/>
      <c r="OMR108" s="12"/>
      <c r="ONI108" s="12"/>
      <c r="ONJ108" s="12"/>
      <c r="OOA108" s="12"/>
      <c r="OOB108" s="12"/>
      <c r="OOS108" s="12"/>
      <c r="OOT108" s="12"/>
      <c r="OPK108" s="12"/>
      <c r="OPL108" s="12"/>
      <c r="OQC108" s="12"/>
      <c r="OQD108" s="12"/>
      <c r="OQU108" s="12"/>
      <c r="OQV108" s="12"/>
      <c r="ORM108" s="12"/>
      <c r="ORN108" s="12"/>
      <c r="OSE108" s="12"/>
      <c r="OSF108" s="12"/>
      <c r="OSW108" s="12"/>
      <c r="OSX108" s="12"/>
      <c r="OTO108" s="12"/>
      <c r="OTP108" s="12"/>
      <c r="OUG108" s="12"/>
      <c r="OUH108" s="12"/>
      <c r="OUY108" s="12"/>
      <c r="OUZ108" s="12"/>
      <c r="OVQ108" s="12"/>
      <c r="OVR108" s="12"/>
      <c r="OWI108" s="12"/>
      <c r="OWJ108" s="12"/>
      <c r="OXA108" s="12"/>
      <c r="OXB108" s="12"/>
      <c r="OXS108" s="12"/>
      <c r="OXT108" s="12"/>
      <c r="OYK108" s="12"/>
      <c r="OYL108" s="12"/>
      <c r="OZC108" s="12"/>
      <c r="OZD108" s="12"/>
      <c r="OZU108" s="12"/>
      <c r="OZV108" s="12"/>
      <c r="PAM108" s="12"/>
      <c r="PAN108" s="12"/>
      <c r="PBE108" s="12"/>
      <c r="PBF108" s="12"/>
      <c r="PBW108" s="12"/>
      <c r="PBX108" s="12"/>
      <c r="PCO108" s="12"/>
      <c r="PCP108" s="12"/>
      <c r="PDG108" s="12"/>
      <c r="PDH108" s="12"/>
      <c r="PDY108" s="12"/>
      <c r="PDZ108" s="12"/>
      <c r="PEQ108" s="12"/>
      <c r="PER108" s="12"/>
      <c r="PFI108" s="12"/>
      <c r="PFJ108" s="12"/>
      <c r="PGA108" s="12"/>
      <c r="PGB108" s="12"/>
      <c r="PGS108" s="12"/>
      <c r="PGT108" s="12"/>
      <c r="PHK108" s="12"/>
      <c r="PHL108" s="12"/>
      <c r="PIC108" s="12"/>
      <c r="PID108" s="12"/>
      <c r="PIU108" s="12"/>
      <c r="PIV108" s="12"/>
      <c r="PJM108" s="12"/>
      <c r="PJN108" s="12"/>
      <c r="PKE108" s="12"/>
      <c r="PKF108" s="12"/>
      <c r="PKW108" s="12"/>
      <c r="PKX108" s="12"/>
      <c r="PLO108" s="12"/>
      <c r="PLP108" s="12"/>
      <c r="PMG108" s="12"/>
      <c r="PMH108" s="12"/>
      <c r="PMY108" s="12"/>
      <c r="PMZ108" s="12"/>
      <c r="PNQ108" s="12"/>
      <c r="PNR108" s="12"/>
      <c r="POI108" s="12"/>
      <c r="POJ108" s="12"/>
      <c r="PPA108" s="12"/>
      <c r="PPB108" s="12"/>
      <c r="PPS108" s="12"/>
      <c r="PPT108" s="12"/>
      <c r="PQK108" s="12"/>
      <c r="PQL108" s="12"/>
      <c r="PRC108" s="12"/>
      <c r="PRD108" s="12"/>
      <c r="PRU108" s="12"/>
      <c r="PRV108" s="12"/>
      <c r="PSM108" s="12"/>
      <c r="PSN108" s="12"/>
      <c r="PTE108" s="12"/>
      <c r="PTF108" s="12"/>
      <c r="PTW108" s="12"/>
      <c r="PTX108" s="12"/>
      <c r="PUO108" s="12"/>
      <c r="PUP108" s="12"/>
      <c r="PVG108" s="12"/>
      <c r="PVH108" s="12"/>
      <c r="PVY108" s="12"/>
      <c r="PVZ108" s="12"/>
      <c r="PWQ108" s="12"/>
      <c r="PWR108" s="12"/>
      <c r="PXI108" s="12"/>
      <c r="PXJ108" s="12"/>
      <c r="PYA108" s="12"/>
      <c r="PYB108" s="12"/>
      <c r="PYS108" s="12"/>
      <c r="PYT108" s="12"/>
      <c r="PZK108" s="12"/>
      <c r="PZL108" s="12"/>
      <c r="QAC108" s="12"/>
      <c r="QAD108" s="12"/>
      <c r="QAU108" s="12"/>
      <c r="QAV108" s="12"/>
      <c r="QBM108" s="12"/>
      <c r="QBN108" s="12"/>
      <c r="QCE108" s="12"/>
      <c r="QCF108" s="12"/>
      <c r="QCW108" s="12"/>
      <c r="QCX108" s="12"/>
      <c r="QDO108" s="12"/>
      <c r="QDP108" s="12"/>
      <c r="QEG108" s="12"/>
      <c r="QEH108" s="12"/>
      <c r="QEY108" s="12"/>
      <c r="QEZ108" s="12"/>
      <c r="QFQ108" s="12"/>
      <c r="QFR108" s="12"/>
      <c r="QGI108" s="12"/>
      <c r="QGJ108" s="12"/>
      <c r="QHA108" s="12"/>
      <c r="QHB108" s="12"/>
      <c r="QHS108" s="12"/>
      <c r="QHT108" s="12"/>
      <c r="QIK108" s="12"/>
      <c r="QIL108" s="12"/>
      <c r="QJC108" s="12"/>
      <c r="QJD108" s="12"/>
      <c r="QJU108" s="12"/>
      <c r="QJV108" s="12"/>
      <c r="QKM108" s="12"/>
      <c r="QKN108" s="12"/>
      <c r="QLE108" s="12"/>
      <c r="QLF108" s="12"/>
      <c r="QLW108" s="12"/>
      <c r="QLX108" s="12"/>
      <c r="QMO108" s="12"/>
      <c r="QMP108" s="12"/>
      <c r="QNG108" s="12"/>
      <c r="QNH108" s="12"/>
      <c r="QNY108" s="12"/>
      <c r="QNZ108" s="12"/>
      <c r="QOQ108" s="12"/>
      <c r="QOR108" s="12"/>
      <c r="QPI108" s="12"/>
      <c r="QPJ108" s="12"/>
      <c r="QQA108" s="12"/>
      <c r="QQB108" s="12"/>
      <c r="QQS108" s="12"/>
      <c r="QQT108" s="12"/>
      <c r="QRK108" s="12"/>
      <c r="QRL108" s="12"/>
      <c r="QSC108" s="12"/>
      <c r="QSD108" s="12"/>
      <c r="QSU108" s="12"/>
      <c r="QSV108" s="12"/>
      <c r="QTM108" s="12"/>
      <c r="QTN108" s="12"/>
      <c r="QUE108" s="12"/>
      <c r="QUF108" s="12"/>
      <c r="QUW108" s="12"/>
      <c r="QUX108" s="12"/>
      <c r="QVO108" s="12"/>
      <c r="QVP108" s="12"/>
      <c r="QWG108" s="12"/>
      <c r="QWH108" s="12"/>
      <c r="QWY108" s="12"/>
      <c r="QWZ108" s="12"/>
      <c r="QXQ108" s="12"/>
      <c r="QXR108" s="12"/>
      <c r="QYI108" s="12"/>
      <c r="QYJ108" s="12"/>
      <c r="QZA108" s="12"/>
      <c r="QZB108" s="12"/>
      <c r="QZS108" s="12"/>
      <c r="QZT108" s="12"/>
      <c r="RAK108" s="12"/>
      <c r="RAL108" s="12"/>
      <c r="RBC108" s="12"/>
      <c r="RBD108" s="12"/>
      <c r="RBU108" s="12"/>
      <c r="RBV108" s="12"/>
      <c r="RCM108" s="12"/>
      <c r="RCN108" s="12"/>
      <c r="RDE108" s="12"/>
      <c r="RDF108" s="12"/>
      <c r="RDW108" s="12"/>
      <c r="RDX108" s="12"/>
      <c r="REO108" s="12"/>
      <c r="REP108" s="12"/>
      <c r="RFG108" s="12"/>
      <c r="RFH108" s="12"/>
      <c r="RFY108" s="12"/>
      <c r="RFZ108" s="12"/>
      <c r="RGQ108" s="12"/>
      <c r="RGR108" s="12"/>
      <c r="RHI108" s="12"/>
      <c r="RHJ108" s="12"/>
      <c r="RIA108" s="12"/>
      <c r="RIB108" s="12"/>
      <c r="RIS108" s="12"/>
      <c r="RIT108" s="12"/>
      <c r="RJK108" s="12"/>
      <c r="RJL108" s="12"/>
      <c r="RKC108" s="12"/>
      <c r="RKD108" s="12"/>
      <c r="RKU108" s="12"/>
      <c r="RKV108" s="12"/>
      <c r="RLM108" s="12"/>
      <c r="RLN108" s="12"/>
      <c r="RME108" s="12"/>
      <c r="RMF108" s="12"/>
      <c r="RMW108" s="12"/>
      <c r="RMX108" s="12"/>
      <c r="RNO108" s="12"/>
      <c r="RNP108" s="12"/>
      <c r="ROG108" s="12"/>
      <c r="ROH108" s="12"/>
      <c r="ROY108" s="12"/>
      <c r="ROZ108" s="12"/>
      <c r="RPQ108" s="12"/>
      <c r="RPR108" s="12"/>
      <c r="RQI108" s="12"/>
      <c r="RQJ108" s="12"/>
      <c r="RRA108" s="12"/>
      <c r="RRB108" s="12"/>
      <c r="RRS108" s="12"/>
      <c r="RRT108" s="12"/>
      <c r="RSK108" s="12"/>
      <c r="RSL108" s="12"/>
      <c r="RTC108" s="12"/>
      <c r="RTD108" s="12"/>
      <c r="RTU108" s="12"/>
      <c r="RTV108" s="12"/>
      <c r="RUM108" s="12"/>
      <c r="RUN108" s="12"/>
      <c r="RVE108" s="12"/>
      <c r="RVF108" s="12"/>
      <c r="RVW108" s="12"/>
      <c r="RVX108" s="12"/>
      <c r="RWO108" s="12"/>
      <c r="RWP108" s="12"/>
      <c r="RXG108" s="12"/>
      <c r="RXH108" s="12"/>
      <c r="RXY108" s="12"/>
      <c r="RXZ108" s="12"/>
      <c r="RYQ108" s="12"/>
      <c r="RYR108" s="12"/>
      <c r="RZI108" s="12"/>
      <c r="RZJ108" s="12"/>
      <c r="SAA108" s="12"/>
      <c r="SAB108" s="12"/>
      <c r="SAS108" s="12"/>
      <c r="SAT108" s="12"/>
      <c r="SBK108" s="12"/>
      <c r="SBL108" s="12"/>
      <c r="SCC108" s="12"/>
      <c r="SCD108" s="12"/>
      <c r="SCU108" s="12"/>
      <c r="SCV108" s="12"/>
      <c r="SDM108" s="12"/>
      <c r="SDN108" s="12"/>
      <c r="SEE108" s="12"/>
      <c r="SEF108" s="12"/>
      <c r="SEW108" s="12"/>
      <c r="SEX108" s="12"/>
      <c r="SFO108" s="12"/>
      <c r="SFP108" s="12"/>
      <c r="SGG108" s="12"/>
      <c r="SGH108" s="12"/>
      <c r="SGY108" s="12"/>
      <c r="SGZ108" s="12"/>
      <c r="SHQ108" s="12"/>
      <c r="SHR108" s="12"/>
      <c r="SII108" s="12"/>
      <c r="SIJ108" s="12"/>
      <c r="SJA108" s="12"/>
      <c r="SJB108" s="12"/>
      <c r="SJS108" s="12"/>
      <c r="SJT108" s="12"/>
      <c r="SKK108" s="12"/>
      <c r="SKL108" s="12"/>
      <c r="SLC108" s="12"/>
      <c r="SLD108" s="12"/>
      <c r="SLU108" s="12"/>
      <c r="SLV108" s="12"/>
      <c r="SMM108" s="12"/>
      <c r="SMN108" s="12"/>
      <c r="SNE108" s="12"/>
      <c r="SNF108" s="12"/>
      <c r="SNW108" s="12"/>
      <c r="SNX108" s="12"/>
      <c r="SOO108" s="12"/>
      <c r="SOP108" s="12"/>
      <c r="SPG108" s="12"/>
      <c r="SPH108" s="12"/>
      <c r="SPY108" s="12"/>
      <c r="SPZ108" s="12"/>
      <c r="SQQ108" s="12"/>
      <c r="SQR108" s="12"/>
      <c r="SRI108" s="12"/>
      <c r="SRJ108" s="12"/>
      <c r="SSA108" s="12"/>
      <c r="SSB108" s="12"/>
      <c r="SSS108" s="12"/>
      <c r="SST108" s="12"/>
      <c r="STK108" s="12"/>
      <c r="STL108" s="12"/>
      <c r="SUC108" s="12"/>
      <c r="SUD108" s="12"/>
      <c r="SUU108" s="12"/>
      <c r="SUV108" s="12"/>
      <c r="SVM108" s="12"/>
      <c r="SVN108" s="12"/>
      <c r="SWE108" s="12"/>
      <c r="SWF108" s="12"/>
      <c r="SWW108" s="12"/>
      <c r="SWX108" s="12"/>
      <c r="SXO108" s="12"/>
      <c r="SXP108" s="12"/>
      <c r="SYG108" s="12"/>
      <c r="SYH108" s="12"/>
      <c r="SYY108" s="12"/>
      <c r="SYZ108" s="12"/>
      <c r="SZQ108" s="12"/>
      <c r="SZR108" s="12"/>
      <c r="TAI108" s="12"/>
      <c r="TAJ108" s="12"/>
      <c r="TBA108" s="12"/>
      <c r="TBB108" s="12"/>
      <c r="TBS108" s="12"/>
      <c r="TBT108" s="12"/>
      <c r="TCK108" s="12"/>
      <c r="TCL108" s="12"/>
      <c r="TDC108" s="12"/>
      <c r="TDD108" s="12"/>
      <c r="TDU108" s="12"/>
      <c r="TDV108" s="12"/>
      <c r="TEM108" s="12"/>
      <c r="TEN108" s="12"/>
      <c r="TFE108" s="12"/>
      <c r="TFF108" s="12"/>
      <c r="TFW108" s="12"/>
      <c r="TFX108" s="12"/>
      <c r="TGO108" s="12"/>
      <c r="TGP108" s="12"/>
      <c r="THG108" s="12"/>
      <c r="THH108" s="12"/>
      <c r="THY108" s="12"/>
      <c r="THZ108" s="12"/>
      <c r="TIQ108" s="12"/>
      <c r="TIR108" s="12"/>
      <c r="TJI108" s="12"/>
      <c r="TJJ108" s="12"/>
      <c r="TKA108" s="12"/>
      <c r="TKB108" s="12"/>
      <c r="TKS108" s="12"/>
      <c r="TKT108" s="12"/>
      <c r="TLK108" s="12"/>
      <c r="TLL108" s="12"/>
      <c r="TMC108" s="12"/>
      <c r="TMD108" s="12"/>
      <c r="TMU108" s="12"/>
      <c r="TMV108" s="12"/>
      <c r="TNM108" s="12"/>
      <c r="TNN108" s="12"/>
      <c r="TOE108" s="12"/>
      <c r="TOF108" s="12"/>
      <c r="TOW108" s="12"/>
      <c r="TOX108" s="12"/>
      <c r="TPO108" s="12"/>
      <c r="TPP108" s="12"/>
      <c r="TQG108" s="12"/>
      <c r="TQH108" s="12"/>
      <c r="TQY108" s="12"/>
      <c r="TQZ108" s="12"/>
      <c r="TRQ108" s="12"/>
      <c r="TRR108" s="12"/>
      <c r="TSI108" s="12"/>
      <c r="TSJ108" s="12"/>
      <c r="TTA108" s="12"/>
      <c r="TTB108" s="12"/>
      <c r="TTS108" s="12"/>
      <c r="TTT108" s="12"/>
      <c r="TUK108" s="12"/>
      <c r="TUL108" s="12"/>
      <c r="TVC108" s="12"/>
      <c r="TVD108" s="12"/>
      <c r="TVU108" s="12"/>
      <c r="TVV108" s="12"/>
      <c r="TWM108" s="12"/>
      <c r="TWN108" s="12"/>
      <c r="TXE108" s="12"/>
      <c r="TXF108" s="12"/>
      <c r="TXW108" s="12"/>
      <c r="TXX108" s="12"/>
      <c r="TYO108" s="12"/>
      <c r="TYP108" s="12"/>
      <c r="TZG108" s="12"/>
      <c r="TZH108" s="12"/>
      <c r="TZY108" s="12"/>
      <c r="TZZ108" s="12"/>
      <c r="UAQ108" s="12"/>
      <c r="UAR108" s="12"/>
      <c r="UBI108" s="12"/>
      <c r="UBJ108" s="12"/>
      <c r="UCA108" s="12"/>
      <c r="UCB108" s="12"/>
      <c r="UCS108" s="12"/>
      <c r="UCT108" s="12"/>
      <c r="UDK108" s="12"/>
      <c r="UDL108" s="12"/>
      <c r="UEC108" s="12"/>
      <c r="UED108" s="12"/>
      <c r="UEU108" s="12"/>
      <c r="UEV108" s="12"/>
      <c r="UFM108" s="12"/>
      <c r="UFN108" s="12"/>
      <c r="UGE108" s="12"/>
      <c r="UGF108" s="12"/>
      <c r="UGW108" s="12"/>
      <c r="UGX108" s="12"/>
      <c r="UHO108" s="12"/>
      <c r="UHP108" s="12"/>
      <c r="UIG108" s="12"/>
      <c r="UIH108" s="12"/>
      <c r="UIY108" s="12"/>
      <c r="UIZ108" s="12"/>
      <c r="UJQ108" s="12"/>
      <c r="UJR108" s="12"/>
      <c r="UKI108" s="12"/>
      <c r="UKJ108" s="12"/>
      <c r="ULA108" s="12"/>
      <c r="ULB108" s="12"/>
      <c r="ULS108" s="12"/>
      <c r="ULT108" s="12"/>
      <c r="UMK108" s="12"/>
      <c r="UML108" s="12"/>
      <c r="UNC108" s="12"/>
      <c r="UND108" s="12"/>
      <c r="UNU108" s="12"/>
      <c r="UNV108" s="12"/>
      <c r="UOM108" s="12"/>
      <c r="UON108" s="12"/>
      <c r="UPE108" s="12"/>
      <c r="UPF108" s="12"/>
      <c r="UPW108" s="12"/>
      <c r="UPX108" s="12"/>
      <c r="UQO108" s="12"/>
      <c r="UQP108" s="12"/>
      <c r="URG108" s="12"/>
      <c r="URH108" s="12"/>
      <c r="URY108" s="12"/>
      <c r="URZ108" s="12"/>
      <c r="USQ108" s="12"/>
      <c r="USR108" s="12"/>
      <c r="UTI108" s="12"/>
      <c r="UTJ108" s="12"/>
      <c r="UUA108" s="12"/>
      <c r="UUB108" s="12"/>
      <c r="UUS108" s="12"/>
      <c r="UUT108" s="12"/>
      <c r="UVK108" s="12"/>
      <c r="UVL108" s="12"/>
      <c r="UWC108" s="12"/>
      <c r="UWD108" s="12"/>
      <c r="UWU108" s="12"/>
      <c r="UWV108" s="12"/>
      <c r="UXM108" s="12"/>
      <c r="UXN108" s="12"/>
      <c r="UYE108" s="12"/>
      <c r="UYF108" s="12"/>
      <c r="UYW108" s="12"/>
      <c r="UYX108" s="12"/>
      <c r="UZO108" s="12"/>
      <c r="UZP108" s="12"/>
      <c r="VAG108" s="12"/>
      <c r="VAH108" s="12"/>
      <c r="VAY108" s="12"/>
      <c r="VAZ108" s="12"/>
      <c r="VBQ108" s="12"/>
      <c r="VBR108" s="12"/>
      <c r="VCI108" s="12"/>
      <c r="VCJ108" s="12"/>
      <c r="VDA108" s="12"/>
      <c r="VDB108" s="12"/>
      <c r="VDS108" s="12"/>
      <c r="VDT108" s="12"/>
      <c r="VEK108" s="12"/>
      <c r="VEL108" s="12"/>
      <c r="VFC108" s="12"/>
      <c r="VFD108" s="12"/>
      <c r="VFU108" s="12"/>
      <c r="VFV108" s="12"/>
      <c r="VGM108" s="12"/>
      <c r="VGN108" s="12"/>
      <c r="VHE108" s="12"/>
      <c r="VHF108" s="12"/>
      <c r="VHW108" s="12"/>
      <c r="VHX108" s="12"/>
      <c r="VIO108" s="12"/>
      <c r="VIP108" s="12"/>
      <c r="VJG108" s="12"/>
      <c r="VJH108" s="12"/>
      <c r="VJY108" s="12"/>
      <c r="VJZ108" s="12"/>
      <c r="VKQ108" s="12"/>
      <c r="VKR108" s="12"/>
      <c r="VLI108" s="12"/>
      <c r="VLJ108" s="12"/>
      <c r="VMA108" s="12"/>
      <c r="VMB108" s="12"/>
      <c r="VMS108" s="12"/>
      <c r="VMT108" s="12"/>
      <c r="VNK108" s="12"/>
      <c r="VNL108" s="12"/>
      <c r="VOC108" s="12"/>
      <c r="VOD108" s="12"/>
      <c r="VOU108" s="12"/>
      <c r="VOV108" s="12"/>
      <c r="VPM108" s="12"/>
      <c r="VPN108" s="12"/>
      <c r="VQE108" s="12"/>
      <c r="VQF108" s="12"/>
      <c r="VQW108" s="12"/>
      <c r="VQX108" s="12"/>
      <c r="VRO108" s="12"/>
      <c r="VRP108" s="12"/>
      <c r="VSG108" s="12"/>
      <c r="VSH108" s="12"/>
      <c r="VSY108" s="12"/>
      <c r="VSZ108" s="12"/>
      <c r="VTQ108" s="12"/>
      <c r="VTR108" s="12"/>
      <c r="VUI108" s="12"/>
      <c r="VUJ108" s="12"/>
      <c r="VVA108" s="12"/>
      <c r="VVB108" s="12"/>
      <c r="VVS108" s="12"/>
      <c r="VVT108" s="12"/>
      <c r="VWK108" s="12"/>
      <c r="VWL108" s="12"/>
      <c r="VXC108" s="12"/>
      <c r="VXD108" s="12"/>
      <c r="VXU108" s="12"/>
      <c r="VXV108" s="12"/>
      <c r="VYM108" s="12"/>
      <c r="VYN108" s="12"/>
      <c r="VZE108" s="12"/>
      <c r="VZF108" s="12"/>
      <c r="VZW108" s="12"/>
      <c r="VZX108" s="12"/>
      <c r="WAO108" s="12"/>
      <c r="WAP108" s="12"/>
      <c r="WBG108" s="12"/>
      <c r="WBH108" s="12"/>
      <c r="WBY108" s="12"/>
      <c r="WBZ108" s="12"/>
      <c r="WCQ108" s="12"/>
      <c r="WCR108" s="12"/>
      <c r="WDI108" s="12"/>
      <c r="WDJ108" s="12"/>
      <c r="WEA108" s="12"/>
      <c r="WEB108" s="12"/>
      <c r="WES108" s="12"/>
      <c r="WET108" s="12"/>
      <c r="WFK108" s="12"/>
      <c r="WFL108" s="12"/>
      <c r="WGC108" s="12"/>
      <c r="WGD108" s="12"/>
      <c r="WGU108" s="12"/>
      <c r="WGV108" s="12"/>
      <c r="WHM108" s="12"/>
      <c r="WHN108" s="12"/>
      <c r="WIE108" s="12"/>
      <c r="WIF108" s="12"/>
      <c r="WIW108" s="12"/>
      <c r="WIX108" s="12"/>
      <c r="WJO108" s="12"/>
      <c r="WJP108" s="12"/>
      <c r="WKG108" s="12"/>
      <c r="WKH108" s="12"/>
      <c r="WKY108" s="12"/>
      <c r="WKZ108" s="12"/>
      <c r="WLQ108" s="12"/>
      <c r="WLR108" s="12"/>
      <c r="WMI108" s="12"/>
      <c r="WMJ108" s="12"/>
      <c r="WNA108" s="12"/>
      <c r="WNB108" s="12"/>
      <c r="WNS108" s="12"/>
      <c r="WNT108" s="12"/>
      <c r="WOK108" s="12"/>
      <c r="WOL108" s="12"/>
      <c r="WPC108" s="12"/>
      <c r="WPD108" s="12"/>
      <c r="WPU108" s="12"/>
      <c r="WPV108" s="12"/>
      <c r="WQM108" s="12"/>
      <c r="WQN108" s="12"/>
      <c r="WRE108" s="12"/>
      <c r="WRF108" s="12"/>
      <c r="WRW108" s="12"/>
      <c r="WRX108" s="12"/>
      <c r="WSO108" s="12"/>
      <c r="WSP108" s="12"/>
      <c r="WTG108" s="12"/>
      <c r="WTH108" s="12"/>
      <c r="WTY108" s="12"/>
      <c r="WTZ108" s="12"/>
      <c r="WUQ108" s="12"/>
      <c r="WUR108" s="12"/>
      <c r="WVI108" s="12"/>
      <c r="WVJ108" s="12"/>
      <c r="WWA108" s="12"/>
      <c r="WWB108" s="12"/>
      <c r="WWS108" s="12"/>
      <c r="WWT108" s="12"/>
      <c r="WXK108" s="12"/>
      <c r="WXL108" s="12"/>
      <c r="WYC108" s="12"/>
      <c r="WYD108" s="12"/>
      <c r="WYU108" s="12"/>
      <c r="WYV108" s="12"/>
      <c r="WZM108" s="12"/>
      <c r="WZN108" s="12"/>
      <c r="XAE108" s="12"/>
      <c r="XAF108" s="12"/>
      <c r="XAW108" s="12"/>
      <c r="XAX108" s="12"/>
      <c r="XBO108" s="12"/>
      <c r="XBP108" s="12"/>
      <c r="XCG108" s="12"/>
      <c r="XCH108" s="12"/>
      <c r="XCY108" s="12"/>
      <c r="XCZ108" s="12"/>
      <c r="XDQ108" s="12"/>
      <c r="XDR108" s="12"/>
      <c r="XEI108" s="12"/>
      <c r="XEJ108" s="12"/>
      <c r="XFA108" s="12"/>
      <c r="XFB108" s="12"/>
    </row>
    <row r="109" spans="1:1010 1027:2036 2053:3062 3079:4088 4105:5114 5131:6140 6157:7166 7183:8192 8209:9200 9217:10226 10243:11252 11269:12278 12295:13304 13321:14330 14347:15356 15373:16382" s="11" customFormat="1" x14ac:dyDescent="0.35">
      <c r="A109" s="183" t="s">
        <v>181</v>
      </c>
      <c r="B109" s="183" t="s">
        <v>182</v>
      </c>
      <c r="C109" s="184">
        <v>76.051000000000002</v>
      </c>
      <c r="D109" s="184">
        <v>81.786000000000001</v>
      </c>
      <c r="E109" s="184">
        <v>87.305999999999997</v>
      </c>
      <c r="F109" s="184">
        <v>90.554000000000002</v>
      </c>
      <c r="G109" s="184">
        <v>96.603999999999999</v>
      </c>
      <c r="H109" s="184">
        <v>105.486</v>
      </c>
      <c r="I109" s="184">
        <v>113.069</v>
      </c>
      <c r="J109" s="184">
        <v>117.602</v>
      </c>
      <c r="K109" s="184">
        <v>123.49299999999999</v>
      </c>
      <c r="L109" s="184">
        <v>132.209</v>
      </c>
      <c r="M109" s="312">
        <f>IF(OR(K109=0,K109=""),"",L109/K109-1)</f>
        <v>7.0578899208862067E-2</v>
      </c>
      <c r="S109" s="12"/>
      <c r="T109" s="12"/>
      <c r="AK109" s="12"/>
      <c r="AL109" s="12"/>
      <c r="BC109" s="12"/>
      <c r="BD109" s="12"/>
      <c r="BU109" s="12"/>
      <c r="BV109" s="12"/>
      <c r="CM109" s="12"/>
      <c r="CN109" s="12"/>
      <c r="DE109" s="12"/>
      <c r="DF109" s="12"/>
      <c r="DW109" s="12"/>
      <c r="DX109" s="12"/>
      <c r="EO109" s="12"/>
      <c r="EP109" s="12"/>
      <c r="FG109" s="12"/>
      <c r="FH109" s="12"/>
      <c r="FY109" s="12"/>
      <c r="FZ109" s="12"/>
      <c r="GQ109" s="12"/>
      <c r="GR109" s="12"/>
      <c r="HI109" s="12"/>
      <c r="HJ109" s="12"/>
      <c r="IA109" s="12"/>
      <c r="IB109" s="12"/>
      <c r="IS109" s="12"/>
      <c r="IT109" s="12"/>
      <c r="JK109" s="12"/>
      <c r="JL109" s="12"/>
      <c r="KC109" s="12"/>
      <c r="KD109" s="12"/>
      <c r="KU109" s="12"/>
      <c r="KV109" s="12"/>
      <c r="LM109" s="12"/>
      <c r="LN109" s="12"/>
      <c r="ME109" s="12"/>
      <c r="MF109" s="12"/>
      <c r="MW109" s="12"/>
      <c r="MX109" s="12"/>
      <c r="NO109" s="12"/>
      <c r="NP109" s="12"/>
      <c r="OG109" s="12"/>
      <c r="OH109" s="12"/>
      <c r="OY109" s="12"/>
      <c r="OZ109" s="12"/>
      <c r="PQ109" s="12"/>
      <c r="PR109" s="12"/>
      <c r="QI109" s="12"/>
      <c r="QJ109" s="12"/>
      <c r="RA109" s="12"/>
      <c r="RB109" s="12"/>
      <c r="RS109" s="12"/>
      <c r="RT109" s="12"/>
      <c r="SK109" s="12"/>
      <c r="SL109" s="12"/>
      <c r="TC109" s="12"/>
      <c r="TD109" s="12"/>
      <c r="TU109" s="12"/>
      <c r="TV109" s="12"/>
      <c r="UM109" s="12"/>
      <c r="UN109" s="12"/>
      <c r="VE109" s="12"/>
      <c r="VF109" s="12"/>
      <c r="VW109" s="12"/>
      <c r="VX109" s="12"/>
      <c r="WO109" s="12"/>
      <c r="WP109" s="12"/>
      <c r="XG109" s="12"/>
      <c r="XH109" s="12"/>
      <c r="XY109" s="12"/>
      <c r="XZ109" s="12"/>
      <c r="YQ109" s="12"/>
      <c r="YR109" s="12"/>
      <c r="ZI109" s="12"/>
      <c r="ZJ109" s="12"/>
      <c r="AAA109" s="12"/>
      <c r="AAB109" s="12"/>
      <c r="AAS109" s="12"/>
      <c r="AAT109" s="12"/>
      <c r="ABK109" s="12"/>
      <c r="ABL109" s="12"/>
      <c r="ACC109" s="12"/>
      <c r="ACD109" s="12"/>
      <c r="ACU109" s="12"/>
      <c r="ACV109" s="12"/>
      <c r="ADM109" s="12"/>
      <c r="ADN109" s="12"/>
      <c r="AEE109" s="12"/>
      <c r="AEF109" s="12"/>
      <c r="AEW109" s="12"/>
      <c r="AEX109" s="12"/>
      <c r="AFO109" s="12"/>
      <c r="AFP109" s="12"/>
      <c r="AGG109" s="12"/>
      <c r="AGH109" s="12"/>
      <c r="AGY109" s="12"/>
      <c r="AGZ109" s="12"/>
      <c r="AHQ109" s="12"/>
      <c r="AHR109" s="12"/>
      <c r="AII109" s="12"/>
      <c r="AIJ109" s="12"/>
      <c r="AJA109" s="12"/>
      <c r="AJB109" s="12"/>
      <c r="AJS109" s="12"/>
      <c r="AJT109" s="12"/>
      <c r="AKK109" s="12"/>
      <c r="AKL109" s="12"/>
      <c r="ALC109" s="12"/>
      <c r="ALD109" s="12"/>
      <c r="ALU109" s="12"/>
      <c r="ALV109" s="12"/>
      <c r="AMM109" s="12"/>
      <c r="AMN109" s="12"/>
      <c r="ANE109" s="12"/>
      <c r="ANF109" s="12"/>
      <c r="ANW109" s="12"/>
      <c r="ANX109" s="12"/>
      <c r="AOO109" s="12"/>
      <c r="AOP109" s="12"/>
      <c r="APG109" s="12"/>
      <c r="APH109" s="12"/>
      <c r="APY109" s="12"/>
      <c r="APZ109" s="12"/>
      <c r="AQQ109" s="12"/>
      <c r="AQR109" s="12"/>
      <c r="ARI109" s="12"/>
      <c r="ARJ109" s="12"/>
      <c r="ASA109" s="12"/>
      <c r="ASB109" s="12"/>
      <c r="ASS109" s="12"/>
      <c r="AST109" s="12"/>
      <c r="ATK109" s="12"/>
      <c r="ATL109" s="12"/>
      <c r="AUC109" s="12"/>
      <c r="AUD109" s="12"/>
      <c r="AUU109" s="12"/>
      <c r="AUV109" s="12"/>
      <c r="AVM109" s="12"/>
      <c r="AVN109" s="12"/>
      <c r="AWE109" s="12"/>
      <c r="AWF109" s="12"/>
      <c r="AWW109" s="12"/>
      <c r="AWX109" s="12"/>
      <c r="AXO109" s="12"/>
      <c r="AXP109" s="12"/>
      <c r="AYG109" s="12"/>
      <c r="AYH109" s="12"/>
      <c r="AYY109" s="12"/>
      <c r="AYZ109" s="12"/>
      <c r="AZQ109" s="12"/>
      <c r="AZR109" s="12"/>
      <c r="BAI109" s="12"/>
      <c r="BAJ109" s="12"/>
      <c r="BBA109" s="12"/>
      <c r="BBB109" s="12"/>
      <c r="BBS109" s="12"/>
      <c r="BBT109" s="12"/>
      <c r="BCK109" s="12"/>
      <c r="BCL109" s="12"/>
      <c r="BDC109" s="12"/>
      <c r="BDD109" s="12"/>
      <c r="BDU109" s="12"/>
      <c r="BDV109" s="12"/>
      <c r="BEM109" s="12"/>
      <c r="BEN109" s="12"/>
      <c r="BFE109" s="12"/>
      <c r="BFF109" s="12"/>
      <c r="BFW109" s="12"/>
      <c r="BFX109" s="12"/>
      <c r="BGO109" s="12"/>
      <c r="BGP109" s="12"/>
      <c r="BHG109" s="12"/>
      <c r="BHH109" s="12"/>
      <c r="BHY109" s="12"/>
      <c r="BHZ109" s="12"/>
      <c r="BIQ109" s="12"/>
      <c r="BIR109" s="12"/>
      <c r="BJI109" s="12"/>
      <c r="BJJ109" s="12"/>
      <c r="BKA109" s="12"/>
      <c r="BKB109" s="12"/>
      <c r="BKS109" s="12"/>
      <c r="BKT109" s="12"/>
      <c r="BLK109" s="12"/>
      <c r="BLL109" s="12"/>
      <c r="BMC109" s="12"/>
      <c r="BMD109" s="12"/>
      <c r="BMU109" s="12"/>
      <c r="BMV109" s="12"/>
      <c r="BNM109" s="12"/>
      <c r="BNN109" s="12"/>
      <c r="BOE109" s="12"/>
      <c r="BOF109" s="12"/>
      <c r="BOW109" s="12"/>
      <c r="BOX109" s="12"/>
      <c r="BPO109" s="12"/>
      <c r="BPP109" s="12"/>
      <c r="BQG109" s="12"/>
      <c r="BQH109" s="12"/>
      <c r="BQY109" s="12"/>
      <c r="BQZ109" s="12"/>
      <c r="BRQ109" s="12"/>
      <c r="BRR109" s="12"/>
      <c r="BSI109" s="12"/>
      <c r="BSJ109" s="12"/>
      <c r="BTA109" s="12"/>
      <c r="BTB109" s="12"/>
      <c r="BTS109" s="12"/>
      <c r="BTT109" s="12"/>
      <c r="BUK109" s="12"/>
      <c r="BUL109" s="12"/>
      <c r="BVC109" s="12"/>
      <c r="BVD109" s="12"/>
      <c r="BVU109" s="12"/>
      <c r="BVV109" s="12"/>
      <c r="BWM109" s="12"/>
      <c r="BWN109" s="12"/>
      <c r="BXE109" s="12"/>
      <c r="BXF109" s="12"/>
      <c r="BXW109" s="12"/>
      <c r="BXX109" s="12"/>
      <c r="BYO109" s="12"/>
      <c r="BYP109" s="12"/>
      <c r="BZG109" s="12"/>
      <c r="BZH109" s="12"/>
      <c r="BZY109" s="12"/>
      <c r="BZZ109" s="12"/>
      <c r="CAQ109" s="12"/>
      <c r="CAR109" s="12"/>
      <c r="CBI109" s="12"/>
      <c r="CBJ109" s="12"/>
      <c r="CCA109" s="12"/>
      <c r="CCB109" s="12"/>
      <c r="CCS109" s="12"/>
      <c r="CCT109" s="12"/>
      <c r="CDK109" s="12"/>
      <c r="CDL109" s="12"/>
      <c r="CEC109" s="12"/>
      <c r="CED109" s="12"/>
      <c r="CEU109" s="12"/>
      <c r="CEV109" s="12"/>
      <c r="CFM109" s="12"/>
      <c r="CFN109" s="12"/>
      <c r="CGE109" s="12"/>
      <c r="CGF109" s="12"/>
      <c r="CGW109" s="12"/>
      <c r="CGX109" s="12"/>
      <c r="CHO109" s="12"/>
      <c r="CHP109" s="12"/>
      <c r="CIG109" s="12"/>
      <c r="CIH109" s="12"/>
      <c r="CIY109" s="12"/>
      <c r="CIZ109" s="12"/>
      <c r="CJQ109" s="12"/>
      <c r="CJR109" s="12"/>
      <c r="CKI109" s="12"/>
      <c r="CKJ109" s="12"/>
      <c r="CLA109" s="12"/>
      <c r="CLB109" s="12"/>
      <c r="CLS109" s="12"/>
      <c r="CLT109" s="12"/>
      <c r="CMK109" s="12"/>
      <c r="CML109" s="12"/>
      <c r="CNC109" s="12"/>
      <c r="CND109" s="12"/>
      <c r="CNU109" s="12"/>
      <c r="CNV109" s="12"/>
      <c r="COM109" s="12"/>
      <c r="CON109" s="12"/>
      <c r="CPE109" s="12"/>
      <c r="CPF109" s="12"/>
      <c r="CPW109" s="12"/>
      <c r="CPX109" s="12"/>
      <c r="CQO109" s="12"/>
      <c r="CQP109" s="12"/>
      <c r="CRG109" s="12"/>
      <c r="CRH109" s="12"/>
      <c r="CRY109" s="12"/>
      <c r="CRZ109" s="12"/>
      <c r="CSQ109" s="12"/>
      <c r="CSR109" s="12"/>
      <c r="CTI109" s="12"/>
      <c r="CTJ109" s="12"/>
      <c r="CUA109" s="12"/>
      <c r="CUB109" s="12"/>
      <c r="CUS109" s="12"/>
      <c r="CUT109" s="12"/>
      <c r="CVK109" s="12"/>
      <c r="CVL109" s="12"/>
      <c r="CWC109" s="12"/>
      <c r="CWD109" s="12"/>
      <c r="CWU109" s="12"/>
      <c r="CWV109" s="12"/>
      <c r="CXM109" s="12"/>
      <c r="CXN109" s="12"/>
      <c r="CYE109" s="12"/>
      <c r="CYF109" s="12"/>
      <c r="CYW109" s="12"/>
      <c r="CYX109" s="12"/>
      <c r="CZO109" s="12"/>
      <c r="CZP109" s="12"/>
      <c r="DAG109" s="12"/>
      <c r="DAH109" s="12"/>
      <c r="DAY109" s="12"/>
      <c r="DAZ109" s="12"/>
      <c r="DBQ109" s="12"/>
      <c r="DBR109" s="12"/>
      <c r="DCI109" s="12"/>
      <c r="DCJ109" s="12"/>
      <c r="DDA109" s="12"/>
      <c r="DDB109" s="12"/>
      <c r="DDS109" s="12"/>
      <c r="DDT109" s="12"/>
      <c r="DEK109" s="12"/>
      <c r="DEL109" s="12"/>
      <c r="DFC109" s="12"/>
      <c r="DFD109" s="12"/>
      <c r="DFU109" s="12"/>
      <c r="DFV109" s="12"/>
      <c r="DGM109" s="12"/>
      <c r="DGN109" s="12"/>
      <c r="DHE109" s="12"/>
      <c r="DHF109" s="12"/>
      <c r="DHW109" s="12"/>
      <c r="DHX109" s="12"/>
      <c r="DIO109" s="12"/>
      <c r="DIP109" s="12"/>
      <c r="DJG109" s="12"/>
      <c r="DJH109" s="12"/>
      <c r="DJY109" s="12"/>
      <c r="DJZ109" s="12"/>
      <c r="DKQ109" s="12"/>
      <c r="DKR109" s="12"/>
      <c r="DLI109" s="12"/>
      <c r="DLJ109" s="12"/>
      <c r="DMA109" s="12"/>
      <c r="DMB109" s="12"/>
      <c r="DMS109" s="12"/>
      <c r="DMT109" s="12"/>
      <c r="DNK109" s="12"/>
      <c r="DNL109" s="12"/>
      <c r="DOC109" s="12"/>
      <c r="DOD109" s="12"/>
      <c r="DOU109" s="12"/>
      <c r="DOV109" s="12"/>
      <c r="DPM109" s="12"/>
      <c r="DPN109" s="12"/>
      <c r="DQE109" s="12"/>
      <c r="DQF109" s="12"/>
      <c r="DQW109" s="12"/>
      <c r="DQX109" s="12"/>
      <c r="DRO109" s="12"/>
      <c r="DRP109" s="12"/>
      <c r="DSG109" s="12"/>
      <c r="DSH109" s="12"/>
      <c r="DSY109" s="12"/>
      <c r="DSZ109" s="12"/>
      <c r="DTQ109" s="12"/>
      <c r="DTR109" s="12"/>
      <c r="DUI109" s="12"/>
      <c r="DUJ109" s="12"/>
      <c r="DVA109" s="12"/>
      <c r="DVB109" s="12"/>
      <c r="DVS109" s="12"/>
      <c r="DVT109" s="12"/>
      <c r="DWK109" s="12"/>
      <c r="DWL109" s="12"/>
      <c r="DXC109" s="12"/>
      <c r="DXD109" s="12"/>
      <c r="DXU109" s="12"/>
      <c r="DXV109" s="12"/>
      <c r="DYM109" s="12"/>
      <c r="DYN109" s="12"/>
      <c r="DZE109" s="12"/>
      <c r="DZF109" s="12"/>
      <c r="DZW109" s="12"/>
      <c r="DZX109" s="12"/>
      <c r="EAO109" s="12"/>
      <c r="EAP109" s="12"/>
      <c r="EBG109" s="12"/>
      <c r="EBH109" s="12"/>
      <c r="EBY109" s="12"/>
      <c r="EBZ109" s="12"/>
      <c r="ECQ109" s="12"/>
      <c r="ECR109" s="12"/>
      <c r="EDI109" s="12"/>
      <c r="EDJ109" s="12"/>
      <c r="EEA109" s="12"/>
      <c r="EEB109" s="12"/>
      <c r="EES109" s="12"/>
      <c r="EET109" s="12"/>
      <c r="EFK109" s="12"/>
      <c r="EFL109" s="12"/>
      <c r="EGC109" s="12"/>
      <c r="EGD109" s="12"/>
      <c r="EGU109" s="12"/>
      <c r="EGV109" s="12"/>
      <c r="EHM109" s="12"/>
      <c r="EHN109" s="12"/>
      <c r="EIE109" s="12"/>
      <c r="EIF109" s="12"/>
      <c r="EIW109" s="12"/>
      <c r="EIX109" s="12"/>
      <c r="EJO109" s="12"/>
      <c r="EJP109" s="12"/>
      <c r="EKG109" s="12"/>
      <c r="EKH109" s="12"/>
      <c r="EKY109" s="12"/>
      <c r="EKZ109" s="12"/>
      <c r="ELQ109" s="12"/>
      <c r="ELR109" s="12"/>
      <c r="EMI109" s="12"/>
      <c r="EMJ109" s="12"/>
      <c r="ENA109" s="12"/>
      <c r="ENB109" s="12"/>
      <c r="ENS109" s="12"/>
      <c r="ENT109" s="12"/>
      <c r="EOK109" s="12"/>
      <c r="EOL109" s="12"/>
      <c r="EPC109" s="12"/>
      <c r="EPD109" s="12"/>
      <c r="EPU109" s="12"/>
      <c r="EPV109" s="12"/>
      <c r="EQM109" s="12"/>
      <c r="EQN109" s="12"/>
      <c r="ERE109" s="12"/>
      <c r="ERF109" s="12"/>
      <c r="ERW109" s="12"/>
      <c r="ERX109" s="12"/>
      <c r="ESO109" s="12"/>
      <c r="ESP109" s="12"/>
      <c r="ETG109" s="12"/>
      <c r="ETH109" s="12"/>
      <c r="ETY109" s="12"/>
      <c r="ETZ109" s="12"/>
      <c r="EUQ109" s="12"/>
      <c r="EUR109" s="12"/>
      <c r="EVI109" s="12"/>
      <c r="EVJ109" s="12"/>
      <c r="EWA109" s="12"/>
      <c r="EWB109" s="12"/>
      <c r="EWS109" s="12"/>
      <c r="EWT109" s="12"/>
      <c r="EXK109" s="12"/>
      <c r="EXL109" s="12"/>
      <c r="EYC109" s="12"/>
      <c r="EYD109" s="12"/>
      <c r="EYU109" s="12"/>
      <c r="EYV109" s="12"/>
      <c r="EZM109" s="12"/>
      <c r="EZN109" s="12"/>
      <c r="FAE109" s="12"/>
      <c r="FAF109" s="12"/>
      <c r="FAW109" s="12"/>
      <c r="FAX109" s="12"/>
      <c r="FBO109" s="12"/>
      <c r="FBP109" s="12"/>
      <c r="FCG109" s="12"/>
      <c r="FCH109" s="12"/>
      <c r="FCY109" s="12"/>
      <c r="FCZ109" s="12"/>
      <c r="FDQ109" s="12"/>
      <c r="FDR109" s="12"/>
      <c r="FEI109" s="12"/>
      <c r="FEJ109" s="12"/>
      <c r="FFA109" s="12"/>
      <c r="FFB109" s="12"/>
      <c r="FFS109" s="12"/>
      <c r="FFT109" s="12"/>
      <c r="FGK109" s="12"/>
      <c r="FGL109" s="12"/>
      <c r="FHC109" s="12"/>
      <c r="FHD109" s="12"/>
      <c r="FHU109" s="12"/>
      <c r="FHV109" s="12"/>
      <c r="FIM109" s="12"/>
      <c r="FIN109" s="12"/>
      <c r="FJE109" s="12"/>
      <c r="FJF109" s="12"/>
      <c r="FJW109" s="12"/>
      <c r="FJX109" s="12"/>
      <c r="FKO109" s="12"/>
      <c r="FKP109" s="12"/>
      <c r="FLG109" s="12"/>
      <c r="FLH109" s="12"/>
      <c r="FLY109" s="12"/>
      <c r="FLZ109" s="12"/>
      <c r="FMQ109" s="12"/>
      <c r="FMR109" s="12"/>
      <c r="FNI109" s="12"/>
      <c r="FNJ109" s="12"/>
      <c r="FOA109" s="12"/>
      <c r="FOB109" s="12"/>
      <c r="FOS109" s="12"/>
      <c r="FOT109" s="12"/>
      <c r="FPK109" s="12"/>
      <c r="FPL109" s="12"/>
      <c r="FQC109" s="12"/>
      <c r="FQD109" s="12"/>
      <c r="FQU109" s="12"/>
      <c r="FQV109" s="12"/>
      <c r="FRM109" s="12"/>
      <c r="FRN109" s="12"/>
      <c r="FSE109" s="12"/>
      <c r="FSF109" s="12"/>
      <c r="FSW109" s="12"/>
      <c r="FSX109" s="12"/>
      <c r="FTO109" s="12"/>
      <c r="FTP109" s="12"/>
      <c r="FUG109" s="12"/>
      <c r="FUH109" s="12"/>
      <c r="FUY109" s="12"/>
      <c r="FUZ109" s="12"/>
      <c r="FVQ109" s="12"/>
      <c r="FVR109" s="12"/>
      <c r="FWI109" s="12"/>
      <c r="FWJ109" s="12"/>
      <c r="FXA109" s="12"/>
      <c r="FXB109" s="12"/>
      <c r="FXS109" s="12"/>
      <c r="FXT109" s="12"/>
      <c r="FYK109" s="12"/>
      <c r="FYL109" s="12"/>
      <c r="FZC109" s="12"/>
      <c r="FZD109" s="12"/>
      <c r="FZU109" s="12"/>
      <c r="FZV109" s="12"/>
      <c r="GAM109" s="12"/>
      <c r="GAN109" s="12"/>
      <c r="GBE109" s="12"/>
      <c r="GBF109" s="12"/>
      <c r="GBW109" s="12"/>
      <c r="GBX109" s="12"/>
      <c r="GCO109" s="12"/>
      <c r="GCP109" s="12"/>
      <c r="GDG109" s="12"/>
      <c r="GDH109" s="12"/>
      <c r="GDY109" s="12"/>
      <c r="GDZ109" s="12"/>
      <c r="GEQ109" s="12"/>
      <c r="GER109" s="12"/>
      <c r="GFI109" s="12"/>
      <c r="GFJ109" s="12"/>
      <c r="GGA109" s="12"/>
      <c r="GGB109" s="12"/>
      <c r="GGS109" s="12"/>
      <c r="GGT109" s="12"/>
      <c r="GHK109" s="12"/>
      <c r="GHL109" s="12"/>
      <c r="GIC109" s="12"/>
      <c r="GID109" s="12"/>
      <c r="GIU109" s="12"/>
      <c r="GIV109" s="12"/>
      <c r="GJM109" s="12"/>
      <c r="GJN109" s="12"/>
      <c r="GKE109" s="12"/>
      <c r="GKF109" s="12"/>
      <c r="GKW109" s="12"/>
      <c r="GKX109" s="12"/>
      <c r="GLO109" s="12"/>
      <c r="GLP109" s="12"/>
      <c r="GMG109" s="12"/>
      <c r="GMH109" s="12"/>
      <c r="GMY109" s="12"/>
      <c r="GMZ109" s="12"/>
      <c r="GNQ109" s="12"/>
      <c r="GNR109" s="12"/>
      <c r="GOI109" s="12"/>
      <c r="GOJ109" s="12"/>
      <c r="GPA109" s="12"/>
      <c r="GPB109" s="12"/>
      <c r="GPS109" s="12"/>
      <c r="GPT109" s="12"/>
      <c r="GQK109" s="12"/>
      <c r="GQL109" s="12"/>
      <c r="GRC109" s="12"/>
      <c r="GRD109" s="12"/>
      <c r="GRU109" s="12"/>
      <c r="GRV109" s="12"/>
      <c r="GSM109" s="12"/>
      <c r="GSN109" s="12"/>
      <c r="GTE109" s="12"/>
      <c r="GTF109" s="12"/>
      <c r="GTW109" s="12"/>
      <c r="GTX109" s="12"/>
      <c r="GUO109" s="12"/>
      <c r="GUP109" s="12"/>
      <c r="GVG109" s="12"/>
      <c r="GVH109" s="12"/>
      <c r="GVY109" s="12"/>
      <c r="GVZ109" s="12"/>
      <c r="GWQ109" s="12"/>
      <c r="GWR109" s="12"/>
      <c r="GXI109" s="12"/>
      <c r="GXJ109" s="12"/>
      <c r="GYA109" s="12"/>
      <c r="GYB109" s="12"/>
      <c r="GYS109" s="12"/>
      <c r="GYT109" s="12"/>
      <c r="GZK109" s="12"/>
      <c r="GZL109" s="12"/>
      <c r="HAC109" s="12"/>
      <c r="HAD109" s="12"/>
      <c r="HAU109" s="12"/>
      <c r="HAV109" s="12"/>
      <c r="HBM109" s="12"/>
      <c r="HBN109" s="12"/>
      <c r="HCE109" s="12"/>
      <c r="HCF109" s="12"/>
      <c r="HCW109" s="12"/>
      <c r="HCX109" s="12"/>
      <c r="HDO109" s="12"/>
      <c r="HDP109" s="12"/>
      <c r="HEG109" s="12"/>
      <c r="HEH109" s="12"/>
      <c r="HEY109" s="12"/>
      <c r="HEZ109" s="12"/>
      <c r="HFQ109" s="12"/>
      <c r="HFR109" s="12"/>
      <c r="HGI109" s="12"/>
      <c r="HGJ109" s="12"/>
      <c r="HHA109" s="12"/>
      <c r="HHB109" s="12"/>
      <c r="HHS109" s="12"/>
      <c r="HHT109" s="12"/>
      <c r="HIK109" s="12"/>
      <c r="HIL109" s="12"/>
      <c r="HJC109" s="12"/>
      <c r="HJD109" s="12"/>
      <c r="HJU109" s="12"/>
      <c r="HJV109" s="12"/>
      <c r="HKM109" s="12"/>
      <c r="HKN109" s="12"/>
      <c r="HLE109" s="12"/>
      <c r="HLF109" s="12"/>
      <c r="HLW109" s="12"/>
      <c r="HLX109" s="12"/>
      <c r="HMO109" s="12"/>
      <c r="HMP109" s="12"/>
      <c r="HNG109" s="12"/>
      <c r="HNH109" s="12"/>
      <c r="HNY109" s="12"/>
      <c r="HNZ109" s="12"/>
      <c r="HOQ109" s="12"/>
      <c r="HOR109" s="12"/>
      <c r="HPI109" s="12"/>
      <c r="HPJ109" s="12"/>
      <c r="HQA109" s="12"/>
      <c r="HQB109" s="12"/>
      <c r="HQS109" s="12"/>
      <c r="HQT109" s="12"/>
      <c r="HRK109" s="12"/>
      <c r="HRL109" s="12"/>
      <c r="HSC109" s="12"/>
      <c r="HSD109" s="12"/>
      <c r="HSU109" s="12"/>
      <c r="HSV109" s="12"/>
      <c r="HTM109" s="12"/>
      <c r="HTN109" s="12"/>
      <c r="HUE109" s="12"/>
      <c r="HUF109" s="12"/>
      <c r="HUW109" s="12"/>
      <c r="HUX109" s="12"/>
      <c r="HVO109" s="12"/>
      <c r="HVP109" s="12"/>
      <c r="HWG109" s="12"/>
      <c r="HWH109" s="12"/>
      <c r="HWY109" s="12"/>
      <c r="HWZ109" s="12"/>
      <c r="HXQ109" s="12"/>
      <c r="HXR109" s="12"/>
      <c r="HYI109" s="12"/>
      <c r="HYJ109" s="12"/>
      <c r="HZA109" s="12"/>
      <c r="HZB109" s="12"/>
      <c r="HZS109" s="12"/>
      <c r="HZT109" s="12"/>
      <c r="IAK109" s="12"/>
      <c r="IAL109" s="12"/>
      <c r="IBC109" s="12"/>
      <c r="IBD109" s="12"/>
      <c r="IBU109" s="12"/>
      <c r="IBV109" s="12"/>
      <c r="ICM109" s="12"/>
      <c r="ICN109" s="12"/>
      <c r="IDE109" s="12"/>
      <c r="IDF109" s="12"/>
      <c r="IDW109" s="12"/>
      <c r="IDX109" s="12"/>
      <c r="IEO109" s="12"/>
      <c r="IEP109" s="12"/>
      <c r="IFG109" s="12"/>
      <c r="IFH109" s="12"/>
      <c r="IFY109" s="12"/>
      <c r="IFZ109" s="12"/>
      <c r="IGQ109" s="12"/>
      <c r="IGR109" s="12"/>
      <c r="IHI109" s="12"/>
      <c r="IHJ109" s="12"/>
      <c r="IIA109" s="12"/>
      <c r="IIB109" s="12"/>
      <c r="IIS109" s="12"/>
      <c r="IIT109" s="12"/>
      <c r="IJK109" s="12"/>
      <c r="IJL109" s="12"/>
      <c r="IKC109" s="12"/>
      <c r="IKD109" s="12"/>
      <c r="IKU109" s="12"/>
      <c r="IKV109" s="12"/>
      <c r="ILM109" s="12"/>
      <c r="ILN109" s="12"/>
      <c r="IME109" s="12"/>
      <c r="IMF109" s="12"/>
      <c r="IMW109" s="12"/>
      <c r="IMX109" s="12"/>
      <c r="INO109" s="12"/>
      <c r="INP109" s="12"/>
      <c r="IOG109" s="12"/>
      <c r="IOH109" s="12"/>
      <c r="IOY109" s="12"/>
      <c r="IOZ109" s="12"/>
      <c r="IPQ109" s="12"/>
      <c r="IPR109" s="12"/>
      <c r="IQI109" s="12"/>
      <c r="IQJ109" s="12"/>
      <c r="IRA109" s="12"/>
      <c r="IRB109" s="12"/>
      <c r="IRS109" s="12"/>
      <c r="IRT109" s="12"/>
      <c r="ISK109" s="12"/>
      <c r="ISL109" s="12"/>
      <c r="ITC109" s="12"/>
      <c r="ITD109" s="12"/>
      <c r="ITU109" s="12"/>
      <c r="ITV109" s="12"/>
      <c r="IUM109" s="12"/>
      <c r="IUN109" s="12"/>
      <c r="IVE109" s="12"/>
      <c r="IVF109" s="12"/>
      <c r="IVW109" s="12"/>
      <c r="IVX109" s="12"/>
      <c r="IWO109" s="12"/>
      <c r="IWP109" s="12"/>
      <c r="IXG109" s="12"/>
      <c r="IXH109" s="12"/>
      <c r="IXY109" s="12"/>
      <c r="IXZ109" s="12"/>
      <c r="IYQ109" s="12"/>
      <c r="IYR109" s="12"/>
      <c r="IZI109" s="12"/>
      <c r="IZJ109" s="12"/>
      <c r="JAA109" s="12"/>
      <c r="JAB109" s="12"/>
      <c r="JAS109" s="12"/>
      <c r="JAT109" s="12"/>
      <c r="JBK109" s="12"/>
      <c r="JBL109" s="12"/>
      <c r="JCC109" s="12"/>
      <c r="JCD109" s="12"/>
      <c r="JCU109" s="12"/>
      <c r="JCV109" s="12"/>
      <c r="JDM109" s="12"/>
      <c r="JDN109" s="12"/>
      <c r="JEE109" s="12"/>
      <c r="JEF109" s="12"/>
      <c r="JEW109" s="12"/>
      <c r="JEX109" s="12"/>
      <c r="JFO109" s="12"/>
      <c r="JFP109" s="12"/>
      <c r="JGG109" s="12"/>
      <c r="JGH109" s="12"/>
      <c r="JGY109" s="12"/>
      <c r="JGZ109" s="12"/>
      <c r="JHQ109" s="12"/>
      <c r="JHR109" s="12"/>
      <c r="JII109" s="12"/>
      <c r="JIJ109" s="12"/>
      <c r="JJA109" s="12"/>
      <c r="JJB109" s="12"/>
      <c r="JJS109" s="12"/>
      <c r="JJT109" s="12"/>
      <c r="JKK109" s="12"/>
      <c r="JKL109" s="12"/>
      <c r="JLC109" s="12"/>
      <c r="JLD109" s="12"/>
      <c r="JLU109" s="12"/>
      <c r="JLV109" s="12"/>
      <c r="JMM109" s="12"/>
      <c r="JMN109" s="12"/>
      <c r="JNE109" s="12"/>
      <c r="JNF109" s="12"/>
      <c r="JNW109" s="12"/>
      <c r="JNX109" s="12"/>
      <c r="JOO109" s="12"/>
      <c r="JOP109" s="12"/>
      <c r="JPG109" s="12"/>
      <c r="JPH109" s="12"/>
      <c r="JPY109" s="12"/>
      <c r="JPZ109" s="12"/>
      <c r="JQQ109" s="12"/>
      <c r="JQR109" s="12"/>
      <c r="JRI109" s="12"/>
      <c r="JRJ109" s="12"/>
      <c r="JSA109" s="12"/>
      <c r="JSB109" s="12"/>
      <c r="JSS109" s="12"/>
      <c r="JST109" s="12"/>
      <c r="JTK109" s="12"/>
      <c r="JTL109" s="12"/>
      <c r="JUC109" s="12"/>
      <c r="JUD109" s="12"/>
      <c r="JUU109" s="12"/>
      <c r="JUV109" s="12"/>
      <c r="JVM109" s="12"/>
      <c r="JVN109" s="12"/>
      <c r="JWE109" s="12"/>
      <c r="JWF109" s="12"/>
      <c r="JWW109" s="12"/>
      <c r="JWX109" s="12"/>
      <c r="JXO109" s="12"/>
      <c r="JXP109" s="12"/>
      <c r="JYG109" s="12"/>
      <c r="JYH109" s="12"/>
      <c r="JYY109" s="12"/>
      <c r="JYZ109" s="12"/>
      <c r="JZQ109" s="12"/>
      <c r="JZR109" s="12"/>
      <c r="KAI109" s="12"/>
      <c r="KAJ109" s="12"/>
      <c r="KBA109" s="12"/>
      <c r="KBB109" s="12"/>
      <c r="KBS109" s="12"/>
      <c r="KBT109" s="12"/>
      <c r="KCK109" s="12"/>
      <c r="KCL109" s="12"/>
      <c r="KDC109" s="12"/>
      <c r="KDD109" s="12"/>
      <c r="KDU109" s="12"/>
      <c r="KDV109" s="12"/>
      <c r="KEM109" s="12"/>
      <c r="KEN109" s="12"/>
      <c r="KFE109" s="12"/>
      <c r="KFF109" s="12"/>
      <c r="KFW109" s="12"/>
      <c r="KFX109" s="12"/>
      <c r="KGO109" s="12"/>
      <c r="KGP109" s="12"/>
      <c r="KHG109" s="12"/>
      <c r="KHH109" s="12"/>
      <c r="KHY109" s="12"/>
      <c r="KHZ109" s="12"/>
      <c r="KIQ109" s="12"/>
      <c r="KIR109" s="12"/>
      <c r="KJI109" s="12"/>
      <c r="KJJ109" s="12"/>
      <c r="KKA109" s="12"/>
      <c r="KKB109" s="12"/>
      <c r="KKS109" s="12"/>
      <c r="KKT109" s="12"/>
      <c r="KLK109" s="12"/>
      <c r="KLL109" s="12"/>
      <c r="KMC109" s="12"/>
      <c r="KMD109" s="12"/>
      <c r="KMU109" s="12"/>
      <c r="KMV109" s="12"/>
      <c r="KNM109" s="12"/>
      <c r="KNN109" s="12"/>
      <c r="KOE109" s="12"/>
      <c r="KOF109" s="12"/>
      <c r="KOW109" s="12"/>
      <c r="KOX109" s="12"/>
      <c r="KPO109" s="12"/>
      <c r="KPP109" s="12"/>
      <c r="KQG109" s="12"/>
      <c r="KQH109" s="12"/>
      <c r="KQY109" s="12"/>
      <c r="KQZ109" s="12"/>
      <c r="KRQ109" s="12"/>
      <c r="KRR109" s="12"/>
      <c r="KSI109" s="12"/>
      <c r="KSJ109" s="12"/>
      <c r="KTA109" s="12"/>
      <c r="KTB109" s="12"/>
      <c r="KTS109" s="12"/>
      <c r="KTT109" s="12"/>
      <c r="KUK109" s="12"/>
      <c r="KUL109" s="12"/>
      <c r="KVC109" s="12"/>
      <c r="KVD109" s="12"/>
      <c r="KVU109" s="12"/>
      <c r="KVV109" s="12"/>
      <c r="KWM109" s="12"/>
      <c r="KWN109" s="12"/>
      <c r="KXE109" s="12"/>
      <c r="KXF109" s="12"/>
      <c r="KXW109" s="12"/>
      <c r="KXX109" s="12"/>
      <c r="KYO109" s="12"/>
      <c r="KYP109" s="12"/>
      <c r="KZG109" s="12"/>
      <c r="KZH109" s="12"/>
      <c r="KZY109" s="12"/>
      <c r="KZZ109" s="12"/>
      <c r="LAQ109" s="12"/>
      <c r="LAR109" s="12"/>
      <c r="LBI109" s="12"/>
      <c r="LBJ109" s="12"/>
      <c r="LCA109" s="12"/>
      <c r="LCB109" s="12"/>
      <c r="LCS109" s="12"/>
      <c r="LCT109" s="12"/>
      <c r="LDK109" s="12"/>
      <c r="LDL109" s="12"/>
      <c r="LEC109" s="12"/>
      <c r="LED109" s="12"/>
      <c r="LEU109" s="12"/>
      <c r="LEV109" s="12"/>
      <c r="LFM109" s="12"/>
      <c r="LFN109" s="12"/>
      <c r="LGE109" s="12"/>
      <c r="LGF109" s="12"/>
      <c r="LGW109" s="12"/>
      <c r="LGX109" s="12"/>
      <c r="LHO109" s="12"/>
      <c r="LHP109" s="12"/>
      <c r="LIG109" s="12"/>
      <c r="LIH109" s="12"/>
      <c r="LIY109" s="12"/>
      <c r="LIZ109" s="12"/>
      <c r="LJQ109" s="12"/>
      <c r="LJR109" s="12"/>
      <c r="LKI109" s="12"/>
      <c r="LKJ109" s="12"/>
      <c r="LLA109" s="12"/>
      <c r="LLB109" s="12"/>
      <c r="LLS109" s="12"/>
      <c r="LLT109" s="12"/>
      <c r="LMK109" s="12"/>
      <c r="LML109" s="12"/>
      <c r="LNC109" s="12"/>
      <c r="LND109" s="12"/>
      <c r="LNU109" s="12"/>
      <c r="LNV109" s="12"/>
      <c r="LOM109" s="12"/>
      <c r="LON109" s="12"/>
      <c r="LPE109" s="12"/>
      <c r="LPF109" s="12"/>
      <c r="LPW109" s="12"/>
      <c r="LPX109" s="12"/>
      <c r="LQO109" s="12"/>
      <c r="LQP109" s="12"/>
      <c r="LRG109" s="12"/>
      <c r="LRH109" s="12"/>
      <c r="LRY109" s="12"/>
      <c r="LRZ109" s="12"/>
      <c r="LSQ109" s="12"/>
      <c r="LSR109" s="12"/>
      <c r="LTI109" s="12"/>
      <c r="LTJ109" s="12"/>
      <c r="LUA109" s="12"/>
      <c r="LUB109" s="12"/>
      <c r="LUS109" s="12"/>
      <c r="LUT109" s="12"/>
      <c r="LVK109" s="12"/>
      <c r="LVL109" s="12"/>
      <c r="LWC109" s="12"/>
      <c r="LWD109" s="12"/>
      <c r="LWU109" s="12"/>
      <c r="LWV109" s="12"/>
      <c r="LXM109" s="12"/>
      <c r="LXN109" s="12"/>
      <c r="LYE109" s="12"/>
      <c r="LYF109" s="12"/>
      <c r="LYW109" s="12"/>
      <c r="LYX109" s="12"/>
      <c r="LZO109" s="12"/>
      <c r="LZP109" s="12"/>
      <c r="MAG109" s="12"/>
      <c r="MAH109" s="12"/>
      <c r="MAY109" s="12"/>
      <c r="MAZ109" s="12"/>
      <c r="MBQ109" s="12"/>
      <c r="MBR109" s="12"/>
      <c r="MCI109" s="12"/>
      <c r="MCJ109" s="12"/>
      <c r="MDA109" s="12"/>
      <c r="MDB109" s="12"/>
      <c r="MDS109" s="12"/>
      <c r="MDT109" s="12"/>
      <c r="MEK109" s="12"/>
      <c r="MEL109" s="12"/>
      <c r="MFC109" s="12"/>
      <c r="MFD109" s="12"/>
      <c r="MFU109" s="12"/>
      <c r="MFV109" s="12"/>
      <c r="MGM109" s="12"/>
      <c r="MGN109" s="12"/>
      <c r="MHE109" s="12"/>
      <c r="MHF109" s="12"/>
      <c r="MHW109" s="12"/>
      <c r="MHX109" s="12"/>
      <c r="MIO109" s="12"/>
      <c r="MIP109" s="12"/>
      <c r="MJG109" s="12"/>
      <c r="MJH109" s="12"/>
      <c r="MJY109" s="12"/>
      <c r="MJZ109" s="12"/>
      <c r="MKQ109" s="12"/>
      <c r="MKR109" s="12"/>
      <c r="MLI109" s="12"/>
      <c r="MLJ109" s="12"/>
      <c r="MMA109" s="12"/>
      <c r="MMB109" s="12"/>
      <c r="MMS109" s="12"/>
      <c r="MMT109" s="12"/>
      <c r="MNK109" s="12"/>
      <c r="MNL109" s="12"/>
      <c r="MOC109" s="12"/>
      <c r="MOD109" s="12"/>
      <c r="MOU109" s="12"/>
      <c r="MOV109" s="12"/>
      <c r="MPM109" s="12"/>
      <c r="MPN109" s="12"/>
      <c r="MQE109" s="12"/>
      <c r="MQF109" s="12"/>
      <c r="MQW109" s="12"/>
      <c r="MQX109" s="12"/>
      <c r="MRO109" s="12"/>
      <c r="MRP109" s="12"/>
      <c r="MSG109" s="12"/>
      <c r="MSH109" s="12"/>
      <c r="MSY109" s="12"/>
      <c r="MSZ109" s="12"/>
      <c r="MTQ109" s="12"/>
      <c r="MTR109" s="12"/>
      <c r="MUI109" s="12"/>
      <c r="MUJ109" s="12"/>
      <c r="MVA109" s="12"/>
      <c r="MVB109" s="12"/>
      <c r="MVS109" s="12"/>
      <c r="MVT109" s="12"/>
      <c r="MWK109" s="12"/>
      <c r="MWL109" s="12"/>
      <c r="MXC109" s="12"/>
      <c r="MXD109" s="12"/>
      <c r="MXU109" s="12"/>
      <c r="MXV109" s="12"/>
      <c r="MYM109" s="12"/>
      <c r="MYN109" s="12"/>
      <c r="MZE109" s="12"/>
      <c r="MZF109" s="12"/>
      <c r="MZW109" s="12"/>
      <c r="MZX109" s="12"/>
      <c r="NAO109" s="12"/>
      <c r="NAP109" s="12"/>
      <c r="NBG109" s="12"/>
      <c r="NBH109" s="12"/>
      <c r="NBY109" s="12"/>
      <c r="NBZ109" s="12"/>
      <c r="NCQ109" s="12"/>
      <c r="NCR109" s="12"/>
      <c r="NDI109" s="12"/>
      <c r="NDJ109" s="12"/>
      <c r="NEA109" s="12"/>
      <c r="NEB109" s="12"/>
      <c r="NES109" s="12"/>
      <c r="NET109" s="12"/>
      <c r="NFK109" s="12"/>
      <c r="NFL109" s="12"/>
      <c r="NGC109" s="12"/>
      <c r="NGD109" s="12"/>
      <c r="NGU109" s="12"/>
      <c r="NGV109" s="12"/>
      <c r="NHM109" s="12"/>
      <c r="NHN109" s="12"/>
      <c r="NIE109" s="12"/>
      <c r="NIF109" s="12"/>
      <c r="NIW109" s="12"/>
      <c r="NIX109" s="12"/>
      <c r="NJO109" s="12"/>
      <c r="NJP109" s="12"/>
      <c r="NKG109" s="12"/>
      <c r="NKH109" s="12"/>
      <c r="NKY109" s="12"/>
      <c r="NKZ109" s="12"/>
      <c r="NLQ109" s="12"/>
      <c r="NLR109" s="12"/>
      <c r="NMI109" s="12"/>
      <c r="NMJ109" s="12"/>
      <c r="NNA109" s="12"/>
      <c r="NNB109" s="12"/>
      <c r="NNS109" s="12"/>
      <c r="NNT109" s="12"/>
      <c r="NOK109" s="12"/>
      <c r="NOL109" s="12"/>
      <c r="NPC109" s="12"/>
      <c r="NPD109" s="12"/>
      <c r="NPU109" s="12"/>
      <c r="NPV109" s="12"/>
      <c r="NQM109" s="12"/>
      <c r="NQN109" s="12"/>
      <c r="NRE109" s="12"/>
      <c r="NRF109" s="12"/>
      <c r="NRW109" s="12"/>
      <c r="NRX109" s="12"/>
      <c r="NSO109" s="12"/>
      <c r="NSP109" s="12"/>
      <c r="NTG109" s="12"/>
      <c r="NTH109" s="12"/>
      <c r="NTY109" s="12"/>
      <c r="NTZ109" s="12"/>
      <c r="NUQ109" s="12"/>
      <c r="NUR109" s="12"/>
      <c r="NVI109" s="12"/>
      <c r="NVJ109" s="12"/>
      <c r="NWA109" s="12"/>
      <c r="NWB109" s="12"/>
      <c r="NWS109" s="12"/>
      <c r="NWT109" s="12"/>
      <c r="NXK109" s="12"/>
      <c r="NXL109" s="12"/>
      <c r="NYC109" s="12"/>
      <c r="NYD109" s="12"/>
      <c r="NYU109" s="12"/>
      <c r="NYV109" s="12"/>
      <c r="NZM109" s="12"/>
      <c r="NZN109" s="12"/>
      <c r="OAE109" s="12"/>
      <c r="OAF109" s="12"/>
      <c r="OAW109" s="12"/>
      <c r="OAX109" s="12"/>
      <c r="OBO109" s="12"/>
      <c r="OBP109" s="12"/>
      <c r="OCG109" s="12"/>
      <c r="OCH109" s="12"/>
      <c r="OCY109" s="12"/>
      <c r="OCZ109" s="12"/>
      <c r="ODQ109" s="12"/>
      <c r="ODR109" s="12"/>
      <c r="OEI109" s="12"/>
      <c r="OEJ109" s="12"/>
      <c r="OFA109" s="12"/>
      <c r="OFB109" s="12"/>
      <c r="OFS109" s="12"/>
      <c r="OFT109" s="12"/>
      <c r="OGK109" s="12"/>
      <c r="OGL109" s="12"/>
      <c r="OHC109" s="12"/>
      <c r="OHD109" s="12"/>
      <c r="OHU109" s="12"/>
      <c r="OHV109" s="12"/>
      <c r="OIM109" s="12"/>
      <c r="OIN109" s="12"/>
      <c r="OJE109" s="12"/>
      <c r="OJF109" s="12"/>
      <c r="OJW109" s="12"/>
      <c r="OJX109" s="12"/>
      <c r="OKO109" s="12"/>
      <c r="OKP109" s="12"/>
      <c r="OLG109" s="12"/>
      <c r="OLH109" s="12"/>
      <c r="OLY109" s="12"/>
      <c r="OLZ109" s="12"/>
      <c r="OMQ109" s="12"/>
      <c r="OMR109" s="12"/>
      <c r="ONI109" s="12"/>
      <c r="ONJ109" s="12"/>
      <c r="OOA109" s="12"/>
      <c r="OOB109" s="12"/>
      <c r="OOS109" s="12"/>
      <c r="OOT109" s="12"/>
      <c r="OPK109" s="12"/>
      <c r="OPL109" s="12"/>
      <c r="OQC109" s="12"/>
      <c r="OQD109" s="12"/>
      <c r="OQU109" s="12"/>
      <c r="OQV109" s="12"/>
      <c r="ORM109" s="12"/>
      <c r="ORN109" s="12"/>
      <c r="OSE109" s="12"/>
      <c r="OSF109" s="12"/>
      <c r="OSW109" s="12"/>
      <c r="OSX109" s="12"/>
      <c r="OTO109" s="12"/>
      <c r="OTP109" s="12"/>
      <c r="OUG109" s="12"/>
      <c r="OUH109" s="12"/>
      <c r="OUY109" s="12"/>
      <c r="OUZ109" s="12"/>
      <c r="OVQ109" s="12"/>
      <c r="OVR109" s="12"/>
      <c r="OWI109" s="12"/>
      <c r="OWJ109" s="12"/>
      <c r="OXA109" s="12"/>
      <c r="OXB109" s="12"/>
      <c r="OXS109" s="12"/>
      <c r="OXT109" s="12"/>
      <c r="OYK109" s="12"/>
      <c r="OYL109" s="12"/>
      <c r="OZC109" s="12"/>
      <c r="OZD109" s="12"/>
      <c r="OZU109" s="12"/>
      <c r="OZV109" s="12"/>
      <c r="PAM109" s="12"/>
      <c r="PAN109" s="12"/>
      <c r="PBE109" s="12"/>
      <c r="PBF109" s="12"/>
      <c r="PBW109" s="12"/>
      <c r="PBX109" s="12"/>
      <c r="PCO109" s="12"/>
      <c r="PCP109" s="12"/>
      <c r="PDG109" s="12"/>
      <c r="PDH109" s="12"/>
      <c r="PDY109" s="12"/>
      <c r="PDZ109" s="12"/>
      <c r="PEQ109" s="12"/>
      <c r="PER109" s="12"/>
      <c r="PFI109" s="12"/>
      <c r="PFJ109" s="12"/>
      <c r="PGA109" s="12"/>
      <c r="PGB109" s="12"/>
      <c r="PGS109" s="12"/>
      <c r="PGT109" s="12"/>
      <c r="PHK109" s="12"/>
      <c r="PHL109" s="12"/>
      <c r="PIC109" s="12"/>
      <c r="PID109" s="12"/>
      <c r="PIU109" s="12"/>
      <c r="PIV109" s="12"/>
      <c r="PJM109" s="12"/>
      <c r="PJN109" s="12"/>
      <c r="PKE109" s="12"/>
      <c r="PKF109" s="12"/>
      <c r="PKW109" s="12"/>
      <c r="PKX109" s="12"/>
      <c r="PLO109" s="12"/>
      <c r="PLP109" s="12"/>
      <c r="PMG109" s="12"/>
      <c r="PMH109" s="12"/>
      <c r="PMY109" s="12"/>
      <c r="PMZ109" s="12"/>
      <c r="PNQ109" s="12"/>
      <c r="PNR109" s="12"/>
      <c r="POI109" s="12"/>
      <c r="POJ109" s="12"/>
      <c r="PPA109" s="12"/>
      <c r="PPB109" s="12"/>
      <c r="PPS109" s="12"/>
      <c r="PPT109" s="12"/>
      <c r="PQK109" s="12"/>
      <c r="PQL109" s="12"/>
      <c r="PRC109" s="12"/>
      <c r="PRD109" s="12"/>
      <c r="PRU109" s="12"/>
      <c r="PRV109" s="12"/>
      <c r="PSM109" s="12"/>
      <c r="PSN109" s="12"/>
      <c r="PTE109" s="12"/>
      <c r="PTF109" s="12"/>
      <c r="PTW109" s="12"/>
      <c r="PTX109" s="12"/>
      <c r="PUO109" s="12"/>
      <c r="PUP109" s="12"/>
      <c r="PVG109" s="12"/>
      <c r="PVH109" s="12"/>
      <c r="PVY109" s="12"/>
      <c r="PVZ109" s="12"/>
      <c r="PWQ109" s="12"/>
      <c r="PWR109" s="12"/>
      <c r="PXI109" s="12"/>
      <c r="PXJ109" s="12"/>
      <c r="PYA109" s="12"/>
      <c r="PYB109" s="12"/>
      <c r="PYS109" s="12"/>
      <c r="PYT109" s="12"/>
      <c r="PZK109" s="12"/>
      <c r="PZL109" s="12"/>
      <c r="QAC109" s="12"/>
      <c r="QAD109" s="12"/>
      <c r="QAU109" s="12"/>
      <c r="QAV109" s="12"/>
      <c r="QBM109" s="12"/>
      <c r="QBN109" s="12"/>
      <c r="QCE109" s="12"/>
      <c r="QCF109" s="12"/>
      <c r="QCW109" s="12"/>
      <c r="QCX109" s="12"/>
      <c r="QDO109" s="12"/>
      <c r="QDP109" s="12"/>
      <c r="QEG109" s="12"/>
      <c r="QEH109" s="12"/>
      <c r="QEY109" s="12"/>
      <c r="QEZ109" s="12"/>
      <c r="QFQ109" s="12"/>
      <c r="QFR109" s="12"/>
      <c r="QGI109" s="12"/>
      <c r="QGJ109" s="12"/>
      <c r="QHA109" s="12"/>
      <c r="QHB109" s="12"/>
      <c r="QHS109" s="12"/>
      <c r="QHT109" s="12"/>
      <c r="QIK109" s="12"/>
      <c r="QIL109" s="12"/>
      <c r="QJC109" s="12"/>
      <c r="QJD109" s="12"/>
      <c r="QJU109" s="12"/>
      <c r="QJV109" s="12"/>
      <c r="QKM109" s="12"/>
      <c r="QKN109" s="12"/>
      <c r="QLE109" s="12"/>
      <c r="QLF109" s="12"/>
      <c r="QLW109" s="12"/>
      <c r="QLX109" s="12"/>
      <c r="QMO109" s="12"/>
      <c r="QMP109" s="12"/>
      <c r="QNG109" s="12"/>
      <c r="QNH109" s="12"/>
      <c r="QNY109" s="12"/>
      <c r="QNZ109" s="12"/>
      <c r="QOQ109" s="12"/>
      <c r="QOR109" s="12"/>
      <c r="QPI109" s="12"/>
      <c r="QPJ109" s="12"/>
      <c r="QQA109" s="12"/>
      <c r="QQB109" s="12"/>
      <c r="QQS109" s="12"/>
      <c r="QQT109" s="12"/>
      <c r="QRK109" s="12"/>
      <c r="QRL109" s="12"/>
      <c r="QSC109" s="12"/>
      <c r="QSD109" s="12"/>
      <c r="QSU109" s="12"/>
      <c r="QSV109" s="12"/>
      <c r="QTM109" s="12"/>
      <c r="QTN109" s="12"/>
      <c r="QUE109" s="12"/>
      <c r="QUF109" s="12"/>
      <c r="QUW109" s="12"/>
      <c r="QUX109" s="12"/>
      <c r="QVO109" s="12"/>
      <c r="QVP109" s="12"/>
      <c r="QWG109" s="12"/>
      <c r="QWH109" s="12"/>
      <c r="QWY109" s="12"/>
      <c r="QWZ109" s="12"/>
      <c r="QXQ109" s="12"/>
      <c r="QXR109" s="12"/>
      <c r="QYI109" s="12"/>
      <c r="QYJ109" s="12"/>
      <c r="QZA109" s="12"/>
      <c r="QZB109" s="12"/>
      <c r="QZS109" s="12"/>
      <c r="QZT109" s="12"/>
      <c r="RAK109" s="12"/>
      <c r="RAL109" s="12"/>
      <c r="RBC109" s="12"/>
      <c r="RBD109" s="12"/>
      <c r="RBU109" s="12"/>
      <c r="RBV109" s="12"/>
      <c r="RCM109" s="12"/>
      <c r="RCN109" s="12"/>
      <c r="RDE109" s="12"/>
      <c r="RDF109" s="12"/>
      <c r="RDW109" s="12"/>
      <c r="RDX109" s="12"/>
      <c r="REO109" s="12"/>
      <c r="REP109" s="12"/>
      <c r="RFG109" s="12"/>
      <c r="RFH109" s="12"/>
      <c r="RFY109" s="12"/>
      <c r="RFZ109" s="12"/>
      <c r="RGQ109" s="12"/>
      <c r="RGR109" s="12"/>
      <c r="RHI109" s="12"/>
      <c r="RHJ109" s="12"/>
      <c r="RIA109" s="12"/>
      <c r="RIB109" s="12"/>
      <c r="RIS109" s="12"/>
      <c r="RIT109" s="12"/>
      <c r="RJK109" s="12"/>
      <c r="RJL109" s="12"/>
      <c r="RKC109" s="12"/>
      <c r="RKD109" s="12"/>
      <c r="RKU109" s="12"/>
      <c r="RKV109" s="12"/>
      <c r="RLM109" s="12"/>
      <c r="RLN109" s="12"/>
      <c r="RME109" s="12"/>
      <c r="RMF109" s="12"/>
      <c r="RMW109" s="12"/>
      <c r="RMX109" s="12"/>
      <c r="RNO109" s="12"/>
      <c r="RNP109" s="12"/>
      <c r="ROG109" s="12"/>
      <c r="ROH109" s="12"/>
      <c r="ROY109" s="12"/>
      <c r="ROZ109" s="12"/>
      <c r="RPQ109" s="12"/>
      <c r="RPR109" s="12"/>
      <c r="RQI109" s="12"/>
      <c r="RQJ109" s="12"/>
      <c r="RRA109" s="12"/>
      <c r="RRB109" s="12"/>
      <c r="RRS109" s="12"/>
      <c r="RRT109" s="12"/>
      <c r="RSK109" s="12"/>
      <c r="RSL109" s="12"/>
      <c r="RTC109" s="12"/>
      <c r="RTD109" s="12"/>
      <c r="RTU109" s="12"/>
      <c r="RTV109" s="12"/>
      <c r="RUM109" s="12"/>
      <c r="RUN109" s="12"/>
      <c r="RVE109" s="12"/>
      <c r="RVF109" s="12"/>
      <c r="RVW109" s="12"/>
      <c r="RVX109" s="12"/>
      <c r="RWO109" s="12"/>
      <c r="RWP109" s="12"/>
      <c r="RXG109" s="12"/>
      <c r="RXH109" s="12"/>
      <c r="RXY109" s="12"/>
      <c r="RXZ109" s="12"/>
      <c r="RYQ109" s="12"/>
      <c r="RYR109" s="12"/>
      <c r="RZI109" s="12"/>
      <c r="RZJ109" s="12"/>
      <c r="SAA109" s="12"/>
      <c r="SAB109" s="12"/>
      <c r="SAS109" s="12"/>
      <c r="SAT109" s="12"/>
      <c r="SBK109" s="12"/>
      <c r="SBL109" s="12"/>
      <c r="SCC109" s="12"/>
      <c r="SCD109" s="12"/>
      <c r="SCU109" s="12"/>
      <c r="SCV109" s="12"/>
      <c r="SDM109" s="12"/>
      <c r="SDN109" s="12"/>
      <c r="SEE109" s="12"/>
      <c r="SEF109" s="12"/>
      <c r="SEW109" s="12"/>
      <c r="SEX109" s="12"/>
      <c r="SFO109" s="12"/>
      <c r="SFP109" s="12"/>
      <c r="SGG109" s="12"/>
      <c r="SGH109" s="12"/>
      <c r="SGY109" s="12"/>
      <c r="SGZ109" s="12"/>
      <c r="SHQ109" s="12"/>
      <c r="SHR109" s="12"/>
      <c r="SII109" s="12"/>
      <c r="SIJ109" s="12"/>
      <c r="SJA109" s="12"/>
      <c r="SJB109" s="12"/>
      <c r="SJS109" s="12"/>
      <c r="SJT109" s="12"/>
      <c r="SKK109" s="12"/>
      <c r="SKL109" s="12"/>
      <c r="SLC109" s="12"/>
      <c r="SLD109" s="12"/>
      <c r="SLU109" s="12"/>
      <c r="SLV109" s="12"/>
      <c r="SMM109" s="12"/>
      <c r="SMN109" s="12"/>
      <c r="SNE109" s="12"/>
      <c r="SNF109" s="12"/>
      <c r="SNW109" s="12"/>
      <c r="SNX109" s="12"/>
      <c r="SOO109" s="12"/>
      <c r="SOP109" s="12"/>
      <c r="SPG109" s="12"/>
      <c r="SPH109" s="12"/>
      <c r="SPY109" s="12"/>
      <c r="SPZ109" s="12"/>
      <c r="SQQ109" s="12"/>
      <c r="SQR109" s="12"/>
      <c r="SRI109" s="12"/>
      <c r="SRJ109" s="12"/>
      <c r="SSA109" s="12"/>
      <c r="SSB109" s="12"/>
      <c r="SSS109" s="12"/>
      <c r="SST109" s="12"/>
      <c r="STK109" s="12"/>
      <c r="STL109" s="12"/>
      <c r="SUC109" s="12"/>
      <c r="SUD109" s="12"/>
      <c r="SUU109" s="12"/>
      <c r="SUV109" s="12"/>
      <c r="SVM109" s="12"/>
      <c r="SVN109" s="12"/>
      <c r="SWE109" s="12"/>
      <c r="SWF109" s="12"/>
      <c r="SWW109" s="12"/>
      <c r="SWX109" s="12"/>
      <c r="SXO109" s="12"/>
      <c r="SXP109" s="12"/>
      <c r="SYG109" s="12"/>
      <c r="SYH109" s="12"/>
      <c r="SYY109" s="12"/>
      <c r="SYZ109" s="12"/>
      <c r="SZQ109" s="12"/>
      <c r="SZR109" s="12"/>
      <c r="TAI109" s="12"/>
      <c r="TAJ109" s="12"/>
      <c r="TBA109" s="12"/>
      <c r="TBB109" s="12"/>
      <c r="TBS109" s="12"/>
      <c r="TBT109" s="12"/>
      <c r="TCK109" s="12"/>
      <c r="TCL109" s="12"/>
      <c r="TDC109" s="12"/>
      <c r="TDD109" s="12"/>
      <c r="TDU109" s="12"/>
      <c r="TDV109" s="12"/>
      <c r="TEM109" s="12"/>
      <c r="TEN109" s="12"/>
      <c r="TFE109" s="12"/>
      <c r="TFF109" s="12"/>
      <c r="TFW109" s="12"/>
      <c r="TFX109" s="12"/>
      <c r="TGO109" s="12"/>
      <c r="TGP109" s="12"/>
      <c r="THG109" s="12"/>
      <c r="THH109" s="12"/>
      <c r="THY109" s="12"/>
      <c r="THZ109" s="12"/>
      <c r="TIQ109" s="12"/>
      <c r="TIR109" s="12"/>
      <c r="TJI109" s="12"/>
      <c r="TJJ109" s="12"/>
      <c r="TKA109" s="12"/>
      <c r="TKB109" s="12"/>
      <c r="TKS109" s="12"/>
      <c r="TKT109" s="12"/>
      <c r="TLK109" s="12"/>
      <c r="TLL109" s="12"/>
      <c r="TMC109" s="12"/>
      <c r="TMD109" s="12"/>
      <c r="TMU109" s="12"/>
      <c r="TMV109" s="12"/>
      <c r="TNM109" s="12"/>
      <c r="TNN109" s="12"/>
      <c r="TOE109" s="12"/>
      <c r="TOF109" s="12"/>
      <c r="TOW109" s="12"/>
      <c r="TOX109" s="12"/>
      <c r="TPO109" s="12"/>
      <c r="TPP109" s="12"/>
      <c r="TQG109" s="12"/>
      <c r="TQH109" s="12"/>
      <c r="TQY109" s="12"/>
      <c r="TQZ109" s="12"/>
      <c r="TRQ109" s="12"/>
      <c r="TRR109" s="12"/>
      <c r="TSI109" s="12"/>
      <c r="TSJ109" s="12"/>
      <c r="TTA109" s="12"/>
      <c r="TTB109" s="12"/>
      <c r="TTS109" s="12"/>
      <c r="TTT109" s="12"/>
      <c r="TUK109" s="12"/>
      <c r="TUL109" s="12"/>
      <c r="TVC109" s="12"/>
      <c r="TVD109" s="12"/>
      <c r="TVU109" s="12"/>
      <c r="TVV109" s="12"/>
      <c r="TWM109" s="12"/>
      <c r="TWN109" s="12"/>
      <c r="TXE109" s="12"/>
      <c r="TXF109" s="12"/>
      <c r="TXW109" s="12"/>
      <c r="TXX109" s="12"/>
      <c r="TYO109" s="12"/>
      <c r="TYP109" s="12"/>
      <c r="TZG109" s="12"/>
      <c r="TZH109" s="12"/>
      <c r="TZY109" s="12"/>
      <c r="TZZ109" s="12"/>
      <c r="UAQ109" s="12"/>
      <c r="UAR109" s="12"/>
      <c r="UBI109" s="12"/>
      <c r="UBJ109" s="12"/>
      <c r="UCA109" s="12"/>
      <c r="UCB109" s="12"/>
      <c r="UCS109" s="12"/>
      <c r="UCT109" s="12"/>
      <c r="UDK109" s="12"/>
      <c r="UDL109" s="12"/>
      <c r="UEC109" s="12"/>
      <c r="UED109" s="12"/>
      <c r="UEU109" s="12"/>
      <c r="UEV109" s="12"/>
      <c r="UFM109" s="12"/>
      <c r="UFN109" s="12"/>
      <c r="UGE109" s="12"/>
      <c r="UGF109" s="12"/>
      <c r="UGW109" s="12"/>
      <c r="UGX109" s="12"/>
      <c r="UHO109" s="12"/>
      <c r="UHP109" s="12"/>
      <c r="UIG109" s="12"/>
      <c r="UIH109" s="12"/>
      <c r="UIY109" s="12"/>
      <c r="UIZ109" s="12"/>
      <c r="UJQ109" s="12"/>
      <c r="UJR109" s="12"/>
      <c r="UKI109" s="12"/>
      <c r="UKJ109" s="12"/>
      <c r="ULA109" s="12"/>
      <c r="ULB109" s="12"/>
      <c r="ULS109" s="12"/>
      <c r="ULT109" s="12"/>
      <c r="UMK109" s="12"/>
      <c r="UML109" s="12"/>
      <c r="UNC109" s="12"/>
      <c r="UND109" s="12"/>
      <c r="UNU109" s="12"/>
      <c r="UNV109" s="12"/>
      <c r="UOM109" s="12"/>
      <c r="UON109" s="12"/>
      <c r="UPE109" s="12"/>
      <c r="UPF109" s="12"/>
      <c r="UPW109" s="12"/>
      <c r="UPX109" s="12"/>
      <c r="UQO109" s="12"/>
      <c r="UQP109" s="12"/>
      <c r="URG109" s="12"/>
      <c r="URH109" s="12"/>
      <c r="URY109" s="12"/>
      <c r="URZ109" s="12"/>
      <c r="USQ109" s="12"/>
      <c r="USR109" s="12"/>
      <c r="UTI109" s="12"/>
      <c r="UTJ109" s="12"/>
      <c r="UUA109" s="12"/>
      <c r="UUB109" s="12"/>
      <c r="UUS109" s="12"/>
      <c r="UUT109" s="12"/>
      <c r="UVK109" s="12"/>
      <c r="UVL109" s="12"/>
      <c r="UWC109" s="12"/>
      <c r="UWD109" s="12"/>
      <c r="UWU109" s="12"/>
      <c r="UWV109" s="12"/>
      <c r="UXM109" s="12"/>
      <c r="UXN109" s="12"/>
      <c r="UYE109" s="12"/>
      <c r="UYF109" s="12"/>
      <c r="UYW109" s="12"/>
      <c r="UYX109" s="12"/>
      <c r="UZO109" s="12"/>
      <c r="UZP109" s="12"/>
      <c r="VAG109" s="12"/>
      <c r="VAH109" s="12"/>
      <c r="VAY109" s="12"/>
      <c r="VAZ109" s="12"/>
      <c r="VBQ109" s="12"/>
      <c r="VBR109" s="12"/>
      <c r="VCI109" s="12"/>
      <c r="VCJ109" s="12"/>
      <c r="VDA109" s="12"/>
      <c r="VDB109" s="12"/>
      <c r="VDS109" s="12"/>
      <c r="VDT109" s="12"/>
      <c r="VEK109" s="12"/>
      <c r="VEL109" s="12"/>
      <c r="VFC109" s="12"/>
      <c r="VFD109" s="12"/>
      <c r="VFU109" s="12"/>
      <c r="VFV109" s="12"/>
      <c r="VGM109" s="12"/>
      <c r="VGN109" s="12"/>
      <c r="VHE109" s="12"/>
      <c r="VHF109" s="12"/>
      <c r="VHW109" s="12"/>
      <c r="VHX109" s="12"/>
      <c r="VIO109" s="12"/>
      <c r="VIP109" s="12"/>
      <c r="VJG109" s="12"/>
      <c r="VJH109" s="12"/>
      <c r="VJY109" s="12"/>
      <c r="VJZ109" s="12"/>
      <c r="VKQ109" s="12"/>
      <c r="VKR109" s="12"/>
      <c r="VLI109" s="12"/>
      <c r="VLJ109" s="12"/>
      <c r="VMA109" s="12"/>
      <c r="VMB109" s="12"/>
      <c r="VMS109" s="12"/>
      <c r="VMT109" s="12"/>
      <c r="VNK109" s="12"/>
      <c r="VNL109" s="12"/>
      <c r="VOC109" s="12"/>
      <c r="VOD109" s="12"/>
      <c r="VOU109" s="12"/>
      <c r="VOV109" s="12"/>
      <c r="VPM109" s="12"/>
      <c r="VPN109" s="12"/>
      <c r="VQE109" s="12"/>
      <c r="VQF109" s="12"/>
      <c r="VQW109" s="12"/>
      <c r="VQX109" s="12"/>
      <c r="VRO109" s="12"/>
      <c r="VRP109" s="12"/>
      <c r="VSG109" s="12"/>
      <c r="VSH109" s="12"/>
      <c r="VSY109" s="12"/>
      <c r="VSZ109" s="12"/>
      <c r="VTQ109" s="12"/>
      <c r="VTR109" s="12"/>
      <c r="VUI109" s="12"/>
      <c r="VUJ109" s="12"/>
      <c r="VVA109" s="12"/>
      <c r="VVB109" s="12"/>
      <c r="VVS109" s="12"/>
      <c r="VVT109" s="12"/>
      <c r="VWK109" s="12"/>
      <c r="VWL109" s="12"/>
      <c r="VXC109" s="12"/>
      <c r="VXD109" s="12"/>
      <c r="VXU109" s="12"/>
      <c r="VXV109" s="12"/>
      <c r="VYM109" s="12"/>
      <c r="VYN109" s="12"/>
      <c r="VZE109" s="12"/>
      <c r="VZF109" s="12"/>
      <c r="VZW109" s="12"/>
      <c r="VZX109" s="12"/>
      <c r="WAO109" s="12"/>
      <c r="WAP109" s="12"/>
      <c r="WBG109" s="12"/>
      <c r="WBH109" s="12"/>
      <c r="WBY109" s="12"/>
      <c r="WBZ109" s="12"/>
      <c r="WCQ109" s="12"/>
      <c r="WCR109" s="12"/>
      <c r="WDI109" s="12"/>
      <c r="WDJ109" s="12"/>
      <c r="WEA109" s="12"/>
      <c r="WEB109" s="12"/>
      <c r="WES109" s="12"/>
      <c r="WET109" s="12"/>
      <c r="WFK109" s="12"/>
      <c r="WFL109" s="12"/>
      <c r="WGC109" s="12"/>
      <c r="WGD109" s="12"/>
      <c r="WGU109" s="12"/>
      <c r="WGV109" s="12"/>
      <c r="WHM109" s="12"/>
      <c r="WHN109" s="12"/>
      <c r="WIE109" s="12"/>
      <c r="WIF109" s="12"/>
      <c r="WIW109" s="12"/>
      <c r="WIX109" s="12"/>
      <c r="WJO109" s="12"/>
      <c r="WJP109" s="12"/>
      <c r="WKG109" s="12"/>
      <c r="WKH109" s="12"/>
      <c r="WKY109" s="12"/>
      <c r="WKZ109" s="12"/>
      <c r="WLQ109" s="12"/>
      <c r="WLR109" s="12"/>
      <c r="WMI109" s="12"/>
      <c r="WMJ109" s="12"/>
      <c r="WNA109" s="12"/>
      <c r="WNB109" s="12"/>
      <c r="WNS109" s="12"/>
      <c r="WNT109" s="12"/>
      <c r="WOK109" s="12"/>
      <c r="WOL109" s="12"/>
      <c r="WPC109" s="12"/>
      <c r="WPD109" s="12"/>
      <c r="WPU109" s="12"/>
      <c r="WPV109" s="12"/>
      <c r="WQM109" s="12"/>
      <c r="WQN109" s="12"/>
      <c r="WRE109" s="12"/>
      <c r="WRF109" s="12"/>
      <c r="WRW109" s="12"/>
      <c r="WRX109" s="12"/>
      <c r="WSO109" s="12"/>
      <c r="WSP109" s="12"/>
      <c r="WTG109" s="12"/>
      <c r="WTH109" s="12"/>
      <c r="WTY109" s="12"/>
      <c r="WTZ109" s="12"/>
      <c r="WUQ109" s="12"/>
      <c r="WUR109" s="12"/>
      <c r="WVI109" s="12"/>
      <c r="WVJ109" s="12"/>
      <c r="WWA109" s="12"/>
      <c r="WWB109" s="12"/>
      <c r="WWS109" s="12"/>
      <c r="WWT109" s="12"/>
      <c r="WXK109" s="12"/>
      <c r="WXL109" s="12"/>
      <c r="WYC109" s="12"/>
      <c r="WYD109" s="12"/>
      <c r="WYU109" s="12"/>
      <c r="WYV109" s="12"/>
      <c r="WZM109" s="12"/>
      <c r="WZN109" s="12"/>
      <c r="XAE109" s="12"/>
      <c r="XAF109" s="12"/>
      <c r="XAW109" s="12"/>
      <c r="XAX109" s="12"/>
      <c r="XBO109" s="12"/>
      <c r="XBP109" s="12"/>
      <c r="XCG109" s="12"/>
      <c r="XCH109" s="12"/>
      <c r="XCY109" s="12"/>
      <c r="XCZ109" s="12"/>
      <c r="XDQ109" s="12"/>
      <c r="XDR109" s="12"/>
      <c r="XEI109" s="12"/>
      <c r="XEJ109" s="12"/>
      <c r="XFA109" s="12"/>
      <c r="XFB109" s="12"/>
    </row>
    <row r="110" spans="1:1010 1027:2036 2053:3062 3079:4088 4105:5114 5131:6140 6157:7166 7183:8192 8209:9200 9217:10226 10243:11252 11269:12278 12295:13304 13321:14330 14347:15356 15373:16382" x14ac:dyDescent="0.35">
      <c r="A110" s="181" t="s">
        <v>183</v>
      </c>
      <c r="B110" s="181" t="s">
        <v>184</v>
      </c>
      <c r="C110" s="198">
        <v>18.713000000000001</v>
      </c>
      <c r="D110" s="198">
        <v>18.78</v>
      </c>
      <c r="E110" s="198">
        <v>18.841000000000001</v>
      </c>
      <c r="F110" s="198">
        <v>18.87</v>
      </c>
      <c r="G110" s="198">
        <v>18.917999999999999</v>
      </c>
      <c r="H110" s="198">
        <v>18.991</v>
      </c>
      <c r="I110" s="198">
        <v>19.062999999999999</v>
      </c>
      <c r="J110" s="198">
        <v>19.094000000000001</v>
      </c>
      <c r="K110" s="198">
        <v>19.123999999999999</v>
      </c>
      <c r="L110" s="198">
        <v>19.167000000000002</v>
      </c>
      <c r="M110" s="11"/>
      <c r="N110" s="11"/>
      <c r="O110" s="11"/>
      <c r="P110" s="11"/>
      <c r="Q110" s="11"/>
      <c r="R110" s="11"/>
      <c r="T110" s="12"/>
      <c r="U110" s="12"/>
    </row>
    <row r="111" spans="1:1010 1027:2036 2053:3062 3079:4088 4105:5114 5131:6140 6157:7166 7183:8192 8209:9200 9217:10226 10243:11252 11269:12278 12295:13304 13321:14330 14347:15356 15373:16382" x14ac:dyDescent="0.35">
      <c r="A111" s="181" t="s">
        <v>185</v>
      </c>
      <c r="B111" s="181" t="s">
        <v>186</v>
      </c>
      <c r="C111" s="198">
        <v>57.338000000000001</v>
      </c>
      <c r="D111" s="198">
        <v>63.006</v>
      </c>
      <c r="E111" s="198">
        <v>68.465000000000003</v>
      </c>
      <c r="F111" s="198">
        <v>71.683999999999997</v>
      </c>
      <c r="G111" s="198">
        <v>77.686000000000007</v>
      </c>
      <c r="H111" s="198">
        <v>86.495000000000005</v>
      </c>
      <c r="I111" s="198">
        <v>94.006</v>
      </c>
      <c r="J111" s="198">
        <v>98.507999999999996</v>
      </c>
      <c r="K111" s="198">
        <v>104.369</v>
      </c>
      <c r="L111" s="198">
        <v>113.042</v>
      </c>
      <c r="M111" s="11"/>
      <c r="N111" s="11"/>
      <c r="O111" s="11"/>
      <c r="P111" s="11"/>
      <c r="Q111" s="11"/>
      <c r="R111" s="11"/>
      <c r="T111" s="12"/>
      <c r="U111" s="12"/>
    </row>
    <row r="112" spans="1:1010 1027:2036 2053:3062 3079:4088 4105:5114 5131:6140 6157:7166 7183:8192 8209:9200 9217:10226 10243:11252 11269:12278 12295:13304 13321:14330 14347:15356 15373:16382" x14ac:dyDescent="0.35">
      <c r="A112" s="23" t="s">
        <v>29</v>
      </c>
      <c r="B112" s="23"/>
      <c r="C112" s="321">
        <f t="shared" ref="C112:L112" si="21">IF(AND(C110="",C111=""),0,ROUND(SUM(C110:C111)-IF(C109="",0,C109),1))</f>
        <v>0</v>
      </c>
      <c r="D112" s="321">
        <f t="shared" si="21"/>
        <v>0</v>
      </c>
      <c r="E112" s="321">
        <f t="shared" si="21"/>
        <v>0</v>
      </c>
      <c r="F112" s="321">
        <f t="shared" si="21"/>
        <v>0</v>
      </c>
      <c r="G112" s="321">
        <f t="shared" si="21"/>
        <v>0</v>
      </c>
      <c r="H112" s="321">
        <f t="shared" si="21"/>
        <v>0</v>
      </c>
      <c r="I112" s="321">
        <f t="shared" si="21"/>
        <v>0</v>
      </c>
      <c r="J112" s="321">
        <f t="shared" si="21"/>
        <v>0</v>
      </c>
      <c r="K112" s="321">
        <f t="shared" si="21"/>
        <v>0</v>
      </c>
      <c r="L112" s="321">
        <f t="shared" si="21"/>
        <v>0</v>
      </c>
      <c r="M112" s="118"/>
      <c r="N112" s="118"/>
      <c r="O112" s="118"/>
      <c r="P112" s="118"/>
      <c r="Q112" s="118"/>
      <c r="R112" s="118"/>
      <c r="T112" s="12"/>
      <c r="U112" s="12"/>
    </row>
    <row r="113" spans="1:1010 1027:2036 2053:3062 3079:4088 4105:5114 5131:6140 6157:7166 7183:8192 8209:9200 9217:10226 10243:11252 11269:12278 12295:13304 13321:14330 14347:15356 15373:16382" s="11" customFormat="1" x14ac:dyDescent="0.35">
      <c r="A113" s="183" t="s">
        <v>187</v>
      </c>
      <c r="B113" s="183" t="s">
        <v>188</v>
      </c>
      <c r="C113" s="184">
        <v>277.238</v>
      </c>
      <c r="D113" s="184">
        <v>277.238</v>
      </c>
      <c r="E113" s="184">
        <v>277.238</v>
      </c>
      <c r="F113" s="184">
        <v>277.238</v>
      </c>
      <c r="G113" s="184">
        <v>277.238</v>
      </c>
      <c r="H113" s="184">
        <v>277.238</v>
      </c>
      <c r="I113" s="184">
        <v>277.238</v>
      </c>
      <c r="J113" s="184">
        <v>277.238</v>
      </c>
      <c r="K113" s="184">
        <v>299.69200000000001</v>
      </c>
      <c r="L113" s="184">
        <v>311.22399999999999</v>
      </c>
      <c r="M113" s="312">
        <f>IF(OR(K113=0,K113=""),"",L113/K113-1)</f>
        <v>3.8479505625775845E-2</v>
      </c>
      <c r="S113" s="12"/>
      <c r="T113" s="12"/>
      <c r="AK113" s="12"/>
      <c r="AL113" s="12"/>
      <c r="BC113" s="12"/>
      <c r="BD113" s="12"/>
      <c r="BU113" s="12"/>
      <c r="BV113" s="12"/>
      <c r="CM113" s="12"/>
      <c r="CN113" s="12"/>
      <c r="DE113" s="12"/>
      <c r="DF113" s="12"/>
      <c r="DW113" s="12"/>
      <c r="DX113" s="12"/>
      <c r="EO113" s="12"/>
      <c r="EP113" s="12"/>
      <c r="FG113" s="12"/>
      <c r="FH113" s="12"/>
      <c r="FY113" s="12"/>
      <c r="FZ113" s="12"/>
      <c r="GQ113" s="12"/>
      <c r="GR113" s="12"/>
      <c r="HI113" s="12"/>
      <c r="HJ113" s="12"/>
      <c r="IA113" s="12"/>
      <c r="IB113" s="12"/>
      <c r="IS113" s="12"/>
      <c r="IT113" s="12"/>
      <c r="JK113" s="12"/>
      <c r="JL113" s="12"/>
      <c r="KC113" s="12"/>
      <c r="KD113" s="12"/>
      <c r="KU113" s="12"/>
      <c r="KV113" s="12"/>
      <c r="LM113" s="12"/>
      <c r="LN113" s="12"/>
      <c r="ME113" s="12"/>
      <c r="MF113" s="12"/>
      <c r="MW113" s="12"/>
      <c r="MX113" s="12"/>
      <c r="NO113" s="12"/>
      <c r="NP113" s="12"/>
      <c r="OG113" s="12"/>
      <c r="OH113" s="12"/>
      <c r="OY113" s="12"/>
      <c r="OZ113" s="12"/>
      <c r="PQ113" s="12"/>
      <c r="PR113" s="12"/>
      <c r="QI113" s="12"/>
      <c r="QJ113" s="12"/>
      <c r="RA113" s="12"/>
      <c r="RB113" s="12"/>
      <c r="RS113" s="12"/>
      <c r="RT113" s="12"/>
      <c r="SK113" s="12"/>
      <c r="SL113" s="12"/>
      <c r="TC113" s="12"/>
      <c r="TD113" s="12"/>
      <c r="TU113" s="12"/>
      <c r="TV113" s="12"/>
      <c r="UM113" s="12"/>
      <c r="UN113" s="12"/>
      <c r="VE113" s="12"/>
      <c r="VF113" s="12"/>
      <c r="VW113" s="12"/>
      <c r="VX113" s="12"/>
      <c r="WO113" s="12"/>
      <c r="WP113" s="12"/>
      <c r="XG113" s="12"/>
      <c r="XH113" s="12"/>
      <c r="XY113" s="12"/>
      <c r="XZ113" s="12"/>
      <c r="YQ113" s="12"/>
      <c r="YR113" s="12"/>
      <c r="ZI113" s="12"/>
      <c r="ZJ113" s="12"/>
      <c r="AAA113" s="12"/>
      <c r="AAB113" s="12"/>
      <c r="AAS113" s="12"/>
      <c r="AAT113" s="12"/>
      <c r="ABK113" s="12"/>
      <c r="ABL113" s="12"/>
      <c r="ACC113" s="12"/>
      <c r="ACD113" s="12"/>
      <c r="ACU113" s="12"/>
      <c r="ACV113" s="12"/>
      <c r="ADM113" s="12"/>
      <c r="ADN113" s="12"/>
      <c r="AEE113" s="12"/>
      <c r="AEF113" s="12"/>
      <c r="AEW113" s="12"/>
      <c r="AEX113" s="12"/>
      <c r="AFO113" s="12"/>
      <c r="AFP113" s="12"/>
      <c r="AGG113" s="12"/>
      <c r="AGH113" s="12"/>
      <c r="AGY113" s="12"/>
      <c r="AGZ113" s="12"/>
      <c r="AHQ113" s="12"/>
      <c r="AHR113" s="12"/>
      <c r="AII113" s="12"/>
      <c r="AIJ113" s="12"/>
      <c r="AJA113" s="12"/>
      <c r="AJB113" s="12"/>
      <c r="AJS113" s="12"/>
      <c r="AJT113" s="12"/>
      <c r="AKK113" s="12"/>
      <c r="AKL113" s="12"/>
      <c r="ALC113" s="12"/>
      <c r="ALD113" s="12"/>
      <c r="ALU113" s="12"/>
      <c r="ALV113" s="12"/>
      <c r="AMM113" s="12"/>
      <c r="AMN113" s="12"/>
      <c r="ANE113" s="12"/>
      <c r="ANF113" s="12"/>
      <c r="ANW113" s="12"/>
      <c r="ANX113" s="12"/>
      <c r="AOO113" s="12"/>
      <c r="AOP113" s="12"/>
      <c r="APG113" s="12"/>
      <c r="APH113" s="12"/>
      <c r="APY113" s="12"/>
      <c r="APZ113" s="12"/>
      <c r="AQQ113" s="12"/>
      <c r="AQR113" s="12"/>
      <c r="ARI113" s="12"/>
      <c r="ARJ113" s="12"/>
      <c r="ASA113" s="12"/>
      <c r="ASB113" s="12"/>
      <c r="ASS113" s="12"/>
      <c r="AST113" s="12"/>
      <c r="ATK113" s="12"/>
      <c r="ATL113" s="12"/>
      <c r="AUC113" s="12"/>
      <c r="AUD113" s="12"/>
      <c r="AUU113" s="12"/>
      <c r="AUV113" s="12"/>
      <c r="AVM113" s="12"/>
      <c r="AVN113" s="12"/>
      <c r="AWE113" s="12"/>
      <c r="AWF113" s="12"/>
      <c r="AWW113" s="12"/>
      <c r="AWX113" s="12"/>
      <c r="AXO113" s="12"/>
      <c r="AXP113" s="12"/>
      <c r="AYG113" s="12"/>
      <c r="AYH113" s="12"/>
      <c r="AYY113" s="12"/>
      <c r="AYZ113" s="12"/>
      <c r="AZQ113" s="12"/>
      <c r="AZR113" s="12"/>
      <c r="BAI113" s="12"/>
      <c r="BAJ113" s="12"/>
      <c r="BBA113" s="12"/>
      <c r="BBB113" s="12"/>
      <c r="BBS113" s="12"/>
      <c r="BBT113" s="12"/>
      <c r="BCK113" s="12"/>
      <c r="BCL113" s="12"/>
      <c r="BDC113" s="12"/>
      <c r="BDD113" s="12"/>
      <c r="BDU113" s="12"/>
      <c r="BDV113" s="12"/>
      <c r="BEM113" s="12"/>
      <c r="BEN113" s="12"/>
      <c r="BFE113" s="12"/>
      <c r="BFF113" s="12"/>
      <c r="BFW113" s="12"/>
      <c r="BFX113" s="12"/>
      <c r="BGO113" s="12"/>
      <c r="BGP113" s="12"/>
      <c r="BHG113" s="12"/>
      <c r="BHH113" s="12"/>
      <c r="BHY113" s="12"/>
      <c r="BHZ113" s="12"/>
      <c r="BIQ113" s="12"/>
      <c r="BIR113" s="12"/>
      <c r="BJI113" s="12"/>
      <c r="BJJ113" s="12"/>
      <c r="BKA113" s="12"/>
      <c r="BKB113" s="12"/>
      <c r="BKS113" s="12"/>
      <c r="BKT113" s="12"/>
      <c r="BLK113" s="12"/>
      <c r="BLL113" s="12"/>
      <c r="BMC113" s="12"/>
      <c r="BMD113" s="12"/>
      <c r="BMU113" s="12"/>
      <c r="BMV113" s="12"/>
      <c r="BNM113" s="12"/>
      <c r="BNN113" s="12"/>
      <c r="BOE113" s="12"/>
      <c r="BOF113" s="12"/>
      <c r="BOW113" s="12"/>
      <c r="BOX113" s="12"/>
      <c r="BPO113" s="12"/>
      <c r="BPP113" s="12"/>
      <c r="BQG113" s="12"/>
      <c r="BQH113" s="12"/>
      <c r="BQY113" s="12"/>
      <c r="BQZ113" s="12"/>
      <c r="BRQ113" s="12"/>
      <c r="BRR113" s="12"/>
      <c r="BSI113" s="12"/>
      <c r="BSJ113" s="12"/>
      <c r="BTA113" s="12"/>
      <c r="BTB113" s="12"/>
      <c r="BTS113" s="12"/>
      <c r="BTT113" s="12"/>
      <c r="BUK113" s="12"/>
      <c r="BUL113" s="12"/>
      <c r="BVC113" s="12"/>
      <c r="BVD113" s="12"/>
      <c r="BVU113" s="12"/>
      <c r="BVV113" s="12"/>
      <c r="BWM113" s="12"/>
      <c r="BWN113" s="12"/>
      <c r="BXE113" s="12"/>
      <c r="BXF113" s="12"/>
      <c r="BXW113" s="12"/>
      <c r="BXX113" s="12"/>
      <c r="BYO113" s="12"/>
      <c r="BYP113" s="12"/>
      <c r="BZG113" s="12"/>
      <c r="BZH113" s="12"/>
      <c r="BZY113" s="12"/>
      <c r="BZZ113" s="12"/>
      <c r="CAQ113" s="12"/>
      <c r="CAR113" s="12"/>
      <c r="CBI113" s="12"/>
      <c r="CBJ113" s="12"/>
      <c r="CCA113" s="12"/>
      <c r="CCB113" s="12"/>
      <c r="CCS113" s="12"/>
      <c r="CCT113" s="12"/>
      <c r="CDK113" s="12"/>
      <c r="CDL113" s="12"/>
      <c r="CEC113" s="12"/>
      <c r="CED113" s="12"/>
      <c r="CEU113" s="12"/>
      <c r="CEV113" s="12"/>
      <c r="CFM113" s="12"/>
      <c r="CFN113" s="12"/>
      <c r="CGE113" s="12"/>
      <c r="CGF113" s="12"/>
      <c r="CGW113" s="12"/>
      <c r="CGX113" s="12"/>
      <c r="CHO113" s="12"/>
      <c r="CHP113" s="12"/>
      <c r="CIG113" s="12"/>
      <c r="CIH113" s="12"/>
      <c r="CIY113" s="12"/>
      <c r="CIZ113" s="12"/>
      <c r="CJQ113" s="12"/>
      <c r="CJR113" s="12"/>
      <c r="CKI113" s="12"/>
      <c r="CKJ113" s="12"/>
      <c r="CLA113" s="12"/>
      <c r="CLB113" s="12"/>
      <c r="CLS113" s="12"/>
      <c r="CLT113" s="12"/>
      <c r="CMK113" s="12"/>
      <c r="CML113" s="12"/>
      <c r="CNC113" s="12"/>
      <c r="CND113" s="12"/>
      <c r="CNU113" s="12"/>
      <c r="CNV113" s="12"/>
      <c r="COM113" s="12"/>
      <c r="CON113" s="12"/>
      <c r="CPE113" s="12"/>
      <c r="CPF113" s="12"/>
      <c r="CPW113" s="12"/>
      <c r="CPX113" s="12"/>
      <c r="CQO113" s="12"/>
      <c r="CQP113" s="12"/>
      <c r="CRG113" s="12"/>
      <c r="CRH113" s="12"/>
      <c r="CRY113" s="12"/>
      <c r="CRZ113" s="12"/>
      <c r="CSQ113" s="12"/>
      <c r="CSR113" s="12"/>
      <c r="CTI113" s="12"/>
      <c r="CTJ113" s="12"/>
      <c r="CUA113" s="12"/>
      <c r="CUB113" s="12"/>
      <c r="CUS113" s="12"/>
      <c r="CUT113" s="12"/>
      <c r="CVK113" s="12"/>
      <c r="CVL113" s="12"/>
      <c r="CWC113" s="12"/>
      <c r="CWD113" s="12"/>
      <c r="CWU113" s="12"/>
      <c r="CWV113" s="12"/>
      <c r="CXM113" s="12"/>
      <c r="CXN113" s="12"/>
      <c r="CYE113" s="12"/>
      <c r="CYF113" s="12"/>
      <c r="CYW113" s="12"/>
      <c r="CYX113" s="12"/>
      <c r="CZO113" s="12"/>
      <c r="CZP113" s="12"/>
      <c r="DAG113" s="12"/>
      <c r="DAH113" s="12"/>
      <c r="DAY113" s="12"/>
      <c r="DAZ113" s="12"/>
      <c r="DBQ113" s="12"/>
      <c r="DBR113" s="12"/>
      <c r="DCI113" s="12"/>
      <c r="DCJ113" s="12"/>
      <c r="DDA113" s="12"/>
      <c r="DDB113" s="12"/>
      <c r="DDS113" s="12"/>
      <c r="DDT113" s="12"/>
      <c r="DEK113" s="12"/>
      <c r="DEL113" s="12"/>
      <c r="DFC113" s="12"/>
      <c r="DFD113" s="12"/>
      <c r="DFU113" s="12"/>
      <c r="DFV113" s="12"/>
      <c r="DGM113" s="12"/>
      <c r="DGN113" s="12"/>
      <c r="DHE113" s="12"/>
      <c r="DHF113" s="12"/>
      <c r="DHW113" s="12"/>
      <c r="DHX113" s="12"/>
      <c r="DIO113" s="12"/>
      <c r="DIP113" s="12"/>
      <c r="DJG113" s="12"/>
      <c r="DJH113" s="12"/>
      <c r="DJY113" s="12"/>
      <c r="DJZ113" s="12"/>
      <c r="DKQ113" s="12"/>
      <c r="DKR113" s="12"/>
      <c r="DLI113" s="12"/>
      <c r="DLJ113" s="12"/>
      <c r="DMA113" s="12"/>
      <c r="DMB113" s="12"/>
      <c r="DMS113" s="12"/>
      <c r="DMT113" s="12"/>
      <c r="DNK113" s="12"/>
      <c r="DNL113" s="12"/>
      <c r="DOC113" s="12"/>
      <c r="DOD113" s="12"/>
      <c r="DOU113" s="12"/>
      <c r="DOV113" s="12"/>
      <c r="DPM113" s="12"/>
      <c r="DPN113" s="12"/>
      <c r="DQE113" s="12"/>
      <c r="DQF113" s="12"/>
      <c r="DQW113" s="12"/>
      <c r="DQX113" s="12"/>
      <c r="DRO113" s="12"/>
      <c r="DRP113" s="12"/>
      <c r="DSG113" s="12"/>
      <c r="DSH113" s="12"/>
      <c r="DSY113" s="12"/>
      <c r="DSZ113" s="12"/>
      <c r="DTQ113" s="12"/>
      <c r="DTR113" s="12"/>
      <c r="DUI113" s="12"/>
      <c r="DUJ113" s="12"/>
      <c r="DVA113" s="12"/>
      <c r="DVB113" s="12"/>
      <c r="DVS113" s="12"/>
      <c r="DVT113" s="12"/>
      <c r="DWK113" s="12"/>
      <c r="DWL113" s="12"/>
      <c r="DXC113" s="12"/>
      <c r="DXD113" s="12"/>
      <c r="DXU113" s="12"/>
      <c r="DXV113" s="12"/>
      <c r="DYM113" s="12"/>
      <c r="DYN113" s="12"/>
      <c r="DZE113" s="12"/>
      <c r="DZF113" s="12"/>
      <c r="DZW113" s="12"/>
      <c r="DZX113" s="12"/>
      <c r="EAO113" s="12"/>
      <c r="EAP113" s="12"/>
      <c r="EBG113" s="12"/>
      <c r="EBH113" s="12"/>
      <c r="EBY113" s="12"/>
      <c r="EBZ113" s="12"/>
      <c r="ECQ113" s="12"/>
      <c r="ECR113" s="12"/>
      <c r="EDI113" s="12"/>
      <c r="EDJ113" s="12"/>
      <c r="EEA113" s="12"/>
      <c r="EEB113" s="12"/>
      <c r="EES113" s="12"/>
      <c r="EET113" s="12"/>
      <c r="EFK113" s="12"/>
      <c r="EFL113" s="12"/>
      <c r="EGC113" s="12"/>
      <c r="EGD113" s="12"/>
      <c r="EGU113" s="12"/>
      <c r="EGV113" s="12"/>
      <c r="EHM113" s="12"/>
      <c r="EHN113" s="12"/>
      <c r="EIE113" s="12"/>
      <c r="EIF113" s="12"/>
      <c r="EIW113" s="12"/>
      <c r="EIX113" s="12"/>
      <c r="EJO113" s="12"/>
      <c r="EJP113" s="12"/>
      <c r="EKG113" s="12"/>
      <c r="EKH113" s="12"/>
      <c r="EKY113" s="12"/>
      <c r="EKZ113" s="12"/>
      <c r="ELQ113" s="12"/>
      <c r="ELR113" s="12"/>
      <c r="EMI113" s="12"/>
      <c r="EMJ113" s="12"/>
      <c r="ENA113" s="12"/>
      <c r="ENB113" s="12"/>
      <c r="ENS113" s="12"/>
      <c r="ENT113" s="12"/>
      <c r="EOK113" s="12"/>
      <c r="EOL113" s="12"/>
      <c r="EPC113" s="12"/>
      <c r="EPD113" s="12"/>
      <c r="EPU113" s="12"/>
      <c r="EPV113" s="12"/>
      <c r="EQM113" s="12"/>
      <c r="EQN113" s="12"/>
      <c r="ERE113" s="12"/>
      <c r="ERF113" s="12"/>
      <c r="ERW113" s="12"/>
      <c r="ERX113" s="12"/>
      <c r="ESO113" s="12"/>
      <c r="ESP113" s="12"/>
      <c r="ETG113" s="12"/>
      <c r="ETH113" s="12"/>
      <c r="ETY113" s="12"/>
      <c r="ETZ113" s="12"/>
      <c r="EUQ113" s="12"/>
      <c r="EUR113" s="12"/>
      <c r="EVI113" s="12"/>
      <c r="EVJ113" s="12"/>
      <c r="EWA113" s="12"/>
      <c r="EWB113" s="12"/>
      <c r="EWS113" s="12"/>
      <c r="EWT113" s="12"/>
      <c r="EXK113" s="12"/>
      <c r="EXL113" s="12"/>
      <c r="EYC113" s="12"/>
      <c r="EYD113" s="12"/>
      <c r="EYU113" s="12"/>
      <c r="EYV113" s="12"/>
      <c r="EZM113" s="12"/>
      <c r="EZN113" s="12"/>
      <c r="FAE113" s="12"/>
      <c r="FAF113" s="12"/>
      <c r="FAW113" s="12"/>
      <c r="FAX113" s="12"/>
      <c r="FBO113" s="12"/>
      <c r="FBP113" s="12"/>
      <c r="FCG113" s="12"/>
      <c r="FCH113" s="12"/>
      <c r="FCY113" s="12"/>
      <c r="FCZ113" s="12"/>
      <c r="FDQ113" s="12"/>
      <c r="FDR113" s="12"/>
      <c r="FEI113" s="12"/>
      <c r="FEJ113" s="12"/>
      <c r="FFA113" s="12"/>
      <c r="FFB113" s="12"/>
      <c r="FFS113" s="12"/>
      <c r="FFT113" s="12"/>
      <c r="FGK113" s="12"/>
      <c r="FGL113" s="12"/>
      <c r="FHC113" s="12"/>
      <c r="FHD113" s="12"/>
      <c r="FHU113" s="12"/>
      <c r="FHV113" s="12"/>
      <c r="FIM113" s="12"/>
      <c r="FIN113" s="12"/>
      <c r="FJE113" s="12"/>
      <c r="FJF113" s="12"/>
      <c r="FJW113" s="12"/>
      <c r="FJX113" s="12"/>
      <c r="FKO113" s="12"/>
      <c r="FKP113" s="12"/>
      <c r="FLG113" s="12"/>
      <c r="FLH113" s="12"/>
      <c r="FLY113" s="12"/>
      <c r="FLZ113" s="12"/>
      <c r="FMQ113" s="12"/>
      <c r="FMR113" s="12"/>
      <c r="FNI113" s="12"/>
      <c r="FNJ113" s="12"/>
      <c r="FOA113" s="12"/>
      <c r="FOB113" s="12"/>
      <c r="FOS113" s="12"/>
      <c r="FOT113" s="12"/>
      <c r="FPK113" s="12"/>
      <c r="FPL113" s="12"/>
      <c r="FQC113" s="12"/>
      <c r="FQD113" s="12"/>
      <c r="FQU113" s="12"/>
      <c r="FQV113" s="12"/>
      <c r="FRM113" s="12"/>
      <c r="FRN113" s="12"/>
      <c r="FSE113" s="12"/>
      <c r="FSF113" s="12"/>
      <c r="FSW113" s="12"/>
      <c r="FSX113" s="12"/>
      <c r="FTO113" s="12"/>
      <c r="FTP113" s="12"/>
      <c r="FUG113" s="12"/>
      <c r="FUH113" s="12"/>
      <c r="FUY113" s="12"/>
      <c r="FUZ113" s="12"/>
      <c r="FVQ113" s="12"/>
      <c r="FVR113" s="12"/>
      <c r="FWI113" s="12"/>
      <c r="FWJ113" s="12"/>
      <c r="FXA113" s="12"/>
      <c r="FXB113" s="12"/>
      <c r="FXS113" s="12"/>
      <c r="FXT113" s="12"/>
      <c r="FYK113" s="12"/>
      <c r="FYL113" s="12"/>
      <c r="FZC113" s="12"/>
      <c r="FZD113" s="12"/>
      <c r="FZU113" s="12"/>
      <c r="FZV113" s="12"/>
      <c r="GAM113" s="12"/>
      <c r="GAN113" s="12"/>
      <c r="GBE113" s="12"/>
      <c r="GBF113" s="12"/>
      <c r="GBW113" s="12"/>
      <c r="GBX113" s="12"/>
      <c r="GCO113" s="12"/>
      <c r="GCP113" s="12"/>
      <c r="GDG113" s="12"/>
      <c r="GDH113" s="12"/>
      <c r="GDY113" s="12"/>
      <c r="GDZ113" s="12"/>
      <c r="GEQ113" s="12"/>
      <c r="GER113" s="12"/>
      <c r="GFI113" s="12"/>
      <c r="GFJ113" s="12"/>
      <c r="GGA113" s="12"/>
      <c r="GGB113" s="12"/>
      <c r="GGS113" s="12"/>
      <c r="GGT113" s="12"/>
      <c r="GHK113" s="12"/>
      <c r="GHL113" s="12"/>
      <c r="GIC113" s="12"/>
      <c r="GID113" s="12"/>
      <c r="GIU113" s="12"/>
      <c r="GIV113" s="12"/>
      <c r="GJM113" s="12"/>
      <c r="GJN113" s="12"/>
      <c r="GKE113" s="12"/>
      <c r="GKF113" s="12"/>
      <c r="GKW113" s="12"/>
      <c r="GKX113" s="12"/>
      <c r="GLO113" s="12"/>
      <c r="GLP113" s="12"/>
      <c r="GMG113" s="12"/>
      <c r="GMH113" s="12"/>
      <c r="GMY113" s="12"/>
      <c r="GMZ113" s="12"/>
      <c r="GNQ113" s="12"/>
      <c r="GNR113" s="12"/>
      <c r="GOI113" s="12"/>
      <c r="GOJ113" s="12"/>
      <c r="GPA113" s="12"/>
      <c r="GPB113" s="12"/>
      <c r="GPS113" s="12"/>
      <c r="GPT113" s="12"/>
      <c r="GQK113" s="12"/>
      <c r="GQL113" s="12"/>
      <c r="GRC113" s="12"/>
      <c r="GRD113" s="12"/>
      <c r="GRU113" s="12"/>
      <c r="GRV113" s="12"/>
      <c r="GSM113" s="12"/>
      <c r="GSN113" s="12"/>
      <c r="GTE113" s="12"/>
      <c r="GTF113" s="12"/>
      <c r="GTW113" s="12"/>
      <c r="GTX113" s="12"/>
      <c r="GUO113" s="12"/>
      <c r="GUP113" s="12"/>
      <c r="GVG113" s="12"/>
      <c r="GVH113" s="12"/>
      <c r="GVY113" s="12"/>
      <c r="GVZ113" s="12"/>
      <c r="GWQ113" s="12"/>
      <c r="GWR113" s="12"/>
      <c r="GXI113" s="12"/>
      <c r="GXJ113" s="12"/>
      <c r="GYA113" s="12"/>
      <c r="GYB113" s="12"/>
      <c r="GYS113" s="12"/>
      <c r="GYT113" s="12"/>
      <c r="GZK113" s="12"/>
      <c r="GZL113" s="12"/>
      <c r="HAC113" s="12"/>
      <c r="HAD113" s="12"/>
      <c r="HAU113" s="12"/>
      <c r="HAV113" s="12"/>
      <c r="HBM113" s="12"/>
      <c r="HBN113" s="12"/>
      <c r="HCE113" s="12"/>
      <c r="HCF113" s="12"/>
      <c r="HCW113" s="12"/>
      <c r="HCX113" s="12"/>
      <c r="HDO113" s="12"/>
      <c r="HDP113" s="12"/>
      <c r="HEG113" s="12"/>
      <c r="HEH113" s="12"/>
      <c r="HEY113" s="12"/>
      <c r="HEZ113" s="12"/>
      <c r="HFQ113" s="12"/>
      <c r="HFR113" s="12"/>
      <c r="HGI113" s="12"/>
      <c r="HGJ113" s="12"/>
      <c r="HHA113" s="12"/>
      <c r="HHB113" s="12"/>
      <c r="HHS113" s="12"/>
      <c r="HHT113" s="12"/>
      <c r="HIK113" s="12"/>
      <c r="HIL113" s="12"/>
      <c r="HJC113" s="12"/>
      <c r="HJD113" s="12"/>
      <c r="HJU113" s="12"/>
      <c r="HJV113" s="12"/>
      <c r="HKM113" s="12"/>
      <c r="HKN113" s="12"/>
      <c r="HLE113" s="12"/>
      <c r="HLF113" s="12"/>
      <c r="HLW113" s="12"/>
      <c r="HLX113" s="12"/>
      <c r="HMO113" s="12"/>
      <c r="HMP113" s="12"/>
      <c r="HNG113" s="12"/>
      <c r="HNH113" s="12"/>
      <c r="HNY113" s="12"/>
      <c r="HNZ113" s="12"/>
      <c r="HOQ113" s="12"/>
      <c r="HOR113" s="12"/>
      <c r="HPI113" s="12"/>
      <c r="HPJ113" s="12"/>
      <c r="HQA113" s="12"/>
      <c r="HQB113" s="12"/>
      <c r="HQS113" s="12"/>
      <c r="HQT113" s="12"/>
      <c r="HRK113" s="12"/>
      <c r="HRL113" s="12"/>
      <c r="HSC113" s="12"/>
      <c r="HSD113" s="12"/>
      <c r="HSU113" s="12"/>
      <c r="HSV113" s="12"/>
      <c r="HTM113" s="12"/>
      <c r="HTN113" s="12"/>
      <c r="HUE113" s="12"/>
      <c r="HUF113" s="12"/>
      <c r="HUW113" s="12"/>
      <c r="HUX113" s="12"/>
      <c r="HVO113" s="12"/>
      <c r="HVP113" s="12"/>
      <c r="HWG113" s="12"/>
      <c r="HWH113" s="12"/>
      <c r="HWY113" s="12"/>
      <c r="HWZ113" s="12"/>
      <c r="HXQ113" s="12"/>
      <c r="HXR113" s="12"/>
      <c r="HYI113" s="12"/>
      <c r="HYJ113" s="12"/>
      <c r="HZA113" s="12"/>
      <c r="HZB113" s="12"/>
      <c r="HZS113" s="12"/>
      <c r="HZT113" s="12"/>
      <c r="IAK113" s="12"/>
      <c r="IAL113" s="12"/>
      <c r="IBC113" s="12"/>
      <c r="IBD113" s="12"/>
      <c r="IBU113" s="12"/>
      <c r="IBV113" s="12"/>
      <c r="ICM113" s="12"/>
      <c r="ICN113" s="12"/>
      <c r="IDE113" s="12"/>
      <c r="IDF113" s="12"/>
      <c r="IDW113" s="12"/>
      <c r="IDX113" s="12"/>
      <c r="IEO113" s="12"/>
      <c r="IEP113" s="12"/>
      <c r="IFG113" s="12"/>
      <c r="IFH113" s="12"/>
      <c r="IFY113" s="12"/>
      <c r="IFZ113" s="12"/>
      <c r="IGQ113" s="12"/>
      <c r="IGR113" s="12"/>
      <c r="IHI113" s="12"/>
      <c r="IHJ113" s="12"/>
      <c r="IIA113" s="12"/>
      <c r="IIB113" s="12"/>
      <c r="IIS113" s="12"/>
      <c r="IIT113" s="12"/>
      <c r="IJK113" s="12"/>
      <c r="IJL113" s="12"/>
      <c r="IKC113" s="12"/>
      <c r="IKD113" s="12"/>
      <c r="IKU113" s="12"/>
      <c r="IKV113" s="12"/>
      <c r="ILM113" s="12"/>
      <c r="ILN113" s="12"/>
      <c r="IME113" s="12"/>
      <c r="IMF113" s="12"/>
      <c r="IMW113" s="12"/>
      <c r="IMX113" s="12"/>
      <c r="INO113" s="12"/>
      <c r="INP113" s="12"/>
      <c r="IOG113" s="12"/>
      <c r="IOH113" s="12"/>
      <c r="IOY113" s="12"/>
      <c r="IOZ113" s="12"/>
      <c r="IPQ113" s="12"/>
      <c r="IPR113" s="12"/>
      <c r="IQI113" s="12"/>
      <c r="IQJ113" s="12"/>
      <c r="IRA113" s="12"/>
      <c r="IRB113" s="12"/>
      <c r="IRS113" s="12"/>
      <c r="IRT113" s="12"/>
      <c r="ISK113" s="12"/>
      <c r="ISL113" s="12"/>
      <c r="ITC113" s="12"/>
      <c r="ITD113" s="12"/>
      <c r="ITU113" s="12"/>
      <c r="ITV113" s="12"/>
      <c r="IUM113" s="12"/>
      <c r="IUN113" s="12"/>
      <c r="IVE113" s="12"/>
      <c r="IVF113" s="12"/>
      <c r="IVW113" s="12"/>
      <c r="IVX113" s="12"/>
      <c r="IWO113" s="12"/>
      <c r="IWP113" s="12"/>
      <c r="IXG113" s="12"/>
      <c r="IXH113" s="12"/>
      <c r="IXY113" s="12"/>
      <c r="IXZ113" s="12"/>
      <c r="IYQ113" s="12"/>
      <c r="IYR113" s="12"/>
      <c r="IZI113" s="12"/>
      <c r="IZJ113" s="12"/>
      <c r="JAA113" s="12"/>
      <c r="JAB113" s="12"/>
      <c r="JAS113" s="12"/>
      <c r="JAT113" s="12"/>
      <c r="JBK113" s="12"/>
      <c r="JBL113" s="12"/>
      <c r="JCC113" s="12"/>
      <c r="JCD113" s="12"/>
      <c r="JCU113" s="12"/>
      <c r="JCV113" s="12"/>
      <c r="JDM113" s="12"/>
      <c r="JDN113" s="12"/>
      <c r="JEE113" s="12"/>
      <c r="JEF113" s="12"/>
      <c r="JEW113" s="12"/>
      <c r="JEX113" s="12"/>
      <c r="JFO113" s="12"/>
      <c r="JFP113" s="12"/>
      <c r="JGG113" s="12"/>
      <c r="JGH113" s="12"/>
      <c r="JGY113" s="12"/>
      <c r="JGZ113" s="12"/>
      <c r="JHQ113" s="12"/>
      <c r="JHR113" s="12"/>
      <c r="JII113" s="12"/>
      <c r="JIJ113" s="12"/>
      <c r="JJA113" s="12"/>
      <c r="JJB113" s="12"/>
      <c r="JJS113" s="12"/>
      <c r="JJT113" s="12"/>
      <c r="JKK113" s="12"/>
      <c r="JKL113" s="12"/>
      <c r="JLC113" s="12"/>
      <c r="JLD113" s="12"/>
      <c r="JLU113" s="12"/>
      <c r="JLV113" s="12"/>
      <c r="JMM113" s="12"/>
      <c r="JMN113" s="12"/>
      <c r="JNE113" s="12"/>
      <c r="JNF113" s="12"/>
      <c r="JNW113" s="12"/>
      <c r="JNX113" s="12"/>
      <c r="JOO113" s="12"/>
      <c r="JOP113" s="12"/>
      <c r="JPG113" s="12"/>
      <c r="JPH113" s="12"/>
      <c r="JPY113" s="12"/>
      <c r="JPZ113" s="12"/>
      <c r="JQQ113" s="12"/>
      <c r="JQR113" s="12"/>
      <c r="JRI113" s="12"/>
      <c r="JRJ113" s="12"/>
      <c r="JSA113" s="12"/>
      <c r="JSB113" s="12"/>
      <c r="JSS113" s="12"/>
      <c r="JST113" s="12"/>
      <c r="JTK113" s="12"/>
      <c r="JTL113" s="12"/>
      <c r="JUC113" s="12"/>
      <c r="JUD113" s="12"/>
      <c r="JUU113" s="12"/>
      <c r="JUV113" s="12"/>
      <c r="JVM113" s="12"/>
      <c r="JVN113" s="12"/>
      <c r="JWE113" s="12"/>
      <c r="JWF113" s="12"/>
      <c r="JWW113" s="12"/>
      <c r="JWX113" s="12"/>
      <c r="JXO113" s="12"/>
      <c r="JXP113" s="12"/>
      <c r="JYG113" s="12"/>
      <c r="JYH113" s="12"/>
      <c r="JYY113" s="12"/>
      <c r="JYZ113" s="12"/>
      <c r="JZQ113" s="12"/>
      <c r="JZR113" s="12"/>
      <c r="KAI113" s="12"/>
      <c r="KAJ113" s="12"/>
      <c r="KBA113" s="12"/>
      <c r="KBB113" s="12"/>
      <c r="KBS113" s="12"/>
      <c r="KBT113" s="12"/>
      <c r="KCK113" s="12"/>
      <c r="KCL113" s="12"/>
      <c r="KDC113" s="12"/>
      <c r="KDD113" s="12"/>
      <c r="KDU113" s="12"/>
      <c r="KDV113" s="12"/>
      <c r="KEM113" s="12"/>
      <c r="KEN113" s="12"/>
      <c r="KFE113" s="12"/>
      <c r="KFF113" s="12"/>
      <c r="KFW113" s="12"/>
      <c r="KFX113" s="12"/>
      <c r="KGO113" s="12"/>
      <c r="KGP113" s="12"/>
      <c r="KHG113" s="12"/>
      <c r="KHH113" s="12"/>
      <c r="KHY113" s="12"/>
      <c r="KHZ113" s="12"/>
      <c r="KIQ113" s="12"/>
      <c r="KIR113" s="12"/>
      <c r="KJI113" s="12"/>
      <c r="KJJ113" s="12"/>
      <c r="KKA113" s="12"/>
      <c r="KKB113" s="12"/>
      <c r="KKS113" s="12"/>
      <c r="KKT113" s="12"/>
      <c r="KLK113" s="12"/>
      <c r="KLL113" s="12"/>
      <c r="KMC113" s="12"/>
      <c r="KMD113" s="12"/>
      <c r="KMU113" s="12"/>
      <c r="KMV113" s="12"/>
      <c r="KNM113" s="12"/>
      <c r="KNN113" s="12"/>
      <c r="KOE113" s="12"/>
      <c r="KOF113" s="12"/>
      <c r="KOW113" s="12"/>
      <c r="KOX113" s="12"/>
      <c r="KPO113" s="12"/>
      <c r="KPP113" s="12"/>
      <c r="KQG113" s="12"/>
      <c r="KQH113" s="12"/>
      <c r="KQY113" s="12"/>
      <c r="KQZ113" s="12"/>
      <c r="KRQ113" s="12"/>
      <c r="KRR113" s="12"/>
      <c r="KSI113" s="12"/>
      <c r="KSJ113" s="12"/>
      <c r="KTA113" s="12"/>
      <c r="KTB113" s="12"/>
      <c r="KTS113" s="12"/>
      <c r="KTT113" s="12"/>
      <c r="KUK113" s="12"/>
      <c r="KUL113" s="12"/>
      <c r="KVC113" s="12"/>
      <c r="KVD113" s="12"/>
      <c r="KVU113" s="12"/>
      <c r="KVV113" s="12"/>
      <c r="KWM113" s="12"/>
      <c r="KWN113" s="12"/>
      <c r="KXE113" s="12"/>
      <c r="KXF113" s="12"/>
      <c r="KXW113" s="12"/>
      <c r="KXX113" s="12"/>
      <c r="KYO113" s="12"/>
      <c r="KYP113" s="12"/>
      <c r="KZG113" s="12"/>
      <c r="KZH113" s="12"/>
      <c r="KZY113" s="12"/>
      <c r="KZZ113" s="12"/>
      <c r="LAQ113" s="12"/>
      <c r="LAR113" s="12"/>
      <c r="LBI113" s="12"/>
      <c r="LBJ113" s="12"/>
      <c r="LCA113" s="12"/>
      <c r="LCB113" s="12"/>
      <c r="LCS113" s="12"/>
      <c r="LCT113" s="12"/>
      <c r="LDK113" s="12"/>
      <c r="LDL113" s="12"/>
      <c r="LEC113" s="12"/>
      <c r="LED113" s="12"/>
      <c r="LEU113" s="12"/>
      <c r="LEV113" s="12"/>
      <c r="LFM113" s="12"/>
      <c r="LFN113" s="12"/>
      <c r="LGE113" s="12"/>
      <c r="LGF113" s="12"/>
      <c r="LGW113" s="12"/>
      <c r="LGX113" s="12"/>
      <c r="LHO113" s="12"/>
      <c r="LHP113" s="12"/>
      <c r="LIG113" s="12"/>
      <c r="LIH113" s="12"/>
      <c r="LIY113" s="12"/>
      <c r="LIZ113" s="12"/>
      <c r="LJQ113" s="12"/>
      <c r="LJR113" s="12"/>
      <c r="LKI113" s="12"/>
      <c r="LKJ113" s="12"/>
      <c r="LLA113" s="12"/>
      <c r="LLB113" s="12"/>
      <c r="LLS113" s="12"/>
      <c r="LLT113" s="12"/>
      <c r="LMK113" s="12"/>
      <c r="LML113" s="12"/>
      <c r="LNC113" s="12"/>
      <c r="LND113" s="12"/>
      <c r="LNU113" s="12"/>
      <c r="LNV113" s="12"/>
      <c r="LOM113" s="12"/>
      <c r="LON113" s="12"/>
      <c r="LPE113" s="12"/>
      <c r="LPF113" s="12"/>
      <c r="LPW113" s="12"/>
      <c r="LPX113" s="12"/>
      <c r="LQO113" s="12"/>
      <c r="LQP113" s="12"/>
      <c r="LRG113" s="12"/>
      <c r="LRH113" s="12"/>
      <c r="LRY113" s="12"/>
      <c r="LRZ113" s="12"/>
      <c r="LSQ113" s="12"/>
      <c r="LSR113" s="12"/>
      <c r="LTI113" s="12"/>
      <c r="LTJ113" s="12"/>
      <c r="LUA113" s="12"/>
      <c r="LUB113" s="12"/>
      <c r="LUS113" s="12"/>
      <c r="LUT113" s="12"/>
      <c r="LVK113" s="12"/>
      <c r="LVL113" s="12"/>
      <c r="LWC113" s="12"/>
      <c r="LWD113" s="12"/>
      <c r="LWU113" s="12"/>
      <c r="LWV113" s="12"/>
      <c r="LXM113" s="12"/>
      <c r="LXN113" s="12"/>
      <c r="LYE113" s="12"/>
      <c r="LYF113" s="12"/>
      <c r="LYW113" s="12"/>
      <c r="LYX113" s="12"/>
      <c r="LZO113" s="12"/>
      <c r="LZP113" s="12"/>
      <c r="MAG113" s="12"/>
      <c r="MAH113" s="12"/>
      <c r="MAY113" s="12"/>
      <c r="MAZ113" s="12"/>
      <c r="MBQ113" s="12"/>
      <c r="MBR113" s="12"/>
      <c r="MCI113" s="12"/>
      <c r="MCJ113" s="12"/>
      <c r="MDA113" s="12"/>
      <c r="MDB113" s="12"/>
      <c r="MDS113" s="12"/>
      <c r="MDT113" s="12"/>
      <c r="MEK113" s="12"/>
      <c r="MEL113" s="12"/>
      <c r="MFC113" s="12"/>
      <c r="MFD113" s="12"/>
      <c r="MFU113" s="12"/>
      <c r="MFV113" s="12"/>
      <c r="MGM113" s="12"/>
      <c r="MGN113" s="12"/>
      <c r="MHE113" s="12"/>
      <c r="MHF113" s="12"/>
      <c r="MHW113" s="12"/>
      <c r="MHX113" s="12"/>
      <c r="MIO113" s="12"/>
      <c r="MIP113" s="12"/>
      <c r="MJG113" s="12"/>
      <c r="MJH113" s="12"/>
      <c r="MJY113" s="12"/>
      <c r="MJZ113" s="12"/>
      <c r="MKQ113" s="12"/>
      <c r="MKR113" s="12"/>
      <c r="MLI113" s="12"/>
      <c r="MLJ113" s="12"/>
      <c r="MMA113" s="12"/>
      <c r="MMB113" s="12"/>
      <c r="MMS113" s="12"/>
      <c r="MMT113" s="12"/>
      <c r="MNK113" s="12"/>
      <c r="MNL113" s="12"/>
      <c r="MOC113" s="12"/>
      <c r="MOD113" s="12"/>
      <c r="MOU113" s="12"/>
      <c r="MOV113" s="12"/>
      <c r="MPM113" s="12"/>
      <c r="MPN113" s="12"/>
      <c r="MQE113" s="12"/>
      <c r="MQF113" s="12"/>
      <c r="MQW113" s="12"/>
      <c r="MQX113" s="12"/>
      <c r="MRO113" s="12"/>
      <c r="MRP113" s="12"/>
      <c r="MSG113" s="12"/>
      <c r="MSH113" s="12"/>
      <c r="MSY113" s="12"/>
      <c r="MSZ113" s="12"/>
      <c r="MTQ113" s="12"/>
      <c r="MTR113" s="12"/>
      <c r="MUI113" s="12"/>
      <c r="MUJ113" s="12"/>
      <c r="MVA113" s="12"/>
      <c r="MVB113" s="12"/>
      <c r="MVS113" s="12"/>
      <c r="MVT113" s="12"/>
      <c r="MWK113" s="12"/>
      <c r="MWL113" s="12"/>
      <c r="MXC113" s="12"/>
      <c r="MXD113" s="12"/>
      <c r="MXU113" s="12"/>
      <c r="MXV113" s="12"/>
      <c r="MYM113" s="12"/>
      <c r="MYN113" s="12"/>
      <c r="MZE113" s="12"/>
      <c r="MZF113" s="12"/>
      <c r="MZW113" s="12"/>
      <c r="MZX113" s="12"/>
      <c r="NAO113" s="12"/>
      <c r="NAP113" s="12"/>
      <c r="NBG113" s="12"/>
      <c r="NBH113" s="12"/>
      <c r="NBY113" s="12"/>
      <c r="NBZ113" s="12"/>
      <c r="NCQ113" s="12"/>
      <c r="NCR113" s="12"/>
      <c r="NDI113" s="12"/>
      <c r="NDJ113" s="12"/>
      <c r="NEA113" s="12"/>
      <c r="NEB113" s="12"/>
      <c r="NES113" s="12"/>
      <c r="NET113" s="12"/>
      <c r="NFK113" s="12"/>
      <c r="NFL113" s="12"/>
      <c r="NGC113" s="12"/>
      <c r="NGD113" s="12"/>
      <c r="NGU113" s="12"/>
      <c r="NGV113" s="12"/>
      <c r="NHM113" s="12"/>
      <c r="NHN113" s="12"/>
      <c r="NIE113" s="12"/>
      <c r="NIF113" s="12"/>
      <c r="NIW113" s="12"/>
      <c r="NIX113" s="12"/>
      <c r="NJO113" s="12"/>
      <c r="NJP113" s="12"/>
      <c r="NKG113" s="12"/>
      <c r="NKH113" s="12"/>
      <c r="NKY113" s="12"/>
      <c r="NKZ113" s="12"/>
      <c r="NLQ113" s="12"/>
      <c r="NLR113" s="12"/>
      <c r="NMI113" s="12"/>
      <c r="NMJ113" s="12"/>
      <c r="NNA113" s="12"/>
      <c r="NNB113" s="12"/>
      <c r="NNS113" s="12"/>
      <c r="NNT113" s="12"/>
      <c r="NOK113" s="12"/>
      <c r="NOL113" s="12"/>
      <c r="NPC113" s="12"/>
      <c r="NPD113" s="12"/>
      <c r="NPU113" s="12"/>
      <c r="NPV113" s="12"/>
      <c r="NQM113" s="12"/>
      <c r="NQN113" s="12"/>
      <c r="NRE113" s="12"/>
      <c r="NRF113" s="12"/>
      <c r="NRW113" s="12"/>
      <c r="NRX113" s="12"/>
      <c r="NSO113" s="12"/>
      <c r="NSP113" s="12"/>
      <c r="NTG113" s="12"/>
      <c r="NTH113" s="12"/>
      <c r="NTY113" s="12"/>
      <c r="NTZ113" s="12"/>
      <c r="NUQ113" s="12"/>
      <c r="NUR113" s="12"/>
      <c r="NVI113" s="12"/>
      <c r="NVJ113" s="12"/>
      <c r="NWA113" s="12"/>
      <c r="NWB113" s="12"/>
      <c r="NWS113" s="12"/>
      <c r="NWT113" s="12"/>
      <c r="NXK113" s="12"/>
      <c r="NXL113" s="12"/>
      <c r="NYC113" s="12"/>
      <c r="NYD113" s="12"/>
      <c r="NYU113" s="12"/>
      <c r="NYV113" s="12"/>
      <c r="NZM113" s="12"/>
      <c r="NZN113" s="12"/>
      <c r="OAE113" s="12"/>
      <c r="OAF113" s="12"/>
      <c r="OAW113" s="12"/>
      <c r="OAX113" s="12"/>
      <c r="OBO113" s="12"/>
      <c r="OBP113" s="12"/>
      <c r="OCG113" s="12"/>
      <c r="OCH113" s="12"/>
      <c r="OCY113" s="12"/>
      <c r="OCZ113" s="12"/>
      <c r="ODQ113" s="12"/>
      <c r="ODR113" s="12"/>
      <c r="OEI113" s="12"/>
      <c r="OEJ113" s="12"/>
      <c r="OFA113" s="12"/>
      <c r="OFB113" s="12"/>
      <c r="OFS113" s="12"/>
      <c r="OFT113" s="12"/>
      <c r="OGK113" s="12"/>
      <c r="OGL113" s="12"/>
      <c r="OHC113" s="12"/>
      <c r="OHD113" s="12"/>
      <c r="OHU113" s="12"/>
      <c r="OHV113" s="12"/>
      <c r="OIM113" s="12"/>
      <c r="OIN113" s="12"/>
      <c r="OJE113" s="12"/>
      <c r="OJF113" s="12"/>
      <c r="OJW113" s="12"/>
      <c r="OJX113" s="12"/>
      <c r="OKO113" s="12"/>
      <c r="OKP113" s="12"/>
      <c r="OLG113" s="12"/>
      <c r="OLH113" s="12"/>
      <c r="OLY113" s="12"/>
      <c r="OLZ113" s="12"/>
      <c r="OMQ113" s="12"/>
      <c r="OMR113" s="12"/>
      <c r="ONI113" s="12"/>
      <c r="ONJ113" s="12"/>
      <c r="OOA113" s="12"/>
      <c r="OOB113" s="12"/>
      <c r="OOS113" s="12"/>
      <c r="OOT113" s="12"/>
      <c r="OPK113" s="12"/>
      <c r="OPL113" s="12"/>
      <c r="OQC113" s="12"/>
      <c r="OQD113" s="12"/>
      <c r="OQU113" s="12"/>
      <c r="OQV113" s="12"/>
      <c r="ORM113" s="12"/>
      <c r="ORN113" s="12"/>
      <c r="OSE113" s="12"/>
      <c r="OSF113" s="12"/>
      <c r="OSW113" s="12"/>
      <c r="OSX113" s="12"/>
      <c r="OTO113" s="12"/>
      <c r="OTP113" s="12"/>
      <c r="OUG113" s="12"/>
      <c r="OUH113" s="12"/>
      <c r="OUY113" s="12"/>
      <c r="OUZ113" s="12"/>
      <c r="OVQ113" s="12"/>
      <c r="OVR113" s="12"/>
      <c r="OWI113" s="12"/>
      <c r="OWJ113" s="12"/>
      <c r="OXA113" s="12"/>
      <c r="OXB113" s="12"/>
      <c r="OXS113" s="12"/>
      <c r="OXT113" s="12"/>
      <c r="OYK113" s="12"/>
      <c r="OYL113" s="12"/>
      <c r="OZC113" s="12"/>
      <c r="OZD113" s="12"/>
      <c r="OZU113" s="12"/>
      <c r="OZV113" s="12"/>
      <c r="PAM113" s="12"/>
      <c r="PAN113" s="12"/>
      <c r="PBE113" s="12"/>
      <c r="PBF113" s="12"/>
      <c r="PBW113" s="12"/>
      <c r="PBX113" s="12"/>
      <c r="PCO113" s="12"/>
      <c r="PCP113" s="12"/>
      <c r="PDG113" s="12"/>
      <c r="PDH113" s="12"/>
      <c r="PDY113" s="12"/>
      <c r="PDZ113" s="12"/>
      <c r="PEQ113" s="12"/>
      <c r="PER113" s="12"/>
      <c r="PFI113" s="12"/>
      <c r="PFJ113" s="12"/>
      <c r="PGA113" s="12"/>
      <c r="PGB113" s="12"/>
      <c r="PGS113" s="12"/>
      <c r="PGT113" s="12"/>
      <c r="PHK113" s="12"/>
      <c r="PHL113" s="12"/>
      <c r="PIC113" s="12"/>
      <c r="PID113" s="12"/>
      <c r="PIU113" s="12"/>
      <c r="PIV113" s="12"/>
      <c r="PJM113" s="12"/>
      <c r="PJN113" s="12"/>
      <c r="PKE113" s="12"/>
      <c r="PKF113" s="12"/>
      <c r="PKW113" s="12"/>
      <c r="PKX113" s="12"/>
      <c r="PLO113" s="12"/>
      <c r="PLP113" s="12"/>
      <c r="PMG113" s="12"/>
      <c r="PMH113" s="12"/>
      <c r="PMY113" s="12"/>
      <c r="PMZ113" s="12"/>
      <c r="PNQ113" s="12"/>
      <c r="PNR113" s="12"/>
      <c r="POI113" s="12"/>
      <c r="POJ113" s="12"/>
      <c r="PPA113" s="12"/>
      <c r="PPB113" s="12"/>
      <c r="PPS113" s="12"/>
      <c r="PPT113" s="12"/>
      <c r="PQK113" s="12"/>
      <c r="PQL113" s="12"/>
      <c r="PRC113" s="12"/>
      <c r="PRD113" s="12"/>
      <c r="PRU113" s="12"/>
      <c r="PRV113" s="12"/>
      <c r="PSM113" s="12"/>
      <c r="PSN113" s="12"/>
      <c r="PTE113" s="12"/>
      <c r="PTF113" s="12"/>
      <c r="PTW113" s="12"/>
      <c r="PTX113" s="12"/>
      <c r="PUO113" s="12"/>
      <c r="PUP113" s="12"/>
      <c r="PVG113" s="12"/>
      <c r="PVH113" s="12"/>
      <c r="PVY113" s="12"/>
      <c r="PVZ113" s="12"/>
      <c r="PWQ113" s="12"/>
      <c r="PWR113" s="12"/>
      <c r="PXI113" s="12"/>
      <c r="PXJ113" s="12"/>
      <c r="PYA113" s="12"/>
      <c r="PYB113" s="12"/>
      <c r="PYS113" s="12"/>
      <c r="PYT113" s="12"/>
      <c r="PZK113" s="12"/>
      <c r="PZL113" s="12"/>
      <c r="QAC113" s="12"/>
      <c r="QAD113" s="12"/>
      <c r="QAU113" s="12"/>
      <c r="QAV113" s="12"/>
      <c r="QBM113" s="12"/>
      <c r="QBN113" s="12"/>
      <c r="QCE113" s="12"/>
      <c r="QCF113" s="12"/>
      <c r="QCW113" s="12"/>
      <c r="QCX113" s="12"/>
      <c r="QDO113" s="12"/>
      <c r="QDP113" s="12"/>
      <c r="QEG113" s="12"/>
      <c r="QEH113" s="12"/>
      <c r="QEY113" s="12"/>
      <c r="QEZ113" s="12"/>
      <c r="QFQ113" s="12"/>
      <c r="QFR113" s="12"/>
      <c r="QGI113" s="12"/>
      <c r="QGJ113" s="12"/>
      <c r="QHA113" s="12"/>
      <c r="QHB113" s="12"/>
      <c r="QHS113" s="12"/>
      <c r="QHT113" s="12"/>
      <c r="QIK113" s="12"/>
      <c r="QIL113" s="12"/>
      <c r="QJC113" s="12"/>
      <c r="QJD113" s="12"/>
      <c r="QJU113" s="12"/>
      <c r="QJV113" s="12"/>
      <c r="QKM113" s="12"/>
      <c r="QKN113" s="12"/>
      <c r="QLE113" s="12"/>
      <c r="QLF113" s="12"/>
      <c r="QLW113" s="12"/>
      <c r="QLX113" s="12"/>
      <c r="QMO113" s="12"/>
      <c r="QMP113" s="12"/>
      <c r="QNG113" s="12"/>
      <c r="QNH113" s="12"/>
      <c r="QNY113" s="12"/>
      <c r="QNZ113" s="12"/>
      <c r="QOQ113" s="12"/>
      <c r="QOR113" s="12"/>
      <c r="QPI113" s="12"/>
      <c r="QPJ113" s="12"/>
      <c r="QQA113" s="12"/>
      <c r="QQB113" s="12"/>
      <c r="QQS113" s="12"/>
      <c r="QQT113" s="12"/>
      <c r="QRK113" s="12"/>
      <c r="QRL113" s="12"/>
      <c r="QSC113" s="12"/>
      <c r="QSD113" s="12"/>
      <c r="QSU113" s="12"/>
      <c r="QSV113" s="12"/>
      <c r="QTM113" s="12"/>
      <c r="QTN113" s="12"/>
      <c r="QUE113" s="12"/>
      <c r="QUF113" s="12"/>
      <c r="QUW113" s="12"/>
      <c r="QUX113" s="12"/>
      <c r="QVO113" s="12"/>
      <c r="QVP113" s="12"/>
      <c r="QWG113" s="12"/>
      <c r="QWH113" s="12"/>
      <c r="QWY113" s="12"/>
      <c r="QWZ113" s="12"/>
      <c r="QXQ113" s="12"/>
      <c r="QXR113" s="12"/>
      <c r="QYI113" s="12"/>
      <c r="QYJ113" s="12"/>
      <c r="QZA113" s="12"/>
      <c r="QZB113" s="12"/>
      <c r="QZS113" s="12"/>
      <c r="QZT113" s="12"/>
      <c r="RAK113" s="12"/>
      <c r="RAL113" s="12"/>
      <c r="RBC113" s="12"/>
      <c r="RBD113" s="12"/>
      <c r="RBU113" s="12"/>
      <c r="RBV113" s="12"/>
      <c r="RCM113" s="12"/>
      <c r="RCN113" s="12"/>
      <c r="RDE113" s="12"/>
      <c r="RDF113" s="12"/>
      <c r="RDW113" s="12"/>
      <c r="RDX113" s="12"/>
      <c r="REO113" s="12"/>
      <c r="REP113" s="12"/>
      <c r="RFG113" s="12"/>
      <c r="RFH113" s="12"/>
      <c r="RFY113" s="12"/>
      <c r="RFZ113" s="12"/>
      <c r="RGQ113" s="12"/>
      <c r="RGR113" s="12"/>
      <c r="RHI113" s="12"/>
      <c r="RHJ113" s="12"/>
      <c r="RIA113" s="12"/>
      <c r="RIB113" s="12"/>
      <c r="RIS113" s="12"/>
      <c r="RIT113" s="12"/>
      <c r="RJK113" s="12"/>
      <c r="RJL113" s="12"/>
      <c r="RKC113" s="12"/>
      <c r="RKD113" s="12"/>
      <c r="RKU113" s="12"/>
      <c r="RKV113" s="12"/>
      <c r="RLM113" s="12"/>
      <c r="RLN113" s="12"/>
      <c r="RME113" s="12"/>
      <c r="RMF113" s="12"/>
      <c r="RMW113" s="12"/>
      <c r="RMX113" s="12"/>
      <c r="RNO113" s="12"/>
      <c r="RNP113" s="12"/>
      <c r="ROG113" s="12"/>
      <c r="ROH113" s="12"/>
      <c r="ROY113" s="12"/>
      <c r="ROZ113" s="12"/>
      <c r="RPQ113" s="12"/>
      <c r="RPR113" s="12"/>
      <c r="RQI113" s="12"/>
      <c r="RQJ113" s="12"/>
      <c r="RRA113" s="12"/>
      <c r="RRB113" s="12"/>
      <c r="RRS113" s="12"/>
      <c r="RRT113" s="12"/>
      <c r="RSK113" s="12"/>
      <c r="RSL113" s="12"/>
      <c r="RTC113" s="12"/>
      <c r="RTD113" s="12"/>
      <c r="RTU113" s="12"/>
      <c r="RTV113" s="12"/>
      <c r="RUM113" s="12"/>
      <c r="RUN113" s="12"/>
      <c r="RVE113" s="12"/>
      <c r="RVF113" s="12"/>
      <c r="RVW113" s="12"/>
      <c r="RVX113" s="12"/>
      <c r="RWO113" s="12"/>
      <c r="RWP113" s="12"/>
      <c r="RXG113" s="12"/>
      <c r="RXH113" s="12"/>
      <c r="RXY113" s="12"/>
      <c r="RXZ113" s="12"/>
      <c r="RYQ113" s="12"/>
      <c r="RYR113" s="12"/>
      <c r="RZI113" s="12"/>
      <c r="RZJ113" s="12"/>
      <c r="SAA113" s="12"/>
      <c r="SAB113" s="12"/>
      <c r="SAS113" s="12"/>
      <c r="SAT113" s="12"/>
      <c r="SBK113" s="12"/>
      <c r="SBL113" s="12"/>
      <c r="SCC113" s="12"/>
      <c r="SCD113" s="12"/>
      <c r="SCU113" s="12"/>
      <c r="SCV113" s="12"/>
      <c r="SDM113" s="12"/>
      <c r="SDN113" s="12"/>
      <c r="SEE113" s="12"/>
      <c r="SEF113" s="12"/>
      <c r="SEW113" s="12"/>
      <c r="SEX113" s="12"/>
      <c r="SFO113" s="12"/>
      <c r="SFP113" s="12"/>
      <c r="SGG113" s="12"/>
      <c r="SGH113" s="12"/>
      <c r="SGY113" s="12"/>
      <c r="SGZ113" s="12"/>
      <c r="SHQ113" s="12"/>
      <c r="SHR113" s="12"/>
      <c r="SII113" s="12"/>
      <c r="SIJ113" s="12"/>
      <c r="SJA113" s="12"/>
      <c r="SJB113" s="12"/>
      <c r="SJS113" s="12"/>
      <c r="SJT113" s="12"/>
      <c r="SKK113" s="12"/>
      <c r="SKL113" s="12"/>
      <c r="SLC113" s="12"/>
      <c r="SLD113" s="12"/>
      <c r="SLU113" s="12"/>
      <c r="SLV113" s="12"/>
      <c r="SMM113" s="12"/>
      <c r="SMN113" s="12"/>
      <c r="SNE113" s="12"/>
      <c r="SNF113" s="12"/>
      <c r="SNW113" s="12"/>
      <c r="SNX113" s="12"/>
      <c r="SOO113" s="12"/>
      <c r="SOP113" s="12"/>
      <c r="SPG113" s="12"/>
      <c r="SPH113" s="12"/>
      <c r="SPY113" s="12"/>
      <c r="SPZ113" s="12"/>
      <c r="SQQ113" s="12"/>
      <c r="SQR113" s="12"/>
      <c r="SRI113" s="12"/>
      <c r="SRJ113" s="12"/>
      <c r="SSA113" s="12"/>
      <c r="SSB113" s="12"/>
      <c r="SSS113" s="12"/>
      <c r="SST113" s="12"/>
      <c r="STK113" s="12"/>
      <c r="STL113" s="12"/>
      <c r="SUC113" s="12"/>
      <c r="SUD113" s="12"/>
      <c r="SUU113" s="12"/>
      <c r="SUV113" s="12"/>
      <c r="SVM113" s="12"/>
      <c r="SVN113" s="12"/>
      <c r="SWE113" s="12"/>
      <c r="SWF113" s="12"/>
      <c r="SWW113" s="12"/>
      <c r="SWX113" s="12"/>
      <c r="SXO113" s="12"/>
      <c r="SXP113" s="12"/>
      <c r="SYG113" s="12"/>
      <c r="SYH113" s="12"/>
      <c r="SYY113" s="12"/>
      <c r="SYZ113" s="12"/>
      <c r="SZQ113" s="12"/>
      <c r="SZR113" s="12"/>
      <c r="TAI113" s="12"/>
      <c r="TAJ113" s="12"/>
      <c r="TBA113" s="12"/>
      <c r="TBB113" s="12"/>
      <c r="TBS113" s="12"/>
      <c r="TBT113" s="12"/>
      <c r="TCK113" s="12"/>
      <c r="TCL113" s="12"/>
      <c r="TDC113" s="12"/>
      <c r="TDD113" s="12"/>
      <c r="TDU113" s="12"/>
      <c r="TDV113" s="12"/>
      <c r="TEM113" s="12"/>
      <c r="TEN113" s="12"/>
      <c r="TFE113" s="12"/>
      <c r="TFF113" s="12"/>
      <c r="TFW113" s="12"/>
      <c r="TFX113" s="12"/>
      <c r="TGO113" s="12"/>
      <c r="TGP113" s="12"/>
      <c r="THG113" s="12"/>
      <c r="THH113" s="12"/>
      <c r="THY113" s="12"/>
      <c r="THZ113" s="12"/>
      <c r="TIQ113" s="12"/>
      <c r="TIR113" s="12"/>
      <c r="TJI113" s="12"/>
      <c r="TJJ113" s="12"/>
      <c r="TKA113" s="12"/>
      <c r="TKB113" s="12"/>
      <c r="TKS113" s="12"/>
      <c r="TKT113" s="12"/>
      <c r="TLK113" s="12"/>
      <c r="TLL113" s="12"/>
      <c r="TMC113" s="12"/>
      <c r="TMD113" s="12"/>
      <c r="TMU113" s="12"/>
      <c r="TMV113" s="12"/>
      <c r="TNM113" s="12"/>
      <c r="TNN113" s="12"/>
      <c r="TOE113" s="12"/>
      <c r="TOF113" s="12"/>
      <c r="TOW113" s="12"/>
      <c r="TOX113" s="12"/>
      <c r="TPO113" s="12"/>
      <c r="TPP113" s="12"/>
      <c r="TQG113" s="12"/>
      <c r="TQH113" s="12"/>
      <c r="TQY113" s="12"/>
      <c r="TQZ113" s="12"/>
      <c r="TRQ113" s="12"/>
      <c r="TRR113" s="12"/>
      <c r="TSI113" s="12"/>
      <c r="TSJ113" s="12"/>
      <c r="TTA113" s="12"/>
      <c r="TTB113" s="12"/>
      <c r="TTS113" s="12"/>
      <c r="TTT113" s="12"/>
      <c r="TUK113" s="12"/>
      <c r="TUL113" s="12"/>
      <c r="TVC113" s="12"/>
      <c r="TVD113" s="12"/>
      <c r="TVU113" s="12"/>
      <c r="TVV113" s="12"/>
      <c r="TWM113" s="12"/>
      <c r="TWN113" s="12"/>
      <c r="TXE113" s="12"/>
      <c r="TXF113" s="12"/>
      <c r="TXW113" s="12"/>
      <c r="TXX113" s="12"/>
      <c r="TYO113" s="12"/>
      <c r="TYP113" s="12"/>
      <c r="TZG113" s="12"/>
      <c r="TZH113" s="12"/>
      <c r="TZY113" s="12"/>
      <c r="TZZ113" s="12"/>
      <c r="UAQ113" s="12"/>
      <c r="UAR113" s="12"/>
      <c r="UBI113" s="12"/>
      <c r="UBJ113" s="12"/>
      <c r="UCA113" s="12"/>
      <c r="UCB113" s="12"/>
      <c r="UCS113" s="12"/>
      <c r="UCT113" s="12"/>
      <c r="UDK113" s="12"/>
      <c r="UDL113" s="12"/>
      <c r="UEC113" s="12"/>
      <c r="UED113" s="12"/>
      <c r="UEU113" s="12"/>
      <c r="UEV113" s="12"/>
      <c r="UFM113" s="12"/>
      <c r="UFN113" s="12"/>
      <c r="UGE113" s="12"/>
      <c r="UGF113" s="12"/>
      <c r="UGW113" s="12"/>
      <c r="UGX113" s="12"/>
      <c r="UHO113" s="12"/>
      <c r="UHP113" s="12"/>
      <c r="UIG113" s="12"/>
      <c r="UIH113" s="12"/>
      <c r="UIY113" s="12"/>
      <c r="UIZ113" s="12"/>
      <c r="UJQ113" s="12"/>
      <c r="UJR113" s="12"/>
      <c r="UKI113" s="12"/>
      <c r="UKJ113" s="12"/>
      <c r="ULA113" s="12"/>
      <c r="ULB113" s="12"/>
      <c r="ULS113" s="12"/>
      <c r="ULT113" s="12"/>
      <c r="UMK113" s="12"/>
      <c r="UML113" s="12"/>
      <c r="UNC113" s="12"/>
      <c r="UND113" s="12"/>
      <c r="UNU113" s="12"/>
      <c r="UNV113" s="12"/>
      <c r="UOM113" s="12"/>
      <c r="UON113" s="12"/>
      <c r="UPE113" s="12"/>
      <c r="UPF113" s="12"/>
      <c r="UPW113" s="12"/>
      <c r="UPX113" s="12"/>
      <c r="UQO113" s="12"/>
      <c r="UQP113" s="12"/>
      <c r="URG113" s="12"/>
      <c r="URH113" s="12"/>
      <c r="URY113" s="12"/>
      <c r="URZ113" s="12"/>
      <c r="USQ113" s="12"/>
      <c r="USR113" s="12"/>
      <c r="UTI113" s="12"/>
      <c r="UTJ113" s="12"/>
      <c r="UUA113" s="12"/>
      <c r="UUB113" s="12"/>
      <c r="UUS113" s="12"/>
      <c r="UUT113" s="12"/>
      <c r="UVK113" s="12"/>
      <c r="UVL113" s="12"/>
      <c r="UWC113" s="12"/>
      <c r="UWD113" s="12"/>
      <c r="UWU113" s="12"/>
      <c r="UWV113" s="12"/>
      <c r="UXM113" s="12"/>
      <c r="UXN113" s="12"/>
      <c r="UYE113" s="12"/>
      <c r="UYF113" s="12"/>
      <c r="UYW113" s="12"/>
      <c r="UYX113" s="12"/>
      <c r="UZO113" s="12"/>
      <c r="UZP113" s="12"/>
      <c r="VAG113" s="12"/>
      <c r="VAH113" s="12"/>
      <c r="VAY113" s="12"/>
      <c r="VAZ113" s="12"/>
      <c r="VBQ113" s="12"/>
      <c r="VBR113" s="12"/>
      <c r="VCI113" s="12"/>
      <c r="VCJ113" s="12"/>
      <c r="VDA113" s="12"/>
      <c r="VDB113" s="12"/>
      <c r="VDS113" s="12"/>
      <c r="VDT113" s="12"/>
      <c r="VEK113" s="12"/>
      <c r="VEL113" s="12"/>
      <c r="VFC113" s="12"/>
      <c r="VFD113" s="12"/>
      <c r="VFU113" s="12"/>
      <c r="VFV113" s="12"/>
      <c r="VGM113" s="12"/>
      <c r="VGN113" s="12"/>
      <c r="VHE113" s="12"/>
      <c r="VHF113" s="12"/>
      <c r="VHW113" s="12"/>
      <c r="VHX113" s="12"/>
      <c r="VIO113" s="12"/>
      <c r="VIP113" s="12"/>
      <c r="VJG113" s="12"/>
      <c r="VJH113" s="12"/>
      <c r="VJY113" s="12"/>
      <c r="VJZ113" s="12"/>
      <c r="VKQ113" s="12"/>
      <c r="VKR113" s="12"/>
      <c r="VLI113" s="12"/>
      <c r="VLJ113" s="12"/>
      <c r="VMA113" s="12"/>
      <c r="VMB113" s="12"/>
      <c r="VMS113" s="12"/>
      <c r="VMT113" s="12"/>
      <c r="VNK113" s="12"/>
      <c r="VNL113" s="12"/>
      <c r="VOC113" s="12"/>
      <c r="VOD113" s="12"/>
      <c r="VOU113" s="12"/>
      <c r="VOV113" s="12"/>
      <c r="VPM113" s="12"/>
      <c r="VPN113" s="12"/>
      <c r="VQE113" s="12"/>
      <c r="VQF113" s="12"/>
      <c r="VQW113" s="12"/>
      <c r="VQX113" s="12"/>
      <c r="VRO113" s="12"/>
      <c r="VRP113" s="12"/>
      <c r="VSG113" s="12"/>
      <c r="VSH113" s="12"/>
      <c r="VSY113" s="12"/>
      <c r="VSZ113" s="12"/>
      <c r="VTQ113" s="12"/>
      <c r="VTR113" s="12"/>
      <c r="VUI113" s="12"/>
      <c r="VUJ113" s="12"/>
      <c r="VVA113" s="12"/>
      <c r="VVB113" s="12"/>
      <c r="VVS113" s="12"/>
      <c r="VVT113" s="12"/>
      <c r="VWK113" s="12"/>
      <c r="VWL113" s="12"/>
      <c r="VXC113" s="12"/>
      <c r="VXD113" s="12"/>
      <c r="VXU113" s="12"/>
      <c r="VXV113" s="12"/>
      <c r="VYM113" s="12"/>
      <c r="VYN113" s="12"/>
      <c r="VZE113" s="12"/>
      <c r="VZF113" s="12"/>
      <c r="VZW113" s="12"/>
      <c r="VZX113" s="12"/>
      <c r="WAO113" s="12"/>
      <c r="WAP113" s="12"/>
      <c r="WBG113" s="12"/>
      <c r="WBH113" s="12"/>
      <c r="WBY113" s="12"/>
      <c r="WBZ113" s="12"/>
      <c r="WCQ113" s="12"/>
      <c r="WCR113" s="12"/>
      <c r="WDI113" s="12"/>
      <c r="WDJ113" s="12"/>
      <c r="WEA113" s="12"/>
      <c r="WEB113" s="12"/>
      <c r="WES113" s="12"/>
      <c r="WET113" s="12"/>
      <c r="WFK113" s="12"/>
      <c r="WFL113" s="12"/>
      <c r="WGC113" s="12"/>
      <c r="WGD113" s="12"/>
      <c r="WGU113" s="12"/>
      <c r="WGV113" s="12"/>
      <c r="WHM113" s="12"/>
      <c r="WHN113" s="12"/>
      <c r="WIE113" s="12"/>
      <c r="WIF113" s="12"/>
      <c r="WIW113" s="12"/>
      <c r="WIX113" s="12"/>
      <c r="WJO113" s="12"/>
      <c r="WJP113" s="12"/>
      <c r="WKG113" s="12"/>
      <c r="WKH113" s="12"/>
      <c r="WKY113" s="12"/>
      <c r="WKZ113" s="12"/>
      <c r="WLQ113" s="12"/>
      <c r="WLR113" s="12"/>
      <c r="WMI113" s="12"/>
      <c r="WMJ113" s="12"/>
      <c r="WNA113" s="12"/>
      <c r="WNB113" s="12"/>
      <c r="WNS113" s="12"/>
      <c r="WNT113" s="12"/>
      <c r="WOK113" s="12"/>
      <c r="WOL113" s="12"/>
      <c r="WPC113" s="12"/>
      <c r="WPD113" s="12"/>
      <c r="WPU113" s="12"/>
      <c r="WPV113" s="12"/>
      <c r="WQM113" s="12"/>
      <c r="WQN113" s="12"/>
      <c r="WRE113" s="12"/>
      <c r="WRF113" s="12"/>
      <c r="WRW113" s="12"/>
      <c r="WRX113" s="12"/>
      <c r="WSO113" s="12"/>
      <c r="WSP113" s="12"/>
      <c r="WTG113" s="12"/>
      <c r="WTH113" s="12"/>
      <c r="WTY113" s="12"/>
      <c r="WTZ113" s="12"/>
      <c r="WUQ113" s="12"/>
      <c r="WUR113" s="12"/>
      <c r="WVI113" s="12"/>
      <c r="WVJ113" s="12"/>
      <c r="WWA113" s="12"/>
      <c r="WWB113" s="12"/>
      <c r="WWS113" s="12"/>
      <c r="WWT113" s="12"/>
      <c r="WXK113" s="12"/>
      <c r="WXL113" s="12"/>
      <c r="WYC113" s="12"/>
      <c r="WYD113" s="12"/>
      <c r="WYU113" s="12"/>
      <c r="WYV113" s="12"/>
      <c r="WZM113" s="12"/>
      <c r="WZN113" s="12"/>
      <c r="XAE113" s="12"/>
      <c r="XAF113" s="12"/>
      <c r="XAW113" s="12"/>
      <c r="XAX113" s="12"/>
      <c r="XBO113" s="12"/>
      <c r="XBP113" s="12"/>
      <c r="XCG113" s="12"/>
      <c r="XCH113" s="12"/>
      <c r="XCY113" s="12"/>
      <c r="XCZ113" s="12"/>
      <c r="XDQ113" s="12"/>
      <c r="XDR113" s="12"/>
      <c r="XEI113" s="12"/>
      <c r="XEJ113" s="12"/>
      <c r="XFA113" s="12"/>
      <c r="XFB113" s="12"/>
    </row>
    <row r="114" spans="1:1010 1027:2036 2053:3062 3079:4088 4105:5114 5131:6140 6157:7166 7183:8192 8209:9200 9217:10226 10243:11252 11269:12278 12295:13304 13321:14330 14347:15356 15373:16382" s="11" customFormat="1" x14ac:dyDescent="0.35">
      <c r="A114" s="183" t="s">
        <v>189</v>
      </c>
      <c r="B114" s="183" t="s">
        <v>190</v>
      </c>
      <c r="C114" s="184">
        <v>466.92599999999999</v>
      </c>
      <c r="D114" s="184">
        <v>477.61500000000001</v>
      </c>
      <c r="E114" s="184">
        <v>484.88600000000002</v>
      </c>
      <c r="F114" s="184">
        <v>474.74</v>
      </c>
      <c r="G114" s="184">
        <v>499.72399999999999</v>
      </c>
      <c r="H114" s="184">
        <v>528.13</v>
      </c>
      <c r="I114" s="184">
        <v>579</v>
      </c>
      <c r="J114" s="184">
        <v>636.29700000000003</v>
      </c>
      <c r="K114" s="184">
        <v>687.09299999999996</v>
      </c>
      <c r="L114" s="184">
        <v>745.39700000000005</v>
      </c>
      <c r="M114" s="312">
        <f>IF(OR(K114=0,K114=""),"",L114/K114-1)</f>
        <v>8.4856052965173623E-2</v>
      </c>
      <c r="S114" s="12"/>
      <c r="T114" s="12"/>
      <c r="AK114" s="12"/>
      <c r="AL114" s="12"/>
      <c r="BC114" s="12"/>
      <c r="BD114" s="12"/>
      <c r="BU114" s="12"/>
      <c r="BV114" s="12"/>
      <c r="CM114" s="12"/>
      <c r="CN114" s="12"/>
      <c r="DE114" s="12"/>
      <c r="DF114" s="12"/>
      <c r="DW114" s="12"/>
      <c r="DX114" s="12"/>
      <c r="EO114" s="12"/>
      <c r="EP114" s="12"/>
      <c r="FG114" s="12"/>
      <c r="FH114" s="12"/>
      <c r="FY114" s="12"/>
      <c r="FZ114" s="12"/>
      <c r="GQ114" s="12"/>
      <c r="GR114" s="12"/>
      <c r="HI114" s="12"/>
      <c r="HJ114" s="12"/>
      <c r="IA114" s="12"/>
      <c r="IB114" s="12"/>
      <c r="IS114" s="12"/>
      <c r="IT114" s="12"/>
      <c r="JK114" s="12"/>
      <c r="JL114" s="12"/>
      <c r="KC114" s="12"/>
      <c r="KD114" s="12"/>
      <c r="KU114" s="12"/>
      <c r="KV114" s="12"/>
      <c r="LM114" s="12"/>
      <c r="LN114" s="12"/>
      <c r="ME114" s="12"/>
      <c r="MF114" s="12"/>
      <c r="MW114" s="12"/>
      <c r="MX114" s="12"/>
      <c r="NO114" s="12"/>
      <c r="NP114" s="12"/>
      <c r="OG114" s="12"/>
      <c r="OH114" s="12"/>
      <c r="OY114" s="12"/>
      <c r="OZ114" s="12"/>
      <c r="PQ114" s="12"/>
      <c r="PR114" s="12"/>
      <c r="QI114" s="12"/>
      <c r="QJ114" s="12"/>
      <c r="RA114" s="12"/>
      <c r="RB114" s="12"/>
      <c r="RS114" s="12"/>
      <c r="RT114" s="12"/>
      <c r="SK114" s="12"/>
      <c r="SL114" s="12"/>
      <c r="TC114" s="12"/>
      <c r="TD114" s="12"/>
      <c r="TU114" s="12"/>
      <c r="TV114" s="12"/>
      <c r="UM114" s="12"/>
      <c r="UN114" s="12"/>
      <c r="VE114" s="12"/>
      <c r="VF114" s="12"/>
      <c r="VW114" s="12"/>
      <c r="VX114" s="12"/>
      <c r="WO114" s="12"/>
      <c r="WP114" s="12"/>
      <c r="XG114" s="12"/>
      <c r="XH114" s="12"/>
      <c r="XY114" s="12"/>
      <c r="XZ114" s="12"/>
      <c r="YQ114" s="12"/>
      <c r="YR114" s="12"/>
      <c r="ZI114" s="12"/>
      <c r="ZJ114" s="12"/>
      <c r="AAA114" s="12"/>
      <c r="AAB114" s="12"/>
      <c r="AAS114" s="12"/>
      <c r="AAT114" s="12"/>
      <c r="ABK114" s="12"/>
      <c r="ABL114" s="12"/>
      <c r="ACC114" s="12"/>
      <c r="ACD114" s="12"/>
      <c r="ACU114" s="12"/>
      <c r="ACV114" s="12"/>
      <c r="ADM114" s="12"/>
      <c r="ADN114" s="12"/>
      <c r="AEE114" s="12"/>
      <c r="AEF114" s="12"/>
      <c r="AEW114" s="12"/>
      <c r="AEX114" s="12"/>
      <c r="AFO114" s="12"/>
      <c r="AFP114" s="12"/>
      <c r="AGG114" s="12"/>
      <c r="AGH114" s="12"/>
      <c r="AGY114" s="12"/>
      <c r="AGZ114" s="12"/>
      <c r="AHQ114" s="12"/>
      <c r="AHR114" s="12"/>
      <c r="AII114" s="12"/>
      <c r="AIJ114" s="12"/>
      <c r="AJA114" s="12"/>
      <c r="AJB114" s="12"/>
      <c r="AJS114" s="12"/>
      <c r="AJT114" s="12"/>
      <c r="AKK114" s="12"/>
      <c r="AKL114" s="12"/>
      <c r="ALC114" s="12"/>
      <c r="ALD114" s="12"/>
      <c r="ALU114" s="12"/>
      <c r="ALV114" s="12"/>
      <c r="AMM114" s="12"/>
      <c r="AMN114" s="12"/>
      <c r="ANE114" s="12"/>
      <c r="ANF114" s="12"/>
      <c r="ANW114" s="12"/>
      <c r="ANX114" s="12"/>
      <c r="AOO114" s="12"/>
      <c r="AOP114" s="12"/>
      <c r="APG114" s="12"/>
      <c r="APH114" s="12"/>
      <c r="APY114" s="12"/>
      <c r="APZ114" s="12"/>
      <c r="AQQ114" s="12"/>
      <c r="AQR114" s="12"/>
      <c r="ARI114" s="12"/>
      <c r="ARJ114" s="12"/>
      <c r="ASA114" s="12"/>
      <c r="ASB114" s="12"/>
      <c r="ASS114" s="12"/>
      <c r="AST114" s="12"/>
      <c r="ATK114" s="12"/>
      <c r="ATL114" s="12"/>
      <c r="AUC114" s="12"/>
      <c r="AUD114" s="12"/>
      <c r="AUU114" s="12"/>
      <c r="AUV114" s="12"/>
      <c r="AVM114" s="12"/>
      <c r="AVN114" s="12"/>
      <c r="AWE114" s="12"/>
      <c r="AWF114" s="12"/>
      <c r="AWW114" s="12"/>
      <c r="AWX114" s="12"/>
      <c r="AXO114" s="12"/>
      <c r="AXP114" s="12"/>
      <c r="AYG114" s="12"/>
      <c r="AYH114" s="12"/>
      <c r="AYY114" s="12"/>
      <c r="AYZ114" s="12"/>
      <c r="AZQ114" s="12"/>
      <c r="AZR114" s="12"/>
      <c r="BAI114" s="12"/>
      <c r="BAJ114" s="12"/>
      <c r="BBA114" s="12"/>
      <c r="BBB114" s="12"/>
      <c r="BBS114" s="12"/>
      <c r="BBT114" s="12"/>
      <c r="BCK114" s="12"/>
      <c r="BCL114" s="12"/>
      <c r="BDC114" s="12"/>
      <c r="BDD114" s="12"/>
      <c r="BDU114" s="12"/>
      <c r="BDV114" s="12"/>
      <c r="BEM114" s="12"/>
      <c r="BEN114" s="12"/>
      <c r="BFE114" s="12"/>
      <c r="BFF114" s="12"/>
      <c r="BFW114" s="12"/>
      <c r="BFX114" s="12"/>
      <c r="BGO114" s="12"/>
      <c r="BGP114" s="12"/>
      <c r="BHG114" s="12"/>
      <c r="BHH114" s="12"/>
      <c r="BHY114" s="12"/>
      <c r="BHZ114" s="12"/>
      <c r="BIQ114" s="12"/>
      <c r="BIR114" s="12"/>
      <c r="BJI114" s="12"/>
      <c r="BJJ114" s="12"/>
      <c r="BKA114" s="12"/>
      <c r="BKB114" s="12"/>
      <c r="BKS114" s="12"/>
      <c r="BKT114" s="12"/>
      <c r="BLK114" s="12"/>
      <c r="BLL114" s="12"/>
      <c r="BMC114" s="12"/>
      <c r="BMD114" s="12"/>
      <c r="BMU114" s="12"/>
      <c r="BMV114" s="12"/>
      <c r="BNM114" s="12"/>
      <c r="BNN114" s="12"/>
      <c r="BOE114" s="12"/>
      <c r="BOF114" s="12"/>
      <c r="BOW114" s="12"/>
      <c r="BOX114" s="12"/>
      <c r="BPO114" s="12"/>
      <c r="BPP114" s="12"/>
      <c r="BQG114" s="12"/>
      <c r="BQH114" s="12"/>
      <c r="BQY114" s="12"/>
      <c r="BQZ114" s="12"/>
      <c r="BRQ114" s="12"/>
      <c r="BRR114" s="12"/>
      <c r="BSI114" s="12"/>
      <c r="BSJ114" s="12"/>
      <c r="BTA114" s="12"/>
      <c r="BTB114" s="12"/>
      <c r="BTS114" s="12"/>
      <c r="BTT114" s="12"/>
      <c r="BUK114" s="12"/>
      <c r="BUL114" s="12"/>
      <c r="BVC114" s="12"/>
      <c r="BVD114" s="12"/>
      <c r="BVU114" s="12"/>
      <c r="BVV114" s="12"/>
      <c r="BWM114" s="12"/>
      <c r="BWN114" s="12"/>
      <c r="BXE114" s="12"/>
      <c r="BXF114" s="12"/>
      <c r="BXW114" s="12"/>
      <c r="BXX114" s="12"/>
      <c r="BYO114" s="12"/>
      <c r="BYP114" s="12"/>
      <c r="BZG114" s="12"/>
      <c r="BZH114" s="12"/>
      <c r="BZY114" s="12"/>
      <c r="BZZ114" s="12"/>
      <c r="CAQ114" s="12"/>
      <c r="CAR114" s="12"/>
      <c r="CBI114" s="12"/>
      <c r="CBJ114" s="12"/>
      <c r="CCA114" s="12"/>
      <c r="CCB114" s="12"/>
      <c r="CCS114" s="12"/>
      <c r="CCT114" s="12"/>
      <c r="CDK114" s="12"/>
      <c r="CDL114" s="12"/>
      <c r="CEC114" s="12"/>
      <c r="CED114" s="12"/>
      <c r="CEU114" s="12"/>
      <c r="CEV114" s="12"/>
      <c r="CFM114" s="12"/>
      <c r="CFN114" s="12"/>
      <c r="CGE114" s="12"/>
      <c r="CGF114" s="12"/>
      <c r="CGW114" s="12"/>
      <c r="CGX114" s="12"/>
      <c r="CHO114" s="12"/>
      <c r="CHP114" s="12"/>
      <c r="CIG114" s="12"/>
      <c r="CIH114" s="12"/>
      <c r="CIY114" s="12"/>
      <c r="CIZ114" s="12"/>
      <c r="CJQ114" s="12"/>
      <c r="CJR114" s="12"/>
      <c r="CKI114" s="12"/>
      <c r="CKJ114" s="12"/>
      <c r="CLA114" s="12"/>
      <c r="CLB114" s="12"/>
      <c r="CLS114" s="12"/>
      <c r="CLT114" s="12"/>
      <c r="CMK114" s="12"/>
      <c r="CML114" s="12"/>
      <c r="CNC114" s="12"/>
      <c r="CND114" s="12"/>
      <c r="CNU114" s="12"/>
      <c r="CNV114" s="12"/>
      <c r="COM114" s="12"/>
      <c r="CON114" s="12"/>
      <c r="CPE114" s="12"/>
      <c r="CPF114" s="12"/>
      <c r="CPW114" s="12"/>
      <c r="CPX114" s="12"/>
      <c r="CQO114" s="12"/>
      <c r="CQP114" s="12"/>
      <c r="CRG114" s="12"/>
      <c r="CRH114" s="12"/>
      <c r="CRY114" s="12"/>
      <c r="CRZ114" s="12"/>
      <c r="CSQ114" s="12"/>
      <c r="CSR114" s="12"/>
      <c r="CTI114" s="12"/>
      <c r="CTJ114" s="12"/>
      <c r="CUA114" s="12"/>
      <c r="CUB114" s="12"/>
      <c r="CUS114" s="12"/>
      <c r="CUT114" s="12"/>
      <c r="CVK114" s="12"/>
      <c r="CVL114" s="12"/>
      <c r="CWC114" s="12"/>
      <c r="CWD114" s="12"/>
      <c r="CWU114" s="12"/>
      <c r="CWV114" s="12"/>
      <c r="CXM114" s="12"/>
      <c r="CXN114" s="12"/>
      <c r="CYE114" s="12"/>
      <c r="CYF114" s="12"/>
      <c r="CYW114" s="12"/>
      <c r="CYX114" s="12"/>
      <c r="CZO114" s="12"/>
      <c r="CZP114" s="12"/>
      <c r="DAG114" s="12"/>
      <c r="DAH114" s="12"/>
      <c r="DAY114" s="12"/>
      <c r="DAZ114" s="12"/>
      <c r="DBQ114" s="12"/>
      <c r="DBR114" s="12"/>
      <c r="DCI114" s="12"/>
      <c r="DCJ114" s="12"/>
      <c r="DDA114" s="12"/>
      <c r="DDB114" s="12"/>
      <c r="DDS114" s="12"/>
      <c r="DDT114" s="12"/>
      <c r="DEK114" s="12"/>
      <c r="DEL114" s="12"/>
      <c r="DFC114" s="12"/>
      <c r="DFD114" s="12"/>
      <c r="DFU114" s="12"/>
      <c r="DFV114" s="12"/>
      <c r="DGM114" s="12"/>
      <c r="DGN114" s="12"/>
      <c r="DHE114" s="12"/>
      <c r="DHF114" s="12"/>
      <c r="DHW114" s="12"/>
      <c r="DHX114" s="12"/>
      <c r="DIO114" s="12"/>
      <c r="DIP114" s="12"/>
      <c r="DJG114" s="12"/>
      <c r="DJH114" s="12"/>
      <c r="DJY114" s="12"/>
      <c r="DJZ114" s="12"/>
      <c r="DKQ114" s="12"/>
      <c r="DKR114" s="12"/>
      <c r="DLI114" s="12"/>
      <c r="DLJ114" s="12"/>
      <c r="DMA114" s="12"/>
      <c r="DMB114" s="12"/>
      <c r="DMS114" s="12"/>
      <c r="DMT114" s="12"/>
      <c r="DNK114" s="12"/>
      <c r="DNL114" s="12"/>
      <c r="DOC114" s="12"/>
      <c r="DOD114" s="12"/>
      <c r="DOU114" s="12"/>
      <c r="DOV114" s="12"/>
      <c r="DPM114" s="12"/>
      <c r="DPN114" s="12"/>
      <c r="DQE114" s="12"/>
      <c r="DQF114" s="12"/>
      <c r="DQW114" s="12"/>
      <c r="DQX114" s="12"/>
      <c r="DRO114" s="12"/>
      <c r="DRP114" s="12"/>
      <c r="DSG114" s="12"/>
      <c r="DSH114" s="12"/>
      <c r="DSY114" s="12"/>
      <c r="DSZ114" s="12"/>
      <c r="DTQ114" s="12"/>
      <c r="DTR114" s="12"/>
      <c r="DUI114" s="12"/>
      <c r="DUJ114" s="12"/>
      <c r="DVA114" s="12"/>
      <c r="DVB114" s="12"/>
      <c r="DVS114" s="12"/>
      <c r="DVT114" s="12"/>
      <c r="DWK114" s="12"/>
      <c r="DWL114" s="12"/>
      <c r="DXC114" s="12"/>
      <c r="DXD114" s="12"/>
      <c r="DXU114" s="12"/>
      <c r="DXV114" s="12"/>
      <c r="DYM114" s="12"/>
      <c r="DYN114" s="12"/>
      <c r="DZE114" s="12"/>
      <c r="DZF114" s="12"/>
      <c r="DZW114" s="12"/>
      <c r="DZX114" s="12"/>
      <c r="EAO114" s="12"/>
      <c r="EAP114" s="12"/>
      <c r="EBG114" s="12"/>
      <c r="EBH114" s="12"/>
      <c r="EBY114" s="12"/>
      <c r="EBZ114" s="12"/>
      <c r="ECQ114" s="12"/>
      <c r="ECR114" s="12"/>
      <c r="EDI114" s="12"/>
      <c r="EDJ114" s="12"/>
      <c r="EEA114" s="12"/>
      <c r="EEB114" s="12"/>
      <c r="EES114" s="12"/>
      <c r="EET114" s="12"/>
      <c r="EFK114" s="12"/>
      <c r="EFL114" s="12"/>
      <c r="EGC114" s="12"/>
      <c r="EGD114" s="12"/>
      <c r="EGU114" s="12"/>
      <c r="EGV114" s="12"/>
      <c r="EHM114" s="12"/>
      <c r="EHN114" s="12"/>
      <c r="EIE114" s="12"/>
      <c r="EIF114" s="12"/>
      <c r="EIW114" s="12"/>
      <c r="EIX114" s="12"/>
      <c r="EJO114" s="12"/>
      <c r="EJP114" s="12"/>
      <c r="EKG114" s="12"/>
      <c r="EKH114" s="12"/>
      <c r="EKY114" s="12"/>
      <c r="EKZ114" s="12"/>
      <c r="ELQ114" s="12"/>
      <c r="ELR114" s="12"/>
      <c r="EMI114" s="12"/>
      <c r="EMJ114" s="12"/>
      <c r="ENA114" s="12"/>
      <c r="ENB114" s="12"/>
      <c r="ENS114" s="12"/>
      <c r="ENT114" s="12"/>
      <c r="EOK114" s="12"/>
      <c r="EOL114" s="12"/>
      <c r="EPC114" s="12"/>
      <c r="EPD114" s="12"/>
      <c r="EPU114" s="12"/>
      <c r="EPV114" s="12"/>
      <c r="EQM114" s="12"/>
      <c r="EQN114" s="12"/>
      <c r="ERE114" s="12"/>
      <c r="ERF114" s="12"/>
      <c r="ERW114" s="12"/>
      <c r="ERX114" s="12"/>
      <c r="ESO114" s="12"/>
      <c r="ESP114" s="12"/>
      <c r="ETG114" s="12"/>
      <c r="ETH114" s="12"/>
      <c r="ETY114" s="12"/>
      <c r="ETZ114" s="12"/>
      <c r="EUQ114" s="12"/>
      <c r="EUR114" s="12"/>
      <c r="EVI114" s="12"/>
      <c r="EVJ114" s="12"/>
      <c r="EWA114" s="12"/>
      <c r="EWB114" s="12"/>
      <c r="EWS114" s="12"/>
      <c r="EWT114" s="12"/>
      <c r="EXK114" s="12"/>
      <c r="EXL114" s="12"/>
      <c r="EYC114" s="12"/>
      <c r="EYD114" s="12"/>
      <c r="EYU114" s="12"/>
      <c r="EYV114" s="12"/>
      <c r="EZM114" s="12"/>
      <c r="EZN114" s="12"/>
      <c r="FAE114" s="12"/>
      <c r="FAF114" s="12"/>
      <c r="FAW114" s="12"/>
      <c r="FAX114" s="12"/>
      <c r="FBO114" s="12"/>
      <c r="FBP114" s="12"/>
      <c r="FCG114" s="12"/>
      <c r="FCH114" s="12"/>
      <c r="FCY114" s="12"/>
      <c r="FCZ114" s="12"/>
      <c r="FDQ114" s="12"/>
      <c r="FDR114" s="12"/>
      <c r="FEI114" s="12"/>
      <c r="FEJ114" s="12"/>
      <c r="FFA114" s="12"/>
      <c r="FFB114" s="12"/>
      <c r="FFS114" s="12"/>
      <c r="FFT114" s="12"/>
      <c r="FGK114" s="12"/>
      <c r="FGL114" s="12"/>
      <c r="FHC114" s="12"/>
      <c r="FHD114" s="12"/>
      <c r="FHU114" s="12"/>
      <c r="FHV114" s="12"/>
      <c r="FIM114" s="12"/>
      <c r="FIN114" s="12"/>
      <c r="FJE114" s="12"/>
      <c r="FJF114" s="12"/>
      <c r="FJW114" s="12"/>
      <c r="FJX114" s="12"/>
      <c r="FKO114" s="12"/>
      <c r="FKP114" s="12"/>
      <c r="FLG114" s="12"/>
      <c r="FLH114" s="12"/>
      <c r="FLY114" s="12"/>
      <c r="FLZ114" s="12"/>
      <c r="FMQ114" s="12"/>
      <c r="FMR114" s="12"/>
      <c r="FNI114" s="12"/>
      <c r="FNJ114" s="12"/>
      <c r="FOA114" s="12"/>
      <c r="FOB114" s="12"/>
      <c r="FOS114" s="12"/>
      <c r="FOT114" s="12"/>
      <c r="FPK114" s="12"/>
      <c r="FPL114" s="12"/>
      <c r="FQC114" s="12"/>
      <c r="FQD114" s="12"/>
      <c r="FQU114" s="12"/>
      <c r="FQV114" s="12"/>
      <c r="FRM114" s="12"/>
      <c r="FRN114" s="12"/>
      <c r="FSE114" s="12"/>
      <c r="FSF114" s="12"/>
      <c r="FSW114" s="12"/>
      <c r="FSX114" s="12"/>
      <c r="FTO114" s="12"/>
      <c r="FTP114" s="12"/>
      <c r="FUG114" s="12"/>
      <c r="FUH114" s="12"/>
      <c r="FUY114" s="12"/>
      <c r="FUZ114" s="12"/>
      <c r="FVQ114" s="12"/>
      <c r="FVR114" s="12"/>
      <c r="FWI114" s="12"/>
      <c r="FWJ114" s="12"/>
      <c r="FXA114" s="12"/>
      <c r="FXB114" s="12"/>
      <c r="FXS114" s="12"/>
      <c r="FXT114" s="12"/>
      <c r="FYK114" s="12"/>
      <c r="FYL114" s="12"/>
      <c r="FZC114" s="12"/>
      <c r="FZD114" s="12"/>
      <c r="FZU114" s="12"/>
      <c r="FZV114" s="12"/>
      <c r="GAM114" s="12"/>
      <c r="GAN114" s="12"/>
      <c r="GBE114" s="12"/>
      <c r="GBF114" s="12"/>
      <c r="GBW114" s="12"/>
      <c r="GBX114" s="12"/>
      <c r="GCO114" s="12"/>
      <c r="GCP114" s="12"/>
      <c r="GDG114" s="12"/>
      <c r="GDH114" s="12"/>
      <c r="GDY114" s="12"/>
      <c r="GDZ114" s="12"/>
      <c r="GEQ114" s="12"/>
      <c r="GER114" s="12"/>
      <c r="GFI114" s="12"/>
      <c r="GFJ114" s="12"/>
      <c r="GGA114" s="12"/>
      <c r="GGB114" s="12"/>
      <c r="GGS114" s="12"/>
      <c r="GGT114" s="12"/>
      <c r="GHK114" s="12"/>
      <c r="GHL114" s="12"/>
      <c r="GIC114" s="12"/>
      <c r="GID114" s="12"/>
      <c r="GIU114" s="12"/>
      <c r="GIV114" s="12"/>
      <c r="GJM114" s="12"/>
      <c r="GJN114" s="12"/>
      <c r="GKE114" s="12"/>
      <c r="GKF114" s="12"/>
      <c r="GKW114" s="12"/>
      <c r="GKX114" s="12"/>
      <c r="GLO114" s="12"/>
      <c r="GLP114" s="12"/>
      <c r="GMG114" s="12"/>
      <c r="GMH114" s="12"/>
      <c r="GMY114" s="12"/>
      <c r="GMZ114" s="12"/>
      <c r="GNQ114" s="12"/>
      <c r="GNR114" s="12"/>
      <c r="GOI114" s="12"/>
      <c r="GOJ114" s="12"/>
      <c r="GPA114" s="12"/>
      <c r="GPB114" s="12"/>
      <c r="GPS114" s="12"/>
      <c r="GPT114" s="12"/>
      <c r="GQK114" s="12"/>
      <c r="GQL114" s="12"/>
      <c r="GRC114" s="12"/>
      <c r="GRD114" s="12"/>
      <c r="GRU114" s="12"/>
      <c r="GRV114" s="12"/>
      <c r="GSM114" s="12"/>
      <c r="GSN114" s="12"/>
      <c r="GTE114" s="12"/>
      <c r="GTF114" s="12"/>
      <c r="GTW114" s="12"/>
      <c r="GTX114" s="12"/>
      <c r="GUO114" s="12"/>
      <c r="GUP114" s="12"/>
      <c r="GVG114" s="12"/>
      <c r="GVH114" s="12"/>
      <c r="GVY114" s="12"/>
      <c r="GVZ114" s="12"/>
      <c r="GWQ114" s="12"/>
      <c r="GWR114" s="12"/>
      <c r="GXI114" s="12"/>
      <c r="GXJ114" s="12"/>
      <c r="GYA114" s="12"/>
      <c r="GYB114" s="12"/>
      <c r="GYS114" s="12"/>
      <c r="GYT114" s="12"/>
      <c r="GZK114" s="12"/>
      <c r="GZL114" s="12"/>
      <c r="HAC114" s="12"/>
      <c r="HAD114" s="12"/>
      <c r="HAU114" s="12"/>
      <c r="HAV114" s="12"/>
      <c r="HBM114" s="12"/>
      <c r="HBN114" s="12"/>
      <c r="HCE114" s="12"/>
      <c r="HCF114" s="12"/>
      <c r="HCW114" s="12"/>
      <c r="HCX114" s="12"/>
      <c r="HDO114" s="12"/>
      <c r="HDP114" s="12"/>
      <c r="HEG114" s="12"/>
      <c r="HEH114" s="12"/>
      <c r="HEY114" s="12"/>
      <c r="HEZ114" s="12"/>
      <c r="HFQ114" s="12"/>
      <c r="HFR114" s="12"/>
      <c r="HGI114" s="12"/>
      <c r="HGJ114" s="12"/>
      <c r="HHA114" s="12"/>
      <c r="HHB114" s="12"/>
      <c r="HHS114" s="12"/>
      <c r="HHT114" s="12"/>
      <c r="HIK114" s="12"/>
      <c r="HIL114" s="12"/>
      <c r="HJC114" s="12"/>
      <c r="HJD114" s="12"/>
      <c r="HJU114" s="12"/>
      <c r="HJV114" s="12"/>
      <c r="HKM114" s="12"/>
      <c r="HKN114" s="12"/>
      <c r="HLE114" s="12"/>
      <c r="HLF114" s="12"/>
      <c r="HLW114" s="12"/>
      <c r="HLX114" s="12"/>
      <c r="HMO114" s="12"/>
      <c r="HMP114" s="12"/>
      <c r="HNG114" s="12"/>
      <c r="HNH114" s="12"/>
      <c r="HNY114" s="12"/>
      <c r="HNZ114" s="12"/>
      <c r="HOQ114" s="12"/>
      <c r="HOR114" s="12"/>
      <c r="HPI114" s="12"/>
      <c r="HPJ114" s="12"/>
      <c r="HQA114" s="12"/>
      <c r="HQB114" s="12"/>
      <c r="HQS114" s="12"/>
      <c r="HQT114" s="12"/>
      <c r="HRK114" s="12"/>
      <c r="HRL114" s="12"/>
      <c r="HSC114" s="12"/>
      <c r="HSD114" s="12"/>
      <c r="HSU114" s="12"/>
      <c r="HSV114" s="12"/>
      <c r="HTM114" s="12"/>
      <c r="HTN114" s="12"/>
      <c r="HUE114" s="12"/>
      <c r="HUF114" s="12"/>
      <c r="HUW114" s="12"/>
      <c r="HUX114" s="12"/>
      <c r="HVO114" s="12"/>
      <c r="HVP114" s="12"/>
      <c r="HWG114" s="12"/>
      <c r="HWH114" s="12"/>
      <c r="HWY114" s="12"/>
      <c r="HWZ114" s="12"/>
      <c r="HXQ114" s="12"/>
      <c r="HXR114" s="12"/>
      <c r="HYI114" s="12"/>
      <c r="HYJ114" s="12"/>
      <c r="HZA114" s="12"/>
      <c r="HZB114" s="12"/>
      <c r="HZS114" s="12"/>
      <c r="HZT114" s="12"/>
      <c r="IAK114" s="12"/>
      <c r="IAL114" s="12"/>
      <c r="IBC114" s="12"/>
      <c r="IBD114" s="12"/>
      <c r="IBU114" s="12"/>
      <c r="IBV114" s="12"/>
      <c r="ICM114" s="12"/>
      <c r="ICN114" s="12"/>
      <c r="IDE114" s="12"/>
      <c r="IDF114" s="12"/>
      <c r="IDW114" s="12"/>
      <c r="IDX114" s="12"/>
      <c r="IEO114" s="12"/>
      <c r="IEP114" s="12"/>
      <c r="IFG114" s="12"/>
      <c r="IFH114" s="12"/>
      <c r="IFY114" s="12"/>
      <c r="IFZ114" s="12"/>
      <c r="IGQ114" s="12"/>
      <c r="IGR114" s="12"/>
      <c r="IHI114" s="12"/>
      <c r="IHJ114" s="12"/>
      <c r="IIA114" s="12"/>
      <c r="IIB114" s="12"/>
      <c r="IIS114" s="12"/>
      <c r="IIT114" s="12"/>
      <c r="IJK114" s="12"/>
      <c r="IJL114" s="12"/>
      <c r="IKC114" s="12"/>
      <c r="IKD114" s="12"/>
      <c r="IKU114" s="12"/>
      <c r="IKV114" s="12"/>
      <c r="ILM114" s="12"/>
      <c r="ILN114" s="12"/>
      <c r="IME114" s="12"/>
      <c r="IMF114" s="12"/>
      <c r="IMW114" s="12"/>
      <c r="IMX114" s="12"/>
      <c r="INO114" s="12"/>
      <c r="INP114" s="12"/>
      <c r="IOG114" s="12"/>
      <c r="IOH114" s="12"/>
      <c r="IOY114" s="12"/>
      <c r="IOZ114" s="12"/>
      <c r="IPQ114" s="12"/>
      <c r="IPR114" s="12"/>
      <c r="IQI114" s="12"/>
      <c r="IQJ114" s="12"/>
      <c r="IRA114" s="12"/>
      <c r="IRB114" s="12"/>
      <c r="IRS114" s="12"/>
      <c r="IRT114" s="12"/>
      <c r="ISK114" s="12"/>
      <c r="ISL114" s="12"/>
      <c r="ITC114" s="12"/>
      <c r="ITD114" s="12"/>
      <c r="ITU114" s="12"/>
      <c r="ITV114" s="12"/>
      <c r="IUM114" s="12"/>
      <c r="IUN114" s="12"/>
      <c r="IVE114" s="12"/>
      <c r="IVF114" s="12"/>
      <c r="IVW114" s="12"/>
      <c r="IVX114" s="12"/>
      <c r="IWO114" s="12"/>
      <c r="IWP114" s="12"/>
      <c r="IXG114" s="12"/>
      <c r="IXH114" s="12"/>
      <c r="IXY114" s="12"/>
      <c r="IXZ114" s="12"/>
      <c r="IYQ114" s="12"/>
      <c r="IYR114" s="12"/>
      <c r="IZI114" s="12"/>
      <c r="IZJ114" s="12"/>
      <c r="JAA114" s="12"/>
      <c r="JAB114" s="12"/>
      <c r="JAS114" s="12"/>
      <c r="JAT114" s="12"/>
      <c r="JBK114" s="12"/>
      <c r="JBL114" s="12"/>
      <c r="JCC114" s="12"/>
      <c r="JCD114" s="12"/>
      <c r="JCU114" s="12"/>
      <c r="JCV114" s="12"/>
      <c r="JDM114" s="12"/>
      <c r="JDN114" s="12"/>
      <c r="JEE114" s="12"/>
      <c r="JEF114" s="12"/>
      <c r="JEW114" s="12"/>
      <c r="JEX114" s="12"/>
      <c r="JFO114" s="12"/>
      <c r="JFP114" s="12"/>
      <c r="JGG114" s="12"/>
      <c r="JGH114" s="12"/>
      <c r="JGY114" s="12"/>
      <c r="JGZ114" s="12"/>
      <c r="JHQ114" s="12"/>
      <c r="JHR114" s="12"/>
      <c r="JII114" s="12"/>
      <c r="JIJ114" s="12"/>
      <c r="JJA114" s="12"/>
      <c r="JJB114" s="12"/>
      <c r="JJS114" s="12"/>
      <c r="JJT114" s="12"/>
      <c r="JKK114" s="12"/>
      <c r="JKL114" s="12"/>
      <c r="JLC114" s="12"/>
      <c r="JLD114" s="12"/>
      <c r="JLU114" s="12"/>
      <c r="JLV114" s="12"/>
      <c r="JMM114" s="12"/>
      <c r="JMN114" s="12"/>
      <c r="JNE114" s="12"/>
      <c r="JNF114" s="12"/>
      <c r="JNW114" s="12"/>
      <c r="JNX114" s="12"/>
      <c r="JOO114" s="12"/>
      <c r="JOP114" s="12"/>
      <c r="JPG114" s="12"/>
      <c r="JPH114" s="12"/>
      <c r="JPY114" s="12"/>
      <c r="JPZ114" s="12"/>
      <c r="JQQ114" s="12"/>
      <c r="JQR114" s="12"/>
      <c r="JRI114" s="12"/>
      <c r="JRJ114" s="12"/>
      <c r="JSA114" s="12"/>
      <c r="JSB114" s="12"/>
      <c r="JSS114" s="12"/>
      <c r="JST114" s="12"/>
      <c r="JTK114" s="12"/>
      <c r="JTL114" s="12"/>
      <c r="JUC114" s="12"/>
      <c r="JUD114" s="12"/>
      <c r="JUU114" s="12"/>
      <c r="JUV114" s="12"/>
      <c r="JVM114" s="12"/>
      <c r="JVN114" s="12"/>
      <c r="JWE114" s="12"/>
      <c r="JWF114" s="12"/>
      <c r="JWW114" s="12"/>
      <c r="JWX114" s="12"/>
      <c r="JXO114" s="12"/>
      <c r="JXP114" s="12"/>
      <c r="JYG114" s="12"/>
      <c r="JYH114" s="12"/>
      <c r="JYY114" s="12"/>
      <c r="JYZ114" s="12"/>
      <c r="JZQ114" s="12"/>
      <c r="JZR114" s="12"/>
      <c r="KAI114" s="12"/>
      <c r="KAJ114" s="12"/>
      <c r="KBA114" s="12"/>
      <c r="KBB114" s="12"/>
      <c r="KBS114" s="12"/>
      <c r="KBT114" s="12"/>
      <c r="KCK114" s="12"/>
      <c r="KCL114" s="12"/>
      <c r="KDC114" s="12"/>
      <c r="KDD114" s="12"/>
      <c r="KDU114" s="12"/>
      <c r="KDV114" s="12"/>
      <c r="KEM114" s="12"/>
      <c r="KEN114" s="12"/>
      <c r="KFE114" s="12"/>
      <c r="KFF114" s="12"/>
      <c r="KFW114" s="12"/>
      <c r="KFX114" s="12"/>
      <c r="KGO114" s="12"/>
      <c r="KGP114" s="12"/>
      <c r="KHG114" s="12"/>
      <c r="KHH114" s="12"/>
      <c r="KHY114" s="12"/>
      <c r="KHZ114" s="12"/>
      <c r="KIQ114" s="12"/>
      <c r="KIR114" s="12"/>
      <c r="KJI114" s="12"/>
      <c r="KJJ114" s="12"/>
      <c r="KKA114" s="12"/>
      <c r="KKB114" s="12"/>
      <c r="KKS114" s="12"/>
      <c r="KKT114" s="12"/>
      <c r="KLK114" s="12"/>
      <c r="KLL114" s="12"/>
      <c r="KMC114" s="12"/>
      <c r="KMD114" s="12"/>
      <c r="KMU114" s="12"/>
      <c r="KMV114" s="12"/>
      <c r="KNM114" s="12"/>
      <c r="KNN114" s="12"/>
      <c r="KOE114" s="12"/>
      <c r="KOF114" s="12"/>
      <c r="KOW114" s="12"/>
      <c r="KOX114" s="12"/>
      <c r="KPO114" s="12"/>
      <c r="KPP114" s="12"/>
      <c r="KQG114" s="12"/>
      <c r="KQH114" s="12"/>
      <c r="KQY114" s="12"/>
      <c r="KQZ114" s="12"/>
      <c r="KRQ114" s="12"/>
      <c r="KRR114" s="12"/>
      <c r="KSI114" s="12"/>
      <c r="KSJ114" s="12"/>
      <c r="KTA114" s="12"/>
      <c r="KTB114" s="12"/>
      <c r="KTS114" s="12"/>
      <c r="KTT114" s="12"/>
      <c r="KUK114" s="12"/>
      <c r="KUL114" s="12"/>
      <c r="KVC114" s="12"/>
      <c r="KVD114" s="12"/>
      <c r="KVU114" s="12"/>
      <c r="KVV114" s="12"/>
      <c r="KWM114" s="12"/>
      <c r="KWN114" s="12"/>
      <c r="KXE114" s="12"/>
      <c r="KXF114" s="12"/>
      <c r="KXW114" s="12"/>
      <c r="KXX114" s="12"/>
      <c r="KYO114" s="12"/>
      <c r="KYP114" s="12"/>
      <c r="KZG114" s="12"/>
      <c r="KZH114" s="12"/>
      <c r="KZY114" s="12"/>
      <c r="KZZ114" s="12"/>
      <c r="LAQ114" s="12"/>
      <c r="LAR114" s="12"/>
      <c r="LBI114" s="12"/>
      <c r="LBJ114" s="12"/>
      <c r="LCA114" s="12"/>
      <c r="LCB114" s="12"/>
      <c r="LCS114" s="12"/>
      <c r="LCT114" s="12"/>
      <c r="LDK114" s="12"/>
      <c r="LDL114" s="12"/>
      <c r="LEC114" s="12"/>
      <c r="LED114" s="12"/>
      <c r="LEU114" s="12"/>
      <c r="LEV114" s="12"/>
      <c r="LFM114" s="12"/>
      <c r="LFN114" s="12"/>
      <c r="LGE114" s="12"/>
      <c r="LGF114" s="12"/>
      <c r="LGW114" s="12"/>
      <c r="LGX114" s="12"/>
      <c r="LHO114" s="12"/>
      <c r="LHP114" s="12"/>
      <c r="LIG114" s="12"/>
      <c r="LIH114" s="12"/>
      <c r="LIY114" s="12"/>
      <c r="LIZ114" s="12"/>
      <c r="LJQ114" s="12"/>
      <c r="LJR114" s="12"/>
      <c r="LKI114" s="12"/>
      <c r="LKJ114" s="12"/>
      <c r="LLA114" s="12"/>
      <c r="LLB114" s="12"/>
      <c r="LLS114" s="12"/>
      <c r="LLT114" s="12"/>
      <c r="LMK114" s="12"/>
      <c r="LML114" s="12"/>
      <c r="LNC114" s="12"/>
      <c r="LND114" s="12"/>
      <c r="LNU114" s="12"/>
      <c r="LNV114" s="12"/>
      <c r="LOM114" s="12"/>
      <c r="LON114" s="12"/>
      <c r="LPE114" s="12"/>
      <c r="LPF114" s="12"/>
      <c r="LPW114" s="12"/>
      <c r="LPX114" s="12"/>
      <c r="LQO114" s="12"/>
      <c r="LQP114" s="12"/>
      <c r="LRG114" s="12"/>
      <c r="LRH114" s="12"/>
      <c r="LRY114" s="12"/>
      <c r="LRZ114" s="12"/>
      <c r="LSQ114" s="12"/>
      <c r="LSR114" s="12"/>
      <c r="LTI114" s="12"/>
      <c r="LTJ114" s="12"/>
      <c r="LUA114" s="12"/>
      <c r="LUB114" s="12"/>
      <c r="LUS114" s="12"/>
      <c r="LUT114" s="12"/>
      <c r="LVK114" s="12"/>
      <c r="LVL114" s="12"/>
      <c r="LWC114" s="12"/>
      <c r="LWD114" s="12"/>
      <c r="LWU114" s="12"/>
      <c r="LWV114" s="12"/>
      <c r="LXM114" s="12"/>
      <c r="LXN114" s="12"/>
      <c r="LYE114" s="12"/>
      <c r="LYF114" s="12"/>
      <c r="LYW114" s="12"/>
      <c r="LYX114" s="12"/>
      <c r="LZO114" s="12"/>
      <c r="LZP114" s="12"/>
      <c r="MAG114" s="12"/>
      <c r="MAH114" s="12"/>
      <c r="MAY114" s="12"/>
      <c r="MAZ114" s="12"/>
      <c r="MBQ114" s="12"/>
      <c r="MBR114" s="12"/>
      <c r="MCI114" s="12"/>
      <c r="MCJ114" s="12"/>
      <c r="MDA114" s="12"/>
      <c r="MDB114" s="12"/>
      <c r="MDS114" s="12"/>
      <c r="MDT114" s="12"/>
      <c r="MEK114" s="12"/>
      <c r="MEL114" s="12"/>
      <c r="MFC114" s="12"/>
      <c r="MFD114" s="12"/>
      <c r="MFU114" s="12"/>
      <c r="MFV114" s="12"/>
      <c r="MGM114" s="12"/>
      <c r="MGN114" s="12"/>
      <c r="MHE114" s="12"/>
      <c r="MHF114" s="12"/>
      <c r="MHW114" s="12"/>
      <c r="MHX114" s="12"/>
      <c r="MIO114" s="12"/>
      <c r="MIP114" s="12"/>
      <c r="MJG114" s="12"/>
      <c r="MJH114" s="12"/>
      <c r="MJY114" s="12"/>
      <c r="MJZ114" s="12"/>
      <c r="MKQ114" s="12"/>
      <c r="MKR114" s="12"/>
      <c r="MLI114" s="12"/>
      <c r="MLJ114" s="12"/>
      <c r="MMA114" s="12"/>
      <c r="MMB114" s="12"/>
      <c r="MMS114" s="12"/>
      <c r="MMT114" s="12"/>
      <c r="MNK114" s="12"/>
      <c r="MNL114" s="12"/>
      <c r="MOC114" s="12"/>
      <c r="MOD114" s="12"/>
      <c r="MOU114" s="12"/>
      <c r="MOV114" s="12"/>
      <c r="MPM114" s="12"/>
      <c r="MPN114" s="12"/>
      <c r="MQE114" s="12"/>
      <c r="MQF114" s="12"/>
      <c r="MQW114" s="12"/>
      <c r="MQX114" s="12"/>
      <c r="MRO114" s="12"/>
      <c r="MRP114" s="12"/>
      <c r="MSG114" s="12"/>
      <c r="MSH114" s="12"/>
      <c r="MSY114" s="12"/>
      <c r="MSZ114" s="12"/>
      <c r="MTQ114" s="12"/>
      <c r="MTR114" s="12"/>
      <c r="MUI114" s="12"/>
      <c r="MUJ114" s="12"/>
      <c r="MVA114" s="12"/>
      <c r="MVB114" s="12"/>
      <c r="MVS114" s="12"/>
      <c r="MVT114" s="12"/>
      <c r="MWK114" s="12"/>
      <c r="MWL114" s="12"/>
      <c r="MXC114" s="12"/>
      <c r="MXD114" s="12"/>
      <c r="MXU114" s="12"/>
      <c r="MXV114" s="12"/>
      <c r="MYM114" s="12"/>
      <c r="MYN114" s="12"/>
      <c r="MZE114" s="12"/>
      <c r="MZF114" s="12"/>
      <c r="MZW114" s="12"/>
      <c r="MZX114" s="12"/>
      <c r="NAO114" s="12"/>
      <c r="NAP114" s="12"/>
      <c r="NBG114" s="12"/>
      <c r="NBH114" s="12"/>
      <c r="NBY114" s="12"/>
      <c r="NBZ114" s="12"/>
      <c r="NCQ114" s="12"/>
      <c r="NCR114" s="12"/>
      <c r="NDI114" s="12"/>
      <c r="NDJ114" s="12"/>
      <c r="NEA114" s="12"/>
      <c r="NEB114" s="12"/>
      <c r="NES114" s="12"/>
      <c r="NET114" s="12"/>
      <c r="NFK114" s="12"/>
      <c r="NFL114" s="12"/>
      <c r="NGC114" s="12"/>
      <c r="NGD114" s="12"/>
      <c r="NGU114" s="12"/>
      <c r="NGV114" s="12"/>
      <c r="NHM114" s="12"/>
      <c r="NHN114" s="12"/>
      <c r="NIE114" s="12"/>
      <c r="NIF114" s="12"/>
      <c r="NIW114" s="12"/>
      <c r="NIX114" s="12"/>
      <c r="NJO114" s="12"/>
      <c r="NJP114" s="12"/>
      <c r="NKG114" s="12"/>
      <c r="NKH114" s="12"/>
      <c r="NKY114" s="12"/>
      <c r="NKZ114" s="12"/>
      <c r="NLQ114" s="12"/>
      <c r="NLR114" s="12"/>
      <c r="NMI114" s="12"/>
      <c r="NMJ114" s="12"/>
      <c r="NNA114" s="12"/>
      <c r="NNB114" s="12"/>
      <c r="NNS114" s="12"/>
      <c r="NNT114" s="12"/>
      <c r="NOK114" s="12"/>
      <c r="NOL114" s="12"/>
      <c r="NPC114" s="12"/>
      <c r="NPD114" s="12"/>
      <c r="NPU114" s="12"/>
      <c r="NPV114" s="12"/>
      <c r="NQM114" s="12"/>
      <c r="NQN114" s="12"/>
      <c r="NRE114" s="12"/>
      <c r="NRF114" s="12"/>
      <c r="NRW114" s="12"/>
      <c r="NRX114" s="12"/>
      <c r="NSO114" s="12"/>
      <c r="NSP114" s="12"/>
      <c r="NTG114" s="12"/>
      <c r="NTH114" s="12"/>
      <c r="NTY114" s="12"/>
      <c r="NTZ114" s="12"/>
      <c r="NUQ114" s="12"/>
      <c r="NUR114" s="12"/>
      <c r="NVI114" s="12"/>
      <c r="NVJ114" s="12"/>
      <c r="NWA114" s="12"/>
      <c r="NWB114" s="12"/>
      <c r="NWS114" s="12"/>
      <c r="NWT114" s="12"/>
      <c r="NXK114" s="12"/>
      <c r="NXL114" s="12"/>
      <c r="NYC114" s="12"/>
      <c r="NYD114" s="12"/>
      <c r="NYU114" s="12"/>
      <c r="NYV114" s="12"/>
      <c r="NZM114" s="12"/>
      <c r="NZN114" s="12"/>
      <c r="OAE114" s="12"/>
      <c r="OAF114" s="12"/>
      <c r="OAW114" s="12"/>
      <c r="OAX114" s="12"/>
      <c r="OBO114" s="12"/>
      <c r="OBP114" s="12"/>
      <c r="OCG114" s="12"/>
      <c r="OCH114" s="12"/>
      <c r="OCY114" s="12"/>
      <c r="OCZ114" s="12"/>
      <c r="ODQ114" s="12"/>
      <c r="ODR114" s="12"/>
      <c r="OEI114" s="12"/>
      <c r="OEJ114" s="12"/>
      <c r="OFA114" s="12"/>
      <c r="OFB114" s="12"/>
      <c r="OFS114" s="12"/>
      <c r="OFT114" s="12"/>
      <c r="OGK114" s="12"/>
      <c r="OGL114" s="12"/>
      <c r="OHC114" s="12"/>
      <c r="OHD114" s="12"/>
      <c r="OHU114" s="12"/>
      <c r="OHV114" s="12"/>
      <c r="OIM114" s="12"/>
      <c r="OIN114" s="12"/>
      <c r="OJE114" s="12"/>
      <c r="OJF114" s="12"/>
      <c r="OJW114" s="12"/>
      <c r="OJX114" s="12"/>
      <c r="OKO114" s="12"/>
      <c r="OKP114" s="12"/>
      <c r="OLG114" s="12"/>
      <c r="OLH114" s="12"/>
      <c r="OLY114" s="12"/>
      <c r="OLZ114" s="12"/>
      <c r="OMQ114" s="12"/>
      <c r="OMR114" s="12"/>
      <c r="ONI114" s="12"/>
      <c r="ONJ114" s="12"/>
      <c r="OOA114" s="12"/>
      <c r="OOB114" s="12"/>
      <c r="OOS114" s="12"/>
      <c r="OOT114" s="12"/>
      <c r="OPK114" s="12"/>
      <c r="OPL114" s="12"/>
      <c r="OQC114" s="12"/>
      <c r="OQD114" s="12"/>
      <c r="OQU114" s="12"/>
      <c r="OQV114" s="12"/>
      <c r="ORM114" s="12"/>
      <c r="ORN114" s="12"/>
      <c r="OSE114" s="12"/>
      <c r="OSF114" s="12"/>
      <c r="OSW114" s="12"/>
      <c r="OSX114" s="12"/>
      <c r="OTO114" s="12"/>
      <c r="OTP114" s="12"/>
      <c r="OUG114" s="12"/>
      <c r="OUH114" s="12"/>
      <c r="OUY114" s="12"/>
      <c r="OUZ114" s="12"/>
      <c r="OVQ114" s="12"/>
      <c r="OVR114" s="12"/>
      <c r="OWI114" s="12"/>
      <c r="OWJ114" s="12"/>
      <c r="OXA114" s="12"/>
      <c r="OXB114" s="12"/>
      <c r="OXS114" s="12"/>
      <c r="OXT114" s="12"/>
      <c r="OYK114" s="12"/>
      <c r="OYL114" s="12"/>
      <c r="OZC114" s="12"/>
      <c r="OZD114" s="12"/>
      <c r="OZU114" s="12"/>
      <c r="OZV114" s="12"/>
      <c r="PAM114" s="12"/>
      <c r="PAN114" s="12"/>
      <c r="PBE114" s="12"/>
      <c r="PBF114" s="12"/>
      <c r="PBW114" s="12"/>
      <c r="PBX114" s="12"/>
      <c r="PCO114" s="12"/>
      <c r="PCP114" s="12"/>
      <c r="PDG114" s="12"/>
      <c r="PDH114" s="12"/>
      <c r="PDY114" s="12"/>
      <c r="PDZ114" s="12"/>
      <c r="PEQ114" s="12"/>
      <c r="PER114" s="12"/>
      <c r="PFI114" s="12"/>
      <c r="PFJ114" s="12"/>
      <c r="PGA114" s="12"/>
      <c r="PGB114" s="12"/>
      <c r="PGS114" s="12"/>
      <c r="PGT114" s="12"/>
      <c r="PHK114" s="12"/>
      <c r="PHL114" s="12"/>
      <c r="PIC114" s="12"/>
      <c r="PID114" s="12"/>
      <c r="PIU114" s="12"/>
      <c r="PIV114" s="12"/>
      <c r="PJM114" s="12"/>
      <c r="PJN114" s="12"/>
      <c r="PKE114" s="12"/>
      <c r="PKF114" s="12"/>
      <c r="PKW114" s="12"/>
      <c r="PKX114" s="12"/>
      <c r="PLO114" s="12"/>
      <c r="PLP114" s="12"/>
      <c r="PMG114" s="12"/>
      <c r="PMH114" s="12"/>
      <c r="PMY114" s="12"/>
      <c r="PMZ114" s="12"/>
      <c r="PNQ114" s="12"/>
      <c r="PNR114" s="12"/>
      <c r="POI114" s="12"/>
      <c r="POJ114" s="12"/>
      <c r="PPA114" s="12"/>
      <c r="PPB114" s="12"/>
      <c r="PPS114" s="12"/>
      <c r="PPT114" s="12"/>
      <c r="PQK114" s="12"/>
      <c r="PQL114" s="12"/>
      <c r="PRC114" s="12"/>
      <c r="PRD114" s="12"/>
      <c r="PRU114" s="12"/>
      <c r="PRV114" s="12"/>
      <c r="PSM114" s="12"/>
      <c r="PSN114" s="12"/>
      <c r="PTE114" s="12"/>
      <c r="PTF114" s="12"/>
      <c r="PTW114" s="12"/>
      <c r="PTX114" s="12"/>
      <c r="PUO114" s="12"/>
      <c r="PUP114" s="12"/>
      <c r="PVG114" s="12"/>
      <c r="PVH114" s="12"/>
      <c r="PVY114" s="12"/>
      <c r="PVZ114" s="12"/>
      <c r="PWQ114" s="12"/>
      <c r="PWR114" s="12"/>
      <c r="PXI114" s="12"/>
      <c r="PXJ114" s="12"/>
      <c r="PYA114" s="12"/>
      <c r="PYB114" s="12"/>
      <c r="PYS114" s="12"/>
      <c r="PYT114" s="12"/>
      <c r="PZK114" s="12"/>
      <c r="PZL114" s="12"/>
      <c r="QAC114" s="12"/>
      <c r="QAD114" s="12"/>
      <c r="QAU114" s="12"/>
      <c r="QAV114" s="12"/>
      <c r="QBM114" s="12"/>
      <c r="QBN114" s="12"/>
      <c r="QCE114" s="12"/>
      <c r="QCF114" s="12"/>
      <c r="QCW114" s="12"/>
      <c r="QCX114" s="12"/>
      <c r="QDO114" s="12"/>
      <c r="QDP114" s="12"/>
      <c r="QEG114" s="12"/>
      <c r="QEH114" s="12"/>
      <c r="QEY114" s="12"/>
      <c r="QEZ114" s="12"/>
      <c r="QFQ114" s="12"/>
      <c r="QFR114" s="12"/>
      <c r="QGI114" s="12"/>
      <c r="QGJ114" s="12"/>
      <c r="QHA114" s="12"/>
      <c r="QHB114" s="12"/>
      <c r="QHS114" s="12"/>
      <c r="QHT114" s="12"/>
      <c r="QIK114" s="12"/>
      <c r="QIL114" s="12"/>
      <c r="QJC114" s="12"/>
      <c r="QJD114" s="12"/>
      <c r="QJU114" s="12"/>
      <c r="QJV114" s="12"/>
      <c r="QKM114" s="12"/>
      <c r="QKN114" s="12"/>
      <c r="QLE114" s="12"/>
      <c r="QLF114" s="12"/>
      <c r="QLW114" s="12"/>
      <c r="QLX114" s="12"/>
      <c r="QMO114" s="12"/>
      <c r="QMP114" s="12"/>
      <c r="QNG114" s="12"/>
      <c r="QNH114" s="12"/>
      <c r="QNY114" s="12"/>
      <c r="QNZ114" s="12"/>
      <c r="QOQ114" s="12"/>
      <c r="QOR114" s="12"/>
      <c r="QPI114" s="12"/>
      <c r="QPJ114" s="12"/>
      <c r="QQA114" s="12"/>
      <c r="QQB114" s="12"/>
      <c r="QQS114" s="12"/>
      <c r="QQT114" s="12"/>
      <c r="QRK114" s="12"/>
      <c r="QRL114" s="12"/>
      <c r="QSC114" s="12"/>
      <c r="QSD114" s="12"/>
      <c r="QSU114" s="12"/>
      <c r="QSV114" s="12"/>
      <c r="QTM114" s="12"/>
      <c r="QTN114" s="12"/>
      <c r="QUE114" s="12"/>
      <c r="QUF114" s="12"/>
      <c r="QUW114" s="12"/>
      <c r="QUX114" s="12"/>
      <c r="QVO114" s="12"/>
      <c r="QVP114" s="12"/>
      <c r="QWG114" s="12"/>
      <c r="QWH114" s="12"/>
      <c r="QWY114" s="12"/>
      <c r="QWZ114" s="12"/>
      <c r="QXQ114" s="12"/>
      <c r="QXR114" s="12"/>
      <c r="QYI114" s="12"/>
      <c r="QYJ114" s="12"/>
      <c r="QZA114" s="12"/>
      <c r="QZB114" s="12"/>
      <c r="QZS114" s="12"/>
      <c r="QZT114" s="12"/>
      <c r="RAK114" s="12"/>
      <c r="RAL114" s="12"/>
      <c r="RBC114" s="12"/>
      <c r="RBD114" s="12"/>
      <c r="RBU114" s="12"/>
      <c r="RBV114" s="12"/>
      <c r="RCM114" s="12"/>
      <c r="RCN114" s="12"/>
      <c r="RDE114" s="12"/>
      <c r="RDF114" s="12"/>
      <c r="RDW114" s="12"/>
      <c r="RDX114" s="12"/>
      <c r="REO114" s="12"/>
      <c r="REP114" s="12"/>
      <c r="RFG114" s="12"/>
      <c r="RFH114" s="12"/>
      <c r="RFY114" s="12"/>
      <c r="RFZ114" s="12"/>
      <c r="RGQ114" s="12"/>
      <c r="RGR114" s="12"/>
      <c r="RHI114" s="12"/>
      <c r="RHJ114" s="12"/>
      <c r="RIA114" s="12"/>
      <c r="RIB114" s="12"/>
      <c r="RIS114" s="12"/>
      <c r="RIT114" s="12"/>
      <c r="RJK114" s="12"/>
      <c r="RJL114" s="12"/>
      <c r="RKC114" s="12"/>
      <c r="RKD114" s="12"/>
      <c r="RKU114" s="12"/>
      <c r="RKV114" s="12"/>
      <c r="RLM114" s="12"/>
      <c r="RLN114" s="12"/>
      <c r="RME114" s="12"/>
      <c r="RMF114" s="12"/>
      <c r="RMW114" s="12"/>
      <c r="RMX114" s="12"/>
      <c r="RNO114" s="12"/>
      <c r="RNP114" s="12"/>
      <c r="ROG114" s="12"/>
      <c r="ROH114" s="12"/>
      <c r="ROY114" s="12"/>
      <c r="ROZ114" s="12"/>
      <c r="RPQ114" s="12"/>
      <c r="RPR114" s="12"/>
      <c r="RQI114" s="12"/>
      <c r="RQJ114" s="12"/>
      <c r="RRA114" s="12"/>
      <c r="RRB114" s="12"/>
      <c r="RRS114" s="12"/>
      <c r="RRT114" s="12"/>
      <c r="RSK114" s="12"/>
      <c r="RSL114" s="12"/>
      <c r="RTC114" s="12"/>
      <c r="RTD114" s="12"/>
      <c r="RTU114" s="12"/>
      <c r="RTV114" s="12"/>
      <c r="RUM114" s="12"/>
      <c r="RUN114" s="12"/>
      <c r="RVE114" s="12"/>
      <c r="RVF114" s="12"/>
      <c r="RVW114" s="12"/>
      <c r="RVX114" s="12"/>
      <c r="RWO114" s="12"/>
      <c r="RWP114" s="12"/>
      <c r="RXG114" s="12"/>
      <c r="RXH114" s="12"/>
      <c r="RXY114" s="12"/>
      <c r="RXZ114" s="12"/>
      <c r="RYQ114" s="12"/>
      <c r="RYR114" s="12"/>
      <c r="RZI114" s="12"/>
      <c r="RZJ114" s="12"/>
      <c r="SAA114" s="12"/>
      <c r="SAB114" s="12"/>
      <c r="SAS114" s="12"/>
      <c r="SAT114" s="12"/>
      <c r="SBK114" s="12"/>
      <c r="SBL114" s="12"/>
      <c r="SCC114" s="12"/>
      <c r="SCD114" s="12"/>
      <c r="SCU114" s="12"/>
      <c r="SCV114" s="12"/>
      <c r="SDM114" s="12"/>
      <c r="SDN114" s="12"/>
      <c r="SEE114" s="12"/>
      <c r="SEF114" s="12"/>
      <c r="SEW114" s="12"/>
      <c r="SEX114" s="12"/>
      <c r="SFO114" s="12"/>
      <c r="SFP114" s="12"/>
      <c r="SGG114" s="12"/>
      <c r="SGH114" s="12"/>
      <c r="SGY114" s="12"/>
      <c r="SGZ114" s="12"/>
      <c r="SHQ114" s="12"/>
      <c r="SHR114" s="12"/>
      <c r="SII114" s="12"/>
      <c r="SIJ114" s="12"/>
      <c r="SJA114" s="12"/>
      <c r="SJB114" s="12"/>
      <c r="SJS114" s="12"/>
      <c r="SJT114" s="12"/>
      <c r="SKK114" s="12"/>
      <c r="SKL114" s="12"/>
      <c r="SLC114" s="12"/>
      <c r="SLD114" s="12"/>
      <c r="SLU114" s="12"/>
      <c r="SLV114" s="12"/>
      <c r="SMM114" s="12"/>
      <c r="SMN114" s="12"/>
      <c r="SNE114" s="12"/>
      <c r="SNF114" s="12"/>
      <c r="SNW114" s="12"/>
      <c r="SNX114" s="12"/>
      <c r="SOO114" s="12"/>
      <c r="SOP114" s="12"/>
      <c r="SPG114" s="12"/>
      <c r="SPH114" s="12"/>
      <c r="SPY114" s="12"/>
      <c r="SPZ114" s="12"/>
      <c r="SQQ114" s="12"/>
      <c r="SQR114" s="12"/>
      <c r="SRI114" s="12"/>
      <c r="SRJ114" s="12"/>
      <c r="SSA114" s="12"/>
      <c r="SSB114" s="12"/>
      <c r="SSS114" s="12"/>
      <c r="SST114" s="12"/>
      <c r="STK114" s="12"/>
      <c r="STL114" s="12"/>
      <c r="SUC114" s="12"/>
      <c r="SUD114" s="12"/>
      <c r="SUU114" s="12"/>
      <c r="SUV114" s="12"/>
      <c r="SVM114" s="12"/>
      <c r="SVN114" s="12"/>
      <c r="SWE114" s="12"/>
      <c r="SWF114" s="12"/>
      <c r="SWW114" s="12"/>
      <c r="SWX114" s="12"/>
      <c r="SXO114" s="12"/>
      <c r="SXP114" s="12"/>
      <c r="SYG114" s="12"/>
      <c r="SYH114" s="12"/>
      <c r="SYY114" s="12"/>
      <c r="SYZ114" s="12"/>
      <c r="SZQ114" s="12"/>
      <c r="SZR114" s="12"/>
      <c r="TAI114" s="12"/>
      <c r="TAJ114" s="12"/>
      <c r="TBA114" s="12"/>
      <c r="TBB114" s="12"/>
      <c r="TBS114" s="12"/>
      <c r="TBT114" s="12"/>
      <c r="TCK114" s="12"/>
      <c r="TCL114" s="12"/>
      <c r="TDC114" s="12"/>
      <c r="TDD114" s="12"/>
      <c r="TDU114" s="12"/>
      <c r="TDV114" s="12"/>
      <c r="TEM114" s="12"/>
      <c r="TEN114" s="12"/>
      <c r="TFE114" s="12"/>
      <c r="TFF114" s="12"/>
      <c r="TFW114" s="12"/>
      <c r="TFX114" s="12"/>
      <c r="TGO114" s="12"/>
      <c r="TGP114" s="12"/>
      <c r="THG114" s="12"/>
      <c r="THH114" s="12"/>
      <c r="THY114" s="12"/>
      <c r="THZ114" s="12"/>
      <c r="TIQ114" s="12"/>
      <c r="TIR114" s="12"/>
      <c r="TJI114" s="12"/>
      <c r="TJJ114" s="12"/>
      <c r="TKA114" s="12"/>
      <c r="TKB114" s="12"/>
      <c r="TKS114" s="12"/>
      <c r="TKT114" s="12"/>
      <c r="TLK114" s="12"/>
      <c r="TLL114" s="12"/>
      <c r="TMC114" s="12"/>
      <c r="TMD114" s="12"/>
      <c r="TMU114" s="12"/>
      <c r="TMV114" s="12"/>
      <c r="TNM114" s="12"/>
      <c r="TNN114" s="12"/>
      <c r="TOE114" s="12"/>
      <c r="TOF114" s="12"/>
      <c r="TOW114" s="12"/>
      <c r="TOX114" s="12"/>
      <c r="TPO114" s="12"/>
      <c r="TPP114" s="12"/>
      <c r="TQG114" s="12"/>
      <c r="TQH114" s="12"/>
      <c r="TQY114" s="12"/>
      <c r="TQZ114" s="12"/>
      <c r="TRQ114" s="12"/>
      <c r="TRR114" s="12"/>
      <c r="TSI114" s="12"/>
      <c r="TSJ114" s="12"/>
      <c r="TTA114" s="12"/>
      <c r="TTB114" s="12"/>
      <c r="TTS114" s="12"/>
      <c r="TTT114" s="12"/>
      <c r="TUK114" s="12"/>
      <c r="TUL114" s="12"/>
      <c r="TVC114" s="12"/>
      <c r="TVD114" s="12"/>
      <c r="TVU114" s="12"/>
      <c r="TVV114" s="12"/>
      <c r="TWM114" s="12"/>
      <c r="TWN114" s="12"/>
      <c r="TXE114" s="12"/>
      <c r="TXF114" s="12"/>
      <c r="TXW114" s="12"/>
      <c r="TXX114" s="12"/>
      <c r="TYO114" s="12"/>
      <c r="TYP114" s="12"/>
      <c r="TZG114" s="12"/>
      <c r="TZH114" s="12"/>
      <c r="TZY114" s="12"/>
      <c r="TZZ114" s="12"/>
      <c r="UAQ114" s="12"/>
      <c r="UAR114" s="12"/>
      <c r="UBI114" s="12"/>
      <c r="UBJ114" s="12"/>
      <c r="UCA114" s="12"/>
      <c r="UCB114" s="12"/>
      <c r="UCS114" s="12"/>
      <c r="UCT114" s="12"/>
      <c r="UDK114" s="12"/>
      <c r="UDL114" s="12"/>
      <c r="UEC114" s="12"/>
      <c r="UED114" s="12"/>
      <c r="UEU114" s="12"/>
      <c r="UEV114" s="12"/>
      <c r="UFM114" s="12"/>
      <c r="UFN114" s="12"/>
      <c r="UGE114" s="12"/>
      <c r="UGF114" s="12"/>
      <c r="UGW114" s="12"/>
      <c r="UGX114" s="12"/>
      <c r="UHO114" s="12"/>
      <c r="UHP114" s="12"/>
      <c r="UIG114" s="12"/>
      <c r="UIH114" s="12"/>
      <c r="UIY114" s="12"/>
      <c r="UIZ114" s="12"/>
      <c r="UJQ114" s="12"/>
      <c r="UJR114" s="12"/>
      <c r="UKI114" s="12"/>
      <c r="UKJ114" s="12"/>
      <c r="ULA114" s="12"/>
      <c r="ULB114" s="12"/>
      <c r="ULS114" s="12"/>
      <c r="ULT114" s="12"/>
      <c r="UMK114" s="12"/>
      <c r="UML114" s="12"/>
      <c r="UNC114" s="12"/>
      <c r="UND114" s="12"/>
      <c r="UNU114" s="12"/>
      <c r="UNV114" s="12"/>
      <c r="UOM114" s="12"/>
      <c r="UON114" s="12"/>
      <c r="UPE114" s="12"/>
      <c r="UPF114" s="12"/>
      <c r="UPW114" s="12"/>
      <c r="UPX114" s="12"/>
      <c r="UQO114" s="12"/>
      <c r="UQP114" s="12"/>
      <c r="URG114" s="12"/>
      <c r="URH114" s="12"/>
      <c r="URY114" s="12"/>
      <c r="URZ114" s="12"/>
      <c r="USQ114" s="12"/>
      <c r="USR114" s="12"/>
      <c r="UTI114" s="12"/>
      <c r="UTJ114" s="12"/>
      <c r="UUA114" s="12"/>
      <c r="UUB114" s="12"/>
      <c r="UUS114" s="12"/>
      <c r="UUT114" s="12"/>
      <c r="UVK114" s="12"/>
      <c r="UVL114" s="12"/>
      <c r="UWC114" s="12"/>
      <c r="UWD114" s="12"/>
      <c r="UWU114" s="12"/>
      <c r="UWV114" s="12"/>
      <c r="UXM114" s="12"/>
      <c r="UXN114" s="12"/>
      <c r="UYE114" s="12"/>
      <c r="UYF114" s="12"/>
      <c r="UYW114" s="12"/>
      <c r="UYX114" s="12"/>
      <c r="UZO114" s="12"/>
      <c r="UZP114" s="12"/>
      <c r="VAG114" s="12"/>
      <c r="VAH114" s="12"/>
      <c r="VAY114" s="12"/>
      <c r="VAZ114" s="12"/>
      <c r="VBQ114" s="12"/>
      <c r="VBR114" s="12"/>
      <c r="VCI114" s="12"/>
      <c r="VCJ114" s="12"/>
      <c r="VDA114" s="12"/>
      <c r="VDB114" s="12"/>
      <c r="VDS114" s="12"/>
      <c r="VDT114" s="12"/>
      <c r="VEK114" s="12"/>
      <c r="VEL114" s="12"/>
      <c r="VFC114" s="12"/>
      <c r="VFD114" s="12"/>
      <c r="VFU114" s="12"/>
      <c r="VFV114" s="12"/>
      <c r="VGM114" s="12"/>
      <c r="VGN114" s="12"/>
      <c r="VHE114" s="12"/>
      <c r="VHF114" s="12"/>
      <c r="VHW114" s="12"/>
      <c r="VHX114" s="12"/>
      <c r="VIO114" s="12"/>
      <c r="VIP114" s="12"/>
      <c r="VJG114" s="12"/>
      <c r="VJH114" s="12"/>
      <c r="VJY114" s="12"/>
      <c r="VJZ114" s="12"/>
      <c r="VKQ114" s="12"/>
      <c r="VKR114" s="12"/>
      <c r="VLI114" s="12"/>
      <c r="VLJ114" s="12"/>
      <c r="VMA114" s="12"/>
      <c r="VMB114" s="12"/>
      <c r="VMS114" s="12"/>
      <c r="VMT114" s="12"/>
      <c r="VNK114" s="12"/>
      <c r="VNL114" s="12"/>
      <c r="VOC114" s="12"/>
      <c r="VOD114" s="12"/>
      <c r="VOU114" s="12"/>
      <c r="VOV114" s="12"/>
      <c r="VPM114" s="12"/>
      <c r="VPN114" s="12"/>
      <c r="VQE114" s="12"/>
      <c r="VQF114" s="12"/>
      <c r="VQW114" s="12"/>
      <c r="VQX114" s="12"/>
      <c r="VRO114" s="12"/>
      <c r="VRP114" s="12"/>
      <c r="VSG114" s="12"/>
      <c r="VSH114" s="12"/>
      <c r="VSY114" s="12"/>
      <c r="VSZ114" s="12"/>
      <c r="VTQ114" s="12"/>
      <c r="VTR114" s="12"/>
      <c r="VUI114" s="12"/>
      <c r="VUJ114" s="12"/>
      <c r="VVA114" s="12"/>
      <c r="VVB114" s="12"/>
      <c r="VVS114" s="12"/>
      <c r="VVT114" s="12"/>
      <c r="VWK114" s="12"/>
      <c r="VWL114" s="12"/>
      <c r="VXC114" s="12"/>
      <c r="VXD114" s="12"/>
      <c r="VXU114" s="12"/>
      <c r="VXV114" s="12"/>
      <c r="VYM114" s="12"/>
      <c r="VYN114" s="12"/>
      <c r="VZE114" s="12"/>
      <c r="VZF114" s="12"/>
      <c r="VZW114" s="12"/>
      <c r="VZX114" s="12"/>
      <c r="WAO114" s="12"/>
      <c r="WAP114" s="12"/>
      <c r="WBG114" s="12"/>
      <c r="WBH114" s="12"/>
      <c r="WBY114" s="12"/>
      <c r="WBZ114" s="12"/>
      <c r="WCQ114" s="12"/>
      <c r="WCR114" s="12"/>
      <c r="WDI114" s="12"/>
      <c r="WDJ114" s="12"/>
      <c r="WEA114" s="12"/>
      <c r="WEB114" s="12"/>
      <c r="WES114" s="12"/>
      <c r="WET114" s="12"/>
      <c r="WFK114" s="12"/>
      <c r="WFL114" s="12"/>
      <c r="WGC114" s="12"/>
      <c r="WGD114" s="12"/>
      <c r="WGU114" s="12"/>
      <c r="WGV114" s="12"/>
      <c r="WHM114" s="12"/>
      <c r="WHN114" s="12"/>
      <c r="WIE114" s="12"/>
      <c r="WIF114" s="12"/>
      <c r="WIW114" s="12"/>
      <c r="WIX114" s="12"/>
      <c r="WJO114" s="12"/>
      <c r="WJP114" s="12"/>
      <c r="WKG114" s="12"/>
      <c r="WKH114" s="12"/>
      <c r="WKY114" s="12"/>
      <c r="WKZ114" s="12"/>
      <c r="WLQ114" s="12"/>
      <c r="WLR114" s="12"/>
      <c r="WMI114" s="12"/>
      <c r="WMJ114" s="12"/>
      <c r="WNA114" s="12"/>
      <c r="WNB114" s="12"/>
      <c r="WNS114" s="12"/>
      <c r="WNT114" s="12"/>
      <c r="WOK114" s="12"/>
      <c r="WOL114" s="12"/>
      <c r="WPC114" s="12"/>
      <c r="WPD114" s="12"/>
      <c r="WPU114" s="12"/>
      <c r="WPV114" s="12"/>
      <c r="WQM114" s="12"/>
      <c r="WQN114" s="12"/>
      <c r="WRE114" s="12"/>
      <c r="WRF114" s="12"/>
      <c r="WRW114" s="12"/>
      <c r="WRX114" s="12"/>
      <c r="WSO114" s="12"/>
      <c r="WSP114" s="12"/>
      <c r="WTG114" s="12"/>
      <c r="WTH114" s="12"/>
      <c r="WTY114" s="12"/>
      <c r="WTZ114" s="12"/>
      <c r="WUQ114" s="12"/>
      <c r="WUR114" s="12"/>
      <c r="WVI114" s="12"/>
      <c r="WVJ114" s="12"/>
      <c r="WWA114" s="12"/>
      <c r="WWB114" s="12"/>
      <c r="WWS114" s="12"/>
      <c r="WWT114" s="12"/>
      <c r="WXK114" s="12"/>
      <c r="WXL114" s="12"/>
      <c r="WYC114" s="12"/>
      <c r="WYD114" s="12"/>
      <c r="WYU114" s="12"/>
      <c r="WYV114" s="12"/>
      <c r="WZM114" s="12"/>
      <c r="WZN114" s="12"/>
      <c r="XAE114" s="12"/>
      <c r="XAF114" s="12"/>
      <c r="XAW114" s="12"/>
      <c r="XAX114" s="12"/>
      <c r="XBO114" s="12"/>
      <c r="XBP114" s="12"/>
      <c r="XCG114" s="12"/>
      <c r="XCH114" s="12"/>
      <c r="XCY114" s="12"/>
      <c r="XCZ114" s="12"/>
      <c r="XDQ114" s="12"/>
      <c r="XDR114" s="12"/>
      <c r="XEI114" s="12"/>
      <c r="XEJ114" s="12"/>
      <c r="XFA114" s="12"/>
      <c r="XFB114" s="12"/>
    </row>
    <row r="115" spans="1:1010 1027:2036 2053:3062 3079:4088 4105:5114 5131:6140 6157:7166 7183:8192 8209:9200 9217:10226 10243:11252 11269:12278 12295:13304 13321:14330 14347:15356 15373:16382" s="11" customFormat="1" x14ac:dyDescent="0.35">
      <c r="A115" s="183" t="s">
        <v>191</v>
      </c>
      <c r="B115" s="183" t="s">
        <v>192</v>
      </c>
      <c r="C115" s="184">
        <v>-14.172000000000001</v>
      </c>
      <c r="D115" s="184">
        <v>-12.108000000000001</v>
      </c>
      <c r="E115" s="184">
        <v>-18.088000000000001</v>
      </c>
      <c r="F115" s="184">
        <v>-19.847000000000001</v>
      </c>
      <c r="G115" s="184">
        <v>-20.571999999999999</v>
      </c>
      <c r="H115" s="184">
        <v>-17.933</v>
      </c>
      <c r="I115" s="184">
        <v>-21.472999999999999</v>
      </c>
      <c r="J115" s="184">
        <v>-21.01</v>
      </c>
      <c r="K115" s="184">
        <v>-30.001000000000001</v>
      </c>
      <c r="L115" s="184">
        <v>-33.531999999999996</v>
      </c>
      <c r="S115" s="12"/>
      <c r="T115" s="12"/>
      <c r="AK115" s="12"/>
      <c r="AL115" s="12"/>
      <c r="BC115" s="12"/>
      <c r="BD115" s="12"/>
      <c r="BU115" s="12"/>
      <c r="BV115" s="12"/>
      <c r="CM115" s="12"/>
      <c r="CN115" s="12"/>
      <c r="DE115" s="12"/>
      <c r="DF115" s="12"/>
      <c r="DW115" s="12"/>
      <c r="DX115" s="12"/>
      <c r="EO115" s="12"/>
      <c r="EP115" s="12"/>
      <c r="FG115" s="12"/>
      <c r="FH115" s="12"/>
      <c r="FY115" s="12"/>
      <c r="FZ115" s="12"/>
      <c r="GQ115" s="12"/>
      <c r="GR115" s="12"/>
      <c r="HI115" s="12"/>
      <c r="HJ115" s="12"/>
      <c r="IA115" s="12"/>
      <c r="IB115" s="12"/>
      <c r="IS115" s="12"/>
      <c r="IT115" s="12"/>
      <c r="JK115" s="12"/>
      <c r="JL115" s="12"/>
      <c r="KC115" s="12"/>
      <c r="KD115" s="12"/>
      <c r="KU115" s="12"/>
      <c r="KV115" s="12"/>
      <c r="LM115" s="12"/>
      <c r="LN115" s="12"/>
      <c r="ME115" s="12"/>
      <c r="MF115" s="12"/>
      <c r="MW115" s="12"/>
      <c r="MX115" s="12"/>
      <c r="NO115" s="12"/>
      <c r="NP115" s="12"/>
      <c r="OG115" s="12"/>
      <c r="OH115" s="12"/>
      <c r="OY115" s="12"/>
      <c r="OZ115" s="12"/>
      <c r="PQ115" s="12"/>
      <c r="PR115" s="12"/>
      <c r="QI115" s="12"/>
      <c r="QJ115" s="12"/>
      <c r="RA115" s="12"/>
      <c r="RB115" s="12"/>
      <c r="RS115" s="12"/>
      <c r="RT115" s="12"/>
      <c r="SK115" s="12"/>
      <c r="SL115" s="12"/>
      <c r="TC115" s="12"/>
      <c r="TD115" s="12"/>
      <c r="TU115" s="12"/>
      <c r="TV115" s="12"/>
      <c r="UM115" s="12"/>
      <c r="UN115" s="12"/>
      <c r="VE115" s="12"/>
      <c r="VF115" s="12"/>
      <c r="VW115" s="12"/>
      <c r="VX115" s="12"/>
      <c r="WO115" s="12"/>
      <c r="WP115" s="12"/>
      <c r="XG115" s="12"/>
      <c r="XH115" s="12"/>
      <c r="XY115" s="12"/>
      <c r="XZ115" s="12"/>
      <c r="YQ115" s="12"/>
      <c r="YR115" s="12"/>
      <c r="ZI115" s="12"/>
      <c r="ZJ115" s="12"/>
      <c r="AAA115" s="12"/>
      <c r="AAB115" s="12"/>
      <c r="AAS115" s="12"/>
      <c r="AAT115" s="12"/>
      <c r="ABK115" s="12"/>
      <c r="ABL115" s="12"/>
      <c r="ACC115" s="12"/>
      <c r="ACD115" s="12"/>
      <c r="ACU115" s="12"/>
      <c r="ACV115" s="12"/>
      <c r="ADM115" s="12"/>
      <c r="ADN115" s="12"/>
      <c r="AEE115" s="12"/>
      <c r="AEF115" s="12"/>
      <c r="AEW115" s="12"/>
      <c r="AEX115" s="12"/>
      <c r="AFO115" s="12"/>
      <c r="AFP115" s="12"/>
      <c r="AGG115" s="12"/>
      <c r="AGH115" s="12"/>
      <c r="AGY115" s="12"/>
      <c r="AGZ115" s="12"/>
      <c r="AHQ115" s="12"/>
      <c r="AHR115" s="12"/>
      <c r="AII115" s="12"/>
      <c r="AIJ115" s="12"/>
      <c r="AJA115" s="12"/>
      <c r="AJB115" s="12"/>
      <c r="AJS115" s="12"/>
      <c r="AJT115" s="12"/>
      <c r="AKK115" s="12"/>
      <c r="AKL115" s="12"/>
      <c r="ALC115" s="12"/>
      <c r="ALD115" s="12"/>
      <c r="ALU115" s="12"/>
      <c r="ALV115" s="12"/>
      <c r="AMM115" s="12"/>
      <c r="AMN115" s="12"/>
      <c r="ANE115" s="12"/>
      <c r="ANF115" s="12"/>
      <c r="ANW115" s="12"/>
      <c r="ANX115" s="12"/>
      <c r="AOO115" s="12"/>
      <c r="AOP115" s="12"/>
      <c r="APG115" s="12"/>
      <c r="APH115" s="12"/>
      <c r="APY115" s="12"/>
      <c r="APZ115" s="12"/>
      <c r="AQQ115" s="12"/>
      <c r="AQR115" s="12"/>
      <c r="ARI115" s="12"/>
      <c r="ARJ115" s="12"/>
      <c r="ASA115" s="12"/>
      <c r="ASB115" s="12"/>
      <c r="ASS115" s="12"/>
      <c r="AST115" s="12"/>
      <c r="ATK115" s="12"/>
      <c r="ATL115" s="12"/>
      <c r="AUC115" s="12"/>
      <c r="AUD115" s="12"/>
      <c r="AUU115" s="12"/>
      <c r="AUV115" s="12"/>
      <c r="AVM115" s="12"/>
      <c r="AVN115" s="12"/>
      <c r="AWE115" s="12"/>
      <c r="AWF115" s="12"/>
      <c r="AWW115" s="12"/>
      <c r="AWX115" s="12"/>
      <c r="AXO115" s="12"/>
      <c r="AXP115" s="12"/>
      <c r="AYG115" s="12"/>
      <c r="AYH115" s="12"/>
      <c r="AYY115" s="12"/>
      <c r="AYZ115" s="12"/>
      <c r="AZQ115" s="12"/>
      <c r="AZR115" s="12"/>
      <c r="BAI115" s="12"/>
      <c r="BAJ115" s="12"/>
      <c r="BBA115" s="12"/>
      <c r="BBB115" s="12"/>
      <c r="BBS115" s="12"/>
      <c r="BBT115" s="12"/>
      <c r="BCK115" s="12"/>
      <c r="BCL115" s="12"/>
      <c r="BDC115" s="12"/>
      <c r="BDD115" s="12"/>
      <c r="BDU115" s="12"/>
      <c r="BDV115" s="12"/>
      <c r="BEM115" s="12"/>
      <c r="BEN115" s="12"/>
      <c r="BFE115" s="12"/>
      <c r="BFF115" s="12"/>
      <c r="BFW115" s="12"/>
      <c r="BFX115" s="12"/>
      <c r="BGO115" s="12"/>
      <c r="BGP115" s="12"/>
      <c r="BHG115" s="12"/>
      <c r="BHH115" s="12"/>
      <c r="BHY115" s="12"/>
      <c r="BHZ115" s="12"/>
      <c r="BIQ115" s="12"/>
      <c r="BIR115" s="12"/>
      <c r="BJI115" s="12"/>
      <c r="BJJ115" s="12"/>
      <c r="BKA115" s="12"/>
      <c r="BKB115" s="12"/>
      <c r="BKS115" s="12"/>
      <c r="BKT115" s="12"/>
      <c r="BLK115" s="12"/>
      <c r="BLL115" s="12"/>
      <c r="BMC115" s="12"/>
      <c r="BMD115" s="12"/>
      <c r="BMU115" s="12"/>
      <c r="BMV115" s="12"/>
      <c r="BNM115" s="12"/>
      <c r="BNN115" s="12"/>
      <c r="BOE115" s="12"/>
      <c r="BOF115" s="12"/>
      <c r="BOW115" s="12"/>
      <c r="BOX115" s="12"/>
      <c r="BPO115" s="12"/>
      <c r="BPP115" s="12"/>
      <c r="BQG115" s="12"/>
      <c r="BQH115" s="12"/>
      <c r="BQY115" s="12"/>
      <c r="BQZ115" s="12"/>
      <c r="BRQ115" s="12"/>
      <c r="BRR115" s="12"/>
      <c r="BSI115" s="12"/>
      <c r="BSJ115" s="12"/>
      <c r="BTA115" s="12"/>
      <c r="BTB115" s="12"/>
      <c r="BTS115" s="12"/>
      <c r="BTT115" s="12"/>
      <c r="BUK115" s="12"/>
      <c r="BUL115" s="12"/>
      <c r="BVC115" s="12"/>
      <c r="BVD115" s="12"/>
      <c r="BVU115" s="12"/>
      <c r="BVV115" s="12"/>
      <c r="BWM115" s="12"/>
      <c r="BWN115" s="12"/>
      <c r="BXE115" s="12"/>
      <c r="BXF115" s="12"/>
      <c r="BXW115" s="12"/>
      <c r="BXX115" s="12"/>
      <c r="BYO115" s="12"/>
      <c r="BYP115" s="12"/>
      <c r="BZG115" s="12"/>
      <c r="BZH115" s="12"/>
      <c r="BZY115" s="12"/>
      <c r="BZZ115" s="12"/>
      <c r="CAQ115" s="12"/>
      <c r="CAR115" s="12"/>
      <c r="CBI115" s="12"/>
      <c r="CBJ115" s="12"/>
      <c r="CCA115" s="12"/>
      <c r="CCB115" s="12"/>
      <c r="CCS115" s="12"/>
      <c r="CCT115" s="12"/>
      <c r="CDK115" s="12"/>
      <c r="CDL115" s="12"/>
      <c r="CEC115" s="12"/>
      <c r="CED115" s="12"/>
      <c r="CEU115" s="12"/>
      <c r="CEV115" s="12"/>
      <c r="CFM115" s="12"/>
      <c r="CFN115" s="12"/>
      <c r="CGE115" s="12"/>
      <c r="CGF115" s="12"/>
      <c r="CGW115" s="12"/>
      <c r="CGX115" s="12"/>
      <c r="CHO115" s="12"/>
      <c r="CHP115" s="12"/>
      <c r="CIG115" s="12"/>
      <c r="CIH115" s="12"/>
      <c r="CIY115" s="12"/>
      <c r="CIZ115" s="12"/>
      <c r="CJQ115" s="12"/>
      <c r="CJR115" s="12"/>
      <c r="CKI115" s="12"/>
      <c r="CKJ115" s="12"/>
      <c r="CLA115" s="12"/>
      <c r="CLB115" s="12"/>
      <c r="CLS115" s="12"/>
      <c r="CLT115" s="12"/>
      <c r="CMK115" s="12"/>
      <c r="CML115" s="12"/>
      <c r="CNC115" s="12"/>
      <c r="CND115" s="12"/>
      <c r="CNU115" s="12"/>
      <c r="CNV115" s="12"/>
      <c r="COM115" s="12"/>
      <c r="CON115" s="12"/>
      <c r="CPE115" s="12"/>
      <c r="CPF115" s="12"/>
      <c r="CPW115" s="12"/>
      <c r="CPX115" s="12"/>
      <c r="CQO115" s="12"/>
      <c r="CQP115" s="12"/>
      <c r="CRG115" s="12"/>
      <c r="CRH115" s="12"/>
      <c r="CRY115" s="12"/>
      <c r="CRZ115" s="12"/>
      <c r="CSQ115" s="12"/>
      <c r="CSR115" s="12"/>
      <c r="CTI115" s="12"/>
      <c r="CTJ115" s="12"/>
      <c r="CUA115" s="12"/>
      <c r="CUB115" s="12"/>
      <c r="CUS115" s="12"/>
      <c r="CUT115" s="12"/>
      <c r="CVK115" s="12"/>
      <c r="CVL115" s="12"/>
      <c r="CWC115" s="12"/>
      <c r="CWD115" s="12"/>
      <c r="CWU115" s="12"/>
      <c r="CWV115" s="12"/>
      <c r="CXM115" s="12"/>
      <c r="CXN115" s="12"/>
      <c r="CYE115" s="12"/>
      <c r="CYF115" s="12"/>
      <c r="CYW115" s="12"/>
      <c r="CYX115" s="12"/>
      <c r="CZO115" s="12"/>
      <c r="CZP115" s="12"/>
      <c r="DAG115" s="12"/>
      <c r="DAH115" s="12"/>
      <c r="DAY115" s="12"/>
      <c r="DAZ115" s="12"/>
      <c r="DBQ115" s="12"/>
      <c r="DBR115" s="12"/>
      <c r="DCI115" s="12"/>
      <c r="DCJ115" s="12"/>
      <c r="DDA115" s="12"/>
      <c r="DDB115" s="12"/>
      <c r="DDS115" s="12"/>
      <c r="DDT115" s="12"/>
      <c r="DEK115" s="12"/>
      <c r="DEL115" s="12"/>
      <c r="DFC115" s="12"/>
      <c r="DFD115" s="12"/>
      <c r="DFU115" s="12"/>
      <c r="DFV115" s="12"/>
      <c r="DGM115" s="12"/>
      <c r="DGN115" s="12"/>
      <c r="DHE115" s="12"/>
      <c r="DHF115" s="12"/>
      <c r="DHW115" s="12"/>
      <c r="DHX115" s="12"/>
      <c r="DIO115" s="12"/>
      <c r="DIP115" s="12"/>
      <c r="DJG115" s="12"/>
      <c r="DJH115" s="12"/>
      <c r="DJY115" s="12"/>
      <c r="DJZ115" s="12"/>
      <c r="DKQ115" s="12"/>
      <c r="DKR115" s="12"/>
      <c r="DLI115" s="12"/>
      <c r="DLJ115" s="12"/>
      <c r="DMA115" s="12"/>
      <c r="DMB115" s="12"/>
      <c r="DMS115" s="12"/>
      <c r="DMT115" s="12"/>
      <c r="DNK115" s="12"/>
      <c r="DNL115" s="12"/>
      <c r="DOC115" s="12"/>
      <c r="DOD115" s="12"/>
      <c r="DOU115" s="12"/>
      <c r="DOV115" s="12"/>
      <c r="DPM115" s="12"/>
      <c r="DPN115" s="12"/>
      <c r="DQE115" s="12"/>
      <c r="DQF115" s="12"/>
      <c r="DQW115" s="12"/>
      <c r="DQX115" s="12"/>
      <c r="DRO115" s="12"/>
      <c r="DRP115" s="12"/>
      <c r="DSG115" s="12"/>
      <c r="DSH115" s="12"/>
      <c r="DSY115" s="12"/>
      <c r="DSZ115" s="12"/>
      <c r="DTQ115" s="12"/>
      <c r="DTR115" s="12"/>
      <c r="DUI115" s="12"/>
      <c r="DUJ115" s="12"/>
      <c r="DVA115" s="12"/>
      <c r="DVB115" s="12"/>
      <c r="DVS115" s="12"/>
      <c r="DVT115" s="12"/>
      <c r="DWK115" s="12"/>
      <c r="DWL115" s="12"/>
      <c r="DXC115" s="12"/>
      <c r="DXD115" s="12"/>
      <c r="DXU115" s="12"/>
      <c r="DXV115" s="12"/>
      <c r="DYM115" s="12"/>
      <c r="DYN115" s="12"/>
      <c r="DZE115" s="12"/>
      <c r="DZF115" s="12"/>
      <c r="DZW115" s="12"/>
      <c r="DZX115" s="12"/>
      <c r="EAO115" s="12"/>
      <c r="EAP115" s="12"/>
      <c r="EBG115" s="12"/>
      <c r="EBH115" s="12"/>
      <c r="EBY115" s="12"/>
      <c r="EBZ115" s="12"/>
      <c r="ECQ115" s="12"/>
      <c r="ECR115" s="12"/>
      <c r="EDI115" s="12"/>
      <c r="EDJ115" s="12"/>
      <c r="EEA115" s="12"/>
      <c r="EEB115" s="12"/>
      <c r="EES115" s="12"/>
      <c r="EET115" s="12"/>
      <c r="EFK115" s="12"/>
      <c r="EFL115" s="12"/>
      <c r="EGC115" s="12"/>
      <c r="EGD115" s="12"/>
      <c r="EGU115" s="12"/>
      <c r="EGV115" s="12"/>
      <c r="EHM115" s="12"/>
      <c r="EHN115" s="12"/>
      <c r="EIE115" s="12"/>
      <c r="EIF115" s="12"/>
      <c r="EIW115" s="12"/>
      <c r="EIX115" s="12"/>
      <c r="EJO115" s="12"/>
      <c r="EJP115" s="12"/>
      <c r="EKG115" s="12"/>
      <c r="EKH115" s="12"/>
      <c r="EKY115" s="12"/>
      <c r="EKZ115" s="12"/>
      <c r="ELQ115" s="12"/>
      <c r="ELR115" s="12"/>
      <c r="EMI115" s="12"/>
      <c r="EMJ115" s="12"/>
      <c r="ENA115" s="12"/>
      <c r="ENB115" s="12"/>
      <c r="ENS115" s="12"/>
      <c r="ENT115" s="12"/>
      <c r="EOK115" s="12"/>
      <c r="EOL115" s="12"/>
      <c r="EPC115" s="12"/>
      <c r="EPD115" s="12"/>
      <c r="EPU115" s="12"/>
      <c r="EPV115" s="12"/>
      <c r="EQM115" s="12"/>
      <c r="EQN115" s="12"/>
      <c r="ERE115" s="12"/>
      <c r="ERF115" s="12"/>
      <c r="ERW115" s="12"/>
      <c r="ERX115" s="12"/>
      <c r="ESO115" s="12"/>
      <c r="ESP115" s="12"/>
      <c r="ETG115" s="12"/>
      <c r="ETH115" s="12"/>
      <c r="ETY115" s="12"/>
      <c r="ETZ115" s="12"/>
      <c r="EUQ115" s="12"/>
      <c r="EUR115" s="12"/>
      <c r="EVI115" s="12"/>
      <c r="EVJ115" s="12"/>
      <c r="EWA115" s="12"/>
      <c r="EWB115" s="12"/>
      <c r="EWS115" s="12"/>
      <c r="EWT115" s="12"/>
      <c r="EXK115" s="12"/>
      <c r="EXL115" s="12"/>
      <c r="EYC115" s="12"/>
      <c r="EYD115" s="12"/>
      <c r="EYU115" s="12"/>
      <c r="EYV115" s="12"/>
      <c r="EZM115" s="12"/>
      <c r="EZN115" s="12"/>
      <c r="FAE115" s="12"/>
      <c r="FAF115" s="12"/>
      <c r="FAW115" s="12"/>
      <c r="FAX115" s="12"/>
      <c r="FBO115" s="12"/>
      <c r="FBP115" s="12"/>
      <c r="FCG115" s="12"/>
      <c r="FCH115" s="12"/>
      <c r="FCY115" s="12"/>
      <c r="FCZ115" s="12"/>
      <c r="FDQ115" s="12"/>
      <c r="FDR115" s="12"/>
      <c r="FEI115" s="12"/>
      <c r="FEJ115" s="12"/>
      <c r="FFA115" s="12"/>
      <c r="FFB115" s="12"/>
      <c r="FFS115" s="12"/>
      <c r="FFT115" s="12"/>
      <c r="FGK115" s="12"/>
      <c r="FGL115" s="12"/>
      <c r="FHC115" s="12"/>
      <c r="FHD115" s="12"/>
      <c r="FHU115" s="12"/>
      <c r="FHV115" s="12"/>
      <c r="FIM115" s="12"/>
      <c r="FIN115" s="12"/>
      <c r="FJE115" s="12"/>
      <c r="FJF115" s="12"/>
      <c r="FJW115" s="12"/>
      <c r="FJX115" s="12"/>
      <c r="FKO115" s="12"/>
      <c r="FKP115" s="12"/>
      <c r="FLG115" s="12"/>
      <c r="FLH115" s="12"/>
      <c r="FLY115" s="12"/>
      <c r="FLZ115" s="12"/>
      <c r="FMQ115" s="12"/>
      <c r="FMR115" s="12"/>
      <c r="FNI115" s="12"/>
      <c r="FNJ115" s="12"/>
      <c r="FOA115" s="12"/>
      <c r="FOB115" s="12"/>
      <c r="FOS115" s="12"/>
      <c r="FOT115" s="12"/>
      <c r="FPK115" s="12"/>
      <c r="FPL115" s="12"/>
      <c r="FQC115" s="12"/>
      <c r="FQD115" s="12"/>
      <c r="FQU115" s="12"/>
      <c r="FQV115" s="12"/>
      <c r="FRM115" s="12"/>
      <c r="FRN115" s="12"/>
      <c r="FSE115" s="12"/>
      <c r="FSF115" s="12"/>
      <c r="FSW115" s="12"/>
      <c r="FSX115" s="12"/>
      <c r="FTO115" s="12"/>
      <c r="FTP115" s="12"/>
      <c r="FUG115" s="12"/>
      <c r="FUH115" s="12"/>
      <c r="FUY115" s="12"/>
      <c r="FUZ115" s="12"/>
      <c r="FVQ115" s="12"/>
      <c r="FVR115" s="12"/>
      <c r="FWI115" s="12"/>
      <c r="FWJ115" s="12"/>
      <c r="FXA115" s="12"/>
      <c r="FXB115" s="12"/>
      <c r="FXS115" s="12"/>
      <c r="FXT115" s="12"/>
      <c r="FYK115" s="12"/>
      <c r="FYL115" s="12"/>
      <c r="FZC115" s="12"/>
      <c r="FZD115" s="12"/>
      <c r="FZU115" s="12"/>
      <c r="FZV115" s="12"/>
      <c r="GAM115" s="12"/>
      <c r="GAN115" s="12"/>
      <c r="GBE115" s="12"/>
      <c r="GBF115" s="12"/>
      <c r="GBW115" s="12"/>
      <c r="GBX115" s="12"/>
      <c r="GCO115" s="12"/>
      <c r="GCP115" s="12"/>
      <c r="GDG115" s="12"/>
      <c r="GDH115" s="12"/>
      <c r="GDY115" s="12"/>
      <c r="GDZ115" s="12"/>
      <c r="GEQ115" s="12"/>
      <c r="GER115" s="12"/>
      <c r="GFI115" s="12"/>
      <c r="GFJ115" s="12"/>
      <c r="GGA115" s="12"/>
      <c r="GGB115" s="12"/>
      <c r="GGS115" s="12"/>
      <c r="GGT115" s="12"/>
      <c r="GHK115" s="12"/>
      <c r="GHL115" s="12"/>
      <c r="GIC115" s="12"/>
      <c r="GID115" s="12"/>
      <c r="GIU115" s="12"/>
      <c r="GIV115" s="12"/>
      <c r="GJM115" s="12"/>
      <c r="GJN115" s="12"/>
      <c r="GKE115" s="12"/>
      <c r="GKF115" s="12"/>
      <c r="GKW115" s="12"/>
      <c r="GKX115" s="12"/>
      <c r="GLO115" s="12"/>
      <c r="GLP115" s="12"/>
      <c r="GMG115" s="12"/>
      <c r="GMH115" s="12"/>
      <c r="GMY115" s="12"/>
      <c r="GMZ115" s="12"/>
      <c r="GNQ115" s="12"/>
      <c r="GNR115" s="12"/>
      <c r="GOI115" s="12"/>
      <c r="GOJ115" s="12"/>
      <c r="GPA115" s="12"/>
      <c r="GPB115" s="12"/>
      <c r="GPS115" s="12"/>
      <c r="GPT115" s="12"/>
      <c r="GQK115" s="12"/>
      <c r="GQL115" s="12"/>
      <c r="GRC115" s="12"/>
      <c r="GRD115" s="12"/>
      <c r="GRU115" s="12"/>
      <c r="GRV115" s="12"/>
      <c r="GSM115" s="12"/>
      <c r="GSN115" s="12"/>
      <c r="GTE115" s="12"/>
      <c r="GTF115" s="12"/>
      <c r="GTW115" s="12"/>
      <c r="GTX115" s="12"/>
      <c r="GUO115" s="12"/>
      <c r="GUP115" s="12"/>
      <c r="GVG115" s="12"/>
      <c r="GVH115" s="12"/>
      <c r="GVY115" s="12"/>
      <c r="GVZ115" s="12"/>
      <c r="GWQ115" s="12"/>
      <c r="GWR115" s="12"/>
      <c r="GXI115" s="12"/>
      <c r="GXJ115" s="12"/>
      <c r="GYA115" s="12"/>
      <c r="GYB115" s="12"/>
      <c r="GYS115" s="12"/>
      <c r="GYT115" s="12"/>
      <c r="GZK115" s="12"/>
      <c r="GZL115" s="12"/>
      <c r="HAC115" s="12"/>
      <c r="HAD115" s="12"/>
      <c r="HAU115" s="12"/>
      <c r="HAV115" s="12"/>
      <c r="HBM115" s="12"/>
      <c r="HBN115" s="12"/>
      <c r="HCE115" s="12"/>
      <c r="HCF115" s="12"/>
      <c r="HCW115" s="12"/>
      <c r="HCX115" s="12"/>
      <c r="HDO115" s="12"/>
      <c r="HDP115" s="12"/>
      <c r="HEG115" s="12"/>
      <c r="HEH115" s="12"/>
      <c r="HEY115" s="12"/>
      <c r="HEZ115" s="12"/>
      <c r="HFQ115" s="12"/>
      <c r="HFR115" s="12"/>
      <c r="HGI115" s="12"/>
      <c r="HGJ115" s="12"/>
      <c r="HHA115" s="12"/>
      <c r="HHB115" s="12"/>
      <c r="HHS115" s="12"/>
      <c r="HHT115" s="12"/>
      <c r="HIK115" s="12"/>
      <c r="HIL115" s="12"/>
      <c r="HJC115" s="12"/>
      <c r="HJD115" s="12"/>
      <c r="HJU115" s="12"/>
      <c r="HJV115" s="12"/>
      <c r="HKM115" s="12"/>
      <c r="HKN115" s="12"/>
      <c r="HLE115" s="12"/>
      <c r="HLF115" s="12"/>
      <c r="HLW115" s="12"/>
      <c r="HLX115" s="12"/>
      <c r="HMO115" s="12"/>
      <c r="HMP115" s="12"/>
      <c r="HNG115" s="12"/>
      <c r="HNH115" s="12"/>
      <c r="HNY115" s="12"/>
      <c r="HNZ115" s="12"/>
      <c r="HOQ115" s="12"/>
      <c r="HOR115" s="12"/>
      <c r="HPI115" s="12"/>
      <c r="HPJ115" s="12"/>
      <c r="HQA115" s="12"/>
      <c r="HQB115" s="12"/>
      <c r="HQS115" s="12"/>
      <c r="HQT115" s="12"/>
      <c r="HRK115" s="12"/>
      <c r="HRL115" s="12"/>
      <c r="HSC115" s="12"/>
      <c r="HSD115" s="12"/>
      <c r="HSU115" s="12"/>
      <c r="HSV115" s="12"/>
      <c r="HTM115" s="12"/>
      <c r="HTN115" s="12"/>
      <c r="HUE115" s="12"/>
      <c r="HUF115" s="12"/>
      <c r="HUW115" s="12"/>
      <c r="HUX115" s="12"/>
      <c r="HVO115" s="12"/>
      <c r="HVP115" s="12"/>
      <c r="HWG115" s="12"/>
      <c r="HWH115" s="12"/>
      <c r="HWY115" s="12"/>
      <c r="HWZ115" s="12"/>
      <c r="HXQ115" s="12"/>
      <c r="HXR115" s="12"/>
      <c r="HYI115" s="12"/>
      <c r="HYJ115" s="12"/>
      <c r="HZA115" s="12"/>
      <c r="HZB115" s="12"/>
      <c r="HZS115" s="12"/>
      <c r="HZT115" s="12"/>
      <c r="IAK115" s="12"/>
      <c r="IAL115" s="12"/>
      <c r="IBC115" s="12"/>
      <c r="IBD115" s="12"/>
      <c r="IBU115" s="12"/>
      <c r="IBV115" s="12"/>
      <c r="ICM115" s="12"/>
      <c r="ICN115" s="12"/>
      <c r="IDE115" s="12"/>
      <c r="IDF115" s="12"/>
      <c r="IDW115" s="12"/>
      <c r="IDX115" s="12"/>
      <c r="IEO115" s="12"/>
      <c r="IEP115" s="12"/>
      <c r="IFG115" s="12"/>
      <c r="IFH115" s="12"/>
      <c r="IFY115" s="12"/>
      <c r="IFZ115" s="12"/>
      <c r="IGQ115" s="12"/>
      <c r="IGR115" s="12"/>
      <c r="IHI115" s="12"/>
      <c r="IHJ115" s="12"/>
      <c r="IIA115" s="12"/>
      <c r="IIB115" s="12"/>
      <c r="IIS115" s="12"/>
      <c r="IIT115" s="12"/>
      <c r="IJK115" s="12"/>
      <c r="IJL115" s="12"/>
      <c r="IKC115" s="12"/>
      <c r="IKD115" s="12"/>
      <c r="IKU115" s="12"/>
      <c r="IKV115" s="12"/>
      <c r="ILM115" s="12"/>
      <c r="ILN115" s="12"/>
      <c r="IME115" s="12"/>
      <c r="IMF115" s="12"/>
      <c r="IMW115" s="12"/>
      <c r="IMX115" s="12"/>
      <c r="INO115" s="12"/>
      <c r="INP115" s="12"/>
      <c r="IOG115" s="12"/>
      <c r="IOH115" s="12"/>
      <c r="IOY115" s="12"/>
      <c r="IOZ115" s="12"/>
      <c r="IPQ115" s="12"/>
      <c r="IPR115" s="12"/>
      <c r="IQI115" s="12"/>
      <c r="IQJ115" s="12"/>
      <c r="IRA115" s="12"/>
      <c r="IRB115" s="12"/>
      <c r="IRS115" s="12"/>
      <c r="IRT115" s="12"/>
      <c r="ISK115" s="12"/>
      <c r="ISL115" s="12"/>
      <c r="ITC115" s="12"/>
      <c r="ITD115" s="12"/>
      <c r="ITU115" s="12"/>
      <c r="ITV115" s="12"/>
      <c r="IUM115" s="12"/>
      <c r="IUN115" s="12"/>
      <c r="IVE115" s="12"/>
      <c r="IVF115" s="12"/>
      <c r="IVW115" s="12"/>
      <c r="IVX115" s="12"/>
      <c r="IWO115" s="12"/>
      <c r="IWP115" s="12"/>
      <c r="IXG115" s="12"/>
      <c r="IXH115" s="12"/>
      <c r="IXY115" s="12"/>
      <c r="IXZ115" s="12"/>
      <c r="IYQ115" s="12"/>
      <c r="IYR115" s="12"/>
      <c r="IZI115" s="12"/>
      <c r="IZJ115" s="12"/>
      <c r="JAA115" s="12"/>
      <c r="JAB115" s="12"/>
      <c r="JAS115" s="12"/>
      <c r="JAT115" s="12"/>
      <c r="JBK115" s="12"/>
      <c r="JBL115" s="12"/>
      <c r="JCC115" s="12"/>
      <c r="JCD115" s="12"/>
      <c r="JCU115" s="12"/>
      <c r="JCV115" s="12"/>
      <c r="JDM115" s="12"/>
      <c r="JDN115" s="12"/>
      <c r="JEE115" s="12"/>
      <c r="JEF115" s="12"/>
      <c r="JEW115" s="12"/>
      <c r="JEX115" s="12"/>
      <c r="JFO115" s="12"/>
      <c r="JFP115" s="12"/>
      <c r="JGG115" s="12"/>
      <c r="JGH115" s="12"/>
      <c r="JGY115" s="12"/>
      <c r="JGZ115" s="12"/>
      <c r="JHQ115" s="12"/>
      <c r="JHR115" s="12"/>
      <c r="JII115" s="12"/>
      <c r="JIJ115" s="12"/>
      <c r="JJA115" s="12"/>
      <c r="JJB115" s="12"/>
      <c r="JJS115" s="12"/>
      <c r="JJT115" s="12"/>
      <c r="JKK115" s="12"/>
      <c r="JKL115" s="12"/>
      <c r="JLC115" s="12"/>
      <c r="JLD115" s="12"/>
      <c r="JLU115" s="12"/>
      <c r="JLV115" s="12"/>
      <c r="JMM115" s="12"/>
      <c r="JMN115" s="12"/>
      <c r="JNE115" s="12"/>
      <c r="JNF115" s="12"/>
      <c r="JNW115" s="12"/>
      <c r="JNX115" s="12"/>
      <c r="JOO115" s="12"/>
      <c r="JOP115" s="12"/>
      <c r="JPG115" s="12"/>
      <c r="JPH115" s="12"/>
      <c r="JPY115" s="12"/>
      <c r="JPZ115" s="12"/>
      <c r="JQQ115" s="12"/>
      <c r="JQR115" s="12"/>
      <c r="JRI115" s="12"/>
      <c r="JRJ115" s="12"/>
      <c r="JSA115" s="12"/>
      <c r="JSB115" s="12"/>
      <c r="JSS115" s="12"/>
      <c r="JST115" s="12"/>
      <c r="JTK115" s="12"/>
      <c r="JTL115" s="12"/>
      <c r="JUC115" s="12"/>
      <c r="JUD115" s="12"/>
      <c r="JUU115" s="12"/>
      <c r="JUV115" s="12"/>
      <c r="JVM115" s="12"/>
      <c r="JVN115" s="12"/>
      <c r="JWE115" s="12"/>
      <c r="JWF115" s="12"/>
      <c r="JWW115" s="12"/>
      <c r="JWX115" s="12"/>
      <c r="JXO115" s="12"/>
      <c r="JXP115" s="12"/>
      <c r="JYG115" s="12"/>
      <c r="JYH115" s="12"/>
      <c r="JYY115" s="12"/>
      <c r="JYZ115" s="12"/>
      <c r="JZQ115" s="12"/>
      <c r="JZR115" s="12"/>
      <c r="KAI115" s="12"/>
      <c r="KAJ115" s="12"/>
      <c r="KBA115" s="12"/>
      <c r="KBB115" s="12"/>
      <c r="KBS115" s="12"/>
      <c r="KBT115" s="12"/>
      <c r="KCK115" s="12"/>
      <c r="KCL115" s="12"/>
      <c r="KDC115" s="12"/>
      <c r="KDD115" s="12"/>
      <c r="KDU115" s="12"/>
      <c r="KDV115" s="12"/>
      <c r="KEM115" s="12"/>
      <c r="KEN115" s="12"/>
      <c r="KFE115" s="12"/>
      <c r="KFF115" s="12"/>
      <c r="KFW115" s="12"/>
      <c r="KFX115" s="12"/>
      <c r="KGO115" s="12"/>
      <c r="KGP115" s="12"/>
      <c r="KHG115" s="12"/>
      <c r="KHH115" s="12"/>
      <c r="KHY115" s="12"/>
      <c r="KHZ115" s="12"/>
      <c r="KIQ115" s="12"/>
      <c r="KIR115" s="12"/>
      <c r="KJI115" s="12"/>
      <c r="KJJ115" s="12"/>
      <c r="KKA115" s="12"/>
      <c r="KKB115" s="12"/>
      <c r="KKS115" s="12"/>
      <c r="KKT115" s="12"/>
      <c r="KLK115" s="12"/>
      <c r="KLL115" s="12"/>
      <c r="KMC115" s="12"/>
      <c r="KMD115" s="12"/>
      <c r="KMU115" s="12"/>
      <c r="KMV115" s="12"/>
      <c r="KNM115" s="12"/>
      <c r="KNN115" s="12"/>
      <c r="KOE115" s="12"/>
      <c r="KOF115" s="12"/>
      <c r="KOW115" s="12"/>
      <c r="KOX115" s="12"/>
      <c r="KPO115" s="12"/>
      <c r="KPP115" s="12"/>
      <c r="KQG115" s="12"/>
      <c r="KQH115" s="12"/>
      <c r="KQY115" s="12"/>
      <c r="KQZ115" s="12"/>
      <c r="KRQ115" s="12"/>
      <c r="KRR115" s="12"/>
      <c r="KSI115" s="12"/>
      <c r="KSJ115" s="12"/>
      <c r="KTA115" s="12"/>
      <c r="KTB115" s="12"/>
      <c r="KTS115" s="12"/>
      <c r="KTT115" s="12"/>
      <c r="KUK115" s="12"/>
      <c r="KUL115" s="12"/>
      <c r="KVC115" s="12"/>
      <c r="KVD115" s="12"/>
      <c r="KVU115" s="12"/>
      <c r="KVV115" s="12"/>
      <c r="KWM115" s="12"/>
      <c r="KWN115" s="12"/>
      <c r="KXE115" s="12"/>
      <c r="KXF115" s="12"/>
      <c r="KXW115" s="12"/>
      <c r="KXX115" s="12"/>
      <c r="KYO115" s="12"/>
      <c r="KYP115" s="12"/>
      <c r="KZG115" s="12"/>
      <c r="KZH115" s="12"/>
      <c r="KZY115" s="12"/>
      <c r="KZZ115" s="12"/>
      <c r="LAQ115" s="12"/>
      <c r="LAR115" s="12"/>
      <c r="LBI115" s="12"/>
      <c r="LBJ115" s="12"/>
      <c r="LCA115" s="12"/>
      <c r="LCB115" s="12"/>
      <c r="LCS115" s="12"/>
      <c r="LCT115" s="12"/>
      <c r="LDK115" s="12"/>
      <c r="LDL115" s="12"/>
      <c r="LEC115" s="12"/>
      <c r="LED115" s="12"/>
      <c r="LEU115" s="12"/>
      <c r="LEV115" s="12"/>
      <c r="LFM115" s="12"/>
      <c r="LFN115" s="12"/>
      <c r="LGE115" s="12"/>
      <c r="LGF115" s="12"/>
      <c r="LGW115" s="12"/>
      <c r="LGX115" s="12"/>
      <c r="LHO115" s="12"/>
      <c r="LHP115" s="12"/>
      <c r="LIG115" s="12"/>
      <c r="LIH115" s="12"/>
      <c r="LIY115" s="12"/>
      <c r="LIZ115" s="12"/>
      <c r="LJQ115" s="12"/>
      <c r="LJR115" s="12"/>
      <c r="LKI115" s="12"/>
      <c r="LKJ115" s="12"/>
      <c r="LLA115" s="12"/>
      <c r="LLB115" s="12"/>
      <c r="LLS115" s="12"/>
      <c r="LLT115" s="12"/>
      <c r="LMK115" s="12"/>
      <c r="LML115" s="12"/>
      <c r="LNC115" s="12"/>
      <c r="LND115" s="12"/>
      <c r="LNU115" s="12"/>
      <c r="LNV115" s="12"/>
      <c r="LOM115" s="12"/>
      <c r="LON115" s="12"/>
      <c r="LPE115" s="12"/>
      <c r="LPF115" s="12"/>
      <c r="LPW115" s="12"/>
      <c r="LPX115" s="12"/>
      <c r="LQO115" s="12"/>
      <c r="LQP115" s="12"/>
      <c r="LRG115" s="12"/>
      <c r="LRH115" s="12"/>
      <c r="LRY115" s="12"/>
      <c r="LRZ115" s="12"/>
      <c r="LSQ115" s="12"/>
      <c r="LSR115" s="12"/>
      <c r="LTI115" s="12"/>
      <c r="LTJ115" s="12"/>
      <c r="LUA115" s="12"/>
      <c r="LUB115" s="12"/>
      <c r="LUS115" s="12"/>
      <c r="LUT115" s="12"/>
      <c r="LVK115" s="12"/>
      <c r="LVL115" s="12"/>
      <c r="LWC115" s="12"/>
      <c r="LWD115" s="12"/>
      <c r="LWU115" s="12"/>
      <c r="LWV115" s="12"/>
      <c r="LXM115" s="12"/>
      <c r="LXN115" s="12"/>
      <c r="LYE115" s="12"/>
      <c r="LYF115" s="12"/>
      <c r="LYW115" s="12"/>
      <c r="LYX115" s="12"/>
      <c r="LZO115" s="12"/>
      <c r="LZP115" s="12"/>
      <c r="MAG115" s="12"/>
      <c r="MAH115" s="12"/>
      <c r="MAY115" s="12"/>
      <c r="MAZ115" s="12"/>
      <c r="MBQ115" s="12"/>
      <c r="MBR115" s="12"/>
      <c r="MCI115" s="12"/>
      <c r="MCJ115" s="12"/>
      <c r="MDA115" s="12"/>
      <c r="MDB115" s="12"/>
      <c r="MDS115" s="12"/>
      <c r="MDT115" s="12"/>
      <c r="MEK115" s="12"/>
      <c r="MEL115" s="12"/>
      <c r="MFC115" s="12"/>
      <c r="MFD115" s="12"/>
      <c r="MFU115" s="12"/>
      <c r="MFV115" s="12"/>
      <c r="MGM115" s="12"/>
      <c r="MGN115" s="12"/>
      <c r="MHE115" s="12"/>
      <c r="MHF115" s="12"/>
      <c r="MHW115" s="12"/>
      <c r="MHX115" s="12"/>
      <c r="MIO115" s="12"/>
      <c r="MIP115" s="12"/>
      <c r="MJG115" s="12"/>
      <c r="MJH115" s="12"/>
      <c r="MJY115" s="12"/>
      <c r="MJZ115" s="12"/>
      <c r="MKQ115" s="12"/>
      <c r="MKR115" s="12"/>
      <c r="MLI115" s="12"/>
      <c r="MLJ115" s="12"/>
      <c r="MMA115" s="12"/>
      <c r="MMB115" s="12"/>
      <c r="MMS115" s="12"/>
      <c r="MMT115" s="12"/>
      <c r="MNK115" s="12"/>
      <c r="MNL115" s="12"/>
      <c r="MOC115" s="12"/>
      <c r="MOD115" s="12"/>
      <c r="MOU115" s="12"/>
      <c r="MOV115" s="12"/>
      <c r="MPM115" s="12"/>
      <c r="MPN115" s="12"/>
      <c r="MQE115" s="12"/>
      <c r="MQF115" s="12"/>
      <c r="MQW115" s="12"/>
      <c r="MQX115" s="12"/>
      <c r="MRO115" s="12"/>
      <c r="MRP115" s="12"/>
      <c r="MSG115" s="12"/>
      <c r="MSH115" s="12"/>
      <c r="MSY115" s="12"/>
      <c r="MSZ115" s="12"/>
      <c r="MTQ115" s="12"/>
      <c r="MTR115" s="12"/>
      <c r="MUI115" s="12"/>
      <c r="MUJ115" s="12"/>
      <c r="MVA115" s="12"/>
      <c r="MVB115" s="12"/>
      <c r="MVS115" s="12"/>
      <c r="MVT115" s="12"/>
      <c r="MWK115" s="12"/>
      <c r="MWL115" s="12"/>
      <c r="MXC115" s="12"/>
      <c r="MXD115" s="12"/>
      <c r="MXU115" s="12"/>
      <c r="MXV115" s="12"/>
      <c r="MYM115" s="12"/>
      <c r="MYN115" s="12"/>
      <c r="MZE115" s="12"/>
      <c r="MZF115" s="12"/>
      <c r="MZW115" s="12"/>
      <c r="MZX115" s="12"/>
      <c r="NAO115" s="12"/>
      <c r="NAP115" s="12"/>
      <c r="NBG115" s="12"/>
      <c r="NBH115" s="12"/>
      <c r="NBY115" s="12"/>
      <c r="NBZ115" s="12"/>
      <c r="NCQ115" s="12"/>
      <c r="NCR115" s="12"/>
      <c r="NDI115" s="12"/>
      <c r="NDJ115" s="12"/>
      <c r="NEA115" s="12"/>
      <c r="NEB115" s="12"/>
      <c r="NES115" s="12"/>
      <c r="NET115" s="12"/>
      <c r="NFK115" s="12"/>
      <c r="NFL115" s="12"/>
      <c r="NGC115" s="12"/>
      <c r="NGD115" s="12"/>
      <c r="NGU115" s="12"/>
      <c r="NGV115" s="12"/>
      <c r="NHM115" s="12"/>
      <c r="NHN115" s="12"/>
      <c r="NIE115" s="12"/>
      <c r="NIF115" s="12"/>
      <c r="NIW115" s="12"/>
      <c r="NIX115" s="12"/>
      <c r="NJO115" s="12"/>
      <c r="NJP115" s="12"/>
      <c r="NKG115" s="12"/>
      <c r="NKH115" s="12"/>
      <c r="NKY115" s="12"/>
      <c r="NKZ115" s="12"/>
      <c r="NLQ115" s="12"/>
      <c r="NLR115" s="12"/>
      <c r="NMI115" s="12"/>
      <c r="NMJ115" s="12"/>
      <c r="NNA115" s="12"/>
      <c r="NNB115" s="12"/>
      <c r="NNS115" s="12"/>
      <c r="NNT115" s="12"/>
      <c r="NOK115" s="12"/>
      <c r="NOL115" s="12"/>
      <c r="NPC115" s="12"/>
      <c r="NPD115" s="12"/>
      <c r="NPU115" s="12"/>
      <c r="NPV115" s="12"/>
      <c r="NQM115" s="12"/>
      <c r="NQN115" s="12"/>
      <c r="NRE115" s="12"/>
      <c r="NRF115" s="12"/>
      <c r="NRW115" s="12"/>
      <c r="NRX115" s="12"/>
      <c r="NSO115" s="12"/>
      <c r="NSP115" s="12"/>
      <c r="NTG115" s="12"/>
      <c r="NTH115" s="12"/>
      <c r="NTY115" s="12"/>
      <c r="NTZ115" s="12"/>
      <c r="NUQ115" s="12"/>
      <c r="NUR115" s="12"/>
      <c r="NVI115" s="12"/>
      <c r="NVJ115" s="12"/>
      <c r="NWA115" s="12"/>
      <c r="NWB115" s="12"/>
      <c r="NWS115" s="12"/>
      <c r="NWT115" s="12"/>
      <c r="NXK115" s="12"/>
      <c r="NXL115" s="12"/>
      <c r="NYC115" s="12"/>
      <c r="NYD115" s="12"/>
      <c r="NYU115" s="12"/>
      <c r="NYV115" s="12"/>
      <c r="NZM115" s="12"/>
      <c r="NZN115" s="12"/>
      <c r="OAE115" s="12"/>
      <c r="OAF115" s="12"/>
      <c r="OAW115" s="12"/>
      <c r="OAX115" s="12"/>
      <c r="OBO115" s="12"/>
      <c r="OBP115" s="12"/>
      <c r="OCG115" s="12"/>
      <c r="OCH115" s="12"/>
      <c r="OCY115" s="12"/>
      <c r="OCZ115" s="12"/>
      <c r="ODQ115" s="12"/>
      <c r="ODR115" s="12"/>
      <c r="OEI115" s="12"/>
      <c r="OEJ115" s="12"/>
      <c r="OFA115" s="12"/>
      <c r="OFB115" s="12"/>
      <c r="OFS115" s="12"/>
      <c r="OFT115" s="12"/>
      <c r="OGK115" s="12"/>
      <c r="OGL115" s="12"/>
      <c r="OHC115" s="12"/>
      <c r="OHD115" s="12"/>
      <c r="OHU115" s="12"/>
      <c r="OHV115" s="12"/>
      <c r="OIM115" s="12"/>
      <c r="OIN115" s="12"/>
      <c r="OJE115" s="12"/>
      <c r="OJF115" s="12"/>
      <c r="OJW115" s="12"/>
      <c r="OJX115" s="12"/>
      <c r="OKO115" s="12"/>
      <c r="OKP115" s="12"/>
      <c r="OLG115" s="12"/>
      <c r="OLH115" s="12"/>
      <c r="OLY115" s="12"/>
      <c r="OLZ115" s="12"/>
      <c r="OMQ115" s="12"/>
      <c r="OMR115" s="12"/>
      <c r="ONI115" s="12"/>
      <c r="ONJ115" s="12"/>
      <c r="OOA115" s="12"/>
      <c r="OOB115" s="12"/>
      <c r="OOS115" s="12"/>
      <c r="OOT115" s="12"/>
      <c r="OPK115" s="12"/>
      <c r="OPL115" s="12"/>
      <c r="OQC115" s="12"/>
      <c r="OQD115" s="12"/>
      <c r="OQU115" s="12"/>
      <c r="OQV115" s="12"/>
      <c r="ORM115" s="12"/>
      <c r="ORN115" s="12"/>
      <c r="OSE115" s="12"/>
      <c r="OSF115" s="12"/>
      <c r="OSW115" s="12"/>
      <c r="OSX115" s="12"/>
      <c r="OTO115" s="12"/>
      <c r="OTP115" s="12"/>
      <c r="OUG115" s="12"/>
      <c r="OUH115" s="12"/>
      <c r="OUY115" s="12"/>
      <c r="OUZ115" s="12"/>
      <c r="OVQ115" s="12"/>
      <c r="OVR115" s="12"/>
      <c r="OWI115" s="12"/>
      <c r="OWJ115" s="12"/>
      <c r="OXA115" s="12"/>
      <c r="OXB115" s="12"/>
      <c r="OXS115" s="12"/>
      <c r="OXT115" s="12"/>
      <c r="OYK115" s="12"/>
      <c r="OYL115" s="12"/>
      <c r="OZC115" s="12"/>
      <c r="OZD115" s="12"/>
      <c r="OZU115" s="12"/>
      <c r="OZV115" s="12"/>
      <c r="PAM115" s="12"/>
      <c r="PAN115" s="12"/>
      <c r="PBE115" s="12"/>
      <c r="PBF115" s="12"/>
      <c r="PBW115" s="12"/>
      <c r="PBX115" s="12"/>
      <c r="PCO115" s="12"/>
      <c r="PCP115" s="12"/>
      <c r="PDG115" s="12"/>
      <c r="PDH115" s="12"/>
      <c r="PDY115" s="12"/>
      <c r="PDZ115" s="12"/>
      <c r="PEQ115" s="12"/>
      <c r="PER115" s="12"/>
      <c r="PFI115" s="12"/>
      <c r="PFJ115" s="12"/>
      <c r="PGA115" s="12"/>
      <c r="PGB115" s="12"/>
      <c r="PGS115" s="12"/>
      <c r="PGT115" s="12"/>
      <c r="PHK115" s="12"/>
      <c r="PHL115" s="12"/>
      <c r="PIC115" s="12"/>
      <c r="PID115" s="12"/>
      <c r="PIU115" s="12"/>
      <c r="PIV115" s="12"/>
      <c r="PJM115" s="12"/>
      <c r="PJN115" s="12"/>
      <c r="PKE115" s="12"/>
      <c r="PKF115" s="12"/>
      <c r="PKW115" s="12"/>
      <c r="PKX115" s="12"/>
      <c r="PLO115" s="12"/>
      <c r="PLP115" s="12"/>
      <c r="PMG115" s="12"/>
      <c r="PMH115" s="12"/>
      <c r="PMY115" s="12"/>
      <c r="PMZ115" s="12"/>
      <c r="PNQ115" s="12"/>
      <c r="PNR115" s="12"/>
      <c r="POI115" s="12"/>
      <c r="POJ115" s="12"/>
      <c r="PPA115" s="12"/>
      <c r="PPB115" s="12"/>
      <c r="PPS115" s="12"/>
      <c r="PPT115" s="12"/>
      <c r="PQK115" s="12"/>
      <c r="PQL115" s="12"/>
      <c r="PRC115" s="12"/>
      <c r="PRD115" s="12"/>
      <c r="PRU115" s="12"/>
      <c r="PRV115" s="12"/>
      <c r="PSM115" s="12"/>
      <c r="PSN115" s="12"/>
      <c r="PTE115" s="12"/>
      <c r="PTF115" s="12"/>
      <c r="PTW115" s="12"/>
      <c r="PTX115" s="12"/>
      <c r="PUO115" s="12"/>
      <c r="PUP115" s="12"/>
      <c r="PVG115" s="12"/>
      <c r="PVH115" s="12"/>
      <c r="PVY115" s="12"/>
      <c r="PVZ115" s="12"/>
      <c r="PWQ115" s="12"/>
      <c r="PWR115" s="12"/>
      <c r="PXI115" s="12"/>
      <c r="PXJ115" s="12"/>
      <c r="PYA115" s="12"/>
      <c r="PYB115" s="12"/>
      <c r="PYS115" s="12"/>
      <c r="PYT115" s="12"/>
      <c r="PZK115" s="12"/>
      <c r="PZL115" s="12"/>
      <c r="QAC115" s="12"/>
      <c r="QAD115" s="12"/>
      <c r="QAU115" s="12"/>
      <c r="QAV115" s="12"/>
      <c r="QBM115" s="12"/>
      <c r="QBN115" s="12"/>
      <c r="QCE115" s="12"/>
      <c r="QCF115" s="12"/>
      <c r="QCW115" s="12"/>
      <c r="QCX115" s="12"/>
      <c r="QDO115" s="12"/>
      <c r="QDP115" s="12"/>
      <c r="QEG115" s="12"/>
      <c r="QEH115" s="12"/>
      <c r="QEY115" s="12"/>
      <c r="QEZ115" s="12"/>
      <c r="QFQ115" s="12"/>
      <c r="QFR115" s="12"/>
      <c r="QGI115" s="12"/>
      <c r="QGJ115" s="12"/>
      <c r="QHA115" s="12"/>
      <c r="QHB115" s="12"/>
      <c r="QHS115" s="12"/>
      <c r="QHT115" s="12"/>
      <c r="QIK115" s="12"/>
      <c r="QIL115" s="12"/>
      <c r="QJC115" s="12"/>
      <c r="QJD115" s="12"/>
      <c r="QJU115" s="12"/>
      <c r="QJV115" s="12"/>
      <c r="QKM115" s="12"/>
      <c r="QKN115" s="12"/>
      <c r="QLE115" s="12"/>
      <c r="QLF115" s="12"/>
      <c r="QLW115" s="12"/>
      <c r="QLX115" s="12"/>
      <c r="QMO115" s="12"/>
      <c r="QMP115" s="12"/>
      <c r="QNG115" s="12"/>
      <c r="QNH115" s="12"/>
      <c r="QNY115" s="12"/>
      <c r="QNZ115" s="12"/>
      <c r="QOQ115" s="12"/>
      <c r="QOR115" s="12"/>
      <c r="QPI115" s="12"/>
      <c r="QPJ115" s="12"/>
      <c r="QQA115" s="12"/>
      <c r="QQB115" s="12"/>
      <c r="QQS115" s="12"/>
      <c r="QQT115" s="12"/>
      <c r="QRK115" s="12"/>
      <c r="QRL115" s="12"/>
      <c r="QSC115" s="12"/>
      <c r="QSD115" s="12"/>
      <c r="QSU115" s="12"/>
      <c r="QSV115" s="12"/>
      <c r="QTM115" s="12"/>
      <c r="QTN115" s="12"/>
      <c r="QUE115" s="12"/>
      <c r="QUF115" s="12"/>
      <c r="QUW115" s="12"/>
      <c r="QUX115" s="12"/>
      <c r="QVO115" s="12"/>
      <c r="QVP115" s="12"/>
      <c r="QWG115" s="12"/>
      <c r="QWH115" s="12"/>
      <c r="QWY115" s="12"/>
      <c r="QWZ115" s="12"/>
      <c r="QXQ115" s="12"/>
      <c r="QXR115" s="12"/>
      <c r="QYI115" s="12"/>
      <c r="QYJ115" s="12"/>
      <c r="QZA115" s="12"/>
      <c r="QZB115" s="12"/>
      <c r="QZS115" s="12"/>
      <c r="QZT115" s="12"/>
      <c r="RAK115" s="12"/>
      <c r="RAL115" s="12"/>
      <c r="RBC115" s="12"/>
      <c r="RBD115" s="12"/>
      <c r="RBU115" s="12"/>
      <c r="RBV115" s="12"/>
      <c r="RCM115" s="12"/>
      <c r="RCN115" s="12"/>
      <c r="RDE115" s="12"/>
      <c r="RDF115" s="12"/>
      <c r="RDW115" s="12"/>
      <c r="RDX115" s="12"/>
      <c r="REO115" s="12"/>
      <c r="REP115" s="12"/>
      <c r="RFG115" s="12"/>
      <c r="RFH115" s="12"/>
      <c r="RFY115" s="12"/>
      <c r="RFZ115" s="12"/>
      <c r="RGQ115" s="12"/>
      <c r="RGR115" s="12"/>
      <c r="RHI115" s="12"/>
      <c r="RHJ115" s="12"/>
      <c r="RIA115" s="12"/>
      <c r="RIB115" s="12"/>
      <c r="RIS115" s="12"/>
      <c r="RIT115" s="12"/>
      <c r="RJK115" s="12"/>
      <c r="RJL115" s="12"/>
      <c r="RKC115" s="12"/>
      <c r="RKD115" s="12"/>
      <c r="RKU115" s="12"/>
      <c r="RKV115" s="12"/>
      <c r="RLM115" s="12"/>
      <c r="RLN115" s="12"/>
      <c r="RME115" s="12"/>
      <c r="RMF115" s="12"/>
      <c r="RMW115" s="12"/>
      <c r="RMX115" s="12"/>
      <c r="RNO115" s="12"/>
      <c r="RNP115" s="12"/>
      <c r="ROG115" s="12"/>
      <c r="ROH115" s="12"/>
      <c r="ROY115" s="12"/>
      <c r="ROZ115" s="12"/>
      <c r="RPQ115" s="12"/>
      <c r="RPR115" s="12"/>
      <c r="RQI115" s="12"/>
      <c r="RQJ115" s="12"/>
      <c r="RRA115" s="12"/>
      <c r="RRB115" s="12"/>
      <c r="RRS115" s="12"/>
      <c r="RRT115" s="12"/>
      <c r="RSK115" s="12"/>
      <c r="RSL115" s="12"/>
      <c r="RTC115" s="12"/>
      <c r="RTD115" s="12"/>
      <c r="RTU115" s="12"/>
      <c r="RTV115" s="12"/>
      <c r="RUM115" s="12"/>
      <c r="RUN115" s="12"/>
      <c r="RVE115" s="12"/>
      <c r="RVF115" s="12"/>
      <c r="RVW115" s="12"/>
      <c r="RVX115" s="12"/>
      <c r="RWO115" s="12"/>
      <c r="RWP115" s="12"/>
      <c r="RXG115" s="12"/>
      <c r="RXH115" s="12"/>
      <c r="RXY115" s="12"/>
      <c r="RXZ115" s="12"/>
      <c r="RYQ115" s="12"/>
      <c r="RYR115" s="12"/>
      <c r="RZI115" s="12"/>
      <c r="RZJ115" s="12"/>
      <c r="SAA115" s="12"/>
      <c r="SAB115" s="12"/>
      <c r="SAS115" s="12"/>
      <c r="SAT115" s="12"/>
      <c r="SBK115" s="12"/>
      <c r="SBL115" s="12"/>
      <c r="SCC115" s="12"/>
      <c r="SCD115" s="12"/>
      <c r="SCU115" s="12"/>
      <c r="SCV115" s="12"/>
      <c r="SDM115" s="12"/>
      <c r="SDN115" s="12"/>
      <c r="SEE115" s="12"/>
      <c r="SEF115" s="12"/>
      <c r="SEW115" s="12"/>
      <c r="SEX115" s="12"/>
      <c r="SFO115" s="12"/>
      <c r="SFP115" s="12"/>
      <c r="SGG115" s="12"/>
      <c r="SGH115" s="12"/>
      <c r="SGY115" s="12"/>
      <c r="SGZ115" s="12"/>
      <c r="SHQ115" s="12"/>
      <c r="SHR115" s="12"/>
      <c r="SII115" s="12"/>
      <c r="SIJ115" s="12"/>
      <c r="SJA115" s="12"/>
      <c r="SJB115" s="12"/>
      <c r="SJS115" s="12"/>
      <c r="SJT115" s="12"/>
      <c r="SKK115" s="12"/>
      <c r="SKL115" s="12"/>
      <c r="SLC115" s="12"/>
      <c r="SLD115" s="12"/>
      <c r="SLU115" s="12"/>
      <c r="SLV115" s="12"/>
      <c r="SMM115" s="12"/>
      <c r="SMN115" s="12"/>
      <c r="SNE115" s="12"/>
      <c r="SNF115" s="12"/>
      <c r="SNW115" s="12"/>
      <c r="SNX115" s="12"/>
      <c r="SOO115" s="12"/>
      <c r="SOP115" s="12"/>
      <c r="SPG115" s="12"/>
      <c r="SPH115" s="12"/>
      <c r="SPY115" s="12"/>
      <c r="SPZ115" s="12"/>
      <c r="SQQ115" s="12"/>
      <c r="SQR115" s="12"/>
      <c r="SRI115" s="12"/>
      <c r="SRJ115" s="12"/>
      <c r="SSA115" s="12"/>
      <c r="SSB115" s="12"/>
      <c r="SSS115" s="12"/>
      <c r="SST115" s="12"/>
      <c r="STK115" s="12"/>
      <c r="STL115" s="12"/>
      <c r="SUC115" s="12"/>
      <c r="SUD115" s="12"/>
      <c r="SUU115" s="12"/>
      <c r="SUV115" s="12"/>
      <c r="SVM115" s="12"/>
      <c r="SVN115" s="12"/>
      <c r="SWE115" s="12"/>
      <c r="SWF115" s="12"/>
      <c r="SWW115" s="12"/>
      <c r="SWX115" s="12"/>
      <c r="SXO115" s="12"/>
      <c r="SXP115" s="12"/>
      <c r="SYG115" s="12"/>
      <c r="SYH115" s="12"/>
      <c r="SYY115" s="12"/>
      <c r="SYZ115" s="12"/>
      <c r="SZQ115" s="12"/>
      <c r="SZR115" s="12"/>
      <c r="TAI115" s="12"/>
      <c r="TAJ115" s="12"/>
      <c r="TBA115" s="12"/>
      <c r="TBB115" s="12"/>
      <c r="TBS115" s="12"/>
      <c r="TBT115" s="12"/>
      <c r="TCK115" s="12"/>
      <c r="TCL115" s="12"/>
      <c r="TDC115" s="12"/>
      <c r="TDD115" s="12"/>
      <c r="TDU115" s="12"/>
      <c r="TDV115" s="12"/>
      <c r="TEM115" s="12"/>
      <c r="TEN115" s="12"/>
      <c r="TFE115" s="12"/>
      <c r="TFF115" s="12"/>
      <c r="TFW115" s="12"/>
      <c r="TFX115" s="12"/>
      <c r="TGO115" s="12"/>
      <c r="TGP115" s="12"/>
      <c r="THG115" s="12"/>
      <c r="THH115" s="12"/>
      <c r="THY115" s="12"/>
      <c r="THZ115" s="12"/>
      <c r="TIQ115" s="12"/>
      <c r="TIR115" s="12"/>
      <c r="TJI115" s="12"/>
      <c r="TJJ115" s="12"/>
      <c r="TKA115" s="12"/>
      <c r="TKB115" s="12"/>
      <c r="TKS115" s="12"/>
      <c r="TKT115" s="12"/>
      <c r="TLK115" s="12"/>
      <c r="TLL115" s="12"/>
      <c r="TMC115" s="12"/>
      <c r="TMD115" s="12"/>
      <c r="TMU115" s="12"/>
      <c r="TMV115" s="12"/>
      <c r="TNM115" s="12"/>
      <c r="TNN115" s="12"/>
      <c r="TOE115" s="12"/>
      <c r="TOF115" s="12"/>
      <c r="TOW115" s="12"/>
      <c r="TOX115" s="12"/>
      <c r="TPO115" s="12"/>
      <c r="TPP115" s="12"/>
      <c r="TQG115" s="12"/>
      <c r="TQH115" s="12"/>
      <c r="TQY115" s="12"/>
      <c r="TQZ115" s="12"/>
      <c r="TRQ115" s="12"/>
      <c r="TRR115" s="12"/>
      <c r="TSI115" s="12"/>
      <c r="TSJ115" s="12"/>
      <c r="TTA115" s="12"/>
      <c r="TTB115" s="12"/>
      <c r="TTS115" s="12"/>
      <c r="TTT115" s="12"/>
      <c r="TUK115" s="12"/>
      <c r="TUL115" s="12"/>
      <c r="TVC115" s="12"/>
      <c r="TVD115" s="12"/>
      <c r="TVU115" s="12"/>
      <c r="TVV115" s="12"/>
      <c r="TWM115" s="12"/>
      <c r="TWN115" s="12"/>
      <c r="TXE115" s="12"/>
      <c r="TXF115" s="12"/>
      <c r="TXW115" s="12"/>
      <c r="TXX115" s="12"/>
      <c r="TYO115" s="12"/>
      <c r="TYP115" s="12"/>
      <c r="TZG115" s="12"/>
      <c r="TZH115" s="12"/>
      <c r="TZY115" s="12"/>
      <c r="TZZ115" s="12"/>
      <c r="UAQ115" s="12"/>
      <c r="UAR115" s="12"/>
      <c r="UBI115" s="12"/>
      <c r="UBJ115" s="12"/>
      <c r="UCA115" s="12"/>
      <c r="UCB115" s="12"/>
      <c r="UCS115" s="12"/>
      <c r="UCT115" s="12"/>
      <c r="UDK115" s="12"/>
      <c r="UDL115" s="12"/>
      <c r="UEC115" s="12"/>
      <c r="UED115" s="12"/>
      <c r="UEU115" s="12"/>
      <c r="UEV115" s="12"/>
      <c r="UFM115" s="12"/>
      <c r="UFN115" s="12"/>
      <c r="UGE115" s="12"/>
      <c r="UGF115" s="12"/>
      <c r="UGW115" s="12"/>
      <c r="UGX115" s="12"/>
      <c r="UHO115" s="12"/>
      <c r="UHP115" s="12"/>
      <c r="UIG115" s="12"/>
      <c r="UIH115" s="12"/>
      <c r="UIY115" s="12"/>
      <c r="UIZ115" s="12"/>
      <c r="UJQ115" s="12"/>
      <c r="UJR115" s="12"/>
      <c r="UKI115" s="12"/>
      <c r="UKJ115" s="12"/>
      <c r="ULA115" s="12"/>
      <c r="ULB115" s="12"/>
      <c r="ULS115" s="12"/>
      <c r="ULT115" s="12"/>
      <c r="UMK115" s="12"/>
      <c r="UML115" s="12"/>
      <c r="UNC115" s="12"/>
      <c r="UND115" s="12"/>
      <c r="UNU115" s="12"/>
      <c r="UNV115" s="12"/>
      <c r="UOM115" s="12"/>
      <c r="UON115" s="12"/>
      <c r="UPE115" s="12"/>
      <c r="UPF115" s="12"/>
      <c r="UPW115" s="12"/>
      <c r="UPX115" s="12"/>
      <c r="UQO115" s="12"/>
      <c r="UQP115" s="12"/>
      <c r="URG115" s="12"/>
      <c r="URH115" s="12"/>
      <c r="URY115" s="12"/>
      <c r="URZ115" s="12"/>
      <c r="USQ115" s="12"/>
      <c r="USR115" s="12"/>
      <c r="UTI115" s="12"/>
      <c r="UTJ115" s="12"/>
      <c r="UUA115" s="12"/>
      <c r="UUB115" s="12"/>
      <c r="UUS115" s="12"/>
      <c r="UUT115" s="12"/>
      <c r="UVK115" s="12"/>
      <c r="UVL115" s="12"/>
      <c r="UWC115" s="12"/>
      <c r="UWD115" s="12"/>
      <c r="UWU115" s="12"/>
      <c r="UWV115" s="12"/>
      <c r="UXM115" s="12"/>
      <c r="UXN115" s="12"/>
      <c r="UYE115" s="12"/>
      <c r="UYF115" s="12"/>
      <c r="UYW115" s="12"/>
      <c r="UYX115" s="12"/>
      <c r="UZO115" s="12"/>
      <c r="UZP115" s="12"/>
      <c r="VAG115" s="12"/>
      <c r="VAH115" s="12"/>
      <c r="VAY115" s="12"/>
      <c r="VAZ115" s="12"/>
      <c r="VBQ115" s="12"/>
      <c r="VBR115" s="12"/>
      <c r="VCI115" s="12"/>
      <c r="VCJ115" s="12"/>
      <c r="VDA115" s="12"/>
      <c r="VDB115" s="12"/>
      <c r="VDS115" s="12"/>
      <c r="VDT115" s="12"/>
      <c r="VEK115" s="12"/>
      <c r="VEL115" s="12"/>
      <c r="VFC115" s="12"/>
      <c r="VFD115" s="12"/>
      <c r="VFU115" s="12"/>
      <c r="VFV115" s="12"/>
      <c r="VGM115" s="12"/>
      <c r="VGN115" s="12"/>
      <c r="VHE115" s="12"/>
      <c r="VHF115" s="12"/>
      <c r="VHW115" s="12"/>
      <c r="VHX115" s="12"/>
      <c r="VIO115" s="12"/>
      <c r="VIP115" s="12"/>
      <c r="VJG115" s="12"/>
      <c r="VJH115" s="12"/>
      <c r="VJY115" s="12"/>
      <c r="VJZ115" s="12"/>
      <c r="VKQ115" s="12"/>
      <c r="VKR115" s="12"/>
      <c r="VLI115" s="12"/>
      <c r="VLJ115" s="12"/>
      <c r="VMA115" s="12"/>
      <c r="VMB115" s="12"/>
      <c r="VMS115" s="12"/>
      <c r="VMT115" s="12"/>
      <c r="VNK115" s="12"/>
      <c r="VNL115" s="12"/>
      <c r="VOC115" s="12"/>
      <c r="VOD115" s="12"/>
      <c r="VOU115" s="12"/>
      <c r="VOV115" s="12"/>
      <c r="VPM115" s="12"/>
      <c r="VPN115" s="12"/>
      <c r="VQE115" s="12"/>
      <c r="VQF115" s="12"/>
      <c r="VQW115" s="12"/>
      <c r="VQX115" s="12"/>
      <c r="VRO115" s="12"/>
      <c r="VRP115" s="12"/>
      <c r="VSG115" s="12"/>
      <c r="VSH115" s="12"/>
      <c r="VSY115" s="12"/>
      <c r="VSZ115" s="12"/>
      <c r="VTQ115" s="12"/>
      <c r="VTR115" s="12"/>
      <c r="VUI115" s="12"/>
      <c r="VUJ115" s="12"/>
      <c r="VVA115" s="12"/>
      <c r="VVB115" s="12"/>
      <c r="VVS115" s="12"/>
      <c r="VVT115" s="12"/>
      <c r="VWK115" s="12"/>
      <c r="VWL115" s="12"/>
      <c r="VXC115" s="12"/>
      <c r="VXD115" s="12"/>
      <c r="VXU115" s="12"/>
      <c r="VXV115" s="12"/>
      <c r="VYM115" s="12"/>
      <c r="VYN115" s="12"/>
      <c r="VZE115" s="12"/>
      <c r="VZF115" s="12"/>
      <c r="VZW115" s="12"/>
      <c r="VZX115" s="12"/>
      <c r="WAO115" s="12"/>
      <c r="WAP115" s="12"/>
      <c r="WBG115" s="12"/>
      <c r="WBH115" s="12"/>
      <c r="WBY115" s="12"/>
      <c r="WBZ115" s="12"/>
      <c r="WCQ115" s="12"/>
      <c r="WCR115" s="12"/>
      <c r="WDI115" s="12"/>
      <c r="WDJ115" s="12"/>
      <c r="WEA115" s="12"/>
      <c r="WEB115" s="12"/>
      <c r="WES115" s="12"/>
      <c r="WET115" s="12"/>
      <c r="WFK115" s="12"/>
      <c r="WFL115" s="12"/>
      <c r="WGC115" s="12"/>
      <c r="WGD115" s="12"/>
      <c r="WGU115" s="12"/>
      <c r="WGV115" s="12"/>
      <c r="WHM115" s="12"/>
      <c r="WHN115" s="12"/>
      <c r="WIE115" s="12"/>
      <c r="WIF115" s="12"/>
      <c r="WIW115" s="12"/>
      <c r="WIX115" s="12"/>
      <c r="WJO115" s="12"/>
      <c r="WJP115" s="12"/>
      <c r="WKG115" s="12"/>
      <c r="WKH115" s="12"/>
      <c r="WKY115" s="12"/>
      <c r="WKZ115" s="12"/>
      <c r="WLQ115" s="12"/>
      <c r="WLR115" s="12"/>
      <c r="WMI115" s="12"/>
      <c r="WMJ115" s="12"/>
      <c r="WNA115" s="12"/>
      <c r="WNB115" s="12"/>
      <c r="WNS115" s="12"/>
      <c r="WNT115" s="12"/>
      <c r="WOK115" s="12"/>
      <c r="WOL115" s="12"/>
      <c r="WPC115" s="12"/>
      <c r="WPD115" s="12"/>
      <c r="WPU115" s="12"/>
      <c r="WPV115" s="12"/>
      <c r="WQM115" s="12"/>
      <c r="WQN115" s="12"/>
      <c r="WRE115" s="12"/>
      <c r="WRF115" s="12"/>
      <c r="WRW115" s="12"/>
      <c r="WRX115" s="12"/>
      <c r="WSO115" s="12"/>
      <c r="WSP115" s="12"/>
      <c r="WTG115" s="12"/>
      <c r="WTH115" s="12"/>
      <c r="WTY115" s="12"/>
      <c r="WTZ115" s="12"/>
      <c r="WUQ115" s="12"/>
      <c r="WUR115" s="12"/>
      <c r="WVI115" s="12"/>
      <c r="WVJ115" s="12"/>
      <c r="WWA115" s="12"/>
      <c r="WWB115" s="12"/>
      <c r="WWS115" s="12"/>
      <c r="WWT115" s="12"/>
      <c r="WXK115" s="12"/>
      <c r="WXL115" s="12"/>
      <c r="WYC115" s="12"/>
      <c r="WYD115" s="12"/>
      <c r="WYU115" s="12"/>
      <c r="WYV115" s="12"/>
      <c r="WZM115" s="12"/>
      <c r="WZN115" s="12"/>
      <c r="XAE115" s="12"/>
      <c r="XAF115" s="12"/>
      <c r="XAW115" s="12"/>
      <c r="XAX115" s="12"/>
      <c r="XBO115" s="12"/>
      <c r="XBP115" s="12"/>
      <c r="XCG115" s="12"/>
      <c r="XCH115" s="12"/>
      <c r="XCY115" s="12"/>
      <c r="XCZ115" s="12"/>
      <c r="XDQ115" s="12"/>
      <c r="XDR115" s="12"/>
      <c r="XEI115" s="12"/>
      <c r="XEJ115" s="12"/>
      <c r="XFA115" s="12"/>
      <c r="XFB115" s="12"/>
    </row>
    <row r="116" spans="1:1010 1027:2036 2053:3062 3079:4088 4105:5114 5131:6140 6157:7166 7183:8192 8209:9200 9217:10226 10243:11252 11269:12278 12295:13304 13321:14330 14347:15356 15373:16382" x14ac:dyDescent="0.35">
      <c r="A116" s="187" t="s">
        <v>193</v>
      </c>
      <c r="B116" s="187" t="s">
        <v>194</v>
      </c>
      <c r="C116" s="207">
        <v>251.56700000000001</v>
      </c>
      <c r="D116" s="207">
        <v>270.05500000000001</v>
      </c>
      <c r="E116" s="207">
        <v>276.86599999999999</v>
      </c>
      <c r="F116" s="207">
        <v>268.209</v>
      </c>
      <c r="G116" s="207">
        <v>298.51799999999997</v>
      </c>
      <c r="H116" s="207">
        <v>338.44499999999999</v>
      </c>
      <c r="I116" s="207">
        <v>393.358</v>
      </c>
      <c r="J116" s="207">
        <v>455.65100000000001</v>
      </c>
      <c r="K116" s="207">
        <v>480.89299999999997</v>
      </c>
      <c r="L116" s="207">
        <v>532.85</v>
      </c>
      <c r="M116" s="124"/>
      <c r="N116" s="124"/>
      <c r="O116" s="124"/>
      <c r="P116" s="124"/>
      <c r="Q116" s="124"/>
      <c r="R116" s="124"/>
      <c r="T116" s="5"/>
      <c r="U116" s="5"/>
    </row>
    <row r="117" spans="1:1010 1027:2036 2053:3062 3079:4088 4105:5114 5131:6140 6157:7166 7183:8192 8209:9200 9217:10226 10243:11252 11269:12278 12295:13304 13321:14330 14347:15356 15373:16382" s="11" customFormat="1" x14ac:dyDescent="0.35">
      <c r="A117" s="183" t="s">
        <v>195</v>
      </c>
      <c r="B117" s="183" t="s">
        <v>196</v>
      </c>
      <c r="C117" s="184">
        <v>0</v>
      </c>
      <c r="D117" s="184">
        <v>0</v>
      </c>
      <c r="E117" s="184">
        <v>0</v>
      </c>
      <c r="F117" s="184">
        <v>0</v>
      </c>
      <c r="G117" s="184">
        <v>0</v>
      </c>
      <c r="H117" s="184">
        <v>0</v>
      </c>
      <c r="I117" s="184">
        <v>0</v>
      </c>
      <c r="J117" s="184">
        <v>0</v>
      </c>
      <c r="K117" s="184">
        <v>0</v>
      </c>
      <c r="L117" s="184">
        <v>0</v>
      </c>
      <c r="S117" s="12"/>
      <c r="T117" s="12"/>
      <c r="AK117" s="12"/>
      <c r="AL117" s="12"/>
      <c r="BC117" s="12"/>
      <c r="BD117" s="12"/>
      <c r="BU117" s="12"/>
      <c r="BV117" s="12"/>
      <c r="CM117" s="12"/>
      <c r="CN117" s="12"/>
      <c r="DE117" s="12"/>
      <c r="DF117" s="12"/>
      <c r="DW117" s="12"/>
      <c r="DX117" s="12"/>
      <c r="EO117" s="12"/>
      <c r="EP117" s="12"/>
      <c r="FG117" s="12"/>
      <c r="FH117" s="12"/>
      <c r="FY117" s="12"/>
      <c r="FZ117" s="12"/>
      <c r="GQ117" s="12"/>
      <c r="GR117" s="12"/>
      <c r="HI117" s="12"/>
      <c r="HJ117" s="12"/>
      <c r="IA117" s="12"/>
      <c r="IB117" s="12"/>
      <c r="IS117" s="12"/>
      <c r="IT117" s="12"/>
      <c r="JK117" s="12"/>
      <c r="JL117" s="12"/>
      <c r="KC117" s="12"/>
      <c r="KD117" s="12"/>
      <c r="KU117" s="12"/>
      <c r="KV117" s="12"/>
      <c r="LM117" s="12"/>
      <c r="LN117" s="12"/>
      <c r="ME117" s="12"/>
      <c r="MF117" s="12"/>
      <c r="MW117" s="12"/>
      <c r="MX117" s="12"/>
      <c r="NO117" s="12"/>
      <c r="NP117" s="12"/>
      <c r="OG117" s="12"/>
      <c r="OH117" s="12"/>
      <c r="OY117" s="12"/>
      <c r="OZ117" s="12"/>
      <c r="PQ117" s="12"/>
      <c r="PR117" s="12"/>
      <c r="QI117" s="12"/>
      <c r="QJ117" s="12"/>
      <c r="RA117" s="12"/>
      <c r="RB117" s="12"/>
      <c r="RS117" s="12"/>
      <c r="RT117" s="12"/>
      <c r="SK117" s="12"/>
      <c r="SL117" s="12"/>
      <c r="TC117" s="12"/>
      <c r="TD117" s="12"/>
      <c r="TU117" s="12"/>
      <c r="TV117" s="12"/>
      <c r="UM117" s="12"/>
      <c r="UN117" s="12"/>
      <c r="VE117" s="12"/>
      <c r="VF117" s="12"/>
      <c r="VW117" s="12"/>
      <c r="VX117" s="12"/>
      <c r="WO117" s="12"/>
      <c r="WP117" s="12"/>
      <c r="XG117" s="12"/>
      <c r="XH117" s="12"/>
      <c r="XY117" s="12"/>
      <c r="XZ117" s="12"/>
      <c r="YQ117" s="12"/>
      <c r="YR117" s="12"/>
      <c r="ZI117" s="12"/>
      <c r="ZJ117" s="12"/>
      <c r="AAA117" s="12"/>
      <c r="AAB117" s="12"/>
      <c r="AAS117" s="12"/>
      <c r="AAT117" s="12"/>
      <c r="ABK117" s="12"/>
      <c r="ABL117" s="12"/>
      <c r="ACC117" s="12"/>
      <c r="ACD117" s="12"/>
      <c r="ACU117" s="12"/>
      <c r="ACV117" s="12"/>
      <c r="ADM117" s="12"/>
      <c r="ADN117" s="12"/>
      <c r="AEE117" s="12"/>
      <c r="AEF117" s="12"/>
      <c r="AEW117" s="12"/>
      <c r="AEX117" s="12"/>
      <c r="AFO117" s="12"/>
      <c r="AFP117" s="12"/>
      <c r="AGG117" s="12"/>
      <c r="AGH117" s="12"/>
      <c r="AGY117" s="12"/>
      <c r="AGZ117" s="12"/>
      <c r="AHQ117" s="12"/>
      <c r="AHR117" s="12"/>
      <c r="AII117" s="12"/>
      <c r="AIJ117" s="12"/>
      <c r="AJA117" s="12"/>
      <c r="AJB117" s="12"/>
      <c r="AJS117" s="12"/>
      <c r="AJT117" s="12"/>
      <c r="AKK117" s="12"/>
      <c r="AKL117" s="12"/>
      <c r="ALC117" s="12"/>
      <c r="ALD117" s="12"/>
      <c r="ALU117" s="12"/>
      <c r="ALV117" s="12"/>
      <c r="AMM117" s="12"/>
      <c r="AMN117" s="12"/>
      <c r="ANE117" s="12"/>
      <c r="ANF117" s="12"/>
      <c r="ANW117" s="12"/>
      <c r="ANX117" s="12"/>
      <c r="AOO117" s="12"/>
      <c r="AOP117" s="12"/>
      <c r="APG117" s="12"/>
      <c r="APH117" s="12"/>
      <c r="APY117" s="12"/>
      <c r="APZ117" s="12"/>
      <c r="AQQ117" s="12"/>
      <c r="AQR117" s="12"/>
      <c r="ARI117" s="12"/>
      <c r="ARJ117" s="12"/>
      <c r="ASA117" s="12"/>
      <c r="ASB117" s="12"/>
      <c r="ASS117" s="12"/>
      <c r="AST117" s="12"/>
      <c r="ATK117" s="12"/>
      <c r="ATL117" s="12"/>
      <c r="AUC117" s="12"/>
      <c r="AUD117" s="12"/>
      <c r="AUU117" s="12"/>
      <c r="AUV117" s="12"/>
      <c r="AVM117" s="12"/>
      <c r="AVN117" s="12"/>
      <c r="AWE117" s="12"/>
      <c r="AWF117" s="12"/>
      <c r="AWW117" s="12"/>
      <c r="AWX117" s="12"/>
      <c r="AXO117" s="12"/>
      <c r="AXP117" s="12"/>
      <c r="AYG117" s="12"/>
      <c r="AYH117" s="12"/>
      <c r="AYY117" s="12"/>
      <c r="AYZ117" s="12"/>
      <c r="AZQ117" s="12"/>
      <c r="AZR117" s="12"/>
      <c r="BAI117" s="12"/>
      <c r="BAJ117" s="12"/>
      <c r="BBA117" s="12"/>
      <c r="BBB117" s="12"/>
      <c r="BBS117" s="12"/>
      <c r="BBT117" s="12"/>
      <c r="BCK117" s="12"/>
      <c r="BCL117" s="12"/>
      <c r="BDC117" s="12"/>
      <c r="BDD117" s="12"/>
      <c r="BDU117" s="12"/>
      <c r="BDV117" s="12"/>
      <c r="BEM117" s="12"/>
      <c r="BEN117" s="12"/>
      <c r="BFE117" s="12"/>
      <c r="BFF117" s="12"/>
      <c r="BFW117" s="12"/>
      <c r="BFX117" s="12"/>
      <c r="BGO117" s="12"/>
      <c r="BGP117" s="12"/>
      <c r="BHG117" s="12"/>
      <c r="BHH117" s="12"/>
      <c r="BHY117" s="12"/>
      <c r="BHZ117" s="12"/>
      <c r="BIQ117" s="12"/>
      <c r="BIR117" s="12"/>
      <c r="BJI117" s="12"/>
      <c r="BJJ117" s="12"/>
      <c r="BKA117" s="12"/>
      <c r="BKB117" s="12"/>
      <c r="BKS117" s="12"/>
      <c r="BKT117" s="12"/>
      <c r="BLK117" s="12"/>
      <c r="BLL117" s="12"/>
      <c r="BMC117" s="12"/>
      <c r="BMD117" s="12"/>
      <c r="BMU117" s="12"/>
      <c r="BMV117" s="12"/>
      <c r="BNM117" s="12"/>
      <c r="BNN117" s="12"/>
      <c r="BOE117" s="12"/>
      <c r="BOF117" s="12"/>
      <c r="BOW117" s="12"/>
      <c r="BOX117" s="12"/>
      <c r="BPO117" s="12"/>
      <c r="BPP117" s="12"/>
      <c r="BQG117" s="12"/>
      <c r="BQH117" s="12"/>
      <c r="BQY117" s="12"/>
      <c r="BQZ117" s="12"/>
      <c r="BRQ117" s="12"/>
      <c r="BRR117" s="12"/>
      <c r="BSI117" s="12"/>
      <c r="BSJ117" s="12"/>
      <c r="BTA117" s="12"/>
      <c r="BTB117" s="12"/>
      <c r="BTS117" s="12"/>
      <c r="BTT117" s="12"/>
      <c r="BUK117" s="12"/>
      <c r="BUL117" s="12"/>
      <c r="BVC117" s="12"/>
      <c r="BVD117" s="12"/>
      <c r="BVU117" s="12"/>
      <c r="BVV117" s="12"/>
      <c r="BWM117" s="12"/>
      <c r="BWN117" s="12"/>
      <c r="BXE117" s="12"/>
      <c r="BXF117" s="12"/>
      <c r="BXW117" s="12"/>
      <c r="BXX117" s="12"/>
      <c r="BYO117" s="12"/>
      <c r="BYP117" s="12"/>
      <c r="BZG117" s="12"/>
      <c r="BZH117" s="12"/>
      <c r="BZY117" s="12"/>
      <c r="BZZ117" s="12"/>
      <c r="CAQ117" s="12"/>
      <c r="CAR117" s="12"/>
      <c r="CBI117" s="12"/>
      <c r="CBJ117" s="12"/>
      <c r="CCA117" s="12"/>
      <c r="CCB117" s="12"/>
      <c r="CCS117" s="12"/>
      <c r="CCT117" s="12"/>
      <c r="CDK117" s="12"/>
      <c r="CDL117" s="12"/>
      <c r="CEC117" s="12"/>
      <c r="CED117" s="12"/>
      <c r="CEU117" s="12"/>
      <c r="CEV117" s="12"/>
      <c r="CFM117" s="12"/>
      <c r="CFN117" s="12"/>
      <c r="CGE117" s="12"/>
      <c r="CGF117" s="12"/>
      <c r="CGW117" s="12"/>
      <c r="CGX117" s="12"/>
      <c r="CHO117" s="12"/>
      <c r="CHP117" s="12"/>
      <c r="CIG117" s="12"/>
      <c r="CIH117" s="12"/>
      <c r="CIY117" s="12"/>
      <c r="CIZ117" s="12"/>
      <c r="CJQ117" s="12"/>
      <c r="CJR117" s="12"/>
      <c r="CKI117" s="12"/>
      <c r="CKJ117" s="12"/>
      <c r="CLA117" s="12"/>
      <c r="CLB117" s="12"/>
      <c r="CLS117" s="12"/>
      <c r="CLT117" s="12"/>
      <c r="CMK117" s="12"/>
      <c r="CML117" s="12"/>
      <c r="CNC117" s="12"/>
      <c r="CND117" s="12"/>
      <c r="CNU117" s="12"/>
      <c r="CNV117" s="12"/>
      <c r="COM117" s="12"/>
      <c r="CON117" s="12"/>
      <c r="CPE117" s="12"/>
      <c r="CPF117" s="12"/>
      <c r="CPW117" s="12"/>
      <c r="CPX117" s="12"/>
      <c r="CQO117" s="12"/>
      <c r="CQP117" s="12"/>
      <c r="CRG117" s="12"/>
      <c r="CRH117" s="12"/>
      <c r="CRY117" s="12"/>
      <c r="CRZ117" s="12"/>
      <c r="CSQ117" s="12"/>
      <c r="CSR117" s="12"/>
      <c r="CTI117" s="12"/>
      <c r="CTJ117" s="12"/>
      <c r="CUA117" s="12"/>
      <c r="CUB117" s="12"/>
      <c r="CUS117" s="12"/>
      <c r="CUT117" s="12"/>
      <c r="CVK117" s="12"/>
      <c r="CVL117" s="12"/>
      <c r="CWC117" s="12"/>
      <c r="CWD117" s="12"/>
      <c r="CWU117" s="12"/>
      <c r="CWV117" s="12"/>
      <c r="CXM117" s="12"/>
      <c r="CXN117" s="12"/>
      <c r="CYE117" s="12"/>
      <c r="CYF117" s="12"/>
      <c r="CYW117" s="12"/>
      <c r="CYX117" s="12"/>
      <c r="CZO117" s="12"/>
      <c r="CZP117" s="12"/>
      <c r="DAG117" s="12"/>
      <c r="DAH117" s="12"/>
      <c r="DAY117" s="12"/>
      <c r="DAZ117" s="12"/>
      <c r="DBQ117" s="12"/>
      <c r="DBR117" s="12"/>
      <c r="DCI117" s="12"/>
      <c r="DCJ117" s="12"/>
      <c r="DDA117" s="12"/>
      <c r="DDB117" s="12"/>
      <c r="DDS117" s="12"/>
      <c r="DDT117" s="12"/>
      <c r="DEK117" s="12"/>
      <c r="DEL117" s="12"/>
      <c r="DFC117" s="12"/>
      <c r="DFD117" s="12"/>
      <c r="DFU117" s="12"/>
      <c r="DFV117" s="12"/>
      <c r="DGM117" s="12"/>
      <c r="DGN117" s="12"/>
      <c r="DHE117" s="12"/>
      <c r="DHF117" s="12"/>
      <c r="DHW117" s="12"/>
      <c r="DHX117" s="12"/>
      <c r="DIO117" s="12"/>
      <c r="DIP117" s="12"/>
      <c r="DJG117" s="12"/>
      <c r="DJH117" s="12"/>
      <c r="DJY117" s="12"/>
      <c r="DJZ117" s="12"/>
      <c r="DKQ117" s="12"/>
      <c r="DKR117" s="12"/>
      <c r="DLI117" s="12"/>
      <c r="DLJ117" s="12"/>
      <c r="DMA117" s="12"/>
      <c r="DMB117" s="12"/>
      <c r="DMS117" s="12"/>
      <c r="DMT117" s="12"/>
      <c r="DNK117" s="12"/>
      <c r="DNL117" s="12"/>
      <c r="DOC117" s="12"/>
      <c r="DOD117" s="12"/>
      <c r="DOU117" s="12"/>
      <c r="DOV117" s="12"/>
      <c r="DPM117" s="12"/>
      <c r="DPN117" s="12"/>
      <c r="DQE117" s="12"/>
      <c r="DQF117" s="12"/>
      <c r="DQW117" s="12"/>
      <c r="DQX117" s="12"/>
      <c r="DRO117" s="12"/>
      <c r="DRP117" s="12"/>
      <c r="DSG117" s="12"/>
      <c r="DSH117" s="12"/>
      <c r="DSY117" s="12"/>
      <c r="DSZ117" s="12"/>
      <c r="DTQ117" s="12"/>
      <c r="DTR117" s="12"/>
      <c r="DUI117" s="12"/>
      <c r="DUJ117" s="12"/>
      <c r="DVA117" s="12"/>
      <c r="DVB117" s="12"/>
      <c r="DVS117" s="12"/>
      <c r="DVT117" s="12"/>
      <c r="DWK117" s="12"/>
      <c r="DWL117" s="12"/>
      <c r="DXC117" s="12"/>
      <c r="DXD117" s="12"/>
      <c r="DXU117" s="12"/>
      <c r="DXV117" s="12"/>
      <c r="DYM117" s="12"/>
      <c r="DYN117" s="12"/>
      <c r="DZE117" s="12"/>
      <c r="DZF117" s="12"/>
      <c r="DZW117" s="12"/>
      <c r="DZX117" s="12"/>
      <c r="EAO117" s="12"/>
      <c r="EAP117" s="12"/>
      <c r="EBG117" s="12"/>
      <c r="EBH117" s="12"/>
      <c r="EBY117" s="12"/>
      <c r="EBZ117" s="12"/>
      <c r="ECQ117" s="12"/>
      <c r="ECR117" s="12"/>
      <c r="EDI117" s="12"/>
      <c r="EDJ117" s="12"/>
      <c r="EEA117" s="12"/>
      <c r="EEB117" s="12"/>
      <c r="EES117" s="12"/>
      <c r="EET117" s="12"/>
      <c r="EFK117" s="12"/>
      <c r="EFL117" s="12"/>
      <c r="EGC117" s="12"/>
      <c r="EGD117" s="12"/>
      <c r="EGU117" s="12"/>
      <c r="EGV117" s="12"/>
      <c r="EHM117" s="12"/>
      <c r="EHN117" s="12"/>
      <c r="EIE117" s="12"/>
      <c r="EIF117" s="12"/>
      <c r="EIW117" s="12"/>
      <c r="EIX117" s="12"/>
      <c r="EJO117" s="12"/>
      <c r="EJP117" s="12"/>
      <c r="EKG117" s="12"/>
      <c r="EKH117" s="12"/>
      <c r="EKY117" s="12"/>
      <c r="EKZ117" s="12"/>
      <c r="ELQ117" s="12"/>
      <c r="ELR117" s="12"/>
      <c r="EMI117" s="12"/>
      <c r="EMJ117" s="12"/>
      <c r="ENA117" s="12"/>
      <c r="ENB117" s="12"/>
      <c r="ENS117" s="12"/>
      <c r="ENT117" s="12"/>
      <c r="EOK117" s="12"/>
      <c r="EOL117" s="12"/>
      <c r="EPC117" s="12"/>
      <c r="EPD117" s="12"/>
      <c r="EPU117" s="12"/>
      <c r="EPV117" s="12"/>
      <c r="EQM117" s="12"/>
      <c r="EQN117" s="12"/>
      <c r="ERE117" s="12"/>
      <c r="ERF117" s="12"/>
      <c r="ERW117" s="12"/>
      <c r="ERX117" s="12"/>
      <c r="ESO117" s="12"/>
      <c r="ESP117" s="12"/>
      <c r="ETG117" s="12"/>
      <c r="ETH117" s="12"/>
      <c r="ETY117" s="12"/>
      <c r="ETZ117" s="12"/>
      <c r="EUQ117" s="12"/>
      <c r="EUR117" s="12"/>
      <c r="EVI117" s="12"/>
      <c r="EVJ117" s="12"/>
      <c r="EWA117" s="12"/>
      <c r="EWB117" s="12"/>
      <c r="EWS117" s="12"/>
      <c r="EWT117" s="12"/>
      <c r="EXK117" s="12"/>
      <c r="EXL117" s="12"/>
      <c r="EYC117" s="12"/>
      <c r="EYD117" s="12"/>
      <c r="EYU117" s="12"/>
      <c r="EYV117" s="12"/>
      <c r="EZM117" s="12"/>
      <c r="EZN117" s="12"/>
      <c r="FAE117" s="12"/>
      <c r="FAF117" s="12"/>
      <c r="FAW117" s="12"/>
      <c r="FAX117" s="12"/>
      <c r="FBO117" s="12"/>
      <c r="FBP117" s="12"/>
      <c r="FCG117" s="12"/>
      <c r="FCH117" s="12"/>
      <c r="FCY117" s="12"/>
      <c r="FCZ117" s="12"/>
      <c r="FDQ117" s="12"/>
      <c r="FDR117" s="12"/>
      <c r="FEI117" s="12"/>
      <c r="FEJ117" s="12"/>
      <c r="FFA117" s="12"/>
      <c r="FFB117" s="12"/>
      <c r="FFS117" s="12"/>
      <c r="FFT117" s="12"/>
      <c r="FGK117" s="12"/>
      <c r="FGL117" s="12"/>
      <c r="FHC117" s="12"/>
      <c r="FHD117" s="12"/>
      <c r="FHU117" s="12"/>
      <c r="FHV117" s="12"/>
      <c r="FIM117" s="12"/>
      <c r="FIN117" s="12"/>
      <c r="FJE117" s="12"/>
      <c r="FJF117" s="12"/>
      <c r="FJW117" s="12"/>
      <c r="FJX117" s="12"/>
      <c r="FKO117" s="12"/>
      <c r="FKP117" s="12"/>
      <c r="FLG117" s="12"/>
      <c r="FLH117" s="12"/>
      <c r="FLY117" s="12"/>
      <c r="FLZ117" s="12"/>
      <c r="FMQ117" s="12"/>
      <c r="FMR117" s="12"/>
      <c r="FNI117" s="12"/>
      <c r="FNJ117" s="12"/>
      <c r="FOA117" s="12"/>
      <c r="FOB117" s="12"/>
      <c r="FOS117" s="12"/>
      <c r="FOT117" s="12"/>
      <c r="FPK117" s="12"/>
      <c r="FPL117" s="12"/>
      <c r="FQC117" s="12"/>
      <c r="FQD117" s="12"/>
      <c r="FQU117" s="12"/>
      <c r="FQV117" s="12"/>
      <c r="FRM117" s="12"/>
      <c r="FRN117" s="12"/>
      <c r="FSE117" s="12"/>
      <c r="FSF117" s="12"/>
      <c r="FSW117" s="12"/>
      <c r="FSX117" s="12"/>
      <c r="FTO117" s="12"/>
      <c r="FTP117" s="12"/>
      <c r="FUG117" s="12"/>
      <c r="FUH117" s="12"/>
      <c r="FUY117" s="12"/>
      <c r="FUZ117" s="12"/>
      <c r="FVQ117" s="12"/>
      <c r="FVR117" s="12"/>
      <c r="FWI117" s="12"/>
      <c r="FWJ117" s="12"/>
      <c r="FXA117" s="12"/>
      <c r="FXB117" s="12"/>
      <c r="FXS117" s="12"/>
      <c r="FXT117" s="12"/>
      <c r="FYK117" s="12"/>
      <c r="FYL117" s="12"/>
      <c r="FZC117" s="12"/>
      <c r="FZD117" s="12"/>
      <c r="FZU117" s="12"/>
      <c r="FZV117" s="12"/>
      <c r="GAM117" s="12"/>
      <c r="GAN117" s="12"/>
      <c r="GBE117" s="12"/>
      <c r="GBF117" s="12"/>
      <c r="GBW117" s="12"/>
      <c r="GBX117" s="12"/>
      <c r="GCO117" s="12"/>
      <c r="GCP117" s="12"/>
      <c r="GDG117" s="12"/>
      <c r="GDH117" s="12"/>
      <c r="GDY117" s="12"/>
      <c r="GDZ117" s="12"/>
      <c r="GEQ117" s="12"/>
      <c r="GER117" s="12"/>
      <c r="GFI117" s="12"/>
      <c r="GFJ117" s="12"/>
      <c r="GGA117" s="12"/>
      <c r="GGB117" s="12"/>
      <c r="GGS117" s="12"/>
      <c r="GGT117" s="12"/>
      <c r="GHK117" s="12"/>
      <c r="GHL117" s="12"/>
      <c r="GIC117" s="12"/>
      <c r="GID117" s="12"/>
      <c r="GIU117" s="12"/>
      <c r="GIV117" s="12"/>
      <c r="GJM117" s="12"/>
      <c r="GJN117" s="12"/>
      <c r="GKE117" s="12"/>
      <c r="GKF117" s="12"/>
      <c r="GKW117" s="12"/>
      <c r="GKX117" s="12"/>
      <c r="GLO117" s="12"/>
      <c r="GLP117" s="12"/>
      <c r="GMG117" s="12"/>
      <c r="GMH117" s="12"/>
      <c r="GMY117" s="12"/>
      <c r="GMZ117" s="12"/>
      <c r="GNQ117" s="12"/>
      <c r="GNR117" s="12"/>
      <c r="GOI117" s="12"/>
      <c r="GOJ117" s="12"/>
      <c r="GPA117" s="12"/>
      <c r="GPB117" s="12"/>
      <c r="GPS117" s="12"/>
      <c r="GPT117" s="12"/>
      <c r="GQK117" s="12"/>
      <c r="GQL117" s="12"/>
      <c r="GRC117" s="12"/>
      <c r="GRD117" s="12"/>
      <c r="GRU117" s="12"/>
      <c r="GRV117" s="12"/>
      <c r="GSM117" s="12"/>
      <c r="GSN117" s="12"/>
      <c r="GTE117" s="12"/>
      <c r="GTF117" s="12"/>
      <c r="GTW117" s="12"/>
      <c r="GTX117" s="12"/>
      <c r="GUO117" s="12"/>
      <c r="GUP117" s="12"/>
      <c r="GVG117" s="12"/>
      <c r="GVH117" s="12"/>
      <c r="GVY117" s="12"/>
      <c r="GVZ117" s="12"/>
      <c r="GWQ117" s="12"/>
      <c r="GWR117" s="12"/>
      <c r="GXI117" s="12"/>
      <c r="GXJ117" s="12"/>
      <c r="GYA117" s="12"/>
      <c r="GYB117" s="12"/>
      <c r="GYS117" s="12"/>
      <c r="GYT117" s="12"/>
      <c r="GZK117" s="12"/>
      <c r="GZL117" s="12"/>
      <c r="HAC117" s="12"/>
      <c r="HAD117" s="12"/>
      <c r="HAU117" s="12"/>
      <c r="HAV117" s="12"/>
      <c r="HBM117" s="12"/>
      <c r="HBN117" s="12"/>
      <c r="HCE117" s="12"/>
      <c r="HCF117" s="12"/>
      <c r="HCW117" s="12"/>
      <c r="HCX117" s="12"/>
      <c r="HDO117" s="12"/>
      <c r="HDP117" s="12"/>
      <c r="HEG117" s="12"/>
      <c r="HEH117" s="12"/>
      <c r="HEY117" s="12"/>
      <c r="HEZ117" s="12"/>
      <c r="HFQ117" s="12"/>
      <c r="HFR117" s="12"/>
      <c r="HGI117" s="12"/>
      <c r="HGJ117" s="12"/>
      <c r="HHA117" s="12"/>
      <c r="HHB117" s="12"/>
      <c r="HHS117" s="12"/>
      <c r="HHT117" s="12"/>
      <c r="HIK117" s="12"/>
      <c r="HIL117" s="12"/>
      <c r="HJC117" s="12"/>
      <c r="HJD117" s="12"/>
      <c r="HJU117" s="12"/>
      <c r="HJV117" s="12"/>
      <c r="HKM117" s="12"/>
      <c r="HKN117" s="12"/>
      <c r="HLE117" s="12"/>
      <c r="HLF117" s="12"/>
      <c r="HLW117" s="12"/>
      <c r="HLX117" s="12"/>
      <c r="HMO117" s="12"/>
      <c r="HMP117" s="12"/>
      <c r="HNG117" s="12"/>
      <c r="HNH117" s="12"/>
      <c r="HNY117" s="12"/>
      <c r="HNZ117" s="12"/>
      <c r="HOQ117" s="12"/>
      <c r="HOR117" s="12"/>
      <c r="HPI117" s="12"/>
      <c r="HPJ117" s="12"/>
      <c r="HQA117" s="12"/>
      <c r="HQB117" s="12"/>
      <c r="HQS117" s="12"/>
      <c r="HQT117" s="12"/>
      <c r="HRK117" s="12"/>
      <c r="HRL117" s="12"/>
      <c r="HSC117" s="12"/>
      <c r="HSD117" s="12"/>
      <c r="HSU117" s="12"/>
      <c r="HSV117" s="12"/>
      <c r="HTM117" s="12"/>
      <c r="HTN117" s="12"/>
      <c r="HUE117" s="12"/>
      <c r="HUF117" s="12"/>
      <c r="HUW117" s="12"/>
      <c r="HUX117" s="12"/>
      <c r="HVO117" s="12"/>
      <c r="HVP117" s="12"/>
      <c r="HWG117" s="12"/>
      <c r="HWH117" s="12"/>
      <c r="HWY117" s="12"/>
      <c r="HWZ117" s="12"/>
      <c r="HXQ117" s="12"/>
      <c r="HXR117" s="12"/>
      <c r="HYI117" s="12"/>
      <c r="HYJ117" s="12"/>
      <c r="HZA117" s="12"/>
      <c r="HZB117" s="12"/>
      <c r="HZS117" s="12"/>
      <c r="HZT117" s="12"/>
      <c r="IAK117" s="12"/>
      <c r="IAL117" s="12"/>
      <c r="IBC117" s="12"/>
      <c r="IBD117" s="12"/>
      <c r="IBU117" s="12"/>
      <c r="IBV117" s="12"/>
      <c r="ICM117" s="12"/>
      <c r="ICN117" s="12"/>
      <c r="IDE117" s="12"/>
      <c r="IDF117" s="12"/>
      <c r="IDW117" s="12"/>
      <c r="IDX117" s="12"/>
      <c r="IEO117" s="12"/>
      <c r="IEP117" s="12"/>
      <c r="IFG117" s="12"/>
      <c r="IFH117" s="12"/>
      <c r="IFY117" s="12"/>
      <c r="IFZ117" s="12"/>
      <c r="IGQ117" s="12"/>
      <c r="IGR117" s="12"/>
      <c r="IHI117" s="12"/>
      <c r="IHJ117" s="12"/>
      <c r="IIA117" s="12"/>
      <c r="IIB117" s="12"/>
      <c r="IIS117" s="12"/>
      <c r="IIT117" s="12"/>
      <c r="IJK117" s="12"/>
      <c r="IJL117" s="12"/>
      <c r="IKC117" s="12"/>
      <c r="IKD117" s="12"/>
      <c r="IKU117" s="12"/>
      <c r="IKV117" s="12"/>
      <c r="ILM117" s="12"/>
      <c r="ILN117" s="12"/>
      <c r="IME117" s="12"/>
      <c r="IMF117" s="12"/>
      <c r="IMW117" s="12"/>
      <c r="IMX117" s="12"/>
      <c r="INO117" s="12"/>
      <c r="INP117" s="12"/>
      <c r="IOG117" s="12"/>
      <c r="IOH117" s="12"/>
      <c r="IOY117" s="12"/>
      <c r="IOZ117" s="12"/>
      <c r="IPQ117" s="12"/>
      <c r="IPR117" s="12"/>
      <c r="IQI117" s="12"/>
      <c r="IQJ117" s="12"/>
      <c r="IRA117" s="12"/>
      <c r="IRB117" s="12"/>
      <c r="IRS117" s="12"/>
      <c r="IRT117" s="12"/>
      <c r="ISK117" s="12"/>
      <c r="ISL117" s="12"/>
      <c r="ITC117" s="12"/>
      <c r="ITD117" s="12"/>
      <c r="ITU117" s="12"/>
      <c r="ITV117" s="12"/>
      <c r="IUM117" s="12"/>
      <c r="IUN117" s="12"/>
      <c r="IVE117" s="12"/>
      <c r="IVF117" s="12"/>
      <c r="IVW117" s="12"/>
      <c r="IVX117" s="12"/>
      <c r="IWO117" s="12"/>
      <c r="IWP117" s="12"/>
      <c r="IXG117" s="12"/>
      <c r="IXH117" s="12"/>
      <c r="IXY117" s="12"/>
      <c r="IXZ117" s="12"/>
      <c r="IYQ117" s="12"/>
      <c r="IYR117" s="12"/>
      <c r="IZI117" s="12"/>
      <c r="IZJ117" s="12"/>
      <c r="JAA117" s="12"/>
      <c r="JAB117" s="12"/>
      <c r="JAS117" s="12"/>
      <c r="JAT117" s="12"/>
      <c r="JBK117" s="12"/>
      <c r="JBL117" s="12"/>
      <c r="JCC117" s="12"/>
      <c r="JCD117" s="12"/>
      <c r="JCU117" s="12"/>
      <c r="JCV117" s="12"/>
      <c r="JDM117" s="12"/>
      <c r="JDN117" s="12"/>
      <c r="JEE117" s="12"/>
      <c r="JEF117" s="12"/>
      <c r="JEW117" s="12"/>
      <c r="JEX117" s="12"/>
      <c r="JFO117" s="12"/>
      <c r="JFP117" s="12"/>
      <c r="JGG117" s="12"/>
      <c r="JGH117" s="12"/>
      <c r="JGY117" s="12"/>
      <c r="JGZ117" s="12"/>
      <c r="JHQ117" s="12"/>
      <c r="JHR117" s="12"/>
      <c r="JII117" s="12"/>
      <c r="JIJ117" s="12"/>
      <c r="JJA117" s="12"/>
      <c r="JJB117" s="12"/>
      <c r="JJS117" s="12"/>
      <c r="JJT117" s="12"/>
      <c r="JKK117" s="12"/>
      <c r="JKL117" s="12"/>
      <c r="JLC117" s="12"/>
      <c r="JLD117" s="12"/>
      <c r="JLU117" s="12"/>
      <c r="JLV117" s="12"/>
      <c r="JMM117" s="12"/>
      <c r="JMN117" s="12"/>
      <c r="JNE117" s="12"/>
      <c r="JNF117" s="12"/>
      <c r="JNW117" s="12"/>
      <c r="JNX117" s="12"/>
      <c r="JOO117" s="12"/>
      <c r="JOP117" s="12"/>
      <c r="JPG117" s="12"/>
      <c r="JPH117" s="12"/>
      <c r="JPY117" s="12"/>
      <c r="JPZ117" s="12"/>
      <c r="JQQ117" s="12"/>
      <c r="JQR117" s="12"/>
      <c r="JRI117" s="12"/>
      <c r="JRJ117" s="12"/>
      <c r="JSA117" s="12"/>
      <c r="JSB117" s="12"/>
      <c r="JSS117" s="12"/>
      <c r="JST117" s="12"/>
      <c r="JTK117" s="12"/>
      <c r="JTL117" s="12"/>
      <c r="JUC117" s="12"/>
      <c r="JUD117" s="12"/>
      <c r="JUU117" s="12"/>
      <c r="JUV117" s="12"/>
      <c r="JVM117" s="12"/>
      <c r="JVN117" s="12"/>
      <c r="JWE117" s="12"/>
      <c r="JWF117" s="12"/>
      <c r="JWW117" s="12"/>
      <c r="JWX117" s="12"/>
      <c r="JXO117" s="12"/>
      <c r="JXP117" s="12"/>
      <c r="JYG117" s="12"/>
      <c r="JYH117" s="12"/>
      <c r="JYY117" s="12"/>
      <c r="JYZ117" s="12"/>
      <c r="JZQ117" s="12"/>
      <c r="JZR117" s="12"/>
      <c r="KAI117" s="12"/>
      <c r="KAJ117" s="12"/>
      <c r="KBA117" s="12"/>
      <c r="KBB117" s="12"/>
      <c r="KBS117" s="12"/>
      <c r="KBT117" s="12"/>
      <c r="KCK117" s="12"/>
      <c r="KCL117" s="12"/>
      <c r="KDC117" s="12"/>
      <c r="KDD117" s="12"/>
      <c r="KDU117" s="12"/>
      <c r="KDV117" s="12"/>
      <c r="KEM117" s="12"/>
      <c r="KEN117" s="12"/>
      <c r="KFE117" s="12"/>
      <c r="KFF117" s="12"/>
      <c r="KFW117" s="12"/>
      <c r="KFX117" s="12"/>
      <c r="KGO117" s="12"/>
      <c r="KGP117" s="12"/>
      <c r="KHG117" s="12"/>
      <c r="KHH117" s="12"/>
      <c r="KHY117" s="12"/>
      <c r="KHZ117" s="12"/>
      <c r="KIQ117" s="12"/>
      <c r="KIR117" s="12"/>
      <c r="KJI117" s="12"/>
      <c r="KJJ117" s="12"/>
      <c r="KKA117" s="12"/>
      <c r="KKB117" s="12"/>
      <c r="KKS117" s="12"/>
      <c r="KKT117" s="12"/>
      <c r="KLK117" s="12"/>
      <c r="KLL117" s="12"/>
      <c r="KMC117" s="12"/>
      <c r="KMD117" s="12"/>
      <c r="KMU117" s="12"/>
      <c r="KMV117" s="12"/>
      <c r="KNM117" s="12"/>
      <c r="KNN117" s="12"/>
      <c r="KOE117" s="12"/>
      <c r="KOF117" s="12"/>
      <c r="KOW117" s="12"/>
      <c r="KOX117" s="12"/>
      <c r="KPO117" s="12"/>
      <c r="KPP117" s="12"/>
      <c r="KQG117" s="12"/>
      <c r="KQH117" s="12"/>
      <c r="KQY117" s="12"/>
      <c r="KQZ117" s="12"/>
      <c r="KRQ117" s="12"/>
      <c r="KRR117" s="12"/>
      <c r="KSI117" s="12"/>
      <c r="KSJ117" s="12"/>
      <c r="KTA117" s="12"/>
      <c r="KTB117" s="12"/>
      <c r="KTS117" s="12"/>
      <c r="KTT117" s="12"/>
      <c r="KUK117" s="12"/>
      <c r="KUL117" s="12"/>
      <c r="KVC117" s="12"/>
      <c r="KVD117" s="12"/>
      <c r="KVU117" s="12"/>
      <c r="KVV117" s="12"/>
      <c r="KWM117" s="12"/>
      <c r="KWN117" s="12"/>
      <c r="KXE117" s="12"/>
      <c r="KXF117" s="12"/>
      <c r="KXW117" s="12"/>
      <c r="KXX117" s="12"/>
      <c r="KYO117" s="12"/>
      <c r="KYP117" s="12"/>
      <c r="KZG117" s="12"/>
      <c r="KZH117" s="12"/>
      <c r="KZY117" s="12"/>
      <c r="KZZ117" s="12"/>
      <c r="LAQ117" s="12"/>
      <c r="LAR117" s="12"/>
      <c r="LBI117" s="12"/>
      <c r="LBJ117" s="12"/>
      <c r="LCA117" s="12"/>
      <c r="LCB117" s="12"/>
      <c r="LCS117" s="12"/>
      <c r="LCT117" s="12"/>
      <c r="LDK117" s="12"/>
      <c r="LDL117" s="12"/>
      <c r="LEC117" s="12"/>
      <c r="LED117" s="12"/>
      <c r="LEU117" s="12"/>
      <c r="LEV117" s="12"/>
      <c r="LFM117" s="12"/>
      <c r="LFN117" s="12"/>
      <c r="LGE117" s="12"/>
      <c r="LGF117" s="12"/>
      <c r="LGW117" s="12"/>
      <c r="LGX117" s="12"/>
      <c r="LHO117" s="12"/>
      <c r="LHP117" s="12"/>
      <c r="LIG117" s="12"/>
      <c r="LIH117" s="12"/>
      <c r="LIY117" s="12"/>
      <c r="LIZ117" s="12"/>
      <c r="LJQ117" s="12"/>
      <c r="LJR117" s="12"/>
      <c r="LKI117" s="12"/>
      <c r="LKJ117" s="12"/>
      <c r="LLA117" s="12"/>
      <c r="LLB117" s="12"/>
      <c r="LLS117" s="12"/>
      <c r="LLT117" s="12"/>
      <c r="LMK117" s="12"/>
      <c r="LML117" s="12"/>
      <c r="LNC117" s="12"/>
      <c r="LND117" s="12"/>
      <c r="LNU117" s="12"/>
      <c r="LNV117" s="12"/>
      <c r="LOM117" s="12"/>
      <c r="LON117" s="12"/>
      <c r="LPE117" s="12"/>
      <c r="LPF117" s="12"/>
      <c r="LPW117" s="12"/>
      <c r="LPX117" s="12"/>
      <c r="LQO117" s="12"/>
      <c r="LQP117" s="12"/>
      <c r="LRG117" s="12"/>
      <c r="LRH117" s="12"/>
      <c r="LRY117" s="12"/>
      <c r="LRZ117" s="12"/>
      <c r="LSQ117" s="12"/>
      <c r="LSR117" s="12"/>
      <c r="LTI117" s="12"/>
      <c r="LTJ117" s="12"/>
      <c r="LUA117" s="12"/>
      <c r="LUB117" s="12"/>
      <c r="LUS117" s="12"/>
      <c r="LUT117" s="12"/>
      <c r="LVK117" s="12"/>
      <c r="LVL117" s="12"/>
      <c r="LWC117" s="12"/>
      <c r="LWD117" s="12"/>
      <c r="LWU117" s="12"/>
      <c r="LWV117" s="12"/>
      <c r="LXM117" s="12"/>
      <c r="LXN117" s="12"/>
      <c r="LYE117" s="12"/>
      <c r="LYF117" s="12"/>
      <c r="LYW117" s="12"/>
      <c r="LYX117" s="12"/>
      <c r="LZO117" s="12"/>
      <c r="LZP117" s="12"/>
      <c r="MAG117" s="12"/>
      <c r="MAH117" s="12"/>
      <c r="MAY117" s="12"/>
      <c r="MAZ117" s="12"/>
      <c r="MBQ117" s="12"/>
      <c r="MBR117" s="12"/>
      <c r="MCI117" s="12"/>
      <c r="MCJ117" s="12"/>
      <c r="MDA117" s="12"/>
      <c r="MDB117" s="12"/>
      <c r="MDS117" s="12"/>
      <c r="MDT117" s="12"/>
      <c r="MEK117" s="12"/>
      <c r="MEL117" s="12"/>
      <c r="MFC117" s="12"/>
      <c r="MFD117" s="12"/>
      <c r="MFU117" s="12"/>
      <c r="MFV117" s="12"/>
      <c r="MGM117" s="12"/>
      <c r="MGN117" s="12"/>
      <c r="MHE117" s="12"/>
      <c r="MHF117" s="12"/>
      <c r="MHW117" s="12"/>
      <c r="MHX117" s="12"/>
      <c r="MIO117" s="12"/>
      <c r="MIP117" s="12"/>
      <c r="MJG117" s="12"/>
      <c r="MJH117" s="12"/>
      <c r="MJY117" s="12"/>
      <c r="MJZ117" s="12"/>
      <c r="MKQ117" s="12"/>
      <c r="MKR117" s="12"/>
      <c r="MLI117" s="12"/>
      <c r="MLJ117" s="12"/>
      <c r="MMA117" s="12"/>
      <c r="MMB117" s="12"/>
      <c r="MMS117" s="12"/>
      <c r="MMT117" s="12"/>
      <c r="MNK117" s="12"/>
      <c r="MNL117" s="12"/>
      <c r="MOC117" s="12"/>
      <c r="MOD117" s="12"/>
      <c r="MOU117" s="12"/>
      <c r="MOV117" s="12"/>
      <c r="MPM117" s="12"/>
      <c r="MPN117" s="12"/>
      <c r="MQE117" s="12"/>
      <c r="MQF117" s="12"/>
      <c r="MQW117" s="12"/>
      <c r="MQX117" s="12"/>
      <c r="MRO117" s="12"/>
      <c r="MRP117" s="12"/>
      <c r="MSG117" s="12"/>
      <c r="MSH117" s="12"/>
      <c r="MSY117" s="12"/>
      <c r="MSZ117" s="12"/>
      <c r="MTQ117" s="12"/>
      <c r="MTR117" s="12"/>
      <c r="MUI117" s="12"/>
      <c r="MUJ117" s="12"/>
      <c r="MVA117" s="12"/>
      <c r="MVB117" s="12"/>
      <c r="MVS117" s="12"/>
      <c r="MVT117" s="12"/>
      <c r="MWK117" s="12"/>
      <c r="MWL117" s="12"/>
      <c r="MXC117" s="12"/>
      <c r="MXD117" s="12"/>
      <c r="MXU117" s="12"/>
      <c r="MXV117" s="12"/>
      <c r="MYM117" s="12"/>
      <c r="MYN117" s="12"/>
      <c r="MZE117" s="12"/>
      <c r="MZF117" s="12"/>
      <c r="MZW117" s="12"/>
      <c r="MZX117" s="12"/>
      <c r="NAO117" s="12"/>
      <c r="NAP117" s="12"/>
      <c r="NBG117" s="12"/>
      <c r="NBH117" s="12"/>
      <c r="NBY117" s="12"/>
      <c r="NBZ117" s="12"/>
      <c r="NCQ117" s="12"/>
      <c r="NCR117" s="12"/>
      <c r="NDI117" s="12"/>
      <c r="NDJ117" s="12"/>
      <c r="NEA117" s="12"/>
      <c r="NEB117" s="12"/>
      <c r="NES117" s="12"/>
      <c r="NET117" s="12"/>
      <c r="NFK117" s="12"/>
      <c r="NFL117" s="12"/>
      <c r="NGC117" s="12"/>
      <c r="NGD117" s="12"/>
      <c r="NGU117" s="12"/>
      <c r="NGV117" s="12"/>
      <c r="NHM117" s="12"/>
      <c r="NHN117" s="12"/>
      <c r="NIE117" s="12"/>
      <c r="NIF117" s="12"/>
      <c r="NIW117" s="12"/>
      <c r="NIX117" s="12"/>
      <c r="NJO117" s="12"/>
      <c r="NJP117" s="12"/>
      <c r="NKG117" s="12"/>
      <c r="NKH117" s="12"/>
      <c r="NKY117" s="12"/>
      <c r="NKZ117" s="12"/>
      <c r="NLQ117" s="12"/>
      <c r="NLR117" s="12"/>
      <c r="NMI117" s="12"/>
      <c r="NMJ117" s="12"/>
      <c r="NNA117" s="12"/>
      <c r="NNB117" s="12"/>
      <c r="NNS117" s="12"/>
      <c r="NNT117" s="12"/>
      <c r="NOK117" s="12"/>
      <c r="NOL117" s="12"/>
      <c r="NPC117" s="12"/>
      <c r="NPD117" s="12"/>
      <c r="NPU117" s="12"/>
      <c r="NPV117" s="12"/>
      <c r="NQM117" s="12"/>
      <c r="NQN117" s="12"/>
      <c r="NRE117" s="12"/>
      <c r="NRF117" s="12"/>
      <c r="NRW117" s="12"/>
      <c r="NRX117" s="12"/>
      <c r="NSO117" s="12"/>
      <c r="NSP117" s="12"/>
      <c r="NTG117" s="12"/>
      <c r="NTH117" s="12"/>
      <c r="NTY117" s="12"/>
      <c r="NTZ117" s="12"/>
      <c r="NUQ117" s="12"/>
      <c r="NUR117" s="12"/>
      <c r="NVI117" s="12"/>
      <c r="NVJ117" s="12"/>
      <c r="NWA117" s="12"/>
      <c r="NWB117" s="12"/>
      <c r="NWS117" s="12"/>
      <c r="NWT117" s="12"/>
      <c r="NXK117" s="12"/>
      <c r="NXL117" s="12"/>
      <c r="NYC117" s="12"/>
      <c r="NYD117" s="12"/>
      <c r="NYU117" s="12"/>
      <c r="NYV117" s="12"/>
      <c r="NZM117" s="12"/>
      <c r="NZN117" s="12"/>
      <c r="OAE117" s="12"/>
      <c r="OAF117" s="12"/>
      <c r="OAW117" s="12"/>
      <c r="OAX117" s="12"/>
      <c r="OBO117" s="12"/>
      <c r="OBP117" s="12"/>
      <c r="OCG117" s="12"/>
      <c r="OCH117" s="12"/>
      <c r="OCY117" s="12"/>
      <c r="OCZ117" s="12"/>
      <c r="ODQ117" s="12"/>
      <c r="ODR117" s="12"/>
      <c r="OEI117" s="12"/>
      <c r="OEJ117" s="12"/>
      <c r="OFA117" s="12"/>
      <c r="OFB117" s="12"/>
      <c r="OFS117" s="12"/>
      <c r="OFT117" s="12"/>
      <c r="OGK117" s="12"/>
      <c r="OGL117" s="12"/>
      <c r="OHC117" s="12"/>
      <c r="OHD117" s="12"/>
      <c r="OHU117" s="12"/>
      <c r="OHV117" s="12"/>
      <c r="OIM117" s="12"/>
      <c r="OIN117" s="12"/>
      <c r="OJE117" s="12"/>
      <c r="OJF117" s="12"/>
      <c r="OJW117" s="12"/>
      <c r="OJX117" s="12"/>
      <c r="OKO117" s="12"/>
      <c r="OKP117" s="12"/>
      <c r="OLG117" s="12"/>
      <c r="OLH117" s="12"/>
      <c r="OLY117" s="12"/>
      <c r="OLZ117" s="12"/>
      <c r="OMQ117" s="12"/>
      <c r="OMR117" s="12"/>
      <c r="ONI117" s="12"/>
      <c r="ONJ117" s="12"/>
      <c r="OOA117" s="12"/>
      <c r="OOB117" s="12"/>
      <c r="OOS117" s="12"/>
      <c r="OOT117" s="12"/>
      <c r="OPK117" s="12"/>
      <c r="OPL117" s="12"/>
      <c r="OQC117" s="12"/>
      <c r="OQD117" s="12"/>
      <c r="OQU117" s="12"/>
      <c r="OQV117" s="12"/>
      <c r="ORM117" s="12"/>
      <c r="ORN117" s="12"/>
      <c r="OSE117" s="12"/>
      <c r="OSF117" s="12"/>
      <c r="OSW117" s="12"/>
      <c r="OSX117" s="12"/>
      <c r="OTO117" s="12"/>
      <c r="OTP117" s="12"/>
      <c r="OUG117" s="12"/>
      <c r="OUH117" s="12"/>
      <c r="OUY117" s="12"/>
      <c r="OUZ117" s="12"/>
      <c r="OVQ117" s="12"/>
      <c r="OVR117" s="12"/>
      <c r="OWI117" s="12"/>
      <c r="OWJ117" s="12"/>
      <c r="OXA117" s="12"/>
      <c r="OXB117" s="12"/>
      <c r="OXS117" s="12"/>
      <c r="OXT117" s="12"/>
      <c r="OYK117" s="12"/>
      <c r="OYL117" s="12"/>
      <c r="OZC117" s="12"/>
      <c r="OZD117" s="12"/>
      <c r="OZU117" s="12"/>
      <c r="OZV117" s="12"/>
      <c r="PAM117" s="12"/>
      <c r="PAN117" s="12"/>
      <c r="PBE117" s="12"/>
      <c r="PBF117" s="12"/>
      <c r="PBW117" s="12"/>
      <c r="PBX117" s="12"/>
      <c r="PCO117" s="12"/>
      <c r="PCP117" s="12"/>
      <c r="PDG117" s="12"/>
      <c r="PDH117" s="12"/>
      <c r="PDY117" s="12"/>
      <c r="PDZ117" s="12"/>
      <c r="PEQ117" s="12"/>
      <c r="PER117" s="12"/>
      <c r="PFI117" s="12"/>
      <c r="PFJ117" s="12"/>
      <c r="PGA117" s="12"/>
      <c r="PGB117" s="12"/>
      <c r="PGS117" s="12"/>
      <c r="PGT117" s="12"/>
      <c r="PHK117" s="12"/>
      <c r="PHL117" s="12"/>
      <c r="PIC117" s="12"/>
      <c r="PID117" s="12"/>
      <c r="PIU117" s="12"/>
      <c r="PIV117" s="12"/>
      <c r="PJM117" s="12"/>
      <c r="PJN117" s="12"/>
      <c r="PKE117" s="12"/>
      <c r="PKF117" s="12"/>
      <c r="PKW117" s="12"/>
      <c r="PKX117" s="12"/>
      <c r="PLO117" s="12"/>
      <c r="PLP117" s="12"/>
      <c r="PMG117" s="12"/>
      <c r="PMH117" s="12"/>
      <c r="PMY117" s="12"/>
      <c r="PMZ117" s="12"/>
      <c r="PNQ117" s="12"/>
      <c r="PNR117" s="12"/>
      <c r="POI117" s="12"/>
      <c r="POJ117" s="12"/>
      <c r="PPA117" s="12"/>
      <c r="PPB117" s="12"/>
      <c r="PPS117" s="12"/>
      <c r="PPT117" s="12"/>
      <c r="PQK117" s="12"/>
      <c r="PQL117" s="12"/>
      <c r="PRC117" s="12"/>
      <c r="PRD117" s="12"/>
      <c r="PRU117" s="12"/>
      <c r="PRV117" s="12"/>
      <c r="PSM117" s="12"/>
      <c r="PSN117" s="12"/>
      <c r="PTE117" s="12"/>
      <c r="PTF117" s="12"/>
      <c r="PTW117" s="12"/>
      <c r="PTX117" s="12"/>
      <c r="PUO117" s="12"/>
      <c r="PUP117" s="12"/>
      <c r="PVG117" s="12"/>
      <c r="PVH117" s="12"/>
      <c r="PVY117" s="12"/>
      <c r="PVZ117" s="12"/>
      <c r="PWQ117" s="12"/>
      <c r="PWR117" s="12"/>
      <c r="PXI117" s="12"/>
      <c r="PXJ117" s="12"/>
      <c r="PYA117" s="12"/>
      <c r="PYB117" s="12"/>
      <c r="PYS117" s="12"/>
      <c r="PYT117" s="12"/>
      <c r="PZK117" s="12"/>
      <c r="PZL117" s="12"/>
      <c r="QAC117" s="12"/>
      <c r="QAD117" s="12"/>
      <c r="QAU117" s="12"/>
      <c r="QAV117" s="12"/>
      <c r="QBM117" s="12"/>
      <c r="QBN117" s="12"/>
      <c r="QCE117" s="12"/>
      <c r="QCF117" s="12"/>
      <c r="QCW117" s="12"/>
      <c r="QCX117" s="12"/>
      <c r="QDO117" s="12"/>
      <c r="QDP117" s="12"/>
      <c r="QEG117" s="12"/>
      <c r="QEH117" s="12"/>
      <c r="QEY117" s="12"/>
      <c r="QEZ117" s="12"/>
      <c r="QFQ117" s="12"/>
      <c r="QFR117" s="12"/>
      <c r="QGI117" s="12"/>
      <c r="QGJ117" s="12"/>
      <c r="QHA117" s="12"/>
      <c r="QHB117" s="12"/>
      <c r="QHS117" s="12"/>
      <c r="QHT117" s="12"/>
      <c r="QIK117" s="12"/>
      <c r="QIL117" s="12"/>
      <c r="QJC117" s="12"/>
      <c r="QJD117" s="12"/>
      <c r="QJU117" s="12"/>
      <c r="QJV117" s="12"/>
      <c r="QKM117" s="12"/>
      <c r="QKN117" s="12"/>
      <c r="QLE117" s="12"/>
      <c r="QLF117" s="12"/>
      <c r="QLW117" s="12"/>
      <c r="QLX117" s="12"/>
      <c r="QMO117" s="12"/>
      <c r="QMP117" s="12"/>
      <c r="QNG117" s="12"/>
      <c r="QNH117" s="12"/>
      <c r="QNY117" s="12"/>
      <c r="QNZ117" s="12"/>
      <c r="QOQ117" s="12"/>
      <c r="QOR117" s="12"/>
      <c r="QPI117" s="12"/>
      <c r="QPJ117" s="12"/>
      <c r="QQA117" s="12"/>
      <c r="QQB117" s="12"/>
      <c r="QQS117" s="12"/>
      <c r="QQT117" s="12"/>
      <c r="QRK117" s="12"/>
      <c r="QRL117" s="12"/>
      <c r="QSC117" s="12"/>
      <c r="QSD117" s="12"/>
      <c r="QSU117" s="12"/>
      <c r="QSV117" s="12"/>
      <c r="QTM117" s="12"/>
      <c r="QTN117" s="12"/>
      <c r="QUE117" s="12"/>
      <c r="QUF117" s="12"/>
      <c r="QUW117" s="12"/>
      <c r="QUX117" s="12"/>
      <c r="QVO117" s="12"/>
      <c r="QVP117" s="12"/>
      <c r="QWG117" s="12"/>
      <c r="QWH117" s="12"/>
      <c r="QWY117" s="12"/>
      <c r="QWZ117" s="12"/>
      <c r="QXQ117" s="12"/>
      <c r="QXR117" s="12"/>
      <c r="QYI117" s="12"/>
      <c r="QYJ117" s="12"/>
      <c r="QZA117" s="12"/>
      <c r="QZB117" s="12"/>
      <c r="QZS117" s="12"/>
      <c r="QZT117" s="12"/>
      <c r="RAK117" s="12"/>
      <c r="RAL117" s="12"/>
      <c r="RBC117" s="12"/>
      <c r="RBD117" s="12"/>
      <c r="RBU117" s="12"/>
      <c r="RBV117" s="12"/>
      <c r="RCM117" s="12"/>
      <c r="RCN117" s="12"/>
      <c r="RDE117" s="12"/>
      <c r="RDF117" s="12"/>
      <c r="RDW117" s="12"/>
      <c r="RDX117" s="12"/>
      <c r="REO117" s="12"/>
      <c r="REP117" s="12"/>
      <c r="RFG117" s="12"/>
      <c r="RFH117" s="12"/>
      <c r="RFY117" s="12"/>
      <c r="RFZ117" s="12"/>
      <c r="RGQ117" s="12"/>
      <c r="RGR117" s="12"/>
      <c r="RHI117" s="12"/>
      <c r="RHJ117" s="12"/>
      <c r="RIA117" s="12"/>
      <c r="RIB117" s="12"/>
      <c r="RIS117" s="12"/>
      <c r="RIT117" s="12"/>
      <c r="RJK117" s="12"/>
      <c r="RJL117" s="12"/>
      <c r="RKC117" s="12"/>
      <c r="RKD117" s="12"/>
      <c r="RKU117" s="12"/>
      <c r="RKV117" s="12"/>
      <c r="RLM117" s="12"/>
      <c r="RLN117" s="12"/>
      <c r="RME117" s="12"/>
      <c r="RMF117" s="12"/>
      <c r="RMW117" s="12"/>
      <c r="RMX117" s="12"/>
      <c r="RNO117" s="12"/>
      <c r="RNP117" s="12"/>
      <c r="ROG117" s="12"/>
      <c r="ROH117" s="12"/>
      <c r="ROY117" s="12"/>
      <c r="ROZ117" s="12"/>
      <c r="RPQ117" s="12"/>
      <c r="RPR117" s="12"/>
      <c r="RQI117" s="12"/>
      <c r="RQJ117" s="12"/>
      <c r="RRA117" s="12"/>
      <c r="RRB117" s="12"/>
      <c r="RRS117" s="12"/>
      <c r="RRT117" s="12"/>
      <c r="RSK117" s="12"/>
      <c r="RSL117" s="12"/>
      <c r="RTC117" s="12"/>
      <c r="RTD117" s="12"/>
      <c r="RTU117" s="12"/>
      <c r="RTV117" s="12"/>
      <c r="RUM117" s="12"/>
      <c r="RUN117" s="12"/>
      <c r="RVE117" s="12"/>
      <c r="RVF117" s="12"/>
      <c r="RVW117" s="12"/>
      <c r="RVX117" s="12"/>
      <c r="RWO117" s="12"/>
      <c r="RWP117" s="12"/>
      <c r="RXG117" s="12"/>
      <c r="RXH117" s="12"/>
      <c r="RXY117" s="12"/>
      <c r="RXZ117" s="12"/>
      <c r="RYQ117" s="12"/>
      <c r="RYR117" s="12"/>
      <c r="RZI117" s="12"/>
      <c r="RZJ117" s="12"/>
      <c r="SAA117" s="12"/>
      <c r="SAB117" s="12"/>
      <c r="SAS117" s="12"/>
      <c r="SAT117" s="12"/>
      <c r="SBK117" s="12"/>
      <c r="SBL117" s="12"/>
      <c r="SCC117" s="12"/>
      <c r="SCD117" s="12"/>
      <c r="SCU117" s="12"/>
      <c r="SCV117" s="12"/>
      <c r="SDM117" s="12"/>
      <c r="SDN117" s="12"/>
      <c r="SEE117" s="12"/>
      <c r="SEF117" s="12"/>
      <c r="SEW117" s="12"/>
      <c r="SEX117" s="12"/>
      <c r="SFO117" s="12"/>
      <c r="SFP117" s="12"/>
      <c r="SGG117" s="12"/>
      <c r="SGH117" s="12"/>
      <c r="SGY117" s="12"/>
      <c r="SGZ117" s="12"/>
      <c r="SHQ117" s="12"/>
      <c r="SHR117" s="12"/>
      <c r="SII117" s="12"/>
      <c r="SIJ117" s="12"/>
      <c r="SJA117" s="12"/>
      <c r="SJB117" s="12"/>
      <c r="SJS117" s="12"/>
      <c r="SJT117" s="12"/>
      <c r="SKK117" s="12"/>
      <c r="SKL117" s="12"/>
      <c r="SLC117" s="12"/>
      <c r="SLD117" s="12"/>
      <c r="SLU117" s="12"/>
      <c r="SLV117" s="12"/>
      <c r="SMM117" s="12"/>
      <c r="SMN117" s="12"/>
      <c r="SNE117" s="12"/>
      <c r="SNF117" s="12"/>
      <c r="SNW117" s="12"/>
      <c r="SNX117" s="12"/>
      <c r="SOO117" s="12"/>
      <c r="SOP117" s="12"/>
      <c r="SPG117" s="12"/>
      <c r="SPH117" s="12"/>
      <c r="SPY117" s="12"/>
      <c r="SPZ117" s="12"/>
      <c r="SQQ117" s="12"/>
      <c r="SQR117" s="12"/>
      <c r="SRI117" s="12"/>
      <c r="SRJ117" s="12"/>
      <c r="SSA117" s="12"/>
      <c r="SSB117" s="12"/>
      <c r="SSS117" s="12"/>
      <c r="SST117" s="12"/>
      <c r="STK117" s="12"/>
      <c r="STL117" s="12"/>
      <c r="SUC117" s="12"/>
      <c r="SUD117" s="12"/>
      <c r="SUU117" s="12"/>
      <c r="SUV117" s="12"/>
      <c r="SVM117" s="12"/>
      <c r="SVN117" s="12"/>
      <c r="SWE117" s="12"/>
      <c r="SWF117" s="12"/>
      <c r="SWW117" s="12"/>
      <c r="SWX117" s="12"/>
      <c r="SXO117" s="12"/>
      <c r="SXP117" s="12"/>
      <c r="SYG117" s="12"/>
      <c r="SYH117" s="12"/>
      <c r="SYY117" s="12"/>
      <c r="SYZ117" s="12"/>
      <c r="SZQ117" s="12"/>
      <c r="SZR117" s="12"/>
      <c r="TAI117" s="12"/>
      <c r="TAJ117" s="12"/>
      <c r="TBA117" s="12"/>
      <c r="TBB117" s="12"/>
      <c r="TBS117" s="12"/>
      <c r="TBT117" s="12"/>
      <c r="TCK117" s="12"/>
      <c r="TCL117" s="12"/>
      <c r="TDC117" s="12"/>
      <c r="TDD117" s="12"/>
      <c r="TDU117" s="12"/>
      <c r="TDV117" s="12"/>
      <c r="TEM117" s="12"/>
      <c r="TEN117" s="12"/>
      <c r="TFE117" s="12"/>
      <c r="TFF117" s="12"/>
      <c r="TFW117" s="12"/>
      <c r="TFX117" s="12"/>
      <c r="TGO117" s="12"/>
      <c r="TGP117" s="12"/>
      <c r="THG117" s="12"/>
      <c r="THH117" s="12"/>
      <c r="THY117" s="12"/>
      <c r="THZ117" s="12"/>
      <c r="TIQ117" s="12"/>
      <c r="TIR117" s="12"/>
      <c r="TJI117" s="12"/>
      <c r="TJJ117" s="12"/>
      <c r="TKA117" s="12"/>
      <c r="TKB117" s="12"/>
      <c r="TKS117" s="12"/>
      <c r="TKT117" s="12"/>
      <c r="TLK117" s="12"/>
      <c r="TLL117" s="12"/>
      <c r="TMC117" s="12"/>
      <c r="TMD117" s="12"/>
      <c r="TMU117" s="12"/>
      <c r="TMV117" s="12"/>
      <c r="TNM117" s="12"/>
      <c r="TNN117" s="12"/>
      <c r="TOE117" s="12"/>
      <c r="TOF117" s="12"/>
      <c r="TOW117" s="12"/>
      <c r="TOX117" s="12"/>
      <c r="TPO117" s="12"/>
      <c r="TPP117" s="12"/>
      <c r="TQG117" s="12"/>
      <c r="TQH117" s="12"/>
      <c r="TQY117" s="12"/>
      <c r="TQZ117" s="12"/>
      <c r="TRQ117" s="12"/>
      <c r="TRR117" s="12"/>
      <c r="TSI117" s="12"/>
      <c r="TSJ117" s="12"/>
      <c r="TTA117" s="12"/>
      <c r="TTB117" s="12"/>
      <c r="TTS117" s="12"/>
      <c r="TTT117" s="12"/>
      <c r="TUK117" s="12"/>
      <c r="TUL117" s="12"/>
      <c r="TVC117" s="12"/>
      <c r="TVD117" s="12"/>
      <c r="TVU117" s="12"/>
      <c r="TVV117" s="12"/>
      <c r="TWM117" s="12"/>
      <c r="TWN117" s="12"/>
      <c r="TXE117" s="12"/>
      <c r="TXF117" s="12"/>
      <c r="TXW117" s="12"/>
      <c r="TXX117" s="12"/>
      <c r="TYO117" s="12"/>
      <c r="TYP117" s="12"/>
      <c r="TZG117" s="12"/>
      <c r="TZH117" s="12"/>
      <c r="TZY117" s="12"/>
      <c r="TZZ117" s="12"/>
      <c r="UAQ117" s="12"/>
      <c r="UAR117" s="12"/>
      <c r="UBI117" s="12"/>
      <c r="UBJ117" s="12"/>
      <c r="UCA117" s="12"/>
      <c r="UCB117" s="12"/>
      <c r="UCS117" s="12"/>
      <c r="UCT117" s="12"/>
      <c r="UDK117" s="12"/>
      <c r="UDL117" s="12"/>
      <c r="UEC117" s="12"/>
      <c r="UED117" s="12"/>
      <c r="UEU117" s="12"/>
      <c r="UEV117" s="12"/>
      <c r="UFM117" s="12"/>
      <c r="UFN117" s="12"/>
      <c r="UGE117" s="12"/>
      <c r="UGF117" s="12"/>
      <c r="UGW117" s="12"/>
      <c r="UGX117" s="12"/>
      <c r="UHO117" s="12"/>
      <c r="UHP117" s="12"/>
      <c r="UIG117" s="12"/>
      <c r="UIH117" s="12"/>
      <c r="UIY117" s="12"/>
      <c r="UIZ117" s="12"/>
      <c r="UJQ117" s="12"/>
      <c r="UJR117" s="12"/>
      <c r="UKI117" s="12"/>
      <c r="UKJ117" s="12"/>
      <c r="ULA117" s="12"/>
      <c r="ULB117" s="12"/>
      <c r="ULS117" s="12"/>
      <c r="ULT117" s="12"/>
      <c r="UMK117" s="12"/>
      <c r="UML117" s="12"/>
      <c r="UNC117" s="12"/>
      <c r="UND117" s="12"/>
      <c r="UNU117" s="12"/>
      <c r="UNV117" s="12"/>
      <c r="UOM117" s="12"/>
      <c r="UON117" s="12"/>
      <c r="UPE117" s="12"/>
      <c r="UPF117" s="12"/>
      <c r="UPW117" s="12"/>
      <c r="UPX117" s="12"/>
      <c r="UQO117" s="12"/>
      <c r="UQP117" s="12"/>
      <c r="URG117" s="12"/>
      <c r="URH117" s="12"/>
      <c r="URY117" s="12"/>
      <c r="URZ117" s="12"/>
      <c r="USQ117" s="12"/>
      <c r="USR117" s="12"/>
      <c r="UTI117" s="12"/>
      <c r="UTJ117" s="12"/>
      <c r="UUA117" s="12"/>
      <c r="UUB117" s="12"/>
      <c r="UUS117" s="12"/>
      <c r="UUT117" s="12"/>
      <c r="UVK117" s="12"/>
      <c r="UVL117" s="12"/>
      <c r="UWC117" s="12"/>
      <c r="UWD117" s="12"/>
      <c r="UWU117" s="12"/>
      <c r="UWV117" s="12"/>
      <c r="UXM117" s="12"/>
      <c r="UXN117" s="12"/>
      <c r="UYE117" s="12"/>
      <c r="UYF117" s="12"/>
      <c r="UYW117" s="12"/>
      <c r="UYX117" s="12"/>
      <c r="UZO117" s="12"/>
      <c r="UZP117" s="12"/>
      <c r="VAG117" s="12"/>
      <c r="VAH117" s="12"/>
      <c r="VAY117" s="12"/>
      <c r="VAZ117" s="12"/>
      <c r="VBQ117" s="12"/>
      <c r="VBR117" s="12"/>
      <c r="VCI117" s="12"/>
      <c r="VCJ117" s="12"/>
      <c r="VDA117" s="12"/>
      <c r="VDB117" s="12"/>
      <c r="VDS117" s="12"/>
      <c r="VDT117" s="12"/>
      <c r="VEK117" s="12"/>
      <c r="VEL117" s="12"/>
      <c r="VFC117" s="12"/>
      <c r="VFD117" s="12"/>
      <c r="VFU117" s="12"/>
      <c r="VFV117" s="12"/>
      <c r="VGM117" s="12"/>
      <c r="VGN117" s="12"/>
      <c r="VHE117" s="12"/>
      <c r="VHF117" s="12"/>
      <c r="VHW117" s="12"/>
      <c r="VHX117" s="12"/>
      <c r="VIO117" s="12"/>
      <c r="VIP117" s="12"/>
      <c r="VJG117" s="12"/>
      <c r="VJH117" s="12"/>
      <c r="VJY117" s="12"/>
      <c r="VJZ117" s="12"/>
      <c r="VKQ117" s="12"/>
      <c r="VKR117" s="12"/>
      <c r="VLI117" s="12"/>
      <c r="VLJ117" s="12"/>
      <c r="VMA117" s="12"/>
      <c r="VMB117" s="12"/>
      <c r="VMS117" s="12"/>
      <c r="VMT117" s="12"/>
      <c r="VNK117" s="12"/>
      <c r="VNL117" s="12"/>
      <c r="VOC117" s="12"/>
      <c r="VOD117" s="12"/>
      <c r="VOU117" s="12"/>
      <c r="VOV117" s="12"/>
      <c r="VPM117" s="12"/>
      <c r="VPN117" s="12"/>
      <c r="VQE117" s="12"/>
      <c r="VQF117" s="12"/>
      <c r="VQW117" s="12"/>
      <c r="VQX117" s="12"/>
      <c r="VRO117" s="12"/>
      <c r="VRP117" s="12"/>
      <c r="VSG117" s="12"/>
      <c r="VSH117" s="12"/>
      <c r="VSY117" s="12"/>
      <c r="VSZ117" s="12"/>
      <c r="VTQ117" s="12"/>
      <c r="VTR117" s="12"/>
      <c r="VUI117" s="12"/>
      <c r="VUJ117" s="12"/>
      <c r="VVA117" s="12"/>
      <c r="VVB117" s="12"/>
      <c r="VVS117" s="12"/>
      <c r="VVT117" s="12"/>
      <c r="VWK117" s="12"/>
      <c r="VWL117" s="12"/>
      <c r="VXC117" s="12"/>
      <c r="VXD117" s="12"/>
      <c r="VXU117" s="12"/>
      <c r="VXV117" s="12"/>
      <c r="VYM117" s="12"/>
      <c r="VYN117" s="12"/>
      <c r="VZE117" s="12"/>
      <c r="VZF117" s="12"/>
      <c r="VZW117" s="12"/>
      <c r="VZX117" s="12"/>
      <c r="WAO117" s="12"/>
      <c r="WAP117" s="12"/>
      <c r="WBG117" s="12"/>
      <c r="WBH117" s="12"/>
      <c r="WBY117" s="12"/>
      <c r="WBZ117" s="12"/>
      <c r="WCQ117" s="12"/>
      <c r="WCR117" s="12"/>
      <c r="WDI117" s="12"/>
      <c r="WDJ117" s="12"/>
      <c r="WEA117" s="12"/>
      <c r="WEB117" s="12"/>
      <c r="WES117" s="12"/>
      <c r="WET117" s="12"/>
      <c r="WFK117" s="12"/>
      <c r="WFL117" s="12"/>
      <c r="WGC117" s="12"/>
      <c r="WGD117" s="12"/>
      <c r="WGU117" s="12"/>
      <c r="WGV117" s="12"/>
      <c r="WHM117" s="12"/>
      <c r="WHN117" s="12"/>
      <c r="WIE117" s="12"/>
      <c r="WIF117" s="12"/>
      <c r="WIW117" s="12"/>
      <c r="WIX117" s="12"/>
      <c r="WJO117" s="12"/>
      <c r="WJP117" s="12"/>
      <c r="WKG117" s="12"/>
      <c r="WKH117" s="12"/>
      <c r="WKY117" s="12"/>
      <c r="WKZ117" s="12"/>
      <c r="WLQ117" s="12"/>
      <c r="WLR117" s="12"/>
      <c r="WMI117" s="12"/>
      <c r="WMJ117" s="12"/>
      <c r="WNA117" s="12"/>
      <c r="WNB117" s="12"/>
      <c r="WNS117" s="12"/>
      <c r="WNT117" s="12"/>
      <c r="WOK117" s="12"/>
      <c r="WOL117" s="12"/>
      <c r="WPC117" s="12"/>
      <c r="WPD117" s="12"/>
      <c r="WPU117" s="12"/>
      <c r="WPV117" s="12"/>
      <c r="WQM117" s="12"/>
      <c r="WQN117" s="12"/>
      <c r="WRE117" s="12"/>
      <c r="WRF117" s="12"/>
      <c r="WRW117" s="12"/>
      <c r="WRX117" s="12"/>
      <c r="WSO117" s="12"/>
      <c r="WSP117" s="12"/>
      <c r="WTG117" s="12"/>
      <c r="WTH117" s="12"/>
      <c r="WTY117" s="12"/>
      <c r="WTZ117" s="12"/>
      <c r="WUQ117" s="12"/>
      <c r="WUR117" s="12"/>
      <c r="WVI117" s="12"/>
      <c r="WVJ117" s="12"/>
      <c r="WWA117" s="12"/>
      <c r="WWB117" s="12"/>
      <c r="WWS117" s="12"/>
      <c r="WWT117" s="12"/>
      <c r="WXK117" s="12"/>
      <c r="WXL117" s="12"/>
      <c r="WYC117" s="12"/>
      <c r="WYD117" s="12"/>
      <c r="WYU117" s="12"/>
      <c r="WYV117" s="12"/>
      <c r="WZM117" s="12"/>
      <c r="WZN117" s="12"/>
      <c r="XAE117" s="12"/>
      <c r="XAF117" s="12"/>
      <c r="XAW117" s="12"/>
      <c r="XAX117" s="12"/>
      <c r="XBO117" s="12"/>
      <c r="XBP117" s="12"/>
      <c r="XCG117" s="12"/>
      <c r="XCH117" s="12"/>
      <c r="XCY117" s="12"/>
      <c r="XCZ117" s="12"/>
      <c r="XDQ117" s="12"/>
      <c r="XDR117" s="12"/>
      <c r="XEI117" s="12"/>
      <c r="XEJ117" s="12"/>
      <c r="XFA117" s="12"/>
      <c r="XFB117" s="12"/>
    </row>
    <row r="118" spans="1:1010 1027:2036 2053:3062 3079:4088 4105:5114 5131:6140 6157:7166 7183:8192 8209:9200 9217:10226 10243:11252 11269:12278 12295:13304 13321:14330 14347:15356 15373:16382" x14ac:dyDescent="0.35">
      <c r="A118" s="189" t="s">
        <v>197</v>
      </c>
      <c r="B118" s="189" t="s">
        <v>198</v>
      </c>
      <c r="C118" s="205">
        <v>251.56700000000001</v>
      </c>
      <c r="D118" s="205">
        <v>270.05500000000001</v>
      </c>
      <c r="E118" s="205">
        <v>276.86599999999999</v>
      </c>
      <c r="F118" s="205">
        <v>268.209</v>
      </c>
      <c r="G118" s="205">
        <v>298.51799999999997</v>
      </c>
      <c r="H118" s="205">
        <v>338.44499999999999</v>
      </c>
      <c r="I118" s="205">
        <v>393.358</v>
      </c>
      <c r="J118" s="205">
        <v>455.65100000000001</v>
      </c>
      <c r="K118" s="205">
        <v>480.89299999999997</v>
      </c>
      <c r="L118" s="205">
        <v>532.85</v>
      </c>
      <c r="M118" s="312">
        <f>IF(OR(K118=0,K118=""),"",L118/K118-1)</f>
        <v>0.10804274547560477</v>
      </c>
      <c r="N118" s="124"/>
      <c r="O118" s="124"/>
      <c r="P118" s="124"/>
      <c r="Q118" s="124"/>
      <c r="R118" s="124"/>
      <c r="T118" s="5"/>
      <c r="U118" s="5"/>
    </row>
    <row r="119" spans="1:1010 1027:2036 2053:3062 3079:4088 4105:5114 5131:6140 6157:7166 7183:8192 8209:9200 9217:10226 10243:11252 11269:12278 12295:13304 13321:14330 14347:15356 15373:16382" x14ac:dyDescent="0.35">
      <c r="A119" s="24" t="s">
        <v>29</v>
      </c>
      <c r="B119" s="24"/>
      <c r="C119" s="175">
        <f t="shared" ref="C119:L119" si="22">ROUND(IF(C108="",0,C108)+IF(C109="",0,C109)-IF(C113="",0,C113)+IF(C114="",0,C114)+IF(C115="",0,C115)+IF(C117="",0,C117)-IF(C118="",0,C118),1)</f>
        <v>0</v>
      </c>
      <c r="D119" s="175">
        <f t="shared" si="22"/>
        <v>0</v>
      </c>
      <c r="E119" s="175">
        <f t="shared" si="22"/>
        <v>0</v>
      </c>
      <c r="F119" s="175">
        <f t="shared" si="22"/>
        <v>0</v>
      </c>
      <c r="G119" s="175">
        <f t="shared" si="22"/>
        <v>0</v>
      </c>
      <c r="H119" s="175">
        <f t="shared" si="22"/>
        <v>0</v>
      </c>
      <c r="I119" s="175">
        <f t="shared" si="22"/>
        <v>0</v>
      </c>
      <c r="J119" s="175">
        <f t="shared" si="22"/>
        <v>0</v>
      </c>
      <c r="K119" s="175">
        <f t="shared" si="22"/>
        <v>0</v>
      </c>
      <c r="L119" s="175">
        <f t="shared" si="22"/>
        <v>0</v>
      </c>
      <c r="M119" s="121"/>
      <c r="N119" s="121"/>
      <c r="O119" s="121"/>
      <c r="P119" s="121"/>
      <c r="Q119" s="121"/>
      <c r="R119" s="121"/>
      <c r="T119" s="5"/>
      <c r="U119" s="5"/>
    </row>
    <row r="120" spans="1:1010 1027:2036 2053:3062 3079:4088 4105:5114 5131:6140 6157:7166 7183:8192 8209:9200 9217:10226 10243:11252 11269:12278 12295:13304 13321:14330 14347:15356 15373:16382" x14ac:dyDescent="0.35">
      <c r="A120" s="187" t="s">
        <v>199</v>
      </c>
      <c r="B120" s="187" t="s">
        <v>200</v>
      </c>
      <c r="C120" s="207">
        <v>487.51499999999999</v>
      </c>
      <c r="D120" s="207">
        <v>506.03199999999998</v>
      </c>
      <c r="E120" s="207">
        <v>500.25599999999997</v>
      </c>
      <c r="F120" s="207">
        <v>500.31400000000002</v>
      </c>
      <c r="G120" s="207">
        <v>570.52599999999995</v>
      </c>
      <c r="H120" s="207">
        <v>637.18499999999995</v>
      </c>
      <c r="I120" s="207">
        <v>710.65300000000002</v>
      </c>
      <c r="J120" s="207">
        <v>745.66</v>
      </c>
      <c r="K120" s="207">
        <v>760.23199999999997</v>
      </c>
      <c r="L120" s="207">
        <v>840.83600000000001</v>
      </c>
      <c r="M120" s="120"/>
      <c r="N120" s="120"/>
      <c r="O120" s="120"/>
      <c r="P120" s="120"/>
      <c r="Q120" s="120"/>
      <c r="R120" s="120"/>
      <c r="T120" s="5"/>
      <c r="U120" s="5"/>
    </row>
    <row r="121" spans="1:1010 1027:2036 2053:3062 3079:4088 4105:5114 5131:6140 6157:7166 7183:8192 8209:9200 9217:10226 10243:11252 11269:12278 12295:13304 13321:14330 14347:15356 15373:16382" x14ac:dyDescent="0.35">
      <c r="A121" s="297" t="s">
        <v>29</v>
      </c>
      <c r="B121" s="22"/>
      <c r="C121" s="422">
        <f t="shared" ref="C121:L121" si="23">ROUND(IF(C106="",0,C106)+IF(C118="",0,C118)+-IF(C120="",0,C120),1)</f>
        <v>0</v>
      </c>
      <c r="D121" s="423">
        <f t="shared" si="23"/>
        <v>0</v>
      </c>
      <c r="E121" s="423">
        <f t="shared" si="23"/>
        <v>0</v>
      </c>
      <c r="F121" s="423">
        <f t="shared" si="23"/>
        <v>0</v>
      </c>
      <c r="G121" s="423">
        <f t="shared" si="23"/>
        <v>0</v>
      </c>
      <c r="H121" s="423">
        <f t="shared" si="23"/>
        <v>0</v>
      </c>
      <c r="I121" s="423">
        <f t="shared" si="23"/>
        <v>0</v>
      </c>
      <c r="J121" s="423">
        <f t="shared" si="23"/>
        <v>0</v>
      </c>
      <c r="K121" s="423">
        <f t="shared" si="23"/>
        <v>0</v>
      </c>
      <c r="L121" s="423">
        <f t="shared" si="23"/>
        <v>0</v>
      </c>
      <c r="M121" s="125"/>
      <c r="N121" s="125"/>
      <c r="O121" s="125"/>
      <c r="P121" s="125"/>
      <c r="Q121" s="125"/>
      <c r="R121" s="125"/>
    </row>
    <row r="122" spans="1:1010 1027:2036 2053:3062 3079:4088 4105:5114 5131:6140 6157:7166 7183:8192 8209:9200 9217:10226 10243:11252 11269:12278 12295:13304 13321:14330 14347:15356 15373:16382" x14ac:dyDescent="0.35">
      <c r="A122" s="297" t="s">
        <v>29</v>
      </c>
      <c r="B122" s="22"/>
      <c r="C122" s="422">
        <f t="shared" ref="C122:L122" si="24">ROUND(IF(C61="",0,C61)-IF(C120="",0,C120),1)</f>
        <v>0</v>
      </c>
      <c r="D122" s="423">
        <f t="shared" si="24"/>
        <v>0</v>
      </c>
      <c r="E122" s="423">
        <f t="shared" si="24"/>
        <v>0</v>
      </c>
      <c r="F122" s="423">
        <f t="shared" si="24"/>
        <v>0</v>
      </c>
      <c r="G122" s="423">
        <f t="shared" si="24"/>
        <v>0</v>
      </c>
      <c r="H122" s="423">
        <f t="shared" si="24"/>
        <v>0</v>
      </c>
      <c r="I122" s="423">
        <f t="shared" si="24"/>
        <v>0</v>
      </c>
      <c r="J122" s="423">
        <f t="shared" si="24"/>
        <v>0</v>
      </c>
      <c r="K122" s="423">
        <f t="shared" si="24"/>
        <v>0</v>
      </c>
      <c r="L122" s="423">
        <f t="shared" si="24"/>
        <v>0</v>
      </c>
      <c r="M122" s="125"/>
      <c r="N122" s="125"/>
      <c r="O122" s="125"/>
      <c r="P122" s="125"/>
      <c r="Q122" s="125"/>
      <c r="R122" s="125"/>
    </row>
    <row r="123" spans="1:1010 1027:2036 2053:3062 3079:4088 4105:5114 5131:6140 6157:7166 7183:8192 8209:9200 9217:10226 10243:11252 11269:12278 12295:13304 13321:14330 14347:15356 15373:16382" s="152" customFormat="1" x14ac:dyDescent="0.35">
      <c r="A123" s="301" t="s">
        <v>201</v>
      </c>
      <c r="C123" s="305"/>
      <c r="D123" s="424"/>
      <c r="E123" s="424"/>
      <c r="F123" s="424"/>
      <c r="G123" s="424"/>
      <c r="H123" s="424"/>
      <c r="I123" s="424"/>
      <c r="J123" s="424"/>
      <c r="K123" s="424"/>
      <c r="L123" s="424"/>
      <c r="M123" s="100"/>
      <c r="N123" s="100"/>
      <c r="O123" s="100"/>
      <c r="P123" s="100"/>
      <c r="Q123" s="100"/>
      <c r="R123" s="100"/>
    </row>
    <row r="124" spans="1:1010 1027:2036 2053:3062 3079:4088 4105:5114 5131:6140 6157:7166 7183:8192 8209:9200 9217:10226 10243:11252 11269:12278 12295:13304 13321:14330 14347:15356 15373:16382" s="152" customFormat="1" x14ac:dyDescent="0.35">
      <c r="A124" s="425" t="s">
        <v>202</v>
      </c>
      <c r="B124" s="152" t="s">
        <v>203</v>
      </c>
      <c r="C124" s="195">
        <v>117.173</v>
      </c>
      <c r="D124" s="195">
        <v>116.976</v>
      </c>
      <c r="E124" s="195">
        <v>116.77500000000001</v>
      </c>
      <c r="F124" s="195">
        <v>116.571</v>
      </c>
      <c r="G124" s="195">
        <v>116.34399999999999</v>
      </c>
      <c r="H124" s="195">
        <v>116.148</v>
      </c>
      <c r="I124" s="195">
        <v>115.931</v>
      </c>
      <c r="J124" s="195">
        <v>115.71</v>
      </c>
      <c r="K124" s="195">
        <v>115.492</v>
      </c>
      <c r="L124" s="195">
        <v>115.26300000000001</v>
      </c>
      <c r="M124" s="208"/>
      <c r="N124" s="208"/>
      <c r="O124" s="208"/>
      <c r="P124" s="208"/>
      <c r="Q124" s="208"/>
      <c r="R124" s="208"/>
    </row>
    <row r="125" spans="1:1010 1027:2036 2053:3062 3079:4088 4105:5114 5131:6140 6157:7166 7183:8192 8209:9200 9217:10226 10243:11252 11269:12278 12295:13304 13321:14330 14347:15356 15373:16382" s="152" customFormat="1" x14ac:dyDescent="0.35">
      <c r="A125" s="425" t="s">
        <v>204</v>
      </c>
      <c r="B125" s="152" t="s">
        <v>205</v>
      </c>
      <c r="C125" s="479">
        <v>71.959999999999994</v>
      </c>
      <c r="D125" s="479">
        <v>86.57</v>
      </c>
      <c r="E125" s="479">
        <v>95.77</v>
      </c>
      <c r="F125" s="479">
        <v>88.26</v>
      </c>
      <c r="G125" s="479">
        <v>99.93</v>
      </c>
      <c r="H125" s="479">
        <v>164.75</v>
      </c>
      <c r="I125" s="479">
        <v>160.36000000000001</v>
      </c>
      <c r="J125" s="479">
        <v>124.1</v>
      </c>
      <c r="K125" s="479">
        <v>124.05</v>
      </c>
      <c r="L125" s="479">
        <v>137.22999999999999</v>
      </c>
      <c r="M125" s="208"/>
      <c r="N125" s="208"/>
      <c r="O125" s="208"/>
      <c r="P125" s="208"/>
      <c r="Q125" s="208"/>
      <c r="R125" s="208"/>
    </row>
    <row r="126" spans="1:1010 1027:2036 2053:3062 3079:4088 4105:5114 5131:6140 6157:7166 7183:8192 8209:9200 9217:10226 10243:11252 11269:12278 12295:13304 13321:14330 14347:15356 15373:16382" s="152" customFormat="1" x14ac:dyDescent="0.35">
      <c r="A126" s="425" t="s">
        <v>206</v>
      </c>
      <c r="B126" s="152" t="s">
        <v>207</v>
      </c>
      <c r="C126" s="195">
        <v>6.9375</v>
      </c>
      <c r="D126" s="195">
        <v>8.5821000000000005</v>
      </c>
      <c r="E126" s="195">
        <v>8.3143999999999991</v>
      </c>
      <c r="F126" s="195">
        <v>7.5525000000000002</v>
      </c>
      <c r="G126" s="195">
        <v>6.1285999999999996</v>
      </c>
      <c r="H126" s="195">
        <v>8.7287999999999997</v>
      </c>
      <c r="I126" s="195">
        <v>8.7331000000000003</v>
      </c>
      <c r="J126" s="195">
        <v>9.0797000000000008</v>
      </c>
      <c r="K126" s="195">
        <v>8.1777999999999995</v>
      </c>
      <c r="L126" s="195">
        <v>8.0777999999999999</v>
      </c>
      <c r="M126" s="208"/>
      <c r="N126" s="208"/>
      <c r="O126" s="208"/>
      <c r="P126" s="208"/>
      <c r="Q126" s="208"/>
      <c r="R126" s="208"/>
    </row>
    <row r="127" spans="1:1010 1027:2036 2053:3062 3079:4088 4105:5114 5131:6140 6157:7166 7183:8192 8209:9200 9217:10226 10243:11252 11269:12278 12295:13304 13321:14330 14347:15356 15373:16382" s="152" customFormat="1" x14ac:dyDescent="0.35">
      <c r="A127" s="181" t="s">
        <v>208</v>
      </c>
      <c r="B127" s="181" t="s">
        <v>209</v>
      </c>
      <c r="C127" s="207">
        <v>3.9209999999999998</v>
      </c>
      <c r="D127" s="207">
        <v>3.8260000000000001</v>
      </c>
      <c r="E127" s="207">
        <v>3.964</v>
      </c>
      <c r="F127" s="207">
        <v>6.0650000000000004</v>
      </c>
      <c r="G127" s="207">
        <v>5.9109999999999996</v>
      </c>
      <c r="H127" s="207">
        <v>4.6550000000000002</v>
      </c>
      <c r="I127" s="207">
        <v>3.8079999999999998</v>
      </c>
      <c r="J127" s="207">
        <v>3.7149999999999999</v>
      </c>
      <c r="K127" s="207">
        <v>4.4859999999999998</v>
      </c>
      <c r="L127" s="207">
        <v>4.8959999999999999</v>
      </c>
      <c r="M127" s="208"/>
      <c r="N127" s="208"/>
      <c r="O127" s="208"/>
      <c r="P127" s="208"/>
      <c r="Q127" s="208"/>
      <c r="R127" s="208"/>
    </row>
    <row r="128" spans="1:1010 1027:2036 2053:3062 3079:4088 4105:5114 5131:6140 6157:7166 7183:8192 8209:9200 9217:10226 10243:11252 11269:12278 12295:13304 13321:14330 14347:15356 15373:16382" s="152" customFormat="1" x14ac:dyDescent="0.35">
      <c r="A128" s="181" t="s">
        <v>210</v>
      </c>
      <c r="B128" s="181" t="s">
        <v>211</v>
      </c>
      <c r="C128" s="207">
        <v>3.069</v>
      </c>
      <c r="D128" s="207">
        <v>3.15</v>
      </c>
      <c r="E128" s="207">
        <v>3.996</v>
      </c>
      <c r="F128" s="207">
        <v>5.266</v>
      </c>
      <c r="G128" s="207">
        <v>5.734</v>
      </c>
      <c r="H128" s="207">
        <v>2.9830000000000001</v>
      </c>
      <c r="I128" s="207">
        <v>3.2749999999999999</v>
      </c>
      <c r="J128" s="207">
        <v>3.395</v>
      </c>
      <c r="K128" s="207">
        <v>3.64</v>
      </c>
      <c r="L128" s="207">
        <v>4.1150000000000002</v>
      </c>
      <c r="M128" s="208"/>
      <c r="N128" s="208"/>
      <c r="O128" s="208"/>
      <c r="P128" s="208"/>
      <c r="Q128" s="208"/>
      <c r="R128" s="208"/>
    </row>
    <row r="129" spans="1:18" s="152" customFormat="1" x14ac:dyDescent="0.35">
      <c r="A129" s="181" t="s">
        <v>212</v>
      </c>
      <c r="B129" s="181" t="s">
        <v>213</v>
      </c>
      <c r="C129" s="207">
        <v>2.4830000000000001</v>
      </c>
      <c r="D129" s="207">
        <v>2.6459999999999999</v>
      </c>
      <c r="E129" s="207">
        <v>3.9710000000000001</v>
      </c>
      <c r="F129" s="207">
        <v>4.7709999999999999</v>
      </c>
      <c r="G129" s="207">
        <v>4.0750000000000002</v>
      </c>
      <c r="H129" s="207">
        <v>2.609</v>
      </c>
      <c r="I129" s="207">
        <v>3.1360000000000001</v>
      </c>
      <c r="J129" s="207">
        <v>3.0859999999999999</v>
      </c>
      <c r="K129" s="207">
        <v>2.8410000000000002</v>
      </c>
      <c r="L129" s="207">
        <v>3.08</v>
      </c>
      <c r="M129" s="208"/>
      <c r="N129" s="208"/>
      <c r="O129" s="208"/>
      <c r="P129" s="208"/>
      <c r="Q129" s="208"/>
      <c r="R129" s="208"/>
    </row>
    <row r="130" spans="1:18" s="152" customFormat="1" x14ac:dyDescent="0.35">
      <c r="A130" s="181" t="s">
        <v>214</v>
      </c>
      <c r="B130" s="181" t="s">
        <v>215</v>
      </c>
      <c r="C130" s="207">
        <v>1.78</v>
      </c>
      <c r="D130" s="207">
        <v>2.5990000000000002</v>
      </c>
      <c r="E130" s="207">
        <v>3.831</v>
      </c>
      <c r="F130" s="207">
        <v>3.4140000000000001</v>
      </c>
      <c r="G130" s="207">
        <v>3.68</v>
      </c>
      <c r="H130" s="207">
        <v>2.0070000000000001</v>
      </c>
      <c r="I130" s="207">
        <v>2.9670000000000001</v>
      </c>
      <c r="J130" s="207">
        <v>2.66</v>
      </c>
      <c r="K130" s="207">
        <v>2.028</v>
      </c>
      <c r="L130" s="207">
        <v>2.476</v>
      </c>
      <c r="M130" s="208"/>
      <c r="N130" s="208"/>
      <c r="O130" s="208"/>
      <c r="P130" s="208"/>
      <c r="Q130" s="208"/>
      <c r="R130" s="208"/>
    </row>
    <row r="131" spans="1:18" s="152" customFormat="1" x14ac:dyDescent="0.35">
      <c r="A131" s="181" t="s">
        <v>216</v>
      </c>
      <c r="B131" s="181" t="s">
        <v>217</v>
      </c>
      <c r="C131" s="207">
        <v>1.6619999999999999</v>
      </c>
      <c r="D131" s="207">
        <v>2.452</v>
      </c>
      <c r="E131" s="207">
        <v>3.3180000000000001</v>
      </c>
      <c r="F131" s="207">
        <v>3.1070000000000002</v>
      </c>
      <c r="G131" s="207">
        <v>2.7349999999999999</v>
      </c>
      <c r="H131" s="207">
        <v>1.736</v>
      </c>
      <c r="I131" s="207">
        <v>2.59</v>
      </c>
      <c r="J131" s="207">
        <v>1.913</v>
      </c>
      <c r="K131" s="207">
        <v>1.704</v>
      </c>
      <c r="L131" s="207">
        <v>2.3180000000000001</v>
      </c>
      <c r="M131" s="208"/>
      <c r="N131" s="208"/>
      <c r="O131" s="208"/>
      <c r="P131" s="208"/>
      <c r="Q131" s="208"/>
      <c r="R131" s="208"/>
    </row>
    <row r="132" spans="1:18" s="152" customFormat="1" x14ac:dyDescent="0.35">
      <c r="A132" s="306" t="s">
        <v>218</v>
      </c>
      <c r="B132" s="306" t="s">
        <v>219</v>
      </c>
      <c r="C132" s="307">
        <v>4.3710000000000004</v>
      </c>
      <c r="D132" s="307">
        <v>4.51</v>
      </c>
      <c r="E132" s="307">
        <v>20.059000000000001</v>
      </c>
      <c r="F132" s="307">
        <v>20.119</v>
      </c>
      <c r="G132" s="307">
        <v>14.37</v>
      </c>
      <c r="H132" s="307">
        <v>12.657</v>
      </c>
      <c r="I132" s="307">
        <v>11.202</v>
      </c>
      <c r="J132" s="307">
        <v>9.3970000000000002</v>
      </c>
      <c r="K132" s="307">
        <v>7.71</v>
      </c>
      <c r="L132" s="307">
        <v>7.8940000000000001</v>
      </c>
      <c r="M132" s="208"/>
      <c r="N132" s="208"/>
      <c r="O132" s="208"/>
      <c r="P132" s="208"/>
      <c r="Q132" s="208"/>
      <c r="R132" s="208"/>
    </row>
  </sheetData>
  <conditionalFormatting sqref="C13:L13">
    <cfRule type="containsErrors" dxfId="232" priority="4">
      <formula>ISERROR(C13)</formula>
    </cfRule>
    <cfRule type="expression" dxfId="231" priority="28">
      <formula>NOT(ROUND(C13, 1) = 0)</formula>
    </cfRule>
  </conditionalFormatting>
  <conditionalFormatting sqref="C17:L18">
    <cfRule type="containsErrors" dxfId="230" priority="5">
      <formula>ISERROR(C17)</formula>
    </cfRule>
    <cfRule type="expression" dxfId="229" priority="29">
      <formula>NOT(ROUND(C17, 1) = 0)</formula>
    </cfRule>
  </conditionalFormatting>
  <conditionalFormatting sqref="C25:L25">
    <cfRule type="containsErrors" dxfId="228" priority="6">
      <formula>ISERROR(C25)</formula>
    </cfRule>
    <cfRule type="expression" dxfId="227" priority="30">
      <formula>NOT(ROUND(C25, 1) = 0)</formula>
    </cfRule>
  </conditionalFormatting>
  <conditionalFormatting sqref="C34:L34">
    <cfRule type="containsErrors" dxfId="226" priority="7">
      <formula>ISERROR(C34)</formula>
    </cfRule>
    <cfRule type="expression" dxfId="225" priority="31">
      <formula>NOT(ROUND(C34, 1) = 0)</formula>
    </cfRule>
  </conditionalFormatting>
  <conditionalFormatting sqref="C36:L36">
    <cfRule type="containsErrors" dxfId="224" priority="8">
      <formula>ISERROR(C36)</formula>
    </cfRule>
    <cfRule type="expression" dxfId="223" priority="32">
      <formula>NOT(ROUND(C36, 1) = 0)</formula>
    </cfRule>
  </conditionalFormatting>
  <conditionalFormatting sqref="C42:L42">
    <cfRule type="containsErrors" dxfId="222" priority="9">
      <formula>ISERROR(C42)</formula>
    </cfRule>
    <cfRule type="expression" dxfId="221" priority="33">
      <formula>NOT(ROUND(C42, 1) = 0)</formula>
    </cfRule>
  </conditionalFormatting>
  <conditionalFormatting sqref="C46:L46">
    <cfRule type="expression" dxfId="220" priority="34">
      <formula>NOT(ROUND(C46, 1) = 0)</formula>
    </cfRule>
    <cfRule type="containsErrors" dxfId="219" priority="10">
      <formula>ISERROR(C46)</formula>
    </cfRule>
  </conditionalFormatting>
  <conditionalFormatting sqref="C58:L58">
    <cfRule type="expression" dxfId="218" priority="35">
      <formula>NOT(ROUND(C58, 1) = 0)</formula>
    </cfRule>
    <cfRule type="containsErrors" dxfId="217" priority="11">
      <formula>ISERROR(C58)</formula>
    </cfRule>
  </conditionalFormatting>
  <conditionalFormatting sqref="C60:L60">
    <cfRule type="containsErrors" dxfId="216" priority="12">
      <formula>ISERROR(C60)</formula>
    </cfRule>
    <cfRule type="expression" dxfId="215" priority="36">
      <formula>NOT(ROUND(C60, 1) = 0)</formula>
    </cfRule>
  </conditionalFormatting>
  <conditionalFormatting sqref="C62:L62">
    <cfRule type="containsErrors" dxfId="214" priority="13">
      <formula>ISERROR(C62)</formula>
    </cfRule>
    <cfRule type="expression" dxfId="213" priority="37">
      <formula>NOT(ROUND(C62, 1) = 0)</formula>
    </cfRule>
  </conditionalFormatting>
  <conditionalFormatting sqref="C69:L69">
    <cfRule type="containsErrors" dxfId="212" priority="14">
      <formula>ISERROR(C69)</formula>
    </cfRule>
    <cfRule type="expression" dxfId="211" priority="38">
      <formula>NOT(ROUND(C69, 1) = 0)</formula>
    </cfRule>
  </conditionalFormatting>
  <conditionalFormatting sqref="C76:L76">
    <cfRule type="containsErrors" dxfId="210" priority="15">
      <formula>ISERROR(C76)</formula>
    </cfRule>
    <cfRule type="expression" dxfId="209" priority="39">
      <formula>NOT(ROUND(C76, 1) = 0)</formula>
    </cfRule>
  </conditionalFormatting>
  <conditionalFormatting sqref="C83:L83">
    <cfRule type="containsErrors" dxfId="208" priority="16">
      <formula>ISERROR(C83)</formula>
    </cfRule>
    <cfRule type="expression" dxfId="207" priority="40">
      <formula>NOT(ROUND(C83, 1) = 0)</formula>
    </cfRule>
  </conditionalFormatting>
  <conditionalFormatting sqref="C85:L85">
    <cfRule type="containsErrors" dxfId="206" priority="17">
      <formula>ISERROR(C85)</formula>
    </cfRule>
    <cfRule type="expression" dxfId="205" priority="41">
      <formula>NOT(ROUND(C85, 1) = 0)</formula>
    </cfRule>
  </conditionalFormatting>
  <conditionalFormatting sqref="C91:L91">
    <cfRule type="containsErrors" dxfId="204" priority="18">
      <formula>ISERROR(C91)</formula>
    </cfRule>
    <cfRule type="expression" dxfId="203" priority="42">
      <formula>NOT(ROUND(C91, 1) = 0)</formula>
    </cfRule>
  </conditionalFormatting>
  <conditionalFormatting sqref="C103:L103">
    <cfRule type="containsErrors" dxfId="202" priority="19">
      <formula>ISERROR(C103)</formula>
    </cfRule>
    <cfRule type="expression" dxfId="201" priority="43">
      <formula>NOT(ROUND(C103, 1) = 0)</formula>
    </cfRule>
  </conditionalFormatting>
  <conditionalFormatting sqref="C105:L105">
    <cfRule type="containsErrors" dxfId="200" priority="20">
      <formula>ISERROR(C105)</formula>
    </cfRule>
    <cfRule type="expression" dxfId="199" priority="44">
      <formula>NOT(ROUND(C105, 1) = 0)</formula>
    </cfRule>
  </conditionalFormatting>
  <conditionalFormatting sqref="C107:L107">
    <cfRule type="containsErrors" dxfId="198" priority="21">
      <formula>ISERROR(C107)</formula>
    </cfRule>
    <cfRule type="expression" dxfId="197" priority="45">
      <formula>NOT(ROUND(C107, 1) = 0)</formula>
    </cfRule>
  </conditionalFormatting>
  <conditionalFormatting sqref="C112:L112">
    <cfRule type="containsErrors" dxfId="196" priority="22">
      <formula>ISERROR(C112)</formula>
    </cfRule>
    <cfRule type="expression" dxfId="195" priority="46">
      <formula>NOT(ROUND(C112, 1) = 0)</formula>
    </cfRule>
  </conditionalFormatting>
  <conditionalFormatting sqref="C119:L119">
    <cfRule type="containsErrors" dxfId="194" priority="23">
      <formula>ISERROR(C119)</formula>
    </cfRule>
    <cfRule type="expression" dxfId="193" priority="47">
      <formula>NOT(ROUND(C119, 1) = 0)</formula>
    </cfRule>
  </conditionalFormatting>
  <conditionalFormatting sqref="C121:L122">
    <cfRule type="containsErrors" dxfId="192" priority="24">
      <formula>ISERROR(C121)</formula>
    </cfRule>
    <cfRule type="expression" dxfId="191" priority="48">
      <formula>NOT(ROUND(C121, 1) = 0)</formula>
    </cfRule>
  </conditionalFormatting>
  <conditionalFormatting sqref="N1">
    <cfRule type="cellIs" dxfId="190" priority="3" operator="notEqual">
      <formula>0</formula>
    </cfRule>
    <cfRule type="containsErrors" dxfId="189" priority="2">
      <formula>ISERROR(N1)</formula>
    </cfRule>
    <cfRule type="cellIs" dxfId="188" priority="1" operator="equal">
      <formula>0</formula>
    </cfRule>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116"/>
  <sheetViews>
    <sheetView workbookViewId="0">
      <pane xSplit="2" ySplit="8" topLeftCell="C9" activePane="bottomRight" state="frozen"/>
      <selection pane="topRight" activeCell="C1" sqref="C1"/>
      <selection pane="bottomLeft" activeCell="A9" sqref="A9"/>
      <selection pane="bottomRight"/>
    </sheetView>
  </sheetViews>
  <sheetFormatPr defaultColWidth="8.7265625" defaultRowHeight="14.5" x14ac:dyDescent="0.35"/>
  <cols>
    <col min="1" max="1" width="42.7265625" bestFit="1" customWidth="1"/>
    <col min="2" max="2" width="37.7265625" hidden="1" customWidth="1"/>
    <col min="3" max="18" width="11.81640625" customWidth="1"/>
  </cols>
  <sheetData>
    <row r="1" spans="1:1010 1027:2036 2053:3062 3079:4088 4105:5114 5131:6140 6157:7166 7183:8192 8209:9200 9217:10226 10243:11252 11269:12278 12295:13304 13321:14330 14347:15356 15373:16382" x14ac:dyDescent="0.35">
      <c r="A1" t="str">
        <f>'Balance Sheet - Standardized'!A1</f>
        <v>Ticker</v>
      </c>
      <c r="C1" s="1" t="str">
        <f>IF('Balance Sheet - Standardized'!C1="","",'Balance Sheet - Standardized'!C1)</f>
        <v>LNN</v>
      </c>
      <c r="D1" s="9"/>
      <c r="E1" s="9"/>
      <c r="F1" s="9"/>
      <c r="G1" s="9"/>
      <c r="H1" s="9"/>
      <c r="I1" s="9"/>
      <c r="J1" s="9"/>
      <c r="K1" s="9"/>
      <c r="L1" s="9"/>
      <c r="M1" s="9"/>
      <c r="N1" s="9"/>
      <c r="O1" s="9"/>
      <c r="P1" s="9"/>
      <c r="Q1" s="9"/>
    </row>
    <row r="2" spans="1:1010 1027:2036 2053:3062 3079:4088 4105:5114 5131:6140 6157:7166 7183:8192 8209:9200 9217:10226 10243:11252 11269:12278 12295:13304 13321:14330 14347:15356 15373:16382" x14ac:dyDescent="0.35">
      <c r="A2" t="str">
        <f>'Balance Sheet - Standardized'!A2</f>
        <v>Start Year</v>
      </c>
      <c r="C2" s="1" t="str">
        <f>'Balance Sheet - Standardized'!C2</f>
        <v>FY 2016</v>
      </c>
      <c r="D2" s="9"/>
      <c r="E2" s="9"/>
      <c r="F2" s="9"/>
      <c r="G2" s="9"/>
      <c r="H2" s="9"/>
      <c r="I2" s="9"/>
      <c r="J2" s="9"/>
      <c r="K2" s="9"/>
      <c r="L2" s="9"/>
      <c r="M2" s="9"/>
      <c r="N2" s="9"/>
      <c r="O2" s="9"/>
      <c r="P2" s="9"/>
      <c r="Q2" s="9"/>
    </row>
    <row r="3" spans="1:1010 1027:2036 2053:3062 3079:4088 4105:5114 5131:6140 6157:7166 7183:8192 8209:9200 9217:10226 10243:11252 11269:12278 12295:13304 13321:14330 14347:15356 15373:16382" x14ac:dyDescent="0.35">
      <c r="A3" t="str">
        <f>'Balance Sheet - Standardized'!A3</f>
        <v>End Year</v>
      </c>
      <c r="C3" s="1"/>
      <c r="D3" s="9"/>
      <c r="E3" s="9"/>
      <c r="F3" s="9"/>
      <c r="G3" s="9"/>
      <c r="H3" s="9"/>
      <c r="I3" s="9"/>
      <c r="J3" s="9"/>
      <c r="K3" s="9"/>
      <c r="L3" s="9"/>
      <c r="M3" s="9"/>
      <c r="N3" s="9"/>
      <c r="O3" s="9"/>
      <c r="P3" s="9"/>
      <c r="Q3" s="9"/>
    </row>
    <row r="4" spans="1:1010 1027:2036 2053:3062 3079:4088 4105:5114 5131:6140 6157:7166 7183:8192 8209:9200 9217:10226 10243:11252 11269:12278 12295:13304 13321:14330 14347:15356 15373:16382" hidden="1" x14ac:dyDescent="0.35">
      <c r="C4" s="20">
        <f>'Balance Sheet - Standardized'!C4</f>
        <v>42613</v>
      </c>
      <c r="D4" s="8">
        <f>'Balance Sheet - Standardized'!D4</f>
        <v>42978</v>
      </c>
      <c r="E4" s="8">
        <f>'Balance Sheet - Standardized'!E4</f>
        <v>43343</v>
      </c>
      <c r="F4" s="8">
        <f>'Balance Sheet - Standardized'!F4</f>
        <v>43708</v>
      </c>
      <c r="G4" s="8">
        <f>'Balance Sheet - Standardized'!G4</f>
        <v>44074</v>
      </c>
      <c r="H4" s="8">
        <f>'Balance Sheet - Standardized'!H4</f>
        <v>44439</v>
      </c>
      <c r="I4" s="8">
        <f>'Balance Sheet - Standardized'!I4</f>
        <v>44804</v>
      </c>
      <c r="J4" s="8">
        <f>'Balance Sheet - Standardized'!J4</f>
        <v>45169</v>
      </c>
      <c r="K4" s="8">
        <f>'Balance Sheet - Standardized'!K4</f>
        <v>45535</v>
      </c>
      <c r="L4" s="8">
        <f>'Balance Sheet - Standardized'!L4</f>
        <v>45900</v>
      </c>
      <c r="M4" s="8"/>
      <c r="N4" s="8"/>
      <c r="O4" s="8"/>
      <c r="P4" s="8"/>
      <c r="Q4" s="8"/>
    </row>
    <row r="5" spans="1:1010 1027:2036 2053:3062 3079:4088 4105:5114 5131:6140 6157:7166 7183:8192 8209:9200 9217:10226 10243:11252 11269:12278 12295:13304 13321:14330 14347:15356 15373:16382" hidden="1" x14ac:dyDescent="0.35">
      <c r="C5" t="str">
        <f>'Balance Sheet - Standardized'!C5</f>
        <v>2016 A</v>
      </c>
      <c r="D5" s="9" t="str">
        <f>'Balance Sheet - Standardized'!D5</f>
        <v>2017 A</v>
      </c>
      <c r="E5" s="9" t="str">
        <f>'Balance Sheet - Standardized'!E5</f>
        <v>2018 A</v>
      </c>
      <c r="F5" s="9" t="str">
        <f>'Balance Sheet - Standardized'!F5</f>
        <v>2019 A</v>
      </c>
      <c r="G5" s="9" t="str">
        <f>'Balance Sheet - Standardized'!G5</f>
        <v>2020 A</v>
      </c>
      <c r="H5" s="9" t="str">
        <f>'Balance Sheet - Standardized'!H5</f>
        <v>2021 A</v>
      </c>
      <c r="I5" s="9" t="str">
        <f>'Balance Sheet - Standardized'!I5</f>
        <v>2022 A</v>
      </c>
      <c r="J5" s="9" t="str">
        <f>'Balance Sheet - Standardized'!J5</f>
        <v>2023 A</v>
      </c>
      <c r="K5" s="9" t="str">
        <f>'Balance Sheet - Standardized'!K5</f>
        <v>2024 A</v>
      </c>
      <c r="L5" s="9" t="str">
        <f>'Balance Sheet - Standardized'!L5</f>
        <v>2025 A</v>
      </c>
      <c r="M5" s="9"/>
      <c r="N5" s="9"/>
      <c r="O5" s="9"/>
      <c r="P5" s="9"/>
      <c r="Q5" s="9"/>
    </row>
    <row r="6" spans="1:1010 1027:2036 2053:3062 3079:4088 4105:5114 5131:6140 6157:7166 7183:8192 8209:9200 9217:10226 10243:11252 11269:12278 12295:13304 13321:14330 14347:15356 15373:16382" x14ac:dyDescent="0.35">
      <c r="A6" s="9"/>
      <c r="B6" s="9"/>
      <c r="C6" s="9"/>
      <c r="D6" s="9"/>
      <c r="E6" s="9"/>
      <c r="F6" s="9"/>
      <c r="G6" s="9"/>
      <c r="H6" s="9"/>
      <c r="I6" s="9"/>
      <c r="J6" s="9"/>
      <c r="K6" s="9"/>
      <c r="L6" s="9"/>
      <c r="M6" s="9"/>
      <c r="N6" s="9"/>
      <c r="O6" s="9"/>
      <c r="P6" s="9"/>
      <c r="Q6" s="9"/>
    </row>
    <row r="7" spans="1:1010 1027:2036 2053:3062 3079:4088 4105:5114 5131:6140 6157:7166 7183:8192 8209:9200 9217:10226 10243:11252 11269:12278 12295:13304 13321:14330 14347:15356 15373:16382" x14ac:dyDescent="0.35">
      <c r="A7" s="19" t="str">
        <f>'Balance Sheet - Standardized'!A7</f>
        <v>In Millions of USD except Per Share</v>
      </c>
      <c r="B7" s="19"/>
      <c r="C7" s="18" t="str">
        <f>'Balance Sheet - Standardized'!C7</f>
        <v>FY 2016</v>
      </c>
      <c r="D7" s="18" t="str">
        <f>'Balance Sheet - Standardized'!D7</f>
        <v>FY 2017</v>
      </c>
      <c r="E7" s="18" t="str">
        <f>'Balance Sheet - Standardized'!E7</f>
        <v>FY 2018</v>
      </c>
      <c r="F7" s="18" t="str">
        <f>'Balance Sheet - Standardized'!F7</f>
        <v>FY 2019</v>
      </c>
      <c r="G7" s="18" t="str">
        <f>'Balance Sheet - Standardized'!G7</f>
        <v>FY 2020</v>
      </c>
      <c r="H7" s="18" t="str">
        <f>'Balance Sheet - Standardized'!H7</f>
        <v>FY 2021</v>
      </c>
      <c r="I7" s="18" t="str">
        <f>'Balance Sheet - Standardized'!I7</f>
        <v>FY 2022</v>
      </c>
      <c r="J7" s="18" t="str">
        <f>'Balance Sheet - Standardized'!J7</f>
        <v>FY 2023</v>
      </c>
      <c r="K7" s="18" t="str">
        <f>'Balance Sheet - Standardized'!K7</f>
        <v>FY 2024</v>
      </c>
      <c r="L7" s="18" t="str">
        <f>'Balance Sheet - Standardized'!L7</f>
        <v>FY 2025</v>
      </c>
      <c r="M7" s="114"/>
      <c r="N7" s="114"/>
      <c r="O7" s="114"/>
      <c r="P7" s="114"/>
      <c r="Q7" s="114"/>
      <c r="R7" s="114"/>
    </row>
    <row r="8" spans="1:1010 1027:2036 2053:3062 3079:4088 4105:5114 5131:6140 6157:7166 7183:8192 8209:9200 9217:10226 10243:11252 11269:12278 12295:13304 13321:14330 14347:15356 15373:16382" x14ac:dyDescent="0.35">
      <c r="A8" s="17" t="str">
        <f>'Balance Sheet - Standardized'!A8</f>
        <v>12 Months Ending</v>
      </c>
      <c r="B8" s="17"/>
      <c r="C8" s="7">
        <f>'Balance Sheet - Standardized'!C8</f>
        <v>42613</v>
      </c>
      <c r="D8" s="7">
        <f>'Balance Sheet - Standardized'!D8</f>
        <v>42978</v>
      </c>
      <c r="E8" s="7">
        <f>'Balance Sheet - Standardized'!E8</f>
        <v>43343</v>
      </c>
      <c r="F8" s="7">
        <f>'Balance Sheet - Standardized'!F8</f>
        <v>43708</v>
      </c>
      <c r="G8" s="7">
        <f>'Balance Sheet - Standardized'!G8</f>
        <v>44074</v>
      </c>
      <c r="H8" s="7">
        <f>'Balance Sheet - Standardized'!H8</f>
        <v>44439</v>
      </c>
      <c r="I8" s="7">
        <f>'Balance Sheet - Standardized'!I8</f>
        <v>44804</v>
      </c>
      <c r="J8" s="7">
        <f>'Balance Sheet - Standardized'!J8</f>
        <v>45169</v>
      </c>
      <c r="K8" s="7">
        <f>'Balance Sheet - Standardized'!K8</f>
        <v>45535</v>
      </c>
      <c r="L8" s="7">
        <f>'Balance Sheet - Standardized'!L8</f>
        <v>45900</v>
      </c>
      <c r="M8" s="115"/>
      <c r="N8" s="115"/>
      <c r="O8" s="115"/>
      <c r="P8" s="115"/>
      <c r="Q8" s="115"/>
      <c r="R8" s="115"/>
    </row>
    <row r="9" spans="1:1010 1027:2036 2053:3062 3079:4088 4105:5114 5131:6140 6157:7166 7183:8192 8209:9200 9217:10226 10243:11252 11269:12278 12295:13304 13321:14330 14347:15356 15373:16382" x14ac:dyDescent="0.35">
      <c r="A9" s="15" t="str">
        <f>'Balance Sheet - Standardized'!A9</f>
        <v>Total Assets</v>
      </c>
      <c r="B9" s="14"/>
      <c r="C9" s="14"/>
      <c r="D9" s="14"/>
      <c r="E9" s="14"/>
      <c r="F9" s="14"/>
      <c r="G9" s="14"/>
      <c r="H9" s="14"/>
      <c r="I9" s="14"/>
      <c r="J9" s="14"/>
      <c r="K9" s="14"/>
      <c r="L9" s="14"/>
      <c r="M9" s="116"/>
      <c r="N9" s="116"/>
      <c r="O9" s="116"/>
      <c r="P9" s="116"/>
      <c r="Q9" s="116"/>
      <c r="R9" s="116"/>
    </row>
    <row r="10" spans="1:1010 1027:2036 2053:3062 3079:4088 4105:5114 5131:6140 6157:7166 7183:8192 8209:9200 9217:10226 10243:11252 11269:12278 12295:13304 13321:14330 14347:15356 15373:16382" s="11" customFormat="1" x14ac:dyDescent="0.35">
      <c r="A10" s="183" t="str">
        <f>'Balance Sheet - Standardized'!A10</f>
        <v xml:space="preserve">  + Cash, Cash Equivalents &amp; STI</v>
      </c>
      <c r="B10" s="75" t="str">
        <f>'Balance Sheet - Standardized'!B10</f>
        <v>C&amp;CE_AND_STI_DETAILED</v>
      </c>
      <c r="C10" s="76">
        <f>IF('Balance Sheet - Standardized'!C10="",0,'Balance Sheet - Standardized'!C10)/'Balance Sheet - Standardized'!C$61</f>
        <v>0.20767771248064162</v>
      </c>
      <c r="D10" s="76">
        <f>IF('Balance Sheet - Standardized'!D10="",0,'Balance Sheet - Standardized'!D10)/'Balance Sheet - Standardized'!D$61</f>
        <v>0.24034053182407439</v>
      </c>
      <c r="E10" s="76">
        <f>IF('Balance Sheet - Standardized'!E10="",0,'Balance Sheet - Standardized'!E10)/'Balance Sheet - Standardized'!E$61</f>
        <v>0.32140943836755587</v>
      </c>
      <c r="F10" s="76">
        <f>IF('Balance Sheet - Standardized'!F10="",0,'Balance Sheet - Standardized'!F10)/'Balance Sheet - Standardized'!F$61</f>
        <v>0.25424833204747416</v>
      </c>
      <c r="G10" s="76">
        <f>IF('Balance Sheet - Standardized'!G10="",0,'Balance Sheet - Standardized'!G10)/'Balance Sheet - Standardized'!G$61</f>
        <v>0.24698962010495579</v>
      </c>
      <c r="H10" s="76">
        <f>IF('Balance Sheet - Standardized'!H10="",0,'Balance Sheet - Standardized'!H10)/'Balance Sheet - Standardized'!H$61</f>
        <v>0.23024867189277842</v>
      </c>
      <c r="I10" s="76">
        <f>IF('Balance Sheet - Standardized'!I10="",0,'Balance Sheet - Standardized'!I10)/'Balance Sheet - Standardized'!I$61</f>
        <v>0.16394499143745259</v>
      </c>
      <c r="J10" s="76">
        <f>IF('Balance Sheet - Standardized'!J10="",0,'Balance Sheet - Standardized'!J10)/'Balance Sheet - Standardized'!J$61</f>
        <v>0.22303865032320364</v>
      </c>
      <c r="K10" s="76">
        <f>IF('Balance Sheet - Standardized'!K10="",0,'Balance Sheet - Standardized'!K10)/'Balance Sheet - Standardized'!K$61</f>
        <v>0.25107993349398605</v>
      </c>
      <c r="L10" s="76">
        <f>IF('Balance Sheet - Standardized'!L10="",0,'Balance Sheet - Standardized'!L10)/'Balance Sheet - Standardized'!L$61</f>
        <v>0.29800698352591942</v>
      </c>
      <c r="M10" s="106"/>
      <c r="N10" s="106"/>
      <c r="O10" s="106"/>
      <c r="P10" s="106"/>
      <c r="Q10" s="106"/>
      <c r="R10" s="106"/>
      <c r="S10" s="78"/>
      <c r="T10" s="78"/>
      <c r="U10" s="106"/>
      <c r="V10" s="106"/>
      <c r="W10" s="106"/>
      <c r="X10" s="106"/>
      <c r="Y10" s="106"/>
      <c r="Z10" s="106"/>
      <c r="AA10" s="106"/>
      <c r="AB10" s="106"/>
      <c r="AC10" s="106"/>
      <c r="AD10" s="106"/>
      <c r="AE10" s="106"/>
      <c r="AF10" s="106"/>
      <c r="AG10" s="106"/>
      <c r="AH10" s="106"/>
      <c r="AI10" s="106"/>
      <c r="AJ10" s="106"/>
      <c r="AK10" s="78"/>
      <c r="AL10" s="78"/>
      <c r="AM10" s="106"/>
      <c r="AN10" s="106"/>
      <c r="AO10" s="106"/>
      <c r="AP10" s="106"/>
      <c r="AQ10" s="106"/>
      <c r="AR10" s="106"/>
      <c r="AS10" s="106"/>
      <c r="AT10" s="106"/>
      <c r="AU10" s="106"/>
      <c r="AV10" s="106"/>
      <c r="AW10" s="106"/>
      <c r="AX10" s="106"/>
      <c r="AY10" s="106"/>
      <c r="AZ10" s="106"/>
      <c r="BA10" s="106"/>
      <c r="BB10" s="106"/>
      <c r="BC10" s="78"/>
      <c r="BD10" s="78"/>
      <c r="BE10" s="106"/>
      <c r="BF10" s="106"/>
      <c r="BG10" s="106"/>
      <c r="BH10" s="106"/>
      <c r="BI10" s="106"/>
      <c r="BJ10" s="106"/>
      <c r="BU10" s="12"/>
      <c r="BV10" s="12"/>
      <c r="CM10" s="12"/>
      <c r="CN10" s="12"/>
      <c r="DE10" s="12"/>
      <c r="DF10" s="12"/>
      <c r="DW10" s="12"/>
      <c r="DX10" s="12"/>
      <c r="EO10" s="12"/>
      <c r="EP10" s="12"/>
      <c r="FG10" s="12"/>
      <c r="FH10" s="12"/>
      <c r="FY10" s="12"/>
      <c r="FZ10" s="12"/>
      <c r="GQ10" s="12"/>
      <c r="GR10" s="12"/>
      <c r="HI10" s="12"/>
      <c r="HJ10" s="12"/>
      <c r="IA10" s="12"/>
      <c r="IB10" s="12"/>
      <c r="IS10" s="12"/>
      <c r="IT10" s="12"/>
      <c r="JK10" s="12"/>
      <c r="JL10" s="12"/>
      <c r="KC10" s="12"/>
      <c r="KD10" s="12"/>
      <c r="KU10" s="12"/>
      <c r="KV10" s="12"/>
      <c r="LM10" s="12"/>
      <c r="LN10" s="12"/>
      <c r="ME10" s="12"/>
      <c r="MF10" s="12"/>
      <c r="MW10" s="12"/>
      <c r="MX10" s="12"/>
      <c r="NO10" s="12"/>
      <c r="NP10" s="12"/>
      <c r="OG10" s="12"/>
      <c r="OH10" s="12"/>
      <c r="OY10" s="12"/>
      <c r="OZ10" s="12"/>
      <c r="PQ10" s="12"/>
      <c r="PR10" s="12"/>
      <c r="QI10" s="12"/>
      <c r="QJ10" s="12"/>
      <c r="RA10" s="12"/>
      <c r="RB10" s="12"/>
      <c r="RS10" s="12"/>
      <c r="RT10" s="12"/>
      <c r="SK10" s="12"/>
      <c r="SL10" s="12"/>
      <c r="TC10" s="12"/>
      <c r="TD10" s="12"/>
      <c r="TU10" s="12"/>
      <c r="TV10" s="12"/>
      <c r="UM10" s="12"/>
      <c r="UN10" s="12"/>
      <c r="VE10" s="12"/>
      <c r="VF10" s="12"/>
      <c r="VW10" s="12"/>
      <c r="VX10" s="12"/>
      <c r="WO10" s="12"/>
      <c r="WP10" s="12"/>
      <c r="XG10" s="12"/>
      <c r="XH10" s="12"/>
      <c r="XY10" s="12"/>
      <c r="XZ10" s="12"/>
      <c r="YQ10" s="12"/>
      <c r="YR10" s="12"/>
      <c r="ZI10" s="12"/>
      <c r="ZJ10" s="12"/>
      <c r="AAA10" s="12"/>
      <c r="AAB10" s="12"/>
      <c r="AAS10" s="12"/>
      <c r="AAT10" s="12"/>
      <c r="ABK10" s="12"/>
      <c r="ABL10" s="12"/>
      <c r="ACC10" s="12"/>
      <c r="ACD10" s="12"/>
      <c r="ACU10" s="12"/>
      <c r="ACV10" s="12"/>
      <c r="ADM10" s="12"/>
      <c r="ADN10" s="12"/>
      <c r="AEE10" s="12"/>
      <c r="AEF10" s="12"/>
      <c r="AEW10" s="12"/>
      <c r="AEX10" s="12"/>
      <c r="AFO10" s="12"/>
      <c r="AFP10" s="12"/>
      <c r="AGG10" s="12"/>
      <c r="AGH10" s="12"/>
      <c r="AGY10" s="12"/>
      <c r="AGZ10" s="12"/>
      <c r="AHQ10" s="12"/>
      <c r="AHR10" s="12"/>
      <c r="AII10" s="12"/>
      <c r="AIJ10" s="12"/>
      <c r="AJA10" s="12"/>
      <c r="AJB10" s="12"/>
      <c r="AJS10" s="12"/>
      <c r="AJT10" s="12"/>
      <c r="AKK10" s="12"/>
      <c r="AKL10" s="12"/>
      <c r="ALC10" s="12"/>
      <c r="ALD10" s="12"/>
      <c r="ALU10" s="12"/>
      <c r="ALV10" s="12"/>
      <c r="AMM10" s="12"/>
      <c r="AMN10" s="12"/>
      <c r="ANE10" s="12"/>
      <c r="ANF10" s="12"/>
      <c r="ANW10" s="12"/>
      <c r="ANX10" s="12"/>
      <c r="AOO10" s="12"/>
      <c r="AOP10" s="12"/>
      <c r="APG10" s="12"/>
      <c r="APH10" s="12"/>
      <c r="APY10" s="12"/>
      <c r="APZ10" s="12"/>
      <c r="AQQ10" s="12"/>
      <c r="AQR10" s="12"/>
      <c r="ARI10" s="12"/>
      <c r="ARJ10" s="12"/>
      <c r="ASA10" s="12"/>
      <c r="ASB10" s="12"/>
      <c r="ASS10" s="12"/>
      <c r="AST10" s="12"/>
      <c r="ATK10" s="12"/>
      <c r="ATL10" s="12"/>
      <c r="AUC10" s="12"/>
      <c r="AUD10" s="12"/>
      <c r="AUU10" s="12"/>
      <c r="AUV10" s="12"/>
      <c r="AVM10" s="12"/>
      <c r="AVN10" s="12"/>
      <c r="AWE10" s="12"/>
      <c r="AWF10" s="12"/>
      <c r="AWW10" s="12"/>
      <c r="AWX10" s="12"/>
      <c r="AXO10" s="12"/>
      <c r="AXP10" s="12"/>
      <c r="AYG10" s="12"/>
      <c r="AYH10" s="12"/>
      <c r="AYY10" s="12"/>
      <c r="AYZ10" s="12"/>
      <c r="AZQ10" s="12"/>
      <c r="AZR10" s="12"/>
      <c r="BAI10" s="12"/>
      <c r="BAJ10" s="12"/>
      <c r="BBA10" s="12"/>
      <c r="BBB10" s="12"/>
      <c r="BBS10" s="12"/>
      <c r="BBT10" s="12"/>
      <c r="BCK10" s="12"/>
      <c r="BCL10" s="12"/>
      <c r="BDC10" s="12"/>
      <c r="BDD10" s="12"/>
      <c r="BDU10" s="12"/>
      <c r="BDV10" s="12"/>
      <c r="BEM10" s="12"/>
      <c r="BEN10" s="12"/>
      <c r="BFE10" s="12"/>
      <c r="BFF10" s="12"/>
      <c r="BFW10" s="12"/>
      <c r="BFX10" s="12"/>
      <c r="BGO10" s="12"/>
      <c r="BGP10" s="12"/>
      <c r="BHG10" s="12"/>
      <c r="BHH10" s="12"/>
      <c r="BHY10" s="12"/>
      <c r="BHZ10" s="12"/>
      <c r="BIQ10" s="12"/>
      <c r="BIR10" s="12"/>
      <c r="BJI10" s="12"/>
      <c r="BJJ10" s="12"/>
      <c r="BKA10" s="12"/>
      <c r="BKB10" s="12"/>
      <c r="BKS10" s="12"/>
      <c r="BKT10" s="12"/>
      <c r="BLK10" s="12"/>
      <c r="BLL10" s="12"/>
      <c r="BMC10" s="12"/>
      <c r="BMD10" s="12"/>
      <c r="BMU10" s="12"/>
      <c r="BMV10" s="12"/>
      <c r="BNM10" s="12"/>
      <c r="BNN10" s="12"/>
      <c r="BOE10" s="12"/>
      <c r="BOF10" s="12"/>
      <c r="BOW10" s="12"/>
      <c r="BOX10" s="12"/>
      <c r="BPO10" s="12"/>
      <c r="BPP10" s="12"/>
      <c r="BQG10" s="12"/>
      <c r="BQH10" s="12"/>
      <c r="BQY10" s="12"/>
      <c r="BQZ10" s="12"/>
      <c r="BRQ10" s="12"/>
      <c r="BRR10" s="12"/>
      <c r="BSI10" s="12"/>
      <c r="BSJ10" s="12"/>
      <c r="BTA10" s="12"/>
      <c r="BTB10" s="12"/>
      <c r="BTS10" s="12"/>
      <c r="BTT10" s="12"/>
      <c r="BUK10" s="12"/>
      <c r="BUL10" s="12"/>
      <c r="BVC10" s="12"/>
      <c r="BVD10" s="12"/>
      <c r="BVU10" s="12"/>
      <c r="BVV10" s="12"/>
      <c r="BWM10" s="12"/>
      <c r="BWN10" s="12"/>
      <c r="BXE10" s="12"/>
      <c r="BXF10" s="12"/>
      <c r="BXW10" s="12"/>
      <c r="BXX10" s="12"/>
      <c r="BYO10" s="12"/>
      <c r="BYP10" s="12"/>
      <c r="BZG10" s="12"/>
      <c r="BZH10" s="12"/>
      <c r="BZY10" s="12"/>
      <c r="BZZ10" s="12"/>
      <c r="CAQ10" s="12"/>
      <c r="CAR10" s="12"/>
      <c r="CBI10" s="12"/>
      <c r="CBJ10" s="12"/>
      <c r="CCA10" s="12"/>
      <c r="CCB10" s="12"/>
      <c r="CCS10" s="12"/>
      <c r="CCT10" s="12"/>
      <c r="CDK10" s="12"/>
      <c r="CDL10" s="12"/>
      <c r="CEC10" s="12"/>
      <c r="CED10" s="12"/>
      <c r="CEU10" s="12"/>
      <c r="CEV10" s="12"/>
      <c r="CFM10" s="12"/>
      <c r="CFN10" s="12"/>
      <c r="CGE10" s="12"/>
      <c r="CGF10" s="12"/>
      <c r="CGW10" s="12"/>
      <c r="CGX10" s="12"/>
      <c r="CHO10" s="12"/>
      <c r="CHP10" s="12"/>
      <c r="CIG10" s="12"/>
      <c r="CIH10" s="12"/>
      <c r="CIY10" s="12"/>
      <c r="CIZ10" s="12"/>
      <c r="CJQ10" s="12"/>
      <c r="CJR10" s="12"/>
      <c r="CKI10" s="12"/>
      <c r="CKJ10" s="12"/>
      <c r="CLA10" s="12"/>
      <c r="CLB10" s="12"/>
      <c r="CLS10" s="12"/>
      <c r="CLT10" s="12"/>
      <c r="CMK10" s="12"/>
      <c r="CML10" s="12"/>
      <c r="CNC10" s="12"/>
      <c r="CND10" s="12"/>
      <c r="CNU10" s="12"/>
      <c r="CNV10" s="12"/>
      <c r="COM10" s="12"/>
      <c r="CON10" s="12"/>
      <c r="CPE10" s="12"/>
      <c r="CPF10" s="12"/>
      <c r="CPW10" s="12"/>
      <c r="CPX10" s="12"/>
      <c r="CQO10" s="12"/>
      <c r="CQP10" s="12"/>
      <c r="CRG10" s="12"/>
      <c r="CRH10" s="12"/>
      <c r="CRY10" s="12"/>
      <c r="CRZ10" s="12"/>
      <c r="CSQ10" s="12"/>
      <c r="CSR10" s="12"/>
      <c r="CTI10" s="12"/>
      <c r="CTJ10" s="12"/>
      <c r="CUA10" s="12"/>
      <c r="CUB10" s="12"/>
      <c r="CUS10" s="12"/>
      <c r="CUT10" s="12"/>
      <c r="CVK10" s="12"/>
      <c r="CVL10" s="12"/>
      <c r="CWC10" s="12"/>
      <c r="CWD10" s="12"/>
      <c r="CWU10" s="12"/>
      <c r="CWV10" s="12"/>
      <c r="CXM10" s="12"/>
      <c r="CXN10" s="12"/>
      <c r="CYE10" s="12"/>
      <c r="CYF10" s="12"/>
      <c r="CYW10" s="12"/>
      <c r="CYX10" s="12"/>
      <c r="CZO10" s="12"/>
      <c r="CZP10" s="12"/>
      <c r="DAG10" s="12"/>
      <c r="DAH10" s="12"/>
      <c r="DAY10" s="12"/>
      <c r="DAZ10" s="12"/>
      <c r="DBQ10" s="12"/>
      <c r="DBR10" s="12"/>
      <c r="DCI10" s="12"/>
      <c r="DCJ10" s="12"/>
      <c r="DDA10" s="12"/>
      <c r="DDB10" s="12"/>
      <c r="DDS10" s="12"/>
      <c r="DDT10" s="12"/>
      <c r="DEK10" s="12"/>
      <c r="DEL10" s="12"/>
      <c r="DFC10" s="12"/>
      <c r="DFD10" s="12"/>
      <c r="DFU10" s="12"/>
      <c r="DFV10" s="12"/>
      <c r="DGM10" s="12"/>
      <c r="DGN10" s="12"/>
      <c r="DHE10" s="12"/>
      <c r="DHF10" s="12"/>
      <c r="DHW10" s="12"/>
      <c r="DHX10" s="12"/>
      <c r="DIO10" s="12"/>
      <c r="DIP10" s="12"/>
      <c r="DJG10" s="12"/>
      <c r="DJH10" s="12"/>
      <c r="DJY10" s="12"/>
      <c r="DJZ10" s="12"/>
      <c r="DKQ10" s="12"/>
      <c r="DKR10" s="12"/>
      <c r="DLI10" s="12"/>
      <c r="DLJ10" s="12"/>
      <c r="DMA10" s="12"/>
      <c r="DMB10" s="12"/>
      <c r="DMS10" s="12"/>
      <c r="DMT10" s="12"/>
      <c r="DNK10" s="12"/>
      <c r="DNL10" s="12"/>
      <c r="DOC10" s="12"/>
      <c r="DOD10" s="12"/>
      <c r="DOU10" s="12"/>
      <c r="DOV10" s="12"/>
      <c r="DPM10" s="12"/>
      <c r="DPN10" s="12"/>
      <c r="DQE10" s="12"/>
      <c r="DQF10" s="12"/>
      <c r="DQW10" s="12"/>
      <c r="DQX10" s="12"/>
      <c r="DRO10" s="12"/>
      <c r="DRP10" s="12"/>
      <c r="DSG10" s="12"/>
      <c r="DSH10" s="12"/>
      <c r="DSY10" s="12"/>
      <c r="DSZ10" s="12"/>
      <c r="DTQ10" s="12"/>
      <c r="DTR10" s="12"/>
      <c r="DUI10" s="12"/>
      <c r="DUJ10" s="12"/>
      <c r="DVA10" s="12"/>
      <c r="DVB10" s="12"/>
      <c r="DVS10" s="12"/>
      <c r="DVT10" s="12"/>
      <c r="DWK10" s="12"/>
      <c r="DWL10" s="12"/>
      <c r="DXC10" s="12"/>
      <c r="DXD10" s="12"/>
      <c r="DXU10" s="12"/>
      <c r="DXV10" s="12"/>
      <c r="DYM10" s="12"/>
      <c r="DYN10" s="12"/>
      <c r="DZE10" s="12"/>
      <c r="DZF10" s="12"/>
      <c r="DZW10" s="12"/>
      <c r="DZX10" s="12"/>
      <c r="EAO10" s="12"/>
      <c r="EAP10" s="12"/>
      <c r="EBG10" s="12"/>
      <c r="EBH10" s="12"/>
      <c r="EBY10" s="12"/>
      <c r="EBZ10" s="12"/>
      <c r="ECQ10" s="12"/>
      <c r="ECR10" s="12"/>
      <c r="EDI10" s="12"/>
      <c r="EDJ10" s="12"/>
      <c r="EEA10" s="12"/>
      <c r="EEB10" s="12"/>
      <c r="EES10" s="12"/>
      <c r="EET10" s="12"/>
      <c r="EFK10" s="12"/>
      <c r="EFL10" s="12"/>
      <c r="EGC10" s="12"/>
      <c r="EGD10" s="12"/>
      <c r="EGU10" s="12"/>
      <c r="EGV10" s="12"/>
      <c r="EHM10" s="12"/>
      <c r="EHN10" s="12"/>
      <c r="EIE10" s="12"/>
      <c r="EIF10" s="12"/>
      <c r="EIW10" s="12"/>
      <c r="EIX10" s="12"/>
      <c r="EJO10" s="12"/>
      <c r="EJP10" s="12"/>
      <c r="EKG10" s="12"/>
      <c r="EKH10" s="12"/>
      <c r="EKY10" s="12"/>
      <c r="EKZ10" s="12"/>
      <c r="ELQ10" s="12"/>
      <c r="ELR10" s="12"/>
      <c r="EMI10" s="12"/>
      <c r="EMJ10" s="12"/>
      <c r="ENA10" s="12"/>
      <c r="ENB10" s="12"/>
      <c r="ENS10" s="12"/>
      <c r="ENT10" s="12"/>
      <c r="EOK10" s="12"/>
      <c r="EOL10" s="12"/>
      <c r="EPC10" s="12"/>
      <c r="EPD10" s="12"/>
      <c r="EPU10" s="12"/>
      <c r="EPV10" s="12"/>
      <c r="EQM10" s="12"/>
      <c r="EQN10" s="12"/>
      <c r="ERE10" s="12"/>
      <c r="ERF10" s="12"/>
      <c r="ERW10" s="12"/>
      <c r="ERX10" s="12"/>
      <c r="ESO10" s="12"/>
      <c r="ESP10" s="12"/>
      <c r="ETG10" s="12"/>
      <c r="ETH10" s="12"/>
      <c r="ETY10" s="12"/>
      <c r="ETZ10" s="12"/>
      <c r="EUQ10" s="12"/>
      <c r="EUR10" s="12"/>
      <c r="EVI10" s="12"/>
      <c r="EVJ10" s="12"/>
      <c r="EWA10" s="12"/>
      <c r="EWB10" s="12"/>
      <c r="EWS10" s="12"/>
      <c r="EWT10" s="12"/>
      <c r="EXK10" s="12"/>
      <c r="EXL10" s="12"/>
      <c r="EYC10" s="12"/>
      <c r="EYD10" s="12"/>
      <c r="EYU10" s="12"/>
      <c r="EYV10" s="12"/>
      <c r="EZM10" s="12"/>
      <c r="EZN10" s="12"/>
      <c r="FAE10" s="12"/>
      <c r="FAF10" s="12"/>
      <c r="FAW10" s="12"/>
      <c r="FAX10" s="12"/>
      <c r="FBO10" s="12"/>
      <c r="FBP10" s="12"/>
      <c r="FCG10" s="12"/>
      <c r="FCH10" s="12"/>
      <c r="FCY10" s="12"/>
      <c r="FCZ10" s="12"/>
      <c r="FDQ10" s="12"/>
      <c r="FDR10" s="12"/>
      <c r="FEI10" s="12"/>
      <c r="FEJ10" s="12"/>
      <c r="FFA10" s="12"/>
      <c r="FFB10" s="12"/>
      <c r="FFS10" s="12"/>
      <c r="FFT10" s="12"/>
      <c r="FGK10" s="12"/>
      <c r="FGL10" s="12"/>
      <c r="FHC10" s="12"/>
      <c r="FHD10" s="12"/>
      <c r="FHU10" s="12"/>
      <c r="FHV10" s="12"/>
      <c r="FIM10" s="12"/>
      <c r="FIN10" s="12"/>
      <c r="FJE10" s="12"/>
      <c r="FJF10" s="12"/>
      <c r="FJW10" s="12"/>
      <c r="FJX10" s="12"/>
      <c r="FKO10" s="12"/>
      <c r="FKP10" s="12"/>
      <c r="FLG10" s="12"/>
      <c r="FLH10" s="12"/>
      <c r="FLY10" s="12"/>
      <c r="FLZ10" s="12"/>
      <c r="FMQ10" s="12"/>
      <c r="FMR10" s="12"/>
      <c r="FNI10" s="12"/>
      <c r="FNJ10" s="12"/>
      <c r="FOA10" s="12"/>
      <c r="FOB10" s="12"/>
      <c r="FOS10" s="12"/>
      <c r="FOT10" s="12"/>
      <c r="FPK10" s="12"/>
      <c r="FPL10" s="12"/>
      <c r="FQC10" s="12"/>
      <c r="FQD10" s="12"/>
      <c r="FQU10" s="12"/>
      <c r="FQV10" s="12"/>
      <c r="FRM10" s="12"/>
      <c r="FRN10" s="12"/>
      <c r="FSE10" s="12"/>
      <c r="FSF10" s="12"/>
      <c r="FSW10" s="12"/>
      <c r="FSX10" s="12"/>
      <c r="FTO10" s="12"/>
      <c r="FTP10" s="12"/>
      <c r="FUG10" s="12"/>
      <c r="FUH10" s="12"/>
      <c r="FUY10" s="12"/>
      <c r="FUZ10" s="12"/>
      <c r="FVQ10" s="12"/>
      <c r="FVR10" s="12"/>
      <c r="FWI10" s="12"/>
      <c r="FWJ10" s="12"/>
      <c r="FXA10" s="12"/>
      <c r="FXB10" s="12"/>
      <c r="FXS10" s="12"/>
      <c r="FXT10" s="12"/>
      <c r="FYK10" s="12"/>
      <c r="FYL10" s="12"/>
      <c r="FZC10" s="12"/>
      <c r="FZD10" s="12"/>
      <c r="FZU10" s="12"/>
      <c r="FZV10" s="12"/>
      <c r="GAM10" s="12"/>
      <c r="GAN10" s="12"/>
      <c r="GBE10" s="12"/>
      <c r="GBF10" s="12"/>
      <c r="GBW10" s="12"/>
      <c r="GBX10" s="12"/>
      <c r="GCO10" s="12"/>
      <c r="GCP10" s="12"/>
      <c r="GDG10" s="12"/>
      <c r="GDH10" s="12"/>
      <c r="GDY10" s="12"/>
      <c r="GDZ10" s="12"/>
      <c r="GEQ10" s="12"/>
      <c r="GER10" s="12"/>
      <c r="GFI10" s="12"/>
      <c r="GFJ10" s="12"/>
      <c r="GGA10" s="12"/>
      <c r="GGB10" s="12"/>
      <c r="GGS10" s="12"/>
      <c r="GGT10" s="12"/>
      <c r="GHK10" s="12"/>
      <c r="GHL10" s="12"/>
      <c r="GIC10" s="12"/>
      <c r="GID10" s="12"/>
      <c r="GIU10" s="12"/>
      <c r="GIV10" s="12"/>
      <c r="GJM10" s="12"/>
      <c r="GJN10" s="12"/>
      <c r="GKE10" s="12"/>
      <c r="GKF10" s="12"/>
      <c r="GKW10" s="12"/>
      <c r="GKX10" s="12"/>
      <c r="GLO10" s="12"/>
      <c r="GLP10" s="12"/>
      <c r="GMG10" s="12"/>
      <c r="GMH10" s="12"/>
      <c r="GMY10" s="12"/>
      <c r="GMZ10" s="12"/>
      <c r="GNQ10" s="12"/>
      <c r="GNR10" s="12"/>
      <c r="GOI10" s="12"/>
      <c r="GOJ10" s="12"/>
      <c r="GPA10" s="12"/>
      <c r="GPB10" s="12"/>
      <c r="GPS10" s="12"/>
      <c r="GPT10" s="12"/>
      <c r="GQK10" s="12"/>
      <c r="GQL10" s="12"/>
      <c r="GRC10" s="12"/>
      <c r="GRD10" s="12"/>
      <c r="GRU10" s="12"/>
      <c r="GRV10" s="12"/>
      <c r="GSM10" s="12"/>
      <c r="GSN10" s="12"/>
      <c r="GTE10" s="12"/>
      <c r="GTF10" s="12"/>
      <c r="GTW10" s="12"/>
      <c r="GTX10" s="12"/>
      <c r="GUO10" s="12"/>
      <c r="GUP10" s="12"/>
      <c r="GVG10" s="12"/>
      <c r="GVH10" s="12"/>
      <c r="GVY10" s="12"/>
      <c r="GVZ10" s="12"/>
      <c r="GWQ10" s="12"/>
      <c r="GWR10" s="12"/>
      <c r="GXI10" s="12"/>
      <c r="GXJ10" s="12"/>
      <c r="GYA10" s="12"/>
      <c r="GYB10" s="12"/>
      <c r="GYS10" s="12"/>
      <c r="GYT10" s="12"/>
      <c r="GZK10" s="12"/>
      <c r="GZL10" s="12"/>
      <c r="HAC10" s="12"/>
      <c r="HAD10" s="12"/>
      <c r="HAU10" s="12"/>
      <c r="HAV10" s="12"/>
      <c r="HBM10" s="12"/>
      <c r="HBN10" s="12"/>
      <c r="HCE10" s="12"/>
      <c r="HCF10" s="12"/>
      <c r="HCW10" s="12"/>
      <c r="HCX10" s="12"/>
      <c r="HDO10" s="12"/>
      <c r="HDP10" s="12"/>
      <c r="HEG10" s="12"/>
      <c r="HEH10" s="12"/>
      <c r="HEY10" s="12"/>
      <c r="HEZ10" s="12"/>
      <c r="HFQ10" s="12"/>
      <c r="HFR10" s="12"/>
      <c r="HGI10" s="12"/>
      <c r="HGJ10" s="12"/>
      <c r="HHA10" s="12"/>
      <c r="HHB10" s="12"/>
      <c r="HHS10" s="12"/>
      <c r="HHT10" s="12"/>
      <c r="HIK10" s="12"/>
      <c r="HIL10" s="12"/>
      <c r="HJC10" s="12"/>
      <c r="HJD10" s="12"/>
      <c r="HJU10" s="12"/>
      <c r="HJV10" s="12"/>
      <c r="HKM10" s="12"/>
      <c r="HKN10" s="12"/>
      <c r="HLE10" s="12"/>
      <c r="HLF10" s="12"/>
      <c r="HLW10" s="12"/>
      <c r="HLX10" s="12"/>
      <c r="HMO10" s="12"/>
      <c r="HMP10" s="12"/>
      <c r="HNG10" s="12"/>
      <c r="HNH10" s="12"/>
      <c r="HNY10" s="12"/>
      <c r="HNZ10" s="12"/>
      <c r="HOQ10" s="12"/>
      <c r="HOR10" s="12"/>
      <c r="HPI10" s="12"/>
      <c r="HPJ10" s="12"/>
      <c r="HQA10" s="12"/>
      <c r="HQB10" s="12"/>
      <c r="HQS10" s="12"/>
      <c r="HQT10" s="12"/>
      <c r="HRK10" s="12"/>
      <c r="HRL10" s="12"/>
      <c r="HSC10" s="12"/>
      <c r="HSD10" s="12"/>
      <c r="HSU10" s="12"/>
      <c r="HSV10" s="12"/>
      <c r="HTM10" s="12"/>
      <c r="HTN10" s="12"/>
      <c r="HUE10" s="12"/>
      <c r="HUF10" s="12"/>
      <c r="HUW10" s="12"/>
      <c r="HUX10" s="12"/>
      <c r="HVO10" s="12"/>
      <c r="HVP10" s="12"/>
      <c r="HWG10" s="12"/>
      <c r="HWH10" s="12"/>
      <c r="HWY10" s="12"/>
      <c r="HWZ10" s="12"/>
      <c r="HXQ10" s="12"/>
      <c r="HXR10" s="12"/>
      <c r="HYI10" s="12"/>
      <c r="HYJ10" s="12"/>
      <c r="HZA10" s="12"/>
      <c r="HZB10" s="12"/>
      <c r="HZS10" s="12"/>
      <c r="HZT10" s="12"/>
      <c r="IAK10" s="12"/>
      <c r="IAL10" s="12"/>
      <c r="IBC10" s="12"/>
      <c r="IBD10" s="12"/>
      <c r="IBU10" s="12"/>
      <c r="IBV10" s="12"/>
      <c r="ICM10" s="12"/>
      <c r="ICN10" s="12"/>
      <c r="IDE10" s="12"/>
      <c r="IDF10" s="12"/>
      <c r="IDW10" s="12"/>
      <c r="IDX10" s="12"/>
      <c r="IEO10" s="12"/>
      <c r="IEP10" s="12"/>
      <c r="IFG10" s="12"/>
      <c r="IFH10" s="12"/>
      <c r="IFY10" s="12"/>
      <c r="IFZ10" s="12"/>
      <c r="IGQ10" s="12"/>
      <c r="IGR10" s="12"/>
      <c r="IHI10" s="12"/>
      <c r="IHJ10" s="12"/>
      <c r="IIA10" s="12"/>
      <c r="IIB10" s="12"/>
      <c r="IIS10" s="12"/>
      <c r="IIT10" s="12"/>
      <c r="IJK10" s="12"/>
      <c r="IJL10" s="12"/>
      <c r="IKC10" s="12"/>
      <c r="IKD10" s="12"/>
      <c r="IKU10" s="12"/>
      <c r="IKV10" s="12"/>
      <c r="ILM10" s="12"/>
      <c r="ILN10" s="12"/>
      <c r="IME10" s="12"/>
      <c r="IMF10" s="12"/>
      <c r="IMW10" s="12"/>
      <c r="IMX10" s="12"/>
      <c r="INO10" s="12"/>
      <c r="INP10" s="12"/>
      <c r="IOG10" s="12"/>
      <c r="IOH10" s="12"/>
      <c r="IOY10" s="12"/>
      <c r="IOZ10" s="12"/>
      <c r="IPQ10" s="12"/>
      <c r="IPR10" s="12"/>
      <c r="IQI10" s="12"/>
      <c r="IQJ10" s="12"/>
      <c r="IRA10" s="12"/>
      <c r="IRB10" s="12"/>
      <c r="IRS10" s="12"/>
      <c r="IRT10" s="12"/>
      <c r="ISK10" s="12"/>
      <c r="ISL10" s="12"/>
      <c r="ITC10" s="12"/>
      <c r="ITD10" s="12"/>
      <c r="ITU10" s="12"/>
      <c r="ITV10" s="12"/>
      <c r="IUM10" s="12"/>
      <c r="IUN10" s="12"/>
      <c r="IVE10" s="12"/>
      <c r="IVF10" s="12"/>
      <c r="IVW10" s="12"/>
      <c r="IVX10" s="12"/>
      <c r="IWO10" s="12"/>
      <c r="IWP10" s="12"/>
      <c r="IXG10" s="12"/>
      <c r="IXH10" s="12"/>
      <c r="IXY10" s="12"/>
      <c r="IXZ10" s="12"/>
      <c r="IYQ10" s="12"/>
      <c r="IYR10" s="12"/>
      <c r="IZI10" s="12"/>
      <c r="IZJ10" s="12"/>
      <c r="JAA10" s="12"/>
      <c r="JAB10" s="12"/>
      <c r="JAS10" s="12"/>
      <c r="JAT10" s="12"/>
      <c r="JBK10" s="12"/>
      <c r="JBL10" s="12"/>
      <c r="JCC10" s="12"/>
      <c r="JCD10" s="12"/>
      <c r="JCU10" s="12"/>
      <c r="JCV10" s="12"/>
      <c r="JDM10" s="12"/>
      <c r="JDN10" s="12"/>
      <c r="JEE10" s="12"/>
      <c r="JEF10" s="12"/>
      <c r="JEW10" s="12"/>
      <c r="JEX10" s="12"/>
      <c r="JFO10" s="12"/>
      <c r="JFP10" s="12"/>
      <c r="JGG10" s="12"/>
      <c r="JGH10" s="12"/>
      <c r="JGY10" s="12"/>
      <c r="JGZ10" s="12"/>
      <c r="JHQ10" s="12"/>
      <c r="JHR10" s="12"/>
      <c r="JII10" s="12"/>
      <c r="JIJ10" s="12"/>
      <c r="JJA10" s="12"/>
      <c r="JJB10" s="12"/>
      <c r="JJS10" s="12"/>
      <c r="JJT10" s="12"/>
      <c r="JKK10" s="12"/>
      <c r="JKL10" s="12"/>
      <c r="JLC10" s="12"/>
      <c r="JLD10" s="12"/>
      <c r="JLU10" s="12"/>
      <c r="JLV10" s="12"/>
      <c r="JMM10" s="12"/>
      <c r="JMN10" s="12"/>
      <c r="JNE10" s="12"/>
      <c r="JNF10" s="12"/>
      <c r="JNW10" s="12"/>
      <c r="JNX10" s="12"/>
      <c r="JOO10" s="12"/>
      <c r="JOP10" s="12"/>
      <c r="JPG10" s="12"/>
      <c r="JPH10" s="12"/>
      <c r="JPY10" s="12"/>
      <c r="JPZ10" s="12"/>
      <c r="JQQ10" s="12"/>
      <c r="JQR10" s="12"/>
      <c r="JRI10" s="12"/>
      <c r="JRJ10" s="12"/>
      <c r="JSA10" s="12"/>
      <c r="JSB10" s="12"/>
      <c r="JSS10" s="12"/>
      <c r="JST10" s="12"/>
      <c r="JTK10" s="12"/>
      <c r="JTL10" s="12"/>
      <c r="JUC10" s="12"/>
      <c r="JUD10" s="12"/>
      <c r="JUU10" s="12"/>
      <c r="JUV10" s="12"/>
      <c r="JVM10" s="12"/>
      <c r="JVN10" s="12"/>
      <c r="JWE10" s="12"/>
      <c r="JWF10" s="12"/>
      <c r="JWW10" s="12"/>
      <c r="JWX10" s="12"/>
      <c r="JXO10" s="12"/>
      <c r="JXP10" s="12"/>
      <c r="JYG10" s="12"/>
      <c r="JYH10" s="12"/>
      <c r="JYY10" s="12"/>
      <c r="JYZ10" s="12"/>
      <c r="JZQ10" s="12"/>
      <c r="JZR10" s="12"/>
      <c r="KAI10" s="12"/>
      <c r="KAJ10" s="12"/>
      <c r="KBA10" s="12"/>
      <c r="KBB10" s="12"/>
      <c r="KBS10" s="12"/>
      <c r="KBT10" s="12"/>
      <c r="KCK10" s="12"/>
      <c r="KCL10" s="12"/>
      <c r="KDC10" s="12"/>
      <c r="KDD10" s="12"/>
      <c r="KDU10" s="12"/>
      <c r="KDV10" s="12"/>
      <c r="KEM10" s="12"/>
      <c r="KEN10" s="12"/>
      <c r="KFE10" s="12"/>
      <c r="KFF10" s="12"/>
      <c r="KFW10" s="12"/>
      <c r="KFX10" s="12"/>
      <c r="KGO10" s="12"/>
      <c r="KGP10" s="12"/>
      <c r="KHG10" s="12"/>
      <c r="KHH10" s="12"/>
      <c r="KHY10" s="12"/>
      <c r="KHZ10" s="12"/>
      <c r="KIQ10" s="12"/>
      <c r="KIR10" s="12"/>
      <c r="KJI10" s="12"/>
      <c r="KJJ10" s="12"/>
      <c r="KKA10" s="12"/>
      <c r="KKB10" s="12"/>
      <c r="KKS10" s="12"/>
      <c r="KKT10" s="12"/>
      <c r="KLK10" s="12"/>
      <c r="KLL10" s="12"/>
      <c r="KMC10" s="12"/>
      <c r="KMD10" s="12"/>
      <c r="KMU10" s="12"/>
      <c r="KMV10" s="12"/>
      <c r="KNM10" s="12"/>
      <c r="KNN10" s="12"/>
      <c r="KOE10" s="12"/>
      <c r="KOF10" s="12"/>
      <c r="KOW10" s="12"/>
      <c r="KOX10" s="12"/>
      <c r="KPO10" s="12"/>
      <c r="KPP10" s="12"/>
      <c r="KQG10" s="12"/>
      <c r="KQH10" s="12"/>
      <c r="KQY10" s="12"/>
      <c r="KQZ10" s="12"/>
      <c r="KRQ10" s="12"/>
      <c r="KRR10" s="12"/>
      <c r="KSI10" s="12"/>
      <c r="KSJ10" s="12"/>
      <c r="KTA10" s="12"/>
      <c r="KTB10" s="12"/>
      <c r="KTS10" s="12"/>
      <c r="KTT10" s="12"/>
      <c r="KUK10" s="12"/>
      <c r="KUL10" s="12"/>
      <c r="KVC10" s="12"/>
      <c r="KVD10" s="12"/>
      <c r="KVU10" s="12"/>
      <c r="KVV10" s="12"/>
      <c r="KWM10" s="12"/>
      <c r="KWN10" s="12"/>
      <c r="KXE10" s="12"/>
      <c r="KXF10" s="12"/>
      <c r="KXW10" s="12"/>
      <c r="KXX10" s="12"/>
      <c r="KYO10" s="12"/>
      <c r="KYP10" s="12"/>
      <c r="KZG10" s="12"/>
      <c r="KZH10" s="12"/>
      <c r="KZY10" s="12"/>
      <c r="KZZ10" s="12"/>
      <c r="LAQ10" s="12"/>
      <c r="LAR10" s="12"/>
      <c r="LBI10" s="12"/>
      <c r="LBJ10" s="12"/>
      <c r="LCA10" s="12"/>
      <c r="LCB10" s="12"/>
      <c r="LCS10" s="12"/>
      <c r="LCT10" s="12"/>
      <c r="LDK10" s="12"/>
      <c r="LDL10" s="12"/>
      <c r="LEC10" s="12"/>
      <c r="LED10" s="12"/>
      <c r="LEU10" s="12"/>
      <c r="LEV10" s="12"/>
      <c r="LFM10" s="12"/>
      <c r="LFN10" s="12"/>
      <c r="LGE10" s="12"/>
      <c r="LGF10" s="12"/>
      <c r="LGW10" s="12"/>
      <c r="LGX10" s="12"/>
      <c r="LHO10" s="12"/>
      <c r="LHP10" s="12"/>
      <c r="LIG10" s="12"/>
      <c r="LIH10" s="12"/>
      <c r="LIY10" s="12"/>
      <c r="LIZ10" s="12"/>
      <c r="LJQ10" s="12"/>
      <c r="LJR10" s="12"/>
      <c r="LKI10" s="12"/>
      <c r="LKJ10" s="12"/>
      <c r="LLA10" s="12"/>
      <c r="LLB10" s="12"/>
      <c r="LLS10" s="12"/>
      <c r="LLT10" s="12"/>
      <c r="LMK10" s="12"/>
      <c r="LML10" s="12"/>
      <c r="LNC10" s="12"/>
      <c r="LND10" s="12"/>
      <c r="LNU10" s="12"/>
      <c r="LNV10" s="12"/>
      <c r="LOM10" s="12"/>
      <c r="LON10" s="12"/>
      <c r="LPE10" s="12"/>
      <c r="LPF10" s="12"/>
      <c r="LPW10" s="12"/>
      <c r="LPX10" s="12"/>
      <c r="LQO10" s="12"/>
      <c r="LQP10" s="12"/>
      <c r="LRG10" s="12"/>
      <c r="LRH10" s="12"/>
      <c r="LRY10" s="12"/>
      <c r="LRZ10" s="12"/>
      <c r="LSQ10" s="12"/>
      <c r="LSR10" s="12"/>
      <c r="LTI10" s="12"/>
      <c r="LTJ10" s="12"/>
      <c r="LUA10" s="12"/>
      <c r="LUB10" s="12"/>
      <c r="LUS10" s="12"/>
      <c r="LUT10" s="12"/>
      <c r="LVK10" s="12"/>
      <c r="LVL10" s="12"/>
      <c r="LWC10" s="12"/>
      <c r="LWD10" s="12"/>
      <c r="LWU10" s="12"/>
      <c r="LWV10" s="12"/>
      <c r="LXM10" s="12"/>
      <c r="LXN10" s="12"/>
      <c r="LYE10" s="12"/>
      <c r="LYF10" s="12"/>
      <c r="LYW10" s="12"/>
      <c r="LYX10" s="12"/>
      <c r="LZO10" s="12"/>
      <c r="LZP10" s="12"/>
      <c r="MAG10" s="12"/>
      <c r="MAH10" s="12"/>
      <c r="MAY10" s="12"/>
      <c r="MAZ10" s="12"/>
      <c r="MBQ10" s="12"/>
      <c r="MBR10" s="12"/>
      <c r="MCI10" s="12"/>
      <c r="MCJ10" s="12"/>
      <c r="MDA10" s="12"/>
      <c r="MDB10" s="12"/>
      <c r="MDS10" s="12"/>
      <c r="MDT10" s="12"/>
      <c r="MEK10" s="12"/>
      <c r="MEL10" s="12"/>
      <c r="MFC10" s="12"/>
      <c r="MFD10" s="12"/>
      <c r="MFU10" s="12"/>
      <c r="MFV10" s="12"/>
      <c r="MGM10" s="12"/>
      <c r="MGN10" s="12"/>
      <c r="MHE10" s="12"/>
      <c r="MHF10" s="12"/>
      <c r="MHW10" s="12"/>
      <c r="MHX10" s="12"/>
      <c r="MIO10" s="12"/>
      <c r="MIP10" s="12"/>
      <c r="MJG10" s="12"/>
      <c r="MJH10" s="12"/>
      <c r="MJY10" s="12"/>
      <c r="MJZ10" s="12"/>
      <c r="MKQ10" s="12"/>
      <c r="MKR10" s="12"/>
      <c r="MLI10" s="12"/>
      <c r="MLJ10" s="12"/>
      <c r="MMA10" s="12"/>
      <c r="MMB10" s="12"/>
      <c r="MMS10" s="12"/>
      <c r="MMT10" s="12"/>
      <c r="MNK10" s="12"/>
      <c r="MNL10" s="12"/>
      <c r="MOC10" s="12"/>
      <c r="MOD10" s="12"/>
      <c r="MOU10" s="12"/>
      <c r="MOV10" s="12"/>
      <c r="MPM10" s="12"/>
      <c r="MPN10" s="12"/>
      <c r="MQE10" s="12"/>
      <c r="MQF10" s="12"/>
      <c r="MQW10" s="12"/>
      <c r="MQX10" s="12"/>
      <c r="MRO10" s="12"/>
      <c r="MRP10" s="12"/>
      <c r="MSG10" s="12"/>
      <c r="MSH10" s="12"/>
      <c r="MSY10" s="12"/>
      <c r="MSZ10" s="12"/>
      <c r="MTQ10" s="12"/>
      <c r="MTR10" s="12"/>
      <c r="MUI10" s="12"/>
      <c r="MUJ10" s="12"/>
      <c r="MVA10" s="12"/>
      <c r="MVB10" s="12"/>
      <c r="MVS10" s="12"/>
      <c r="MVT10" s="12"/>
      <c r="MWK10" s="12"/>
      <c r="MWL10" s="12"/>
      <c r="MXC10" s="12"/>
      <c r="MXD10" s="12"/>
      <c r="MXU10" s="12"/>
      <c r="MXV10" s="12"/>
      <c r="MYM10" s="12"/>
      <c r="MYN10" s="12"/>
      <c r="MZE10" s="12"/>
      <c r="MZF10" s="12"/>
      <c r="MZW10" s="12"/>
      <c r="MZX10" s="12"/>
      <c r="NAO10" s="12"/>
      <c r="NAP10" s="12"/>
      <c r="NBG10" s="12"/>
      <c r="NBH10" s="12"/>
      <c r="NBY10" s="12"/>
      <c r="NBZ10" s="12"/>
      <c r="NCQ10" s="12"/>
      <c r="NCR10" s="12"/>
      <c r="NDI10" s="12"/>
      <c r="NDJ10" s="12"/>
      <c r="NEA10" s="12"/>
      <c r="NEB10" s="12"/>
      <c r="NES10" s="12"/>
      <c r="NET10" s="12"/>
      <c r="NFK10" s="12"/>
      <c r="NFL10" s="12"/>
      <c r="NGC10" s="12"/>
      <c r="NGD10" s="12"/>
      <c r="NGU10" s="12"/>
      <c r="NGV10" s="12"/>
      <c r="NHM10" s="12"/>
      <c r="NHN10" s="12"/>
      <c r="NIE10" s="12"/>
      <c r="NIF10" s="12"/>
      <c r="NIW10" s="12"/>
      <c r="NIX10" s="12"/>
      <c r="NJO10" s="12"/>
      <c r="NJP10" s="12"/>
      <c r="NKG10" s="12"/>
      <c r="NKH10" s="12"/>
      <c r="NKY10" s="12"/>
      <c r="NKZ10" s="12"/>
      <c r="NLQ10" s="12"/>
      <c r="NLR10" s="12"/>
      <c r="NMI10" s="12"/>
      <c r="NMJ10" s="12"/>
      <c r="NNA10" s="12"/>
      <c r="NNB10" s="12"/>
      <c r="NNS10" s="12"/>
      <c r="NNT10" s="12"/>
      <c r="NOK10" s="12"/>
      <c r="NOL10" s="12"/>
      <c r="NPC10" s="12"/>
      <c r="NPD10" s="12"/>
      <c r="NPU10" s="12"/>
      <c r="NPV10" s="12"/>
      <c r="NQM10" s="12"/>
      <c r="NQN10" s="12"/>
      <c r="NRE10" s="12"/>
      <c r="NRF10" s="12"/>
      <c r="NRW10" s="12"/>
      <c r="NRX10" s="12"/>
      <c r="NSO10" s="12"/>
      <c r="NSP10" s="12"/>
      <c r="NTG10" s="12"/>
      <c r="NTH10" s="12"/>
      <c r="NTY10" s="12"/>
      <c r="NTZ10" s="12"/>
      <c r="NUQ10" s="12"/>
      <c r="NUR10" s="12"/>
      <c r="NVI10" s="12"/>
      <c r="NVJ10" s="12"/>
      <c r="NWA10" s="12"/>
      <c r="NWB10" s="12"/>
      <c r="NWS10" s="12"/>
      <c r="NWT10" s="12"/>
      <c r="NXK10" s="12"/>
      <c r="NXL10" s="12"/>
      <c r="NYC10" s="12"/>
      <c r="NYD10" s="12"/>
      <c r="NYU10" s="12"/>
      <c r="NYV10" s="12"/>
      <c r="NZM10" s="12"/>
      <c r="NZN10" s="12"/>
      <c r="OAE10" s="12"/>
      <c r="OAF10" s="12"/>
      <c r="OAW10" s="12"/>
      <c r="OAX10" s="12"/>
      <c r="OBO10" s="12"/>
      <c r="OBP10" s="12"/>
      <c r="OCG10" s="12"/>
      <c r="OCH10" s="12"/>
      <c r="OCY10" s="12"/>
      <c r="OCZ10" s="12"/>
      <c r="ODQ10" s="12"/>
      <c r="ODR10" s="12"/>
      <c r="OEI10" s="12"/>
      <c r="OEJ10" s="12"/>
      <c r="OFA10" s="12"/>
      <c r="OFB10" s="12"/>
      <c r="OFS10" s="12"/>
      <c r="OFT10" s="12"/>
      <c r="OGK10" s="12"/>
      <c r="OGL10" s="12"/>
      <c r="OHC10" s="12"/>
      <c r="OHD10" s="12"/>
      <c r="OHU10" s="12"/>
      <c r="OHV10" s="12"/>
      <c r="OIM10" s="12"/>
      <c r="OIN10" s="12"/>
      <c r="OJE10" s="12"/>
      <c r="OJF10" s="12"/>
      <c r="OJW10" s="12"/>
      <c r="OJX10" s="12"/>
      <c r="OKO10" s="12"/>
      <c r="OKP10" s="12"/>
      <c r="OLG10" s="12"/>
      <c r="OLH10" s="12"/>
      <c r="OLY10" s="12"/>
      <c r="OLZ10" s="12"/>
      <c r="OMQ10" s="12"/>
      <c r="OMR10" s="12"/>
      <c r="ONI10" s="12"/>
      <c r="ONJ10" s="12"/>
      <c r="OOA10" s="12"/>
      <c r="OOB10" s="12"/>
      <c r="OOS10" s="12"/>
      <c r="OOT10" s="12"/>
      <c r="OPK10" s="12"/>
      <c r="OPL10" s="12"/>
      <c r="OQC10" s="12"/>
      <c r="OQD10" s="12"/>
      <c r="OQU10" s="12"/>
      <c r="OQV10" s="12"/>
      <c r="ORM10" s="12"/>
      <c r="ORN10" s="12"/>
      <c r="OSE10" s="12"/>
      <c r="OSF10" s="12"/>
      <c r="OSW10" s="12"/>
      <c r="OSX10" s="12"/>
      <c r="OTO10" s="12"/>
      <c r="OTP10" s="12"/>
      <c r="OUG10" s="12"/>
      <c r="OUH10" s="12"/>
      <c r="OUY10" s="12"/>
      <c r="OUZ10" s="12"/>
      <c r="OVQ10" s="12"/>
      <c r="OVR10" s="12"/>
      <c r="OWI10" s="12"/>
      <c r="OWJ10" s="12"/>
      <c r="OXA10" s="12"/>
      <c r="OXB10" s="12"/>
      <c r="OXS10" s="12"/>
      <c r="OXT10" s="12"/>
      <c r="OYK10" s="12"/>
      <c r="OYL10" s="12"/>
      <c r="OZC10" s="12"/>
      <c r="OZD10" s="12"/>
      <c r="OZU10" s="12"/>
      <c r="OZV10" s="12"/>
      <c r="PAM10" s="12"/>
      <c r="PAN10" s="12"/>
      <c r="PBE10" s="12"/>
      <c r="PBF10" s="12"/>
      <c r="PBW10" s="12"/>
      <c r="PBX10" s="12"/>
      <c r="PCO10" s="12"/>
      <c r="PCP10" s="12"/>
      <c r="PDG10" s="12"/>
      <c r="PDH10" s="12"/>
      <c r="PDY10" s="12"/>
      <c r="PDZ10" s="12"/>
      <c r="PEQ10" s="12"/>
      <c r="PER10" s="12"/>
      <c r="PFI10" s="12"/>
      <c r="PFJ10" s="12"/>
      <c r="PGA10" s="12"/>
      <c r="PGB10" s="12"/>
      <c r="PGS10" s="12"/>
      <c r="PGT10" s="12"/>
      <c r="PHK10" s="12"/>
      <c r="PHL10" s="12"/>
      <c r="PIC10" s="12"/>
      <c r="PID10" s="12"/>
      <c r="PIU10" s="12"/>
      <c r="PIV10" s="12"/>
      <c r="PJM10" s="12"/>
      <c r="PJN10" s="12"/>
      <c r="PKE10" s="12"/>
      <c r="PKF10" s="12"/>
      <c r="PKW10" s="12"/>
      <c r="PKX10" s="12"/>
      <c r="PLO10" s="12"/>
      <c r="PLP10" s="12"/>
      <c r="PMG10" s="12"/>
      <c r="PMH10" s="12"/>
      <c r="PMY10" s="12"/>
      <c r="PMZ10" s="12"/>
      <c r="PNQ10" s="12"/>
      <c r="PNR10" s="12"/>
      <c r="POI10" s="12"/>
      <c r="POJ10" s="12"/>
      <c r="PPA10" s="12"/>
      <c r="PPB10" s="12"/>
      <c r="PPS10" s="12"/>
      <c r="PPT10" s="12"/>
      <c r="PQK10" s="12"/>
      <c r="PQL10" s="12"/>
      <c r="PRC10" s="12"/>
      <c r="PRD10" s="12"/>
      <c r="PRU10" s="12"/>
      <c r="PRV10" s="12"/>
      <c r="PSM10" s="12"/>
      <c r="PSN10" s="12"/>
      <c r="PTE10" s="12"/>
      <c r="PTF10" s="12"/>
      <c r="PTW10" s="12"/>
      <c r="PTX10" s="12"/>
      <c r="PUO10" s="12"/>
      <c r="PUP10" s="12"/>
      <c r="PVG10" s="12"/>
      <c r="PVH10" s="12"/>
      <c r="PVY10" s="12"/>
      <c r="PVZ10" s="12"/>
      <c r="PWQ10" s="12"/>
      <c r="PWR10" s="12"/>
      <c r="PXI10" s="12"/>
      <c r="PXJ10" s="12"/>
      <c r="PYA10" s="12"/>
      <c r="PYB10" s="12"/>
      <c r="PYS10" s="12"/>
      <c r="PYT10" s="12"/>
      <c r="PZK10" s="12"/>
      <c r="PZL10" s="12"/>
      <c r="QAC10" s="12"/>
      <c r="QAD10" s="12"/>
      <c r="QAU10" s="12"/>
      <c r="QAV10" s="12"/>
      <c r="QBM10" s="12"/>
      <c r="QBN10" s="12"/>
      <c r="QCE10" s="12"/>
      <c r="QCF10" s="12"/>
      <c r="QCW10" s="12"/>
      <c r="QCX10" s="12"/>
      <c r="QDO10" s="12"/>
      <c r="QDP10" s="12"/>
      <c r="QEG10" s="12"/>
      <c r="QEH10" s="12"/>
      <c r="QEY10" s="12"/>
      <c r="QEZ10" s="12"/>
      <c r="QFQ10" s="12"/>
      <c r="QFR10" s="12"/>
      <c r="QGI10" s="12"/>
      <c r="QGJ10" s="12"/>
      <c r="QHA10" s="12"/>
      <c r="QHB10" s="12"/>
      <c r="QHS10" s="12"/>
      <c r="QHT10" s="12"/>
      <c r="QIK10" s="12"/>
      <c r="QIL10" s="12"/>
      <c r="QJC10" s="12"/>
      <c r="QJD10" s="12"/>
      <c r="QJU10" s="12"/>
      <c r="QJV10" s="12"/>
      <c r="QKM10" s="12"/>
      <c r="QKN10" s="12"/>
      <c r="QLE10" s="12"/>
      <c r="QLF10" s="12"/>
      <c r="QLW10" s="12"/>
      <c r="QLX10" s="12"/>
      <c r="QMO10" s="12"/>
      <c r="QMP10" s="12"/>
      <c r="QNG10" s="12"/>
      <c r="QNH10" s="12"/>
      <c r="QNY10" s="12"/>
      <c r="QNZ10" s="12"/>
      <c r="QOQ10" s="12"/>
      <c r="QOR10" s="12"/>
      <c r="QPI10" s="12"/>
      <c r="QPJ10" s="12"/>
      <c r="QQA10" s="12"/>
      <c r="QQB10" s="12"/>
      <c r="QQS10" s="12"/>
      <c r="QQT10" s="12"/>
      <c r="QRK10" s="12"/>
      <c r="QRL10" s="12"/>
      <c r="QSC10" s="12"/>
      <c r="QSD10" s="12"/>
      <c r="QSU10" s="12"/>
      <c r="QSV10" s="12"/>
      <c r="QTM10" s="12"/>
      <c r="QTN10" s="12"/>
      <c r="QUE10" s="12"/>
      <c r="QUF10" s="12"/>
      <c r="QUW10" s="12"/>
      <c r="QUX10" s="12"/>
      <c r="QVO10" s="12"/>
      <c r="QVP10" s="12"/>
      <c r="QWG10" s="12"/>
      <c r="QWH10" s="12"/>
      <c r="QWY10" s="12"/>
      <c r="QWZ10" s="12"/>
      <c r="QXQ10" s="12"/>
      <c r="QXR10" s="12"/>
      <c r="QYI10" s="12"/>
      <c r="QYJ10" s="12"/>
      <c r="QZA10" s="12"/>
      <c r="QZB10" s="12"/>
      <c r="QZS10" s="12"/>
      <c r="QZT10" s="12"/>
      <c r="RAK10" s="12"/>
      <c r="RAL10" s="12"/>
      <c r="RBC10" s="12"/>
      <c r="RBD10" s="12"/>
      <c r="RBU10" s="12"/>
      <c r="RBV10" s="12"/>
      <c r="RCM10" s="12"/>
      <c r="RCN10" s="12"/>
      <c r="RDE10" s="12"/>
      <c r="RDF10" s="12"/>
      <c r="RDW10" s="12"/>
      <c r="RDX10" s="12"/>
      <c r="REO10" s="12"/>
      <c r="REP10" s="12"/>
      <c r="RFG10" s="12"/>
      <c r="RFH10" s="12"/>
      <c r="RFY10" s="12"/>
      <c r="RFZ10" s="12"/>
      <c r="RGQ10" s="12"/>
      <c r="RGR10" s="12"/>
      <c r="RHI10" s="12"/>
      <c r="RHJ10" s="12"/>
      <c r="RIA10" s="12"/>
      <c r="RIB10" s="12"/>
      <c r="RIS10" s="12"/>
      <c r="RIT10" s="12"/>
      <c r="RJK10" s="12"/>
      <c r="RJL10" s="12"/>
      <c r="RKC10" s="12"/>
      <c r="RKD10" s="12"/>
      <c r="RKU10" s="12"/>
      <c r="RKV10" s="12"/>
      <c r="RLM10" s="12"/>
      <c r="RLN10" s="12"/>
      <c r="RME10" s="12"/>
      <c r="RMF10" s="12"/>
      <c r="RMW10" s="12"/>
      <c r="RMX10" s="12"/>
      <c r="RNO10" s="12"/>
      <c r="RNP10" s="12"/>
      <c r="ROG10" s="12"/>
      <c r="ROH10" s="12"/>
      <c r="ROY10" s="12"/>
      <c r="ROZ10" s="12"/>
      <c r="RPQ10" s="12"/>
      <c r="RPR10" s="12"/>
      <c r="RQI10" s="12"/>
      <c r="RQJ10" s="12"/>
      <c r="RRA10" s="12"/>
      <c r="RRB10" s="12"/>
      <c r="RRS10" s="12"/>
      <c r="RRT10" s="12"/>
      <c r="RSK10" s="12"/>
      <c r="RSL10" s="12"/>
      <c r="RTC10" s="12"/>
      <c r="RTD10" s="12"/>
      <c r="RTU10" s="12"/>
      <c r="RTV10" s="12"/>
      <c r="RUM10" s="12"/>
      <c r="RUN10" s="12"/>
      <c r="RVE10" s="12"/>
      <c r="RVF10" s="12"/>
      <c r="RVW10" s="12"/>
      <c r="RVX10" s="12"/>
      <c r="RWO10" s="12"/>
      <c r="RWP10" s="12"/>
      <c r="RXG10" s="12"/>
      <c r="RXH10" s="12"/>
      <c r="RXY10" s="12"/>
      <c r="RXZ10" s="12"/>
      <c r="RYQ10" s="12"/>
      <c r="RYR10" s="12"/>
      <c r="RZI10" s="12"/>
      <c r="RZJ10" s="12"/>
      <c r="SAA10" s="12"/>
      <c r="SAB10" s="12"/>
      <c r="SAS10" s="12"/>
      <c r="SAT10" s="12"/>
      <c r="SBK10" s="12"/>
      <c r="SBL10" s="12"/>
      <c r="SCC10" s="12"/>
      <c r="SCD10" s="12"/>
      <c r="SCU10" s="12"/>
      <c r="SCV10" s="12"/>
      <c r="SDM10" s="12"/>
      <c r="SDN10" s="12"/>
      <c r="SEE10" s="12"/>
      <c r="SEF10" s="12"/>
      <c r="SEW10" s="12"/>
      <c r="SEX10" s="12"/>
      <c r="SFO10" s="12"/>
      <c r="SFP10" s="12"/>
      <c r="SGG10" s="12"/>
      <c r="SGH10" s="12"/>
      <c r="SGY10" s="12"/>
      <c r="SGZ10" s="12"/>
      <c r="SHQ10" s="12"/>
      <c r="SHR10" s="12"/>
      <c r="SII10" s="12"/>
      <c r="SIJ10" s="12"/>
      <c r="SJA10" s="12"/>
      <c r="SJB10" s="12"/>
      <c r="SJS10" s="12"/>
      <c r="SJT10" s="12"/>
      <c r="SKK10" s="12"/>
      <c r="SKL10" s="12"/>
      <c r="SLC10" s="12"/>
      <c r="SLD10" s="12"/>
      <c r="SLU10" s="12"/>
      <c r="SLV10" s="12"/>
      <c r="SMM10" s="12"/>
      <c r="SMN10" s="12"/>
      <c r="SNE10" s="12"/>
      <c r="SNF10" s="12"/>
      <c r="SNW10" s="12"/>
      <c r="SNX10" s="12"/>
      <c r="SOO10" s="12"/>
      <c r="SOP10" s="12"/>
      <c r="SPG10" s="12"/>
      <c r="SPH10" s="12"/>
      <c r="SPY10" s="12"/>
      <c r="SPZ10" s="12"/>
      <c r="SQQ10" s="12"/>
      <c r="SQR10" s="12"/>
      <c r="SRI10" s="12"/>
      <c r="SRJ10" s="12"/>
      <c r="SSA10" s="12"/>
      <c r="SSB10" s="12"/>
      <c r="SSS10" s="12"/>
      <c r="SST10" s="12"/>
      <c r="STK10" s="12"/>
      <c r="STL10" s="12"/>
      <c r="SUC10" s="12"/>
      <c r="SUD10" s="12"/>
      <c r="SUU10" s="12"/>
      <c r="SUV10" s="12"/>
      <c r="SVM10" s="12"/>
      <c r="SVN10" s="12"/>
      <c r="SWE10" s="12"/>
      <c r="SWF10" s="12"/>
      <c r="SWW10" s="12"/>
      <c r="SWX10" s="12"/>
      <c r="SXO10" s="12"/>
      <c r="SXP10" s="12"/>
      <c r="SYG10" s="12"/>
      <c r="SYH10" s="12"/>
      <c r="SYY10" s="12"/>
      <c r="SYZ10" s="12"/>
      <c r="SZQ10" s="12"/>
      <c r="SZR10" s="12"/>
      <c r="TAI10" s="12"/>
      <c r="TAJ10" s="12"/>
      <c r="TBA10" s="12"/>
      <c r="TBB10" s="12"/>
      <c r="TBS10" s="12"/>
      <c r="TBT10" s="12"/>
      <c r="TCK10" s="12"/>
      <c r="TCL10" s="12"/>
      <c r="TDC10" s="12"/>
      <c r="TDD10" s="12"/>
      <c r="TDU10" s="12"/>
      <c r="TDV10" s="12"/>
      <c r="TEM10" s="12"/>
      <c r="TEN10" s="12"/>
      <c r="TFE10" s="12"/>
      <c r="TFF10" s="12"/>
      <c r="TFW10" s="12"/>
      <c r="TFX10" s="12"/>
      <c r="TGO10" s="12"/>
      <c r="TGP10" s="12"/>
      <c r="THG10" s="12"/>
      <c r="THH10" s="12"/>
      <c r="THY10" s="12"/>
      <c r="THZ10" s="12"/>
      <c r="TIQ10" s="12"/>
      <c r="TIR10" s="12"/>
      <c r="TJI10" s="12"/>
      <c r="TJJ10" s="12"/>
      <c r="TKA10" s="12"/>
      <c r="TKB10" s="12"/>
      <c r="TKS10" s="12"/>
      <c r="TKT10" s="12"/>
      <c r="TLK10" s="12"/>
      <c r="TLL10" s="12"/>
      <c r="TMC10" s="12"/>
      <c r="TMD10" s="12"/>
      <c r="TMU10" s="12"/>
      <c r="TMV10" s="12"/>
      <c r="TNM10" s="12"/>
      <c r="TNN10" s="12"/>
      <c r="TOE10" s="12"/>
      <c r="TOF10" s="12"/>
      <c r="TOW10" s="12"/>
      <c r="TOX10" s="12"/>
      <c r="TPO10" s="12"/>
      <c r="TPP10" s="12"/>
      <c r="TQG10" s="12"/>
      <c r="TQH10" s="12"/>
      <c r="TQY10" s="12"/>
      <c r="TQZ10" s="12"/>
      <c r="TRQ10" s="12"/>
      <c r="TRR10" s="12"/>
      <c r="TSI10" s="12"/>
      <c r="TSJ10" s="12"/>
      <c r="TTA10" s="12"/>
      <c r="TTB10" s="12"/>
      <c r="TTS10" s="12"/>
      <c r="TTT10" s="12"/>
      <c r="TUK10" s="12"/>
      <c r="TUL10" s="12"/>
      <c r="TVC10" s="12"/>
      <c r="TVD10" s="12"/>
      <c r="TVU10" s="12"/>
      <c r="TVV10" s="12"/>
      <c r="TWM10" s="12"/>
      <c r="TWN10" s="12"/>
      <c r="TXE10" s="12"/>
      <c r="TXF10" s="12"/>
      <c r="TXW10" s="12"/>
      <c r="TXX10" s="12"/>
      <c r="TYO10" s="12"/>
      <c r="TYP10" s="12"/>
      <c r="TZG10" s="12"/>
      <c r="TZH10" s="12"/>
      <c r="TZY10" s="12"/>
      <c r="TZZ10" s="12"/>
      <c r="UAQ10" s="12"/>
      <c r="UAR10" s="12"/>
      <c r="UBI10" s="12"/>
      <c r="UBJ10" s="12"/>
      <c r="UCA10" s="12"/>
      <c r="UCB10" s="12"/>
      <c r="UCS10" s="12"/>
      <c r="UCT10" s="12"/>
      <c r="UDK10" s="12"/>
      <c r="UDL10" s="12"/>
      <c r="UEC10" s="12"/>
      <c r="UED10" s="12"/>
      <c r="UEU10" s="12"/>
      <c r="UEV10" s="12"/>
      <c r="UFM10" s="12"/>
      <c r="UFN10" s="12"/>
      <c r="UGE10" s="12"/>
      <c r="UGF10" s="12"/>
      <c r="UGW10" s="12"/>
      <c r="UGX10" s="12"/>
      <c r="UHO10" s="12"/>
      <c r="UHP10" s="12"/>
      <c r="UIG10" s="12"/>
      <c r="UIH10" s="12"/>
      <c r="UIY10" s="12"/>
      <c r="UIZ10" s="12"/>
      <c r="UJQ10" s="12"/>
      <c r="UJR10" s="12"/>
      <c r="UKI10" s="12"/>
      <c r="UKJ10" s="12"/>
      <c r="ULA10" s="12"/>
      <c r="ULB10" s="12"/>
      <c r="ULS10" s="12"/>
      <c r="ULT10" s="12"/>
      <c r="UMK10" s="12"/>
      <c r="UML10" s="12"/>
      <c r="UNC10" s="12"/>
      <c r="UND10" s="12"/>
      <c r="UNU10" s="12"/>
      <c r="UNV10" s="12"/>
      <c r="UOM10" s="12"/>
      <c r="UON10" s="12"/>
      <c r="UPE10" s="12"/>
      <c r="UPF10" s="12"/>
      <c r="UPW10" s="12"/>
      <c r="UPX10" s="12"/>
      <c r="UQO10" s="12"/>
      <c r="UQP10" s="12"/>
      <c r="URG10" s="12"/>
      <c r="URH10" s="12"/>
      <c r="URY10" s="12"/>
      <c r="URZ10" s="12"/>
      <c r="USQ10" s="12"/>
      <c r="USR10" s="12"/>
      <c r="UTI10" s="12"/>
      <c r="UTJ10" s="12"/>
      <c r="UUA10" s="12"/>
      <c r="UUB10" s="12"/>
      <c r="UUS10" s="12"/>
      <c r="UUT10" s="12"/>
      <c r="UVK10" s="12"/>
      <c r="UVL10" s="12"/>
      <c r="UWC10" s="12"/>
      <c r="UWD10" s="12"/>
      <c r="UWU10" s="12"/>
      <c r="UWV10" s="12"/>
      <c r="UXM10" s="12"/>
      <c r="UXN10" s="12"/>
      <c r="UYE10" s="12"/>
      <c r="UYF10" s="12"/>
      <c r="UYW10" s="12"/>
      <c r="UYX10" s="12"/>
      <c r="UZO10" s="12"/>
      <c r="UZP10" s="12"/>
      <c r="VAG10" s="12"/>
      <c r="VAH10" s="12"/>
      <c r="VAY10" s="12"/>
      <c r="VAZ10" s="12"/>
      <c r="VBQ10" s="12"/>
      <c r="VBR10" s="12"/>
      <c r="VCI10" s="12"/>
      <c r="VCJ10" s="12"/>
      <c r="VDA10" s="12"/>
      <c r="VDB10" s="12"/>
      <c r="VDS10" s="12"/>
      <c r="VDT10" s="12"/>
      <c r="VEK10" s="12"/>
      <c r="VEL10" s="12"/>
      <c r="VFC10" s="12"/>
      <c r="VFD10" s="12"/>
      <c r="VFU10" s="12"/>
      <c r="VFV10" s="12"/>
      <c r="VGM10" s="12"/>
      <c r="VGN10" s="12"/>
      <c r="VHE10" s="12"/>
      <c r="VHF10" s="12"/>
      <c r="VHW10" s="12"/>
      <c r="VHX10" s="12"/>
      <c r="VIO10" s="12"/>
      <c r="VIP10" s="12"/>
      <c r="VJG10" s="12"/>
      <c r="VJH10" s="12"/>
      <c r="VJY10" s="12"/>
      <c r="VJZ10" s="12"/>
      <c r="VKQ10" s="12"/>
      <c r="VKR10" s="12"/>
      <c r="VLI10" s="12"/>
      <c r="VLJ10" s="12"/>
      <c r="VMA10" s="12"/>
      <c r="VMB10" s="12"/>
      <c r="VMS10" s="12"/>
      <c r="VMT10" s="12"/>
      <c r="VNK10" s="12"/>
      <c r="VNL10" s="12"/>
      <c r="VOC10" s="12"/>
      <c r="VOD10" s="12"/>
      <c r="VOU10" s="12"/>
      <c r="VOV10" s="12"/>
      <c r="VPM10" s="12"/>
      <c r="VPN10" s="12"/>
      <c r="VQE10" s="12"/>
      <c r="VQF10" s="12"/>
      <c r="VQW10" s="12"/>
      <c r="VQX10" s="12"/>
      <c r="VRO10" s="12"/>
      <c r="VRP10" s="12"/>
      <c r="VSG10" s="12"/>
      <c r="VSH10" s="12"/>
      <c r="VSY10" s="12"/>
      <c r="VSZ10" s="12"/>
      <c r="VTQ10" s="12"/>
      <c r="VTR10" s="12"/>
      <c r="VUI10" s="12"/>
      <c r="VUJ10" s="12"/>
      <c r="VVA10" s="12"/>
      <c r="VVB10" s="12"/>
      <c r="VVS10" s="12"/>
      <c r="VVT10" s="12"/>
      <c r="VWK10" s="12"/>
      <c r="VWL10" s="12"/>
      <c r="VXC10" s="12"/>
      <c r="VXD10" s="12"/>
      <c r="VXU10" s="12"/>
      <c r="VXV10" s="12"/>
      <c r="VYM10" s="12"/>
      <c r="VYN10" s="12"/>
      <c r="VZE10" s="12"/>
      <c r="VZF10" s="12"/>
      <c r="VZW10" s="12"/>
      <c r="VZX10" s="12"/>
      <c r="WAO10" s="12"/>
      <c r="WAP10" s="12"/>
      <c r="WBG10" s="12"/>
      <c r="WBH10" s="12"/>
      <c r="WBY10" s="12"/>
      <c r="WBZ10" s="12"/>
      <c r="WCQ10" s="12"/>
      <c r="WCR10" s="12"/>
      <c r="WDI10" s="12"/>
      <c r="WDJ10" s="12"/>
      <c r="WEA10" s="12"/>
      <c r="WEB10" s="12"/>
      <c r="WES10" s="12"/>
      <c r="WET10" s="12"/>
      <c r="WFK10" s="12"/>
      <c r="WFL10" s="12"/>
      <c r="WGC10" s="12"/>
      <c r="WGD10" s="12"/>
      <c r="WGU10" s="12"/>
      <c r="WGV10" s="12"/>
      <c r="WHM10" s="12"/>
      <c r="WHN10" s="12"/>
      <c r="WIE10" s="12"/>
      <c r="WIF10" s="12"/>
      <c r="WIW10" s="12"/>
      <c r="WIX10" s="12"/>
      <c r="WJO10" s="12"/>
      <c r="WJP10" s="12"/>
      <c r="WKG10" s="12"/>
      <c r="WKH10" s="12"/>
      <c r="WKY10" s="12"/>
      <c r="WKZ10" s="12"/>
      <c r="WLQ10" s="12"/>
      <c r="WLR10" s="12"/>
      <c r="WMI10" s="12"/>
      <c r="WMJ10" s="12"/>
      <c r="WNA10" s="12"/>
      <c r="WNB10" s="12"/>
      <c r="WNS10" s="12"/>
      <c r="WNT10" s="12"/>
      <c r="WOK10" s="12"/>
      <c r="WOL10" s="12"/>
      <c r="WPC10" s="12"/>
      <c r="WPD10" s="12"/>
      <c r="WPU10" s="12"/>
      <c r="WPV10" s="12"/>
      <c r="WQM10" s="12"/>
      <c r="WQN10" s="12"/>
      <c r="WRE10" s="12"/>
      <c r="WRF10" s="12"/>
      <c r="WRW10" s="12"/>
      <c r="WRX10" s="12"/>
      <c r="WSO10" s="12"/>
      <c r="WSP10" s="12"/>
      <c r="WTG10" s="12"/>
      <c r="WTH10" s="12"/>
      <c r="WTY10" s="12"/>
      <c r="WTZ10" s="12"/>
      <c r="WUQ10" s="12"/>
      <c r="WUR10" s="12"/>
      <c r="WVI10" s="12"/>
      <c r="WVJ10" s="12"/>
      <c r="WWA10" s="12"/>
      <c r="WWB10" s="12"/>
      <c r="WWS10" s="12"/>
      <c r="WWT10" s="12"/>
      <c r="WXK10" s="12"/>
      <c r="WXL10" s="12"/>
      <c r="WYC10" s="12"/>
      <c r="WYD10" s="12"/>
      <c r="WYU10" s="12"/>
      <c r="WYV10" s="12"/>
      <c r="WZM10" s="12"/>
      <c r="WZN10" s="12"/>
      <c r="XAE10" s="12"/>
      <c r="XAF10" s="12"/>
      <c r="XAW10" s="12"/>
      <c r="XAX10" s="12"/>
      <c r="XBO10" s="12"/>
      <c r="XBP10" s="12"/>
      <c r="XCG10" s="12"/>
      <c r="XCH10" s="12"/>
      <c r="XCY10" s="12"/>
      <c r="XCZ10" s="12"/>
      <c r="XDQ10" s="12"/>
      <c r="XDR10" s="12"/>
      <c r="XEI10" s="12"/>
      <c r="XEJ10" s="12"/>
      <c r="XFA10" s="12"/>
      <c r="XFB10" s="12"/>
    </row>
    <row r="11" spans="1:1010 1027:2036 2053:3062 3079:4088 4105:5114 5131:6140 6157:7166 7183:8192 8209:9200 9217:10226 10243:11252 11269:12278 12295:13304 13321:14330 14347:15356 15373:16382" x14ac:dyDescent="0.35">
      <c r="A11" s="181" t="str">
        <f>'Balance Sheet - Standardized'!A11</f>
        <v xml:space="preserve">    + Cash &amp; Cash Equivalents</v>
      </c>
      <c r="B11" s="13" t="str">
        <f>'Balance Sheet - Standardized'!B11</f>
        <v>BS_CASH_NEAR_CASH_ITEM</v>
      </c>
      <c r="C11" s="77">
        <f>IF('Balance Sheet - Standardized'!C11="",0,'Balance Sheet - Standardized'!C11)/'Balance Sheet - Standardized'!C$61</f>
        <v>0.20767771248064162</v>
      </c>
      <c r="D11" s="77">
        <f>IF('Balance Sheet - Standardized'!D11="",0,'Balance Sheet - Standardized'!D11)/'Balance Sheet - Standardized'!D$61</f>
        <v>0.24034053182407439</v>
      </c>
      <c r="E11" s="77">
        <f>IF('Balance Sheet - Standardized'!E11="",0,'Balance Sheet - Standardized'!E11)/'Balance Sheet - Standardized'!E$61</f>
        <v>0.32140943836755587</v>
      </c>
      <c r="F11" s="77">
        <f>IF('Balance Sheet - Standardized'!F11="",0,'Balance Sheet - Standardized'!F11)/'Balance Sheet - Standardized'!F$61</f>
        <v>0.25424833204747416</v>
      </c>
      <c r="G11" s="77">
        <f>IF('Balance Sheet - Standardized'!G11="",0,'Balance Sheet - Standardized'!G11)/'Balance Sheet - Standardized'!G$61</f>
        <v>0.21279135394355386</v>
      </c>
      <c r="H11" s="77">
        <f>IF('Balance Sheet - Standardized'!H11="",0,'Balance Sheet - Standardized'!H11)/'Balance Sheet - Standardized'!H$61</f>
        <v>0.19948209703618261</v>
      </c>
      <c r="I11" s="77">
        <f>IF('Balance Sheet - Standardized'!I11="",0,'Balance Sheet - Standardized'!I11)/'Balance Sheet - Standardized'!I$61</f>
        <v>0.14781897775707695</v>
      </c>
      <c r="J11" s="77">
        <f>IF('Balance Sheet - Standardized'!J11="",0,'Balance Sheet - Standardized'!J11)/'Balance Sheet - Standardized'!J$61</f>
        <v>0.21558753319207147</v>
      </c>
      <c r="K11" s="77">
        <f>IF('Balance Sheet - Standardized'!K11="",0,'Balance Sheet - Standardized'!K11)/'Balance Sheet - Standardized'!K$61</f>
        <v>0.25107993349398605</v>
      </c>
      <c r="L11" s="77">
        <f>IF('Balance Sheet - Standardized'!L11="",0,'Balance Sheet - Standardized'!L11)/'Balance Sheet - Standardized'!L$61</f>
        <v>0.29800698352591942</v>
      </c>
      <c r="M11" s="106"/>
      <c r="N11" s="106"/>
      <c r="O11" s="106"/>
      <c r="P11" s="106"/>
      <c r="Q11" s="106"/>
      <c r="R11" s="106"/>
      <c r="S11" s="74"/>
      <c r="T11" s="78"/>
      <c r="U11" s="78"/>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row>
    <row r="12" spans="1:1010 1027:2036 2053:3062 3079:4088 4105:5114 5131:6140 6157:7166 7183:8192 8209:9200 9217:10226 10243:11252 11269:12278 12295:13304 13321:14330 14347:15356 15373:16382" x14ac:dyDescent="0.35">
      <c r="A12" s="181" t="str">
        <f>'Balance Sheet - Standardized'!A12</f>
        <v xml:space="preserve">    + ST Investments</v>
      </c>
      <c r="B12" s="13" t="str">
        <f>'Balance Sheet - Standardized'!B12</f>
        <v>BS_MKT_SEC_OTHER_ST_INVEST</v>
      </c>
      <c r="C12" s="77">
        <f>IF('Balance Sheet - Standardized'!C12="",0,'Balance Sheet - Standardized'!C12)/'Balance Sheet - Standardized'!C$61</f>
        <v>0</v>
      </c>
      <c r="D12" s="77">
        <f>IF('Balance Sheet - Standardized'!D12="",0,'Balance Sheet - Standardized'!D12)/'Balance Sheet - Standardized'!D$61</f>
        <v>0</v>
      </c>
      <c r="E12" s="77">
        <f>IF('Balance Sheet - Standardized'!E12="",0,'Balance Sheet - Standardized'!E12)/'Balance Sheet - Standardized'!E$61</f>
        <v>0</v>
      </c>
      <c r="F12" s="77">
        <f>IF('Balance Sheet - Standardized'!F12="",0,'Balance Sheet - Standardized'!F12)/'Balance Sheet - Standardized'!F$61</f>
        <v>0</v>
      </c>
      <c r="G12" s="77">
        <f>IF('Balance Sheet - Standardized'!G12="",0,'Balance Sheet - Standardized'!G12)/'Balance Sheet - Standardized'!G$61</f>
        <v>3.4198266161401938E-2</v>
      </c>
      <c r="H12" s="77">
        <f>IF('Balance Sheet - Standardized'!H12="",0,'Balance Sheet - Standardized'!H12)/'Balance Sheet - Standardized'!H$61</f>
        <v>3.076657485659581E-2</v>
      </c>
      <c r="I12" s="77">
        <f>IF('Balance Sheet - Standardized'!I12="",0,'Balance Sheet - Standardized'!I12)/'Balance Sheet - Standardized'!I$61</f>
        <v>1.6126013680375657E-2</v>
      </c>
      <c r="J12" s="77">
        <f>IF('Balance Sheet - Standardized'!J12="",0,'Balance Sheet - Standardized'!J12)/'Balance Sheet - Standardized'!J$61</f>
        <v>7.4511171311321522E-3</v>
      </c>
      <c r="K12" s="77">
        <f>IF('Balance Sheet - Standardized'!K12="",0,'Balance Sheet - Standardized'!K12)/'Balance Sheet - Standardized'!K$61</f>
        <v>0</v>
      </c>
      <c r="L12" s="77">
        <f>IF('Balance Sheet - Standardized'!L12="",0,'Balance Sheet - Standardized'!L12)/'Balance Sheet - Standardized'!L$61</f>
        <v>0</v>
      </c>
      <c r="M12" s="106"/>
      <c r="N12" s="106"/>
      <c r="O12" s="106"/>
      <c r="P12" s="106"/>
      <c r="Q12" s="106"/>
      <c r="R12" s="106"/>
      <c r="S12" s="74"/>
      <c r="T12" s="78"/>
      <c r="U12" s="78"/>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row>
    <row r="13" spans="1:1010 1027:2036 2053:3062 3079:4088 4105:5114 5131:6140 6157:7166 7183:8192 8209:9200 9217:10226 10243:11252 11269:12278 12295:13304 13321:14330 14347:15356 15373:16382" x14ac:dyDescent="0.35">
      <c r="A13" s="23" t="str">
        <f>'Balance Sheet - Standardized'!A13</f>
        <v>check</v>
      </c>
      <c r="B13" s="23"/>
      <c r="C13" s="79"/>
      <c r="D13" s="79"/>
      <c r="E13" s="79"/>
      <c r="F13" s="79"/>
      <c r="G13" s="79"/>
      <c r="H13" s="79"/>
      <c r="I13" s="79"/>
      <c r="J13" s="79"/>
      <c r="K13" s="79"/>
      <c r="L13" s="79"/>
      <c r="M13" s="144"/>
      <c r="N13" s="144"/>
      <c r="O13" s="144"/>
      <c r="P13" s="144"/>
      <c r="Q13" s="144"/>
      <c r="R13" s="144"/>
      <c r="S13" s="74"/>
      <c r="T13" s="78"/>
      <c r="U13" s="78"/>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row>
    <row r="14" spans="1:1010 1027:2036 2053:3062 3079:4088 4105:5114 5131:6140 6157:7166 7183:8192 8209:9200 9217:10226 10243:11252 11269:12278 12295:13304 13321:14330 14347:15356 15373:16382" s="11" customFormat="1" x14ac:dyDescent="0.35">
      <c r="A14" s="183" t="str">
        <f>'Balance Sheet - Standardized'!A14</f>
        <v xml:space="preserve">  + Accounts &amp; Notes Receiv</v>
      </c>
      <c r="B14" s="75" t="str">
        <f>'Balance Sheet - Standardized'!B14</f>
        <v>BS_ACCT_NOTE_RCV</v>
      </c>
      <c r="C14" s="76">
        <f>IF('Balance Sheet - Standardized'!C14="",0,'Balance Sheet - Standardized'!C14)/'Balance Sheet - Standardized'!C$61</f>
        <v>0.16534875849973849</v>
      </c>
      <c r="D14" s="76">
        <f>IF('Balance Sheet - Standardized'!D14="",0,'Balance Sheet - Standardized'!D14)/'Balance Sheet - Standardized'!D$61</f>
        <v>0.14593938723242797</v>
      </c>
      <c r="E14" s="76">
        <f>IF('Balance Sheet - Standardized'!E14="",0,'Balance Sheet - Standardized'!E14)/'Balance Sheet - Standardized'!E$61</f>
        <v>0.13814327064542956</v>
      </c>
      <c r="F14" s="76">
        <f>IF('Balance Sheet - Standardized'!F14="",0,'Balance Sheet - Standardized'!F14)/'Balance Sheet - Standardized'!F$61</f>
        <v>0.15100716749881074</v>
      </c>
      <c r="G14" s="76">
        <f>IF('Balance Sheet - Standardized'!G14="",0,'Balance Sheet - Standardized'!G14)/'Balance Sheet - Standardized'!G$61</f>
        <v>0.1482912259914535</v>
      </c>
      <c r="H14" s="76">
        <f>IF('Balance Sheet - Standardized'!H14="",0,'Balance Sheet - Standardized'!H14)/'Balance Sheet - Standardized'!H$61</f>
        <v>0.14691023799995293</v>
      </c>
      <c r="I14" s="76">
        <f>IF('Balance Sheet - Standardized'!I14="",0,'Balance Sheet - Standardized'!I14)/'Balance Sheet - Standardized'!I$61</f>
        <v>0.19446903059580412</v>
      </c>
      <c r="J14" s="76">
        <f>IF('Balance Sheet - Standardized'!J14="",0,'Balance Sheet - Standardized'!J14)/'Balance Sheet - Standardized'!J$61</f>
        <v>0.19415551323659577</v>
      </c>
      <c r="K14" s="76">
        <f>IF('Balance Sheet - Standardized'!K14="",0,'Balance Sheet - Standardized'!K14)/'Balance Sheet - Standardized'!K$61</f>
        <v>0.15337554851676857</v>
      </c>
      <c r="L14" s="76">
        <f>IF('Balance Sheet - Standardized'!L14="",0,'Balance Sheet - Standardized'!L14)/'Balance Sheet - Standardized'!L$61</f>
        <v>0.13442217031620909</v>
      </c>
      <c r="M14" s="106"/>
      <c r="N14" s="106"/>
      <c r="O14" s="106"/>
      <c r="P14" s="106"/>
      <c r="Q14" s="106"/>
      <c r="R14" s="106"/>
      <c r="S14" s="78"/>
      <c r="T14" s="78"/>
      <c r="U14" s="106"/>
      <c r="V14" s="106"/>
      <c r="W14" s="106"/>
      <c r="X14" s="106"/>
      <c r="Y14" s="106"/>
      <c r="Z14" s="106"/>
      <c r="AA14" s="106"/>
      <c r="AB14" s="106"/>
      <c r="AC14" s="106"/>
      <c r="AD14" s="106"/>
      <c r="AE14" s="106"/>
      <c r="AF14" s="106"/>
      <c r="AG14" s="106"/>
      <c r="AH14" s="106"/>
      <c r="AI14" s="106"/>
      <c r="AJ14" s="106"/>
      <c r="AK14" s="78"/>
      <c r="AL14" s="78"/>
      <c r="AM14" s="106"/>
      <c r="AN14" s="106"/>
      <c r="AO14" s="106"/>
      <c r="AP14" s="106"/>
      <c r="AQ14" s="106"/>
      <c r="AR14" s="106"/>
      <c r="AS14" s="106"/>
      <c r="AT14" s="106"/>
      <c r="AU14" s="106"/>
      <c r="AV14" s="106"/>
      <c r="AW14" s="106"/>
      <c r="AX14" s="106"/>
      <c r="AY14" s="106"/>
      <c r="AZ14" s="106"/>
      <c r="BA14" s="106"/>
      <c r="BB14" s="106"/>
      <c r="BC14" s="78"/>
      <c r="BD14" s="78"/>
      <c r="BE14" s="106"/>
      <c r="BF14" s="106"/>
      <c r="BG14" s="106"/>
      <c r="BH14" s="106"/>
      <c r="BI14" s="106"/>
      <c r="BJ14" s="106"/>
      <c r="BU14" s="12"/>
      <c r="BV14" s="12"/>
      <c r="CM14" s="12"/>
      <c r="CN14" s="12"/>
      <c r="DE14" s="12"/>
      <c r="DF14" s="12"/>
      <c r="DW14" s="12"/>
      <c r="DX14" s="12"/>
      <c r="EO14" s="12"/>
      <c r="EP14" s="12"/>
      <c r="FG14" s="12"/>
      <c r="FH14" s="12"/>
      <c r="FY14" s="12"/>
      <c r="FZ14" s="12"/>
      <c r="GQ14" s="12"/>
      <c r="GR14" s="12"/>
      <c r="HI14" s="12"/>
      <c r="HJ14" s="12"/>
      <c r="IA14" s="12"/>
      <c r="IB14" s="12"/>
      <c r="IS14" s="12"/>
      <c r="IT14" s="12"/>
      <c r="JK14" s="12"/>
      <c r="JL14" s="12"/>
      <c r="KC14" s="12"/>
      <c r="KD14" s="12"/>
      <c r="KU14" s="12"/>
      <c r="KV14" s="12"/>
      <c r="LM14" s="12"/>
      <c r="LN14" s="12"/>
      <c r="ME14" s="12"/>
      <c r="MF14" s="12"/>
      <c r="MW14" s="12"/>
      <c r="MX14" s="12"/>
      <c r="NO14" s="12"/>
      <c r="NP14" s="12"/>
      <c r="OG14" s="12"/>
      <c r="OH14" s="12"/>
      <c r="OY14" s="12"/>
      <c r="OZ14" s="12"/>
      <c r="PQ14" s="12"/>
      <c r="PR14" s="12"/>
      <c r="QI14" s="12"/>
      <c r="QJ14" s="12"/>
      <c r="RA14" s="12"/>
      <c r="RB14" s="12"/>
      <c r="RS14" s="12"/>
      <c r="RT14" s="12"/>
      <c r="SK14" s="12"/>
      <c r="SL14" s="12"/>
      <c r="TC14" s="12"/>
      <c r="TD14" s="12"/>
      <c r="TU14" s="12"/>
      <c r="TV14" s="12"/>
      <c r="UM14" s="12"/>
      <c r="UN14" s="12"/>
      <c r="VE14" s="12"/>
      <c r="VF14" s="12"/>
      <c r="VW14" s="12"/>
      <c r="VX14" s="12"/>
      <c r="WO14" s="12"/>
      <c r="WP14" s="12"/>
      <c r="XG14" s="12"/>
      <c r="XH14" s="12"/>
      <c r="XY14" s="12"/>
      <c r="XZ14" s="12"/>
      <c r="YQ14" s="12"/>
      <c r="YR14" s="12"/>
      <c r="ZI14" s="12"/>
      <c r="ZJ14" s="12"/>
      <c r="AAA14" s="12"/>
      <c r="AAB14" s="12"/>
      <c r="AAS14" s="12"/>
      <c r="AAT14" s="12"/>
      <c r="ABK14" s="12"/>
      <c r="ABL14" s="12"/>
      <c r="ACC14" s="12"/>
      <c r="ACD14" s="12"/>
      <c r="ACU14" s="12"/>
      <c r="ACV14" s="12"/>
      <c r="ADM14" s="12"/>
      <c r="ADN14" s="12"/>
      <c r="AEE14" s="12"/>
      <c r="AEF14" s="12"/>
      <c r="AEW14" s="12"/>
      <c r="AEX14" s="12"/>
      <c r="AFO14" s="12"/>
      <c r="AFP14" s="12"/>
      <c r="AGG14" s="12"/>
      <c r="AGH14" s="12"/>
      <c r="AGY14" s="12"/>
      <c r="AGZ14" s="12"/>
      <c r="AHQ14" s="12"/>
      <c r="AHR14" s="12"/>
      <c r="AII14" s="12"/>
      <c r="AIJ14" s="12"/>
      <c r="AJA14" s="12"/>
      <c r="AJB14" s="12"/>
      <c r="AJS14" s="12"/>
      <c r="AJT14" s="12"/>
      <c r="AKK14" s="12"/>
      <c r="AKL14" s="12"/>
      <c r="ALC14" s="12"/>
      <c r="ALD14" s="12"/>
      <c r="ALU14" s="12"/>
      <c r="ALV14" s="12"/>
      <c r="AMM14" s="12"/>
      <c r="AMN14" s="12"/>
      <c r="ANE14" s="12"/>
      <c r="ANF14" s="12"/>
      <c r="ANW14" s="12"/>
      <c r="ANX14" s="12"/>
      <c r="AOO14" s="12"/>
      <c r="AOP14" s="12"/>
      <c r="APG14" s="12"/>
      <c r="APH14" s="12"/>
      <c r="APY14" s="12"/>
      <c r="APZ14" s="12"/>
      <c r="AQQ14" s="12"/>
      <c r="AQR14" s="12"/>
      <c r="ARI14" s="12"/>
      <c r="ARJ14" s="12"/>
      <c r="ASA14" s="12"/>
      <c r="ASB14" s="12"/>
      <c r="ASS14" s="12"/>
      <c r="AST14" s="12"/>
      <c r="ATK14" s="12"/>
      <c r="ATL14" s="12"/>
      <c r="AUC14" s="12"/>
      <c r="AUD14" s="12"/>
      <c r="AUU14" s="12"/>
      <c r="AUV14" s="12"/>
      <c r="AVM14" s="12"/>
      <c r="AVN14" s="12"/>
      <c r="AWE14" s="12"/>
      <c r="AWF14" s="12"/>
      <c r="AWW14" s="12"/>
      <c r="AWX14" s="12"/>
      <c r="AXO14" s="12"/>
      <c r="AXP14" s="12"/>
      <c r="AYG14" s="12"/>
      <c r="AYH14" s="12"/>
      <c r="AYY14" s="12"/>
      <c r="AYZ14" s="12"/>
      <c r="AZQ14" s="12"/>
      <c r="AZR14" s="12"/>
      <c r="BAI14" s="12"/>
      <c r="BAJ14" s="12"/>
      <c r="BBA14" s="12"/>
      <c r="BBB14" s="12"/>
      <c r="BBS14" s="12"/>
      <c r="BBT14" s="12"/>
      <c r="BCK14" s="12"/>
      <c r="BCL14" s="12"/>
      <c r="BDC14" s="12"/>
      <c r="BDD14" s="12"/>
      <c r="BDU14" s="12"/>
      <c r="BDV14" s="12"/>
      <c r="BEM14" s="12"/>
      <c r="BEN14" s="12"/>
      <c r="BFE14" s="12"/>
      <c r="BFF14" s="12"/>
      <c r="BFW14" s="12"/>
      <c r="BFX14" s="12"/>
      <c r="BGO14" s="12"/>
      <c r="BGP14" s="12"/>
      <c r="BHG14" s="12"/>
      <c r="BHH14" s="12"/>
      <c r="BHY14" s="12"/>
      <c r="BHZ14" s="12"/>
      <c r="BIQ14" s="12"/>
      <c r="BIR14" s="12"/>
      <c r="BJI14" s="12"/>
      <c r="BJJ14" s="12"/>
      <c r="BKA14" s="12"/>
      <c r="BKB14" s="12"/>
      <c r="BKS14" s="12"/>
      <c r="BKT14" s="12"/>
      <c r="BLK14" s="12"/>
      <c r="BLL14" s="12"/>
      <c r="BMC14" s="12"/>
      <c r="BMD14" s="12"/>
      <c r="BMU14" s="12"/>
      <c r="BMV14" s="12"/>
      <c r="BNM14" s="12"/>
      <c r="BNN14" s="12"/>
      <c r="BOE14" s="12"/>
      <c r="BOF14" s="12"/>
      <c r="BOW14" s="12"/>
      <c r="BOX14" s="12"/>
      <c r="BPO14" s="12"/>
      <c r="BPP14" s="12"/>
      <c r="BQG14" s="12"/>
      <c r="BQH14" s="12"/>
      <c r="BQY14" s="12"/>
      <c r="BQZ14" s="12"/>
      <c r="BRQ14" s="12"/>
      <c r="BRR14" s="12"/>
      <c r="BSI14" s="12"/>
      <c r="BSJ14" s="12"/>
      <c r="BTA14" s="12"/>
      <c r="BTB14" s="12"/>
      <c r="BTS14" s="12"/>
      <c r="BTT14" s="12"/>
      <c r="BUK14" s="12"/>
      <c r="BUL14" s="12"/>
      <c r="BVC14" s="12"/>
      <c r="BVD14" s="12"/>
      <c r="BVU14" s="12"/>
      <c r="BVV14" s="12"/>
      <c r="BWM14" s="12"/>
      <c r="BWN14" s="12"/>
      <c r="BXE14" s="12"/>
      <c r="BXF14" s="12"/>
      <c r="BXW14" s="12"/>
      <c r="BXX14" s="12"/>
      <c r="BYO14" s="12"/>
      <c r="BYP14" s="12"/>
      <c r="BZG14" s="12"/>
      <c r="BZH14" s="12"/>
      <c r="BZY14" s="12"/>
      <c r="BZZ14" s="12"/>
      <c r="CAQ14" s="12"/>
      <c r="CAR14" s="12"/>
      <c r="CBI14" s="12"/>
      <c r="CBJ14" s="12"/>
      <c r="CCA14" s="12"/>
      <c r="CCB14" s="12"/>
      <c r="CCS14" s="12"/>
      <c r="CCT14" s="12"/>
      <c r="CDK14" s="12"/>
      <c r="CDL14" s="12"/>
      <c r="CEC14" s="12"/>
      <c r="CED14" s="12"/>
      <c r="CEU14" s="12"/>
      <c r="CEV14" s="12"/>
      <c r="CFM14" s="12"/>
      <c r="CFN14" s="12"/>
      <c r="CGE14" s="12"/>
      <c r="CGF14" s="12"/>
      <c r="CGW14" s="12"/>
      <c r="CGX14" s="12"/>
      <c r="CHO14" s="12"/>
      <c r="CHP14" s="12"/>
      <c r="CIG14" s="12"/>
      <c r="CIH14" s="12"/>
      <c r="CIY14" s="12"/>
      <c r="CIZ14" s="12"/>
      <c r="CJQ14" s="12"/>
      <c r="CJR14" s="12"/>
      <c r="CKI14" s="12"/>
      <c r="CKJ14" s="12"/>
      <c r="CLA14" s="12"/>
      <c r="CLB14" s="12"/>
      <c r="CLS14" s="12"/>
      <c r="CLT14" s="12"/>
      <c r="CMK14" s="12"/>
      <c r="CML14" s="12"/>
      <c r="CNC14" s="12"/>
      <c r="CND14" s="12"/>
      <c r="CNU14" s="12"/>
      <c r="CNV14" s="12"/>
      <c r="COM14" s="12"/>
      <c r="CON14" s="12"/>
      <c r="CPE14" s="12"/>
      <c r="CPF14" s="12"/>
      <c r="CPW14" s="12"/>
      <c r="CPX14" s="12"/>
      <c r="CQO14" s="12"/>
      <c r="CQP14" s="12"/>
      <c r="CRG14" s="12"/>
      <c r="CRH14" s="12"/>
      <c r="CRY14" s="12"/>
      <c r="CRZ14" s="12"/>
      <c r="CSQ14" s="12"/>
      <c r="CSR14" s="12"/>
      <c r="CTI14" s="12"/>
      <c r="CTJ14" s="12"/>
      <c r="CUA14" s="12"/>
      <c r="CUB14" s="12"/>
      <c r="CUS14" s="12"/>
      <c r="CUT14" s="12"/>
      <c r="CVK14" s="12"/>
      <c r="CVL14" s="12"/>
      <c r="CWC14" s="12"/>
      <c r="CWD14" s="12"/>
      <c r="CWU14" s="12"/>
      <c r="CWV14" s="12"/>
      <c r="CXM14" s="12"/>
      <c r="CXN14" s="12"/>
      <c r="CYE14" s="12"/>
      <c r="CYF14" s="12"/>
      <c r="CYW14" s="12"/>
      <c r="CYX14" s="12"/>
      <c r="CZO14" s="12"/>
      <c r="CZP14" s="12"/>
      <c r="DAG14" s="12"/>
      <c r="DAH14" s="12"/>
      <c r="DAY14" s="12"/>
      <c r="DAZ14" s="12"/>
      <c r="DBQ14" s="12"/>
      <c r="DBR14" s="12"/>
      <c r="DCI14" s="12"/>
      <c r="DCJ14" s="12"/>
      <c r="DDA14" s="12"/>
      <c r="DDB14" s="12"/>
      <c r="DDS14" s="12"/>
      <c r="DDT14" s="12"/>
      <c r="DEK14" s="12"/>
      <c r="DEL14" s="12"/>
      <c r="DFC14" s="12"/>
      <c r="DFD14" s="12"/>
      <c r="DFU14" s="12"/>
      <c r="DFV14" s="12"/>
      <c r="DGM14" s="12"/>
      <c r="DGN14" s="12"/>
      <c r="DHE14" s="12"/>
      <c r="DHF14" s="12"/>
      <c r="DHW14" s="12"/>
      <c r="DHX14" s="12"/>
      <c r="DIO14" s="12"/>
      <c r="DIP14" s="12"/>
      <c r="DJG14" s="12"/>
      <c r="DJH14" s="12"/>
      <c r="DJY14" s="12"/>
      <c r="DJZ14" s="12"/>
      <c r="DKQ14" s="12"/>
      <c r="DKR14" s="12"/>
      <c r="DLI14" s="12"/>
      <c r="DLJ14" s="12"/>
      <c r="DMA14" s="12"/>
      <c r="DMB14" s="12"/>
      <c r="DMS14" s="12"/>
      <c r="DMT14" s="12"/>
      <c r="DNK14" s="12"/>
      <c r="DNL14" s="12"/>
      <c r="DOC14" s="12"/>
      <c r="DOD14" s="12"/>
      <c r="DOU14" s="12"/>
      <c r="DOV14" s="12"/>
      <c r="DPM14" s="12"/>
      <c r="DPN14" s="12"/>
      <c r="DQE14" s="12"/>
      <c r="DQF14" s="12"/>
      <c r="DQW14" s="12"/>
      <c r="DQX14" s="12"/>
      <c r="DRO14" s="12"/>
      <c r="DRP14" s="12"/>
      <c r="DSG14" s="12"/>
      <c r="DSH14" s="12"/>
      <c r="DSY14" s="12"/>
      <c r="DSZ14" s="12"/>
      <c r="DTQ14" s="12"/>
      <c r="DTR14" s="12"/>
      <c r="DUI14" s="12"/>
      <c r="DUJ14" s="12"/>
      <c r="DVA14" s="12"/>
      <c r="DVB14" s="12"/>
      <c r="DVS14" s="12"/>
      <c r="DVT14" s="12"/>
      <c r="DWK14" s="12"/>
      <c r="DWL14" s="12"/>
      <c r="DXC14" s="12"/>
      <c r="DXD14" s="12"/>
      <c r="DXU14" s="12"/>
      <c r="DXV14" s="12"/>
      <c r="DYM14" s="12"/>
      <c r="DYN14" s="12"/>
      <c r="DZE14" s="12"/>
      <c r="DZF14" s="12"/>
      <c r="DZW14" s="12"/>
      <c r="DZX14" s="12"/>
      <c r="EAO14" s="12"/>
      <c r="EAP14" s="12"/>
      <c r="EBG14" s="12"/>
      <c r="EBH14" s="12"/>
      <c r="EBY14" s="12"/>
      <c r="EBZ14" s="12"/>
      <c r="ECQ14" s="12"/>
      <c r="ECR14" s="12"/>
      <c r="EDI14" s="12"/>
      <c r="EDJ14" s="12"/>
      <c r="EEA14" s="12"/>
      <c r="EEB14" s="12"/>
      <c r="EES14" s="12"/>
      <c r="EET14" s="12"/>
      <c r="EFK14" s="12"/>
      <c r="EFL14" s="12"/>
      <c r="EGC14" s="12"/>
      <c r="EGD14" s="12"/>
      <c r="EGU14" s="12"/>
      <c r="EGV14" s="12"/>
      <c r="EHM14" s="12"/>
      <c r="EHN14" s="12"/>
      <c r="EIE14" s="12"/>
      <c r="EIF14" s="12"/>
      <c r="EIW14" s="12"/>
      <c r="EIX14" s="12"/>
      <c r="EJO14" s="12"/>
      <c r="EJP14" s="12"/>
      <c r="EKG14" s="12"/>
      <c r="EKH14" s="12"/>
      <c r="EKY14" s="12"/>
      <c r="EKZ14" s="12"/>
      <c r="ELQ14" s="12"/>
      <c r="ELR14" s="12"/>
      <c r="EMI14" s="12"/>
      <c r="EMJ14" s="12"/>
      <c r="ENA14" s="12"/>
      <c r="ENB14" s="12"/>
      <c r="ENS14" s="12"/>
      <c r="ENT14" s="12"/>
      <c r="EOK14" s="12"/>
      <c r="EOL14" s="12"/>
      <c r="EPC14" s="12"/>
      <c r="EPD14" s="12"/>
      <c r="EPU14" s="12"/>
      <c r="EPV14" s="12"/>
      <c r="EQM14" s="12"/>
      <c r="EQN14" s="12"/>
      <c r="ERE14" s="12"/>
      <c r="ERF14" s="12"/>
      <c r="ERW14" s="12"/>
      <c r="ERX14" s="12"/>
      <c r="ESO14" s="12"/>
      <c r="ESP14" s="12"/>
      <c r="ETG14" s="12"/>
      <c r="ETH14" s="12"/>
      <c r="ETY14" s="12"/>
      <c r="ETZ14" s="12"/>
      <c r="EUQ14" s="12"/>
      <c r="EUR14" s="12"/>
      <c r="EVI14" s="12"/>
      <c r="EVJ14" s="12"/>
      <c r="EWA14" s="12"/>
      <c r="EWB14" s="12"/>
      <c r="EWS14" s="12"/>
      <c r="EWT14" s="12"/>
      <c r="EXK14" s="12"/>
      <c r="EXL14" s="12"/>
      <c r="EYC14" s="12"/>
      <c r="EYD14" s="12"/>
      <c r="EYU14" s="12"/>
      <c r="EYV14" s="12"/>
      <c r="EZM14" s="12"/>
      <c r="EZN14" s="12"/>
      <c r="FAE14" s="12"/>
      <c r="FAF14" s="12"/>
      <c r="FAW14" s="12"/>
      <c r="FAX14" s="12"/>
      <c r="FBO14" s="12"/>
      <c r="FBP14" s="12"/>
      <c r="FCG14" s="12"/>
      <c r="FCH14" s="12"/>
      <c r="FCY14" s="12"/>
      <c r="FCZ14" s="12"/>
      <c r="FDQ14" s="12"/>
      <c r="FDR14" s="12"/>
      <c r="FEI14" s="12"/>
      <c r="FEJ14" s="12"/>
      <c r="FFA14" s="12"/>
      <c r="FFB14" s="12"/>
      <c r="FFS14" s="12"/>
      <c r="FFT14" s="12"/>
      <c r="FGK14" s="12"/>
      <c r="FGL14" s="12"/>
      <c r="FHC14" s="12"/>
      <c r="FHD14" s="12"/>
      <c r="FHU14" s="12"/>
      <c r="FHV14" s="12"/>
      <c r="FIM14" s="12"/>
      <c r="FIN14" s="12"/>
      <c r="FJE14" s="12"/>
      <c r="FJF14" s="12"/>
      <c r="FJW14" s="12"/>
      <c r="FJX14" s="12"/>
      <c r="FKO14" s="12"/>
      <c r="FKP14" s="12"/>
      <c r="FLG14" s="12"/>
      <c r="FLH14" s="12"/>
      <c r="FLY14" s="12"/>
      <c r="FLZ14" s="12"/>
      <c r="FMQ14" s="12"/>
      <c r="FMR14" s="12"/>
      <c r="FNI14" s="12"/>
      <c r="FNJ14" s="12"/>
      <c r="FOA14" s="12"/>
      <c r="FOB14" s="12"/>
      <c r="FOS14" s="12"/>
      <c r="FOT14" s="12"/>
      <c r="FPK14" s="12"/>
      <c r="FPL14" s="12"/>
      <c r="FQC14" s="12"/>
      <c r="FQD14" s="12"/>
      <c r="FQU14" s="12"/>
      <c r="FQV14" s="12"/>
      <c r="FRM14" s="12"/>
      <c r="FRN14" s="12"/>
      <c r="FSE14" s="12"/>
      <c r="FSF14" s="12"/>
      <c r="FSW14" s="12"/>
      <c r="FSX14" s="12"/>
      <c r="FTO14" s="12"/>
      <c r="FTP14" s="12"/>
      <c r="FUG14" s="12"/>
      <c r="FUH14" s="12"/>
      <c r="FUY14" s="12"/>
      <c r="FUZ14" s="12"/>
      <c r="FVQ14" s="12"/>
      <c r="FVR14" s="12"/>
      <c r="FWI14" s="12"/>
      <c r="FWJ14" s="12"/>
      <c r="FXA14" s="12"/>
      <c r="FXB14" s="12"/>
      <c r="FXS14" s="12"/>
      <c r="FXT14" s="12"/>
      <c r="FYK14" s="12"/>
      <c r="FYL14" s="12"/>
      <c r="FZC14" s="12"/>
      <c r="FZD14" s="12"/>
      <c r="FZU14" s="12"/>
      <c r="FZV14" s="12"/>
      <c r="GAM14" s="12"/>
      <c r="GAN14" s="12"/>
      <c r="GBE14" s="12"/>
      <c r="GBF14" s="12"/>
      <c r="GBW14" s="12"/>
      <c r="GBX14" s="12"/>
      <c r="GCO14" s="12"/>
      <c r="GCP14" s="12"/>
      <c r="GDG14" s="12"/>
      <c r="GDH14" s="12"/>
      <c r="GDY14" s="12"/>
      <c r="GDZ14" s="12"/>
      <c r="GEQ14" s="12"/>
      <c r="GER14" s="12"/>
      <c r="GFI14" s="12"/>
      <c r="GFJ14" s="12"/>
      <c r="GGA14" s="12"/>
      <c r="GGB14" s="12"/>
      <c r="GGS14" s="12"/>
      <c r="GGT14" s="12"/>
      <c r="GHK14" s="12"/>
      <c r="GHL14" s="12"/>
      <c r="GIC14" s="12"/>
      <c r="GID14" s="12"/>
      <c r="GIU14" s="12"/>
      <c r="GIV14" s="12"/>
      <c r="GJM14" s="12"/>
      <c r="GJN14" s="12"/>
      <c r="GKE14" s="12"/>
      <c r="GKF14" s="12"/>
      <c r="GKW14" s="12"/>
      <c r="GKX14" s="12"/>
      <c r="GLO14" s="12"/>
      <c r="GLP14" s="12"/>
      <c r="GMG14" s="12"/>
      <c r="GMH14" s="12"/>
      <c r="GMY14" s="12"/>
      <c r="GMZ14" s="12"/>
      <c r="GNQ14" s="12"/>
      <c r="GNR14" s="12"/>
      <c r="GOI14" s="12"/>
      <c r="GOJ14" s="12"/>
      <c r="GPA14" s="12"/>
      <c r="GPB14" s="12"/>
      <c r="GPS14" s="12"/>
      <c r="GPT14" s="12"/>
      <c r="GQK14" s="12"/>
      <c r="GQL14" s="12"/>
      <c r="GRC14" s="12"/>
      <c r="GRD14" s="12"/>
      <c r="GRU14" s="12"/>
      <c r="GRV14" s="12"/>
      <c r="GSM14" s="12"/>
      <c r="GSN14" s="12"/>
      <c r="GTE14" s="12"/>
      <c r="GTF14" s="12"/>
      <c r="GTW14" s="12"/>
      <c r="GTX14" s="12"/>
      <c r="GUO14" s="12"/>
      <c r="GUP14" s="12"/>
      <c r="GVG14" s="12"/>
      <c r="GVH14" s="12"/>
      <c r="GVY14" s="12"/>
      <c r="GVZ14" s="12"/>
      <c r="GWQ14" s="12"/>
      <c r="GWR14" s="12"/>
      <c r="GXI14" s="12"/>
      <c r="GXJ14" s="12"/>
      <c r="GYA14" s="12"/>
      <c r="GYB14" s="12"/>
      <c r="GYS14" s="12"/>
      <c r="GYT14" s="12"/>
      <c r="GZK14" s="12"/>
      <c r="GZL14" s="12"/>
      <c r="HAC14" s="12"/>
      <c r="HAD14" s="12"/>
      <c r="HAU14" s="12"/>
      <c r="HAV14" s="12"/>
      <c r="HBM14" s="12"/>
      <c r="HBN14" s="12"/>
      <c r="HCE14" s="12"/>
      <c r="HCF14" s="12"/>
      <c r="HCW14" s="12"/>
      <c r="HCX14" s="12"/>
      <c r="HDO14" s="12"/>
      <c r="HDP14" s="12"/>
      <c r="HEG14" s="12"/>
      <c r="HEH14" s="12"/>
      <c r="HEY14" s="12"/>
      <c r="HEZ14" s="12"/>
      <c r="HFQ14" s="12"/>
      <c r="HFR14" s="12"/>
      <c r="HGI14" s="12"/>
      <c r="HGJ14" s="12"/>
      <c r="HHA14" s="12"/>
      <c r="HHB14" s="12"/>
      <c r="HHS14" s="12"/>
      <c r="HHT14" s="12"/>
      <c r="HIK14" s="12"/>
      <c r="HIL14" s="12"/>
      <c r="HJC14" s="12"/>
      <c r="HJD14" s="12"/>
      <c r="HJU14" s="12"/>
      <c r="HJV14" s="12"/>
      <c r="HKM14" s="12"/>
      <c r="HKN14" s="12"/>
      <c r="HLE14" s="12"/>
      <c r="HLF14" s="12"/>
      <c r="HLW14" s="12"/>
      <c r="HLX14" s="12"/>
      <c r="HMO14" s="12"/>
      <c r="HMP14" s="12"/>
      <c r="HNG14" s="12"/>
      <c r="HNH14" s="12"/>
      <c r="HNY14" s="12"/>
      <c r="HNZ14" s="12"/>
      <c r="HOQ14" s="12"/>
      <c r="HOR14" s="12"/>
      <c r="HPI14" s="12"/>
      <c r="HPJ14" s="12"/>
      <c r="HQA14" s="12"/>
      <c r="HQB14" s="12"/>
      <c r="HQS14" s="12"/>
      <c r="HQT14" s="12"/>
      <c r="HRK14" s="12"/>
      <c r="HRL14" s="12"/>
      <c r="HSC14" s="12"/>
      <c r="HSD14" s="12"/>
      <c r="HSU14" s="12"/>
      <c r="HSV14" s="12"/>
      <c r="HTM14" s="12"/>
      <c r="HTN14" s="12"/>
      <c r="HUE14" s="12"/>
      <c r="HUF14" s="12"/>
      <c r="HUW14" s="12"/>
      <c r="HUX14" s="12"/>
      <c r="HVO14" s="12"/>
      <c r="HVP14" s="12"/>
      <c r="HWG14" s="12"/>
      <c r="HWH14" s="12"/>
      <c r="HWY14" s="12"/>
      <c r="HWZ14" s="12"/>
      <c r="HXQ14" s="12"/>
      <c r="HXR14" s="12"/>
      <c r="HYI14" s="12"/>
      <c r="HYJ14" s="12"/>
      <c r="HZA14" s="12"/>
      <c r="HZB14" s="12"/>
      <c r="HZS14" s="12"/>
      <c r="HZT14" s="12"/>
      <c r="IAK14" s="12"/>
      <c r="IAL14" s="12"/>
      <c r="IBC14" s="12"/>
      <c r="IBD14" s="12"/>
      <c r="IBU14" s="12"/>
      <c r="IBV14" s="12"/>
      <c r="ICM14" s="12"/>
      <c r="ICN14" s="12"/>
      <c r="IDE14" s="12"/>
      <c r="IDF14" s="12"/>
      <c r="IDW14" s="12"/>
      <c r="IDX14" s="12"/>
      <c r="IEO14" s="12"/>
      <c r="IEP14" s="12"/>
      <c r="IFG14" s="12"/>
      <c r="IFH14" s="12"/>
      <c r="IFY14" s="12"/>
      <c r="IFZ14" s="12"/>
      <c r="IGQ14" s="12"/>
      <c r="IGR14" s="12"/>
      <c r="IHI14" s="12"/>
      <c r="IHJ14" s="12"/>
      <c r="IIA14" s="12"/>
      <c r="IIB14" s="12"/>
      <c r="IIS14" s="12"/>
      <c r="IIT14" s="12"/>
      <c r="IJK14" s="12"/>
      <c r="IJL14" s="12"/>
      <c r="IKC14" s="12"/>
      <c r="IKD14" s="12"/>
      <c r="IKU14" s="12"/>
      <c r="IKV14" s="12"/>
      <c r="ILM14" s="12"/>
      <c r="ILN14" s="12"/>
      <c r="IME14" s="12"/>
      <c r="IMF14" s="12"/>
      <c r="IMW14" s="12"/>
      <c r="IMX14" s="12"/>
      <c r="INO14" s="12"/>
      <c r="INP14" s="12"/>
      <c r="IOG14" s="12"/>
      <c r="IOH14" s="12"/>
      <c r="IOY14" s="12"/>
      <c r="IOZ14" s="12"/>
      <c r="IPQ14" s="12"/>
      <c r="IPR14" s="12"/>
      <c r="IQI14" s="12"/>
      <c r="IQJ14" s="12"/>
      <c r="IRA14" s="12"/>
      <c r="IRB14" s="12"/>
      <c r="IRS14" s="12"/>
      <c r="IRT14" s="12"/>
      <c r="ISK14" s="12"/>
      <c r="ISL14" s="12"/>
      <c r="ITC14" s="12"/>
      <c r="ITD14" s="12"/>
      <c r="ITU14" s="12"/>
      <c r="ITV14" s="12"/>
      <c r="IUM14" s="12"/>
      <c r="IUN14" s="12"/>
      <c r="IVE14" s="12"/>
      <c r="IVF14" s="12"/>
      <c r="IVW14" s="12"/>
      <c r="IVX14" s="12"/>
      <c r="IWO14" s="12"/>
      <c r="IWP14" s="12"/>
      <c r="IXG14" s="12"/>
      <c r="IXH14" s="12"/>
      <c r="IXY14" s="12"/>
      <c r="IXZ14" s="12"/>
      <c r="IYQ14" s="12"/>
      <c r="IYR14" s="12"/>
      <c r="IZI14" s="12"/>
      <c r="IZJ14" s="12"/>
      <c r="JAA14" s="12"/>
      <c r="JAB14" s="12"/>
      <c r="JAS14" s="12"/>
      <c r="JAT14" s="12"/>
      <c r="JBK14" s="12"/>
      <c r="JBL14" s="12"/>
      <c r="JCC14" s="12"/>
      <c r="JCD14" s="12"/>
      <c r="JCU14" s="12"/>
      <c r="JCV14" s="12"/>
      <c r="JDM14" s="12"/>
      <c r="JDN14" s="12"/>
      <c r="JEE14" s="12"/>
      <c r="JEF14" s="12"/>
      <c r="JEW14" s="12"/>
      <c r="JEX14" s="12"/>
      <c r="JFO14" s="12"/>
      <c r="JFP14" s="12"/>
      <c r="JGG14" s="12"/>
      <c r="JGH14" s="12"/>
      <c r="JGY14" s="12"/>
      <c r="JGZ14" s="12"/>
      <c r="JHQ14" s="12"/>
      <c r="JHR14" s="12"/>
      <c r="JII14" s="12"/>
      <c r="JIJ14" s="12"/>
      <c r="JJA14" s="12"/>
      <c r="JJB14" s="12"/>
      <c r="JJS14" s="12"/>
      <c r="JJT14" s="12"/>
      <c r="JKK14" s="12"/>
      <c r="JKL14" s="12"/>
      <c r="JLC14" s="12"/>
      <c r="JLD14" s="12"/>
      <c r="JLU14" s="12"/>
      <c r="JLV14" s="12"/>
      <c r="JMM14" s="12"/>
      <c r="JMN14" s="12"/>
      <c r="JNE14" s="12"/>
      <c r="JNF14" s="12"/>
      <c r="JNW14" s="12"/>
      <c r="JNX14" s="12"/>
      <c r="JOO14" s="12"/>
      <c r="JOP14" s="12"/>
      <c r="JPG14" s="12"/>
      <c r="JPH14" s="12"/>
      <c r="JPY14" s="12"/>
      <c r="JPZ14" s="12"/>
      <c r="JQQ14" s="12"/>
      <c r="JQR14" s="12"/>
      <c r="JRI14" s="12"/>
      <c r="JRJ14" s="12"/>
      <c r="JSA14" s="12"/>
      <c r="JSB14" s="12"/>
      <c r="JSS14" s="12"/>
      <c r="JST14" s="12"/>
      <c r="JTK14" s="12"/>
      <c r="JTL14" s="12"/>
      <c r="JUC14" s="12"/>
      <c r="JUD14" s="12"/>
      <c r="JUU14" s="12"/>
      <c r="JUV14" s="12"/>
      <c r="JVM14" s="12"/>
      <c r="JVN14" s="12"/>
      <c r="JWE14" s="12"/>
      <c r="JWF14" s="12"/>
      <c r="JWW14" s="12"/>
      <c r="JWX14" s="12"/>
      <c r="JXO14" s="12"/>
      <c r="JXP14" s="12"/>
      <c r="JYG14" s="12"/>
      <c r="JYH14" s="12"/>
      <c r="JYY14" s="12"/>
      <c r="JYZ14" s="12"/>
      <c r="JZQ14" s="12"/>
      <c r="JZR14" s="12"/>
      <c r="KAI14" s="12"/>
      <c r="KAJ14" s="12"/>
      <c r="KBA14" s="12"/>
      <c r="KBB14" s="12"/>
      <c r="KBS14" s="12"/>
      <c r="KBT14" s="12"/>
      <c r="KCK14" s="12"/>
      <c r="KCL14" s="12"/>
      <c r="KDC14" s="12"/>
      <c r="KDD14" s="12"/>
      <c r="KDU14" s="12"/>
      <c r="KDV14" s="12"/>
      <c r="KEM14" s="12"/>
      <c r="KEN14" s="12"/>
      <c r="KFE14" s="12"/>
      <c r="KFF14" s="12"/>
      <c r="KFW14" s="12"/>
      <c r="KFX14" s="12"/>
      <c r="KGO14" s="12"/>
      <c r="KGP14" s="12"/>
      <c r="KHG14" s="12"/>
      <c r="KHH14" s="12"/>
      <c r="KHY14" s="12"/>
      <c r="KHZ14" s="12"/>
      <c r="KIQ14" s="12"/>
      <c r="KIR14" s="12"/>
      <c r="KJI14" s="12"/>
      <c r="KJJ14" s="12"/>
      <c r="KKA14" s="12"/>
      <c r="KKB14" s="12"/>
      <c r="KKS14" s="12"/>
      <c r="KKT14" s="12"/>
      <c r="KLK14" s="12"/>
      <c r="KLL14" s="12"/>
      <c r="KMC14" s="12"/>
      <c r="KMD14" s="12"/>
      <c r="KMU14" s="12"/>
      <c r="KMV14" s="12"/>
      <c r="KNM14" s="12"/>
      <c r="KNN14" s="12"/>
      <c r="KOE14" s="12"/>
      <c r="KOF14" s="12"/>
      <c r="KOW14" s="12"/>
      <c r="KOX14" s="12"/>
      <c r="KPO14" s="12"/>
      <c r="KPP14" s="12"/>
      <c r="KQG14" s="12"/>
      <c r="KQH14" s="12"/>
      <c r="KQY14" s="12"/>
      <c r="KQZ14" s="12"/>
      <c r="KRQ14" s="12"/>
      <c r="KRR14" s="12"/>
      <c r="KSI14" s="12"/>
      <c r="KSJ14" s="12"/>
      <c r="KTA14" s="12"/>
      <c r="KTB14" s="12"/>
      <c r="KTS14" s="12"/>
      <c r="KTT14" s="12"/>
      <c r="KUK14" s="12"/>
      <c r="KUL14" s="12"/>
      <c r="KVC14" s="12"/>
      <c r="KVD14" s="12"/>
      <c r="KVU14" s="12"/>
      <c r="KVV14" s="12"/>
      <c r="KWM14" s="12"/>
      <c r="KWN14" s="12"/>
      <c r="KXE14" s="12"/>
      <c r="KXF14" s="12"/>
      <c r="KXW14" s="12"/>
      <c r="KXX14" s="12"/>
      <c r="KYO14" s="12"/>
      <c r="KYP14" s="12"/>
      <c r="KZG14" s="12"/>
      <c r="KZH14" s="12"/>
      <c r="KZY14" s="12"/>
      <c r="KZZ14" s="12"/>
      <c r="LAQ14" s="12"/>
      <c r="LAR14" s="12"/>
      <c r="LBI14" s="12"/>
      <c r="LBJ14" s="12"/>
      <c r="LCA14" s="12"/>
      <c r="LCB14" s="12"/>
      <c r="LCS14" s="12"/>
      <c r="LCT14" s="12"/>
      <c r="LDK14" s="12"/>
      <c r="LDL14" s="12"/>
      <c r="LEC14" s="12"/>
      <c r="LED14" s="12"/>
      <c r="LEU14" s="12"/>
      <c r="LEV14" s="12"/>
      <c r="LFM14" s="12"/>
      <c r="LFN14" s="12"/>
      <c r="LGE14" s="12"/>
      <c r="LGF14" s="12"/>
      <c r="LGW14" s="12"/>
      <c r="LGX14" s="12"/>
      <c r="LHO14" s="12"/>
      <c r="LHP14" s="12"/>
      <c r="LIG14" s="12"/>
      <c r="LIH14" s="12"/>
      <c r="LIY14" s="12"/>
      <c r="LIZ14" s="12"/>
      <c r="LJQ14" s="12"/>
      <c r="LJR14" s="12"/>
      <c r="LKI14" s="12"/>
      <c r="LKJ14" s="12"/>
      <c r="LLA14" s="12"/>
      <c r="LLB14" s="12"/>
      <c r="LLS14" s="12"/>
      <c r="LLT14" s="12"/>
      <c r="LMK14" s="12"/>
      <c r="LML14" s="12"/>
      <c r="LNC14" s="12"/>
      <c r="LND14" s="12"/>
      <c r="LNU14" s="12"/>
      <c r="LNV14" s="12"/>
      <c r="LOM14" s="12"/>
      <c r="LON14" s="12"/>
      <c r="LPE14" s="12"/>
      <c r="LPF14" s="12"/>
      <c r="LPW14" s="12"/>
      <c r="LPX14" s="12"/>
      <c r="LQO14" s="12"/>
      <c r="LQP14" s="12"/>
      <c r="LRG14" s="12"/>
      <c r="LRH14" s="12"/>
      <c r="LRY14" s="12"/>
      <c r="LRZ14" s="12"/>
      <c r="LSQ14" s="12"/>
      <c r="LSR14" s="12"/>
      <c r="LTI14" s="12"/>
      <c r="LTJ14" s="12"/>
      <c r="LUA14" s="12"/>
      <c r="LUB14" s="12"/>
      <c r="LUS14" s="12"/>
      <c r="LUT14" s="12"/>
      <c r="LVK14" s="12"/>
      <c r="LVL14" s="12"/>
      <c r="LWC14" s="12"/>
      <c r="LWD14" s="12"/>
      <c r="LWU14" s="12"/>
      <c r="LWV14" s="12"/>
      <c r="LXM14" s="12"/>
      <c r="LXN14" s="12"/>
      <c r="LYE14" s="12"/>
      <c r="LYF14" s="12"/>
      <c r="LYW14" s="12"/>
      <c r="LYX14" s="12"/>
      <c r="LZO14" s="12"/>
      <c r="LZP14" s="12"/>
      <c r="MAG14" s="12"/>
      <c r="MAH14" s="12"/>
      <c r="MAY14" s="12"/>
      <c r="MAZ14" s="12"/>
      <c r="MBQ14" s="12"/>
      <c r="MBR14" s="12"/>
      <c r="MCI14" s="12"/>
      <c r="MCJ14" s="12"/>
      <c r="MDA14" s="12"/>
      <c r="MDB14" s="12"/>
      <c r="MDS14" s="12"/>
      <c r="MDT14" s="12"/>
      <c r="MEK14" s="12"/>
      <c r="MEL14" s="12"/>
      <c r="MFC14" s="12"/>
      <c r="MFD14" s="12"/>
      <c r="MFU14" s="12"/>
      <c r="MFV14" s="12"/>
      <c r="MGM14" s="12"/>
      <c r="MGN14" s="12"/>
      <c r="MHE14" s="12"/>
      <c r="MHF14" s="12"/>
      <c r="MHW14" s="12"/>
      <c r="MHX14" s="12"/>
      <c r="MIO14" s="12"/>
      <c r="MIP14" s="12"/>
      <c r="MJG14" s="12"/>
      <c r="MJH14" s="12"/>
      <c r="MJY14" s="12"/>
      <c r="MJZ14" s="12"/>
      <c r="MKQ14" s="12"/>
      <c r="MKR14" s="12"/>
      <c r="MLI14" s="12"/>
      <c r="MLJ14" s="12"/>
      <c r="MMA14" s="12"/>
      <c r="MMB14" s="12"/>
      <c r="MMS14" s="12"/>
      <c r="MMT14" s="12"/>
      <c r="MNK14" s="12"/>
      <c r="MNL14" s="12"/>
      <c r="MOC14" s="12"/>
      <c r="MOD14" s="12"/>
      <c r="MOU14" s="12"/>
      <c r="MOV14" s="12"/>
      <c r="MPM14" s="12"/>
      <c r="MPN14" s="12"/>
      <c r="MQE14" s="12"/>
      <c r="MQF14" s="12"/>
      <c r="MQW14" s="12"/>
      <c r="MQX14" s="12"/>
      <c r="MRO14" s="12"/>
      <c r="MRP14" s="12"/>
      <c r="MSG14" s="12"/>
      <c r="MSH14" s="12"/>
      <c r="MSY14" s="12"/>
      <c r="MSZ14" s="12"/>
      <c r="MTQ14" s="12"/>
      <c r="MTR14" s="12"/>
      <c r="MUI14" s="12"/>
      <c r="MUJ14" s="12"/>
      <c r="MVA14" s="12"/>
      <c r="MVB14" s="12"/>
      <c r="MVS14" s="12"/>
      <c r="MVT14" s="12"/>
      <c r="MWK14" s="12"/>
      <c r="MWL14" s="12"/>
      <c r="MXC14" s="12"/>
      <c r="MXD14" s="12"/>
      <c r="MXU14" s="12"/>
      <c r="MXV14" s="12"/>
      <c r="MYM14" s="12"/>
      <c r="MYN14" s="12"/>
      <c r="MZE14" s="12"/>
      <c r="MZF14" s="12"/>
      <c r="MZW14" s="12"/>
      <c r="MZX14" s="12"/>
      <c r="NAO14" s="12"/>
      <c r="NAP14" s="12"/>
      <c r="NBG14" s="12"/>
      <c r="NBH14" s="12"/>
      <c r="NBY14" s="12"/>
      <c r="NBZ14" s="12"/>
      <c r="NCQ14" s="12"/>
      <c r="NCR14" s="12"/>
      <c r="NDI14" s="12"/>
      <c r="NDJ14" s="12"/>
      <c r="NEA14" s="12"/>
      <c r="NEB14" s="12"/>
      <c r="NES14" s="12"/>
      <c r="NET14" s="12"/>
      <c r="NFK14" s="12"/>
      <c r="NFL14" s="12"/>
      <c r="NGC14" s="12"/>
      <c r="NGD14" s="12"/>
      <c r="NGU14" s="12"/>
      <c r="NGV14" s="12"/>
      <c r="NHM14" s="12"/>
      <c r="NHN14" s="12"/>
      <c r="NIE14" s="12"/>
      <c r="NIF14" s="12"/>
      <c r="NIW14" s="12"/>
      <c r="NIX14" s="12"/>
      <c r="NJO14" s="12"/>
      <c r="NJP14" s="12"/>
      <c r="NKG14" s="12"/>
      <c r="NKH14" s="12"/>
      <c r="NKY14" s="12"/>
      <c r="NKZ14" s="12"/>
      <c r="NLQ14" s="12"/>
      <c r="NLR14" s="12"/>
      <c r="NMI14" s="12"/>
      <c r="NMJ14" s="12"/>
      <c r="NNA14" s="12"/>
      <c r="NNB14" s="12"/>
      <c r="NNS14" s="12"/>
      <c r="NNT14" s="12"/>
      <c r="NOK14" s="12"/>
      <c r="NOL14" s="12"/>
      <c r="NPC14" s="12"/>
      <c r="NPD14" s="12"/>
      <c r="NPU14" s="12"/>
      <c r="NPV14" s="12"/>
      <c r="NQM14" s="12"/>
      <c r="NQN14" s="12"/>
      <c r="NRE14" s="12"/>
      <c r="NRF14" s="12"/>
      <c r="NRW14" s="12"/>
      <c r="NRX14" s="12"/>
      <c r="NSO14" s="12"/>
      <c r="NSP14" s="12"/>
      <c r="NTG14" s="12"/>
      <c r="NTH14" s="12"/>
      <c r="NTY14" s="12"/>
      <c r="NTZ14" s="12"/>
      <c r="NUQ14" s="12"/>
      <c r="NUR14" s="12"/>
      <c r="NVI14" s="12"/>
      <c r="NVJ14" s="12"/>
      <c r="NWA14" s="12"/>
      <c r="NWB14" s="12"/>
      <c r="NWS14" s="12"/>
      <c r="NWT14" s="12"/>
      <c r="NXK14" s="12"/>
      <c r="NXL14" s="12"/>
      <c r="NYC14" s="12"/>
      <c r="NYD14" s="12"/>
      <c r="NYU14" s="12"/>
      <c r="NYV14" s="12"/>
      <c r="NZM14" s="12"/>
      <c r="NZN14" s="12"/>
      <c r="OAE14" s="12"/>
      <c r="OAF14" s="12"/>
      <c r="OAW14" s="12"/>
      <c r="OAX14" s="12"/>
      <c r="OBO14" s="12"/>
      <c r="OBP14" s="12"/>
      <c r="OCG14" s="12"/>
      <c r="OCH14" s="12"/>
      <c r="OCY14" s="12"/>
      <c r="OCZ14" s="12"/>
      <c r="ODQ14" s="12"/>
      <c r="ODR14" s="12"/>
      <c r="OEI14" s="12"/>
      <c r="OEJ14" s="12"/>
      <c r="OFA14" s="12"/>
      <c r="OFB14" s="12"/>
      <c r="OFS14" s="12"/>
      <c r="OFT14" s="12"/>
      <c r="OGK14" s="12"/>
      <c r="OGL14" s="12"/>
      <c r="OHC14" s="12"/>
      <c r="OHD14" s="12"/>
      <c r="OHU14" s="12"/>
      <c r="OHV14" s="12"/>
      <c r="OIM14" s="12"/>
      <c r="OIN14" s="12"/>
      <c r="OJE14" s="12"/>
      <c r="OJF14" s="12"/>
      <c r="OJW14" s="12"/>
      <c r="OJX14" s="12"/>
      <c r="OKO14" s="12"/>
      <c r="OKP14" s="12"/>
      <c r="OLG14" s="12"/>
      <c r="OLH14" s="12"/>
      <c r="OLY14" s="12"/>
      <c r="OLZ14" s="12"/>
      <c r="OMQ14" s="12"/>
      <c r="OMR14" s="12"/>
      <c r="ONI14" s="12"/>
      <c r="ONJ14" s="12"/>
      <c r="OOA14" s="12"/>
      <c r="OOB14" s="12"/>
      <c r="OOS14" s="12"/>
      <c r="OOT14" s="12"/>
      <c r="OPK14" s="12"/>
      <c r="OPL14" s="12"/>
      <c r="OQC14" s="12"/>
      <c r="OQD14" s="12"/>
      <c r="OQU14" s="12"/>
      <c r="OQV14" s="12"/>
      <c r="ORM14" s="12"/>
      <c r="ORN14" s="12"/>
      <c r="OSE14" s="12"/>
      <c r="OSF14" s="12"/>
      <c r="OSW14" s="12"/>
      <c r="OSX14" s="12"/>
      <c r="OTO14" s="12"/>
      <c r="OTP14" s="12"/>
      <c r="OUG14" s="12"/>
      <c r="OUH14" s="12"/>
      <c r="OUY14" s="12"/>
      <c r="OUZ14" s="12"/>
      <c r="OVQ14" s="12"/>
      <c r="OVR14" s="12"/>
      <c r="OWI14" s="12"/>
      <c r="OWJ14" s="12"/>
      <c r="OXA14" s="12"/>
      <c r="OXB14" s="12"/>
      <c r="OXS14" s="12"/>
      <c r="OXT14" s="12"/>
      <c r="OYK14" s="12"/>
      <c r="OYL14" s="12"/>
      <c r="OZC14" s="12"/>
      <c r="OZD14" s="12"/>
      <c r="OZU14" s="12"/>
      <c r="OZV14" s="12"/>
      <c r="PAM14" s="12"/>
      <c r="PAN14" s="12"/>
      <c r="PBE14" s="12"/>
      <c r="PBF14" s="12"/>
      <c r="PBW14" s="12"/>
      <c r="PBX14" s="12"/>
      <c r="PCO14" s="12"/>
      <c r="PCP14" s="12"/>
      <c r="PDG14" s="12"/>
      <c r="PDH14" s="12"/>
      <c r="PDY14" s="12"/>
      <c r="PDZ14" s="12"/>
      <c r="PEQ14" s="12"/>
      <c r="PER14" s="12"/>
      <c r="PFI14" s="12"/>
      <c r="PFJ14" s="12"/>
      <c r="PGA14" s="12"/>
      <c r="PGB14" s="12"/>
      <c r="PGS14" s="12"/>
      <c r="PGT14" s="12"/>
      <c r="PHK14" s="12"/>
      <c r="PHL14" s="12"/>
      <c r="PIC14" s="12"/>
      <c r="PID14" s="12"/>
      <c r="PIU14" s="12"/>
      <c r="PIV14" s="12"/>
      <c r="PJM14" s="12"/>
      <c r="PJN14" s="12"/>
      <c r="PKE14" s="12"/>
      <c r="PKF14" s="12"/>
      <c r="PKW14" s="12"/>
      <c r="PKX14" s="12"/>
      <c r="PLO14" s="12"/>
      <c r="PLP14" s="12"/>
      <c r="PMG14" s="12"/>
      <c r="PMH14" s="12"/>
      <c r="PMY14" s="12"/>
      <c r="PMZ14" s="12"/>
      <c r="PNQ14" s="12"/>
      <c r="PNR14" s="12"/>
      <c r="POI14" s="12"/>
      <c r="POJ14" s="12"/>
      <c r="PPA14" s="12"/>
      <c r="PPB14" s="12"/>
      <c r="PPS14" s="12"/>
      <c r="PPT14" s="12"/>
      <c r="PQK14" s="12"/>
      <c r="PQL14" s="12"/>
      <c r="PRC14" s="12"/>
      <c r="PRD14" s="12"/>
      <c r="PRU14" s="12"/>
      <c r="PRV14" s="12"/>
      <c r="PSM14" s="12"/>
      <c r="PSN14" s="12"/>
      <c r="PTE14" s="12"/>
      <c r="PTF14" s="12"/>
      <c r="PTW14" s="12"/>
      <c r="PTX14" s="12"/>
      <c r="PUO14" s="12"/>
      <c r="PUP14" s="12"/>
      <c r="PVG14" s="12"/>
      <c r="PVH14" s="12"/>
      <c r="PVY14" s="12"/>
      <c r="PVZ14" s="12"/>
      <c r="PWQ14" s="12"/>
      <c r="PWR14" s="12"/>
      <c r="PXI14" s="12"/>
      <c r="PXJ14" s="12"/>
      <c r="PYA14" s="12"/>
      <c r="PYB14" s="12"/>
      <c r="PYS14" s="12"/>
      <c r="PYT14" s="12"/>
      <c r="PZK14" s="12"/>
      <c r="PZL14" s="12"/>
      <c r="QAC14" s="12"/>
      <c r="QAD14" s="12"/>
      <c r="QAU14" s="12"/>
      <c r="QAV14" s="12"/>
      <c r="QBM14" s="12"/>
      <c r="QBN14" s="12"/>
      <c r="QCE14" s="12"/>
      <c r="QCF14" s="12"/>
      <c r="QCW14" s="12"/>
      <c r="QCX14" s="12"/>
      <c r="QDO14" s="12"/>
      <c r="QDP14" s="12"/>
      <c r="QEG14" s="12"/>
      <c r="QEH14" s="12"/>
      <c r="QEY14" s="12"/>
      <c r="QEZ14" s="12"/>
      <c r="QFQ14" s="12"/>
      <c r="QFR14" s="12"/>
      <c r="QGI14" s="12"/>
      <c r="QGJ14" s="12"/>
      <c r="QHA14" s="12"/>
      <c r="QHB14" s="12"/>
      <c r="QHS14" s="12"/>
      <c r="QHT14" s="12"/>
      <c r="QIK14" s="12"/>
      <c r="QIL14" s="12"/>
      <c r="QJC14" s="12"/>
      <c r="QJD14" s="12"/>
      <c r="QJU14" s="12"/>
      <c r="QJV14" s="12"/>
      <c r="QKM14" s="12"/>
      <c r="QKN14" s="12"/>
      <c r="QLE14" s="12"/>
      <c r="QLF14" s="12"/>
      <c r="QLW14" s="12"/>
      <c r="QLX14" s="12"/>
      <c r="QMO14" s="12"/>
      <c r="QMP14" s="12"/>
      <c r="QNG14" s="12"/>
      <c r="QNH14" s="12"/>
      <c r="QNY14" s="12"/>
      <c r="QNZ14" s="12"/>
      <c r="QOQ14" s="12"/>
      <c r="QOR14" s="12"/>
      <c r="QPI14" s="12"/>
      <c r="QPJ14" s="12"/>
      <c r="QQA14" s="12"/>
      <c r="QQB14" s="12"/>
      <c r="QQS14" s="12"/>
      <c r="QQT14" s="12"/>
      <c r="QRK14" s="12"/>
      <c r="QRL14" s="12"/>
      <c r="QSC14" s="12"/>
      <c r="QSD14" s="12"/>
      <c r="QSU14" s="12"/>
      <c r="QSV14" s="12"/>
      <c r="QTM14" s="12"/>
      <c r="QTN14" s="12"/>
      <c r="QUE14" s="12"/>
      <c r="QUF14" s="12"/>
      <c r="QUW14" s="12"/>
      <c r="QUX14" s="12"/>
      <c r="QVO14" s="12"/>
      <c r="QVP14" s="12"/>
      <c r="QWG14" s="12"/>
      <c r="QWH14" s="12"/>
      <c r="QWY14" s="12"/>
      <c r="QWZ14" s="12"/>
      <c r="QXQ14" s="12"/>
      <c r="QXR14" s="12"/>
      <c r="QYI14" s="12"/>
      <c r="QYJ14" s="12"/>
      <c r="QZA14" s="12"/>
      <c r="QZB14" s="12"/>
      <c r="QZS14" s="12"/>
      <c r="QZT14" s="12"/>
      <c r="RAK14" s="12"/>
      <c r="RAL14" s="12"/>
      <c r="RBC14" s="12"/>
      <c r="RBD14" s="12"/>
      <c r="RBU14" s="12"/>
      <c r="RBV14" s="12"/>
      <c r="RCM14" s="12"/>
      <c r="RCN14" s="12"/>
      <c r="RDE14" s="12"/>
      <c r="RDF14" s="12"/>
      <c r="RDW14" s="12"/>
      <c r="RDX14" s="12"/>
      <c r="REO14" s="12"/>
      <c r="REP14" s="12"/>
      <c r="RFG14" s="12"/>
      <c r="RFH14" s="12"/>
      <c r="RFY14" s="12"/>
      <c r="RFZ14" s="12"/>
      <c r="RGQ14" s="12"/>
      <c r="RGR14" s="12"/>
      <c r="RHI14" s="12"/>
      <c r="RHJ14" s="12"/>
      <c r="RIA14" s="12"/>
      <c r="RIB14" s="12"/>
      <c r="RIS14" s="12"/>
      <c r="RIT14" s="12"/>
      <c r="RJK14" s="12"/>
      <c r="RJL14" s="12"/>
      <c r="RKC14" s="12"/>
      <c r="RKD14" s="12"/>
      <c r="RKU14" s="12"/>
      <c r="RKV14" s="12"/>
      <c r="RLM14" s="12"/>
      <c r="RLN14" s="12"/>
      <c r="RME14" s="12"/>
      <c r="RMF14" s="12"/>
      <c r="RMW14" s="12"/>
      <c r="RMX14" s="12"/>
      <c r="RNO14" s="12"/>
      <c r="RNP14" s="12"/>
      <c r="ROG14" s="12"/>
      <c r="ROH14" s="12"/>
      <c r="ROY14" s="12"/>
      <c r="ROZ14" s="12"/>
      <c r="RPQ14" s="12"/>
      <c r="RPR14" s="12"/>
      <c r="RQI14" s="12"/>
      <c r="RQJ14" s="12"/>
      <c r="RRA14" s="12"/>
      <c r="RRB14" s="12"/>
      <c r="RRS14" s="12"/>
      <c r="RRT14" s="12"/>
      <c r="RSK14" s="12"/>
      <c r="RSL14" s="12"/>
      <c r="RTC14" s="12"/>
      <c r="RTD14" s="12"/>
      <c r="RTU14" s="12"/>
      <c r="RTV14" s="12"/>
      <c r="RUM14" s="12"/>
      <c r="RUN14" s="12"/>
      <c r="RVE14" s="12"/>
      <c r="RVF14" s="12"/>
      <c r="RVW14" s="12"/>
      <c r="RVX14" s="12"/>
      <c r="RWO14" s="12"/>
      <c r="RWP14" s="12"/>
      <c r="RXG14" s="12"/>
      <c r="RXH14" s="12"/>
      <c r="RXY14" s="12"/>
      <c r="RXZ14" s="12"/>
      <c r="RYQ14" s="12"/>
      <c r="RYR14" s="12"/>
      <c r="RZI14" s="12"/>
      <c r="RZJ14" s="12"/>
      <c r="SAA14" s="12"/>
      <c r="SAB14" s="12"/>
      <c r="SAS14" s="12"/>
      <c r="SAT14" s="12"/>
      <c r="SBK14" s="12"/>
      <c r="SBL14" s="12"/>
      <c r="SCC14" s="12"/>
      <c r="SCD14" s="12"/>
      <c r="SCU14" s="12"/>
      <c r="SCV14" s="12"/>
      <c r="SDM14" s="12"/>
      <c r="SDN14" s="12"/>
      <c r="SEE14" s="12"/>
      <c r="SEF14" s="12"/>
      <c r="SEW14" s="12"/>
      <c r="SEX14" s="12"/>
      <c r="SFO14" s="12"/>
      <c r="SFP14" s="12"/>
      <c r="SGG14" s="12"/>
      <c r="SGH14" s="12"/>
      <c r="SGY14" s="12"/>
      <c r="SGZ14" s="12"/>
      <c r="SHQ14" s="12"/>
      <c r="SHR14" s="12"/>
      <c r="SII14" s="12"/>
      <c r="SIJ14" s="12"/>
      <c r="SJA14" s="12"/>
      <c r="SJB14" s="12"/>
      <c r="SJS14" s="12"/>
      <c r="SJT14" s="12"/>
      <c r="SKK14" s="12"/>
      <c r="SKL14" s="12"/>
      <c r="SLC14" s="12"/>
      <c r="SLD14" s="12"/>
      <c r="SLU14" s="12"/>
      <c r="SLV14" s="12"/>
      <c r="SMM14" s="12"/>
      <c r="SMN14" s="12"/>
      <c r="SNE14" s="12"/>
      <c r="SNF14" s="12"/>
      <c r="SNW14" s="12"/>
      <c r="SNX14" s="12"/>
      <c r="SOO14" s="12"/>
      <c r="SOP14" s="12"/>
      <c r="SPG14" s="12"/>
      <c r="SPH14" s="12"/>
      <c r="SPY14" s="12"/>
      <c r="SPZ14" s="12"/>
      <c r="SQQ14" s="12"/>
      <c r="SQR14" s="12"/>
      <c r="SRI14" s="12"/>
      <c r="SRJ14" s="12"/>
      <c r="SSA14" s="12"/>
      <c r="SSB14" s="12"/>
      <c r="SSS14" s="12"/>
      <c r="SST14" s="12"/>
      <c r="STK14" s="12"/>
      <c r="STL14" s="12"/>
      <c r="SUC14" s="12"/>
      <c r="SUD14" s="12"/>
      <c r="SUU14" s="12"/>
      <c r="SUV14" s="12"/>
      <c r="SVM14" s="12"/>
      <c r="SVN14" s="12"/>
      <c r="SWE14" s="12"/>
      <c r="SWF14" s="12"/>
      <c r="SWW14" s="12"/>
      <c r="SWX14" s="12"/>
      <c r="SXO14" s="12"/>
      <c r="SXP14" s="12"/>
      <c r="SYG14" s="12"/>
      <c r="SYH14" s="12"/>
      <c r="SYY14" s="12"/>
      <c r="SYZ14" s="12"/>
      <c r="SZQ14" s="12"/>
      <c r="SZR14" s="12"/>
      <c r="TAI14" s="12"/>
      <c r="TAJ14" s="12"/>
      <c r="TBA14" s="12"/>
      <c r="TBB14" s="12"/>
      <c r="TBS14" s="12"/>
      <c r="TBT14" s="12"/>
      <c r="TCK14" s="12"/>
      <c r="TCL14" s="12"/>
      <c r="TDC14" s="12"/>
      <c r="TDD14" s="12"/>
      <c r="TDU14" s="12"/>
      <c r="TDV14" s="12"/>
      <c r="TEM14" s="12"/>
      <c r="TEN14" s="12"/>
      <c r="TFE14" s="12"/>
      <c r="TFF14" s="12"/>
      <c r="TFW14" s="12"/>
      <c r="TFX14" s="12"/>
      <c r="TGO14" s="12"/>
      <c r="TGP14" s="12"/>
      <c r="THG14" s="12"/>
      <c r="THH14" s="12"/>
      <c r="THY14" s="12"/>
      <c r="THZ14" s="12"/>
      <c r="TIQ14" s="12"/>
      <c r="TIR14" s="12"/>
      <c r="TJI14" s="12"/>
      <c r="TJJ14" s="12"/>
      <c r="TKA14" s="12"/>
      <c r="TKB14" s="12"/>
      <c r="TKS14" s="12"/>
      <c r="TKT14" s="12"/>
      <c r="TLK14" s="12"/>
      <c r="TLL14" s="12"/>
      <c r="TMC14" s="12"/>
      <c r="TMD14" s="12"/>
      <c r="TMU14" s="12"/>
      <c r="TMV14" s="12"/>
      <c r="TNM14" s="12"/>
      <c r="TNN14" s="12"/>
      <c r="TOE14" s="12"/>
      <c r="TOF14" s="12"/>
      <c r="TOW14" s="12"/>
      <c r="TOX14" s="12"/>
      <c r="TPO14" s="12"/>
      <c r="TPP14" s="12"/>
      <c r="TQG14" s="12"/>
      <c r="TQH14" s="12"/>
      <c r="TQY14" s="12"/>
      <c r="TQZ14" s="12"/>
      <c r="TRQ14" s="12"/>
      <c r="TRR14" s="12"/>
      <c r="TSI14" s="12"/>
      <c r="TSJ14" s="12"/>
      <c r="TTA14" s="12"/>
      <c r="TTB14" s="12"/>
      <c r="TTS14" s="12"/>
      <c r="TTT14" s="12"/>
      <c r="TUK14" s="12"/>
      <c r="TUL14" s="12"/>
      <c r="TVC14" s="12"/>
      <c r="TVD14" s="12"/>
      <c r="TVU14" s="12"/>
      <c r="TVV14" s="12"/>
      <c r="TWM14" s="12"/>
      <c r="TWN14" s="12"/>
      <c r="TXE14" s="12"/>
      <c r="TXF14" s="12"/>
      <c r="TXW14" s="12"/>
      <c r="TXX14" s="12"/>
      <c r="TYO14" s="12"/>
      <c r="TYP14" s="12"/>
      <c r="TZG14" s="12"/>
      <c r="TZH14" s="12"/>
      <c r="TZY14" s="12"/>
      <c r="TZZ14" s="12"/>
      <c r="UAQ14" s="12"/>
      <c r="UAR14" s="12"/>
      <c r="UBI14" s="12"/>
      <c r="UBJ14" s="12"/>
      <c r="UCA14" s="12"/>
      <c r="UCB14" s="12"/>
      <c r="UCS14" s="12"/>
      <c r="UCT14" s="12"/>
      <c r="UDK14" s="12"/>
      <c r="UDL14" s="12"/>
      <c r="UEC14" s="12"/>
      <c r="UED14" s="12"/>
      <c r="UEU14" s="12"/>
      <c r="UEV14" s="12"/>
      <c r="UFM14" s="12"/>
      <c r="UFN14" s="12"/>
      <c r="UGE14" s="12"/>
      <c r="UGF14" s="12"/>
      <c r="UGW14" s="12"/>
      <c r="UGX14" s="12"/>
      <c r="UHO14" s="12"/>
      <c r="UHP14" s="12"/>
      <c r="UIG14" s="12"/>
      <c r="UIH14" s="12"/>
      <c r="UIY14" s="12"/>
      <c r="UIZ14" s="12"/>
      <c r="UJQ14" s="12"/>
      <c r="UJR14" s="12"/>
      <c r="UKI14" s="12"/>
      <c r="UKJ14" s="12"/>
      <c r="ULA14" s="12"/>
      <c r="ULB14" s="12"/>
      <c r="ULS14" s="12"/>
      <c r="ULT14" s="12"/>
      <c r="UMK14" s="12"/>
      <c r="UML14" s="12"/>
      <c r="UNC14" s="12"/>
      <c r="UND14" s="12"/>
      <c r="UNU14" s="12"/>
      <c r="UNV14" s="12"/>
      <c r="UOM14" s="12"/>
      <c r="UON14" s="12"/>
      <c r="UPE14" s="12"/>
      <c r="UPF14" s="12"/>
      <c r="UPW14" s="12"/>
      <c r="UPX14" s="12"/>
      <c r="UQO14" s="12"/>
      <c r="UQP14" s="12"/>
      <c r="URG14" s="12"/>
      <c r="URH14" s="12"/>
      <c r="URY14" s="12"/>
      <c r="URZ14" s="12"/>
      <c r="USQ14" s="12"/>
      <c r="USR14" s="12"/>
      <c r="UTI14" s="12"/>
      <c r="UTJ14" s="12"/>
      <c r="UUA14" s="12"/>
      <c r="UUB14" s="12"/>
      <c r="UUS14" s="12"/>
      <c r="UUT14" s="12"/>
      <c r="UVK14" s="12"/>
      <c r="UVL14" s="12"/>
      <c r="UWC14" s="12"/>
      <c r="UWD14" s="12"/>
      <c r="UWU14" s="12"/>
      <c r="UWV14" s="12"/>
      <c r="UXM14" s="12"/>
      <c r="UXN14" s="12"/>
      <c r="UYE14" s="12"/>
      <c r="UYF14" s="12"/>
      <c r="UYW14" s="12"/>
      <c r="UYX14" s="12"/>
      <c r="UZO14" s="12"/>
      <c r="UZP14" s="12"/>
      <c r="VAG14" s="12"/>
      <c r="VAH14" s="12"/>
      <c r="VAY14" s="12"/>
      <c r="VAZ14" s="12"/>
      <c r="VBQ14" s="12"/>
      <c r="VBR14" s="12"/>
      <c r="VCI14" s="12"/>
      <c r="VCJ14" s="12"/>
      <c r="VDA14" s="12"/>
      <c r="VDB14" s="12"/>
      <c r="VDS14" s="12"/>
      <c r="VDT14" s="12"/>
      <c r="VEK14" s="12"/>
      <c r="VEL14" s="12"/>
      <c r="VFC14" s="12"/>
      <c r="VFD14" s="12"/>
      <c r="VFU14" s="12"/>
      <c r="VFV14" s="12"/>
      <c r="VGM14" s="12"/>
      <c r="VGN14" s="12"/>
      <c r="VHE14" s="12"/>
      <c r="VHF14" s="12"/>
      <c r="VHW14" s="12"/>
      <c r="VHX14" s="12"/>
      <c r="VIO14" s="12"/>
      <c r="VIP14" s="12"/>
      <c r="VJG14" s="12"/>
      <c r="VJH14" s="12"/>
      <c r="VJY14" s="12"/>
      <c r="VJZ14" s="12"/>
      <c r="VKQ14" s="12"/>
      <c r="VKR14" s="12"/>
      <c r="VLI14" s="12"/>
      <c r="VLJ14" s="12"/>
      <c r="VMA14" s="12"/>
      <c r="VMB14" s="12"/>
      <c r="VMS14" s="12"/>
      <c r="VMT14" s="12"/>
      <c r="VNK14" s="12"/>
      <c r="VNL14" s="12"/>
      <c r="VOC14" s="12"/>
      <c r="VOD14" s="12"/>
      <c r="VOU14" s="12"/>
      <c r="VOV14" s="12"/>
      <c r="VPM14" s="12"/>
      <c r="VPN14" s="12"/>
      <c r="VQE14" s="12"/>
      <c r="VQF14" s="12"/>
      <c r="VQW14" s="12"/>
      <c r="VQX14" s="12"/>
      <c r="VRO14" s="12"/>
      <c r="VRP14" s="12"/>
      <c r="VSG14" s="12"/>
      <c r="VSH14" s="12"/>
      <c r="VSY14" s="12"/>
      <c r="VSZ14" s="12"/>
      <c r="VTQ14" s="12"/>
      <c r="VTR14" s="12"/>
      <c r="VUI14" s="12"/>
      <c r="VUJ14" s="12"/>
      <c r="VVA14" s="12"/>
      <c r="VVB14" s="12"/>
      <c r="VVS14" s="12"/>
      <c r="VVT14" s="12"/>
      <c r="VWK14" s="12"/>
      <c r="VWL14" s="12"/>
      <c r="VXC14" s="12"/>
      <c r="VXD14" s="12"/>
      <c r="VXU14" s="12"/>
      <c r="VXV14" s="12"/>
      <c r="VYM14" s="12"/>
      <c r="VYN14" s="12"/>
      <c r="VZE14" s="12"/>
      <c r="VZF14" s="12"/>
      <c r="VZW14" s="12"/>
      <c r="VZX14" s="12"/>
      <c r="WAO14" s="12"/>
      <c r="WAP14" s="12"/>
      <c r="WBG14" s="12"/>
      <c r="WBH14" s="12"/>
      <c r="WBY14" s="12"/>
      <c r="WBZ14" s="12"/>
      <c r="WCQ14" s="12"/>
      <c r="WCR14" s="12"/>
      <c r="WDI14" s="12"/>
      <c r="WDJ14" s="12"/>
      <c r="WEA14" s="12"/>
      <c r="WEB14" s="12"/>
      <c r="WES14" s="12"/>
      <c r="WET14" s="12"/>
      <c r="WFK14" s="12"/>
      <c r="WFL14" s="12"/>
      <c r="WGC14" s="12"/>
      <c r="WGD14" s="12"/>
      <c r="WGU14" s="12"/>
      <c r="WGV14" s="12"/>
      <c r="WHM14" s="12"/>
      <c r="WHN14" s="12"/>
      <c r="WIE14" s="12"/>
      <c r="WIF14" s="12"/>
      <c r="WIW14" s="12"/>
      <c r="WIX14" s="12"/>
      <c r="WJO14" s="12"/>
      <c r="WJP14" s="12"/>
      <c r="WKG14" s="12"/>
      <c r="WKH14" s="12"/>
      <c r="WKY14" s="12"/>
      <c r="WKZ14" s="12"/>
      <c r="WLQ14" s="12"/>
      <c r="WLR14" s="12"/>
      <c r="WMI14" s="12"/>
      <c r="WMJ14" s="12"/>
      <c r="WNA14" s="12"/>
      <c r="WNB14" s="12"/>
      <c r="WNS14" s="12"/>
      <c r="WNT14" s="12"/>
      <c r="WOK14" s="12"/>
      <c r="WOL14" s="12"/>
      <c r="WPC14" s="12"/>
      <c r="WPD14" s="12"/>
      <c r="WPU14" s="12"/>
      <c r="WPV14" s="12"/>
      <c r="WQM14" s="12"/>
      <c r="WQN14" s="12"/>
      <c r="WRE14" s="12"/>
      <c r="WRF14" s="12"/>
      <c r="WRW14" s="12"/>
      <c r="WRX14" s="12"/>
      <c r="WSO14" s="12"/>
      <c r="WSP14" s="12"/>
      <c r="WTG14" s="12"/>
      <c r="WTH14" s="12"/>
      <c r="WTY14" s="12"/>
      <c r="WTZ14" s="12"/>
      <c r="WUQ14" s="12"/>
      <c r="WUR14" s="12"/>
      <c r="WVI14" s="12"/>
      <c r="WVJ14" s="12"/>
      <c r="WWA14" s="12"/>
      <c r="WWB14" s="12"/>
      <c r="WWS14" s="12"/>
      <c r="WWT14" s="12"/>
      <c r="WXK14" s="12"/>
      <c r="WXL14" s="12"/>
      <c r="WYC14" s="12"/>
      <c r="WYD14" s="12"/>
      <c r="WYU14" s="12"/>
      <c r="WYV14" s="12"/>
      <c r="WZM14" s="12"/>
      <c r="WZN14" s="12"/>
      <c r="XAE14" s="12"/>
      <c r="XAF14" s="12"/>
      <c r="XAW14" s="12"/>
      <c r="XAX14" s="12"/>
      <c r="XBO14" s="12"/>
      <c r="XBP14" s="12"/>
      <c r="XCG14" s="12"/>
      <c r="XCH14" s="12"/>
      <c r="XCY14" s="12"/>
      <c r="XCZ14" s="12"/>
      <c r="XDQ14" s="12"/>
      <c r="XDR14" s="12"/>
      <c r="XEI14" s="12"/>
      <c r="XEJ14" s="12"/>
      <c r="XFA14" s="12"/>
      <c r="XFB14" s="12"/>
    </row>
    <row r="15" spans="1:1010 1027:2036 2053:3062 3079:4088 4105:5114 5131:6140 6157:7166 7183:8192 8209:9200 9217:10226 10243:11252 11269:12278 12295:13304 13321:14330 14347:15356 15373:16382" x14ac:dyDescent="0.35">
      <c r="A15" s="181" t="str">
        <f>'Balance Sheet - Standardized'!A15</f>
        <v xml:space="preserve">    + Accounts Receivable, Net</v>
      </c>
      <c r="B15" s="13" t="str">
        <f>'Balance Sheet - Standardized'!B15</f>
        <v>BS_ACCTS_REC_EXCL_NOTES_REC</v>
      </c>
      <c r="C15" s="77">
        <f>IF('Balance Sheet - Standardized'!C15="",0,'Balance Sheet - Standardized'!C15)/'Balance Sheet - Standardized'!C$61</f>
        <v>0.16534875849973849</v>
      </c>
      <c r="D15" s="77">
        <f>IF('Balance Sheet - Standardized'!D15="",0,'Balance Sheet - Standardized'!D15)/'Balance Sheet - Standardized'!D$61</f>
        <v>0.14593938723242797</v>
      </c>
      <c r="E15" s="77">
        <f>IF('Balance Sheet - Standardized'!E15="",0,'Balance Sheet - Standardized'!E15)/'Balance Sheet - Standardized'!E$61</f>
        <v>0.13814327064542956</v>
      </c>
      <c r="F15" s="77">
        <f>IF('Balance Sheet - Standardized'!F15="",0,'Balance Sheet - Standardized'!F15)/'Balance Sheet - Standardized'!F$61</f>
        <v>0.15100716749881074</v>
      </c>
      <c r="G15" s="77">
        <f>IF('Balance Sheet - Standardized'!G15="",0,'Balance Sheet - Standardized'!G15)/'Balance Sheet - Standardized'!G$61</f>
        <v>0.1482912259914535</v>
      </c>
      <c r="H15" s="77">
        <f>IF('Balance Sheet - Standardized'!H15="",0,'Balance Sheet - Standardized'!H15)/'Balance Sheet - Standardized'!H$61</f>
        <v>0.14691023799995293</v>
      </c>
      <c r="I15" s="77">
        <f>IF('Balance Sheet - Standardized'!I15="",0,'Balance Sheet - Standardized'!I15)/'Balance Sheet - Standardized'!I$61</f>
        <v>0.19446903059580412</v>
      </c>
      <c r="J15" s="77">
        <f>IF('Balance Sheet - Standardized'!J15="",0,'Balance Sheet - Standardized'!J15)/'Balance Sheet - Standardized'!J$61</f>
        <v>0.19415551323659577</v>
      </c>
      <c r="K15" s="77">
        <f>IF('Balance Sheet - Standardized'!K15="",0,'Balance Sheet - Standardized'!K15)/'Balance Sheet - Standardized'!K$61</f>
        <v>0.15337554851676857</v>
      </c>
      <c r="L15" s="77">
        <f>IF('Balance Sheet - Standardized'!L15="",0,'Balance Sheet - Standardized'!L15)/'Balance Sheet - Standardized'!L$61</f>
        <v>0.13442217031620909</v>
      </c>
      <c r="M15" s="106"/>
      <c r="N15" s="106"/>
      <c r="O15" s="106"/>
      <c r="P15" s="106"/>
      <c r="Q15" s="106"/>
      <c r="R15" s="106"/>
      <c r="S15" s="74"/>
      <c r="T15" s="78"/>
      <c r="U15" s="78"/>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row>
    <row r="16" spans="1:1010 1027:2036 2053:3062 3079:4088 4105:5114 5131:6140 6157:7166 7183:8192 8209:9200 9217:10226 10243:11252 11269:12278 12295:13304 13321:14330 14347:15356 15373:16382" x14ac:dyDescent="0.35">
      <c r="A16" s="181" t="str">
        <f>'Balance Sheet - Standardized'!A16</f>
        <v xml:space="preserve">    + Notes Receivable, Net</v>
      </c>
      <c r="B16" s="13" t="str">
        <f>'Balance Sheet - Standardized'!B16</f>
        <v>NOTES_RECEIVABLE</v>
      </c>
      <c r="C16" s="77">
        <f>IF('Balance Sheet - Standardized'!C16="",0,'Balance Sheet - Standardized'!C16)/'Balance Sheet - Standardized'!C$61</f>
        <v>0</v>
      </c>
      <c r="D16" s="77">
        <f>IF('Balance Sheet - Standardized'!D16="",0,'Balance Sheet - Standardized'!D16)/'Balance Sheet - Standardized'!D$61</f>
        <v>0</v>
      </c>
      <c r="E16" s="77">
        <f>IF('Balance Sheet - Standardized'!E16="",0,'Balance Sheet - Standardized'!E16)/'Balance Sheet - Standardized'!E$61</f>
        <v>0</v>
      </c>
      <c r="F16" s="77">
        <f>IF('Balance Sheet - Standardized'!F16="",0,'Balance Sheet - Standardized'!F16)/'Balance Sheet - Standardized'!F$61</f>
        <v>0</v>
      </c>
      <c r="G16" s="77">
        <f>IF('Balance Sheet - Standardized'!G16="",0,'Balance Sheet - Standardized'!G16)/'Balance Sheet - Standardized'!G$61</f>
        <v>0</v>
      </c>
      <c r="H16" s="77">
        <f>IF('Balance Sheet - Standardized'!H16="",0,'Balance Sheet - Standardized'!H16)/'Balance Sheet - Standardized'!H$61</f>
        <v>0</v>
      </c>
      <c r="I16" s="77">
        <f>IF('Balance Sheet - Standardized'!I16="",0,'Balance Sheet - Standardized'!I16)/'Balance Sheet - Standardized'!I$61</f>
        <v>0</v>
      </c>
      <c r="J16" s="77">
        <f>IF('Balance Sheet - Standardized'!J16="",0,'Balance Sheet - Standardized'!J16)/'Balance Sheet - Standardized'!J$61</f>
        <v>0</v>
      </c>
      <c r="K16" s="77">
        <f>IF('Balance Sheet - Standardized'!K16="",0,'Balance Sheet - Standardized'!K16)/'Balance Sheet - Standardized'!K$61</f>
        <v>0</v>
      </c>
      <c r="L16" s="77">
        <f>IF('Balance Sheet - Standardized'!L16="",0,'Balance Sheet - Standardized'!L16)/'Balance Sheet - Standardized'!L$61</f>
        <v>0</v>
      </c>
      <c r="M16" s="106"/>
      <c r="N16" s="106"/>
      <c r="O16" s="106"/>
      <c r="P16" s="106"/>
      <c r="Q16" s="106"/>
      <c r="R16" s="106"/>
      <c r="S16" s="74"/>
      <c r="T16" s="78"/>
      <c r="U16" s="78"/>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row>
    <row r="17" spans="1:1010 1027:2036 2053:3062 3079:4088 4105:5114 5131:6140 6157:7166 7183:8192 8209:9200 9217:10226 10243:11252 11269:12278 12295:13304 13321:14330 14347:15356 15373:16382" x14ac:dyDescent="0.35">
      <c r="A17" s="23" t="str">
        <f>'Balance Sheet - Standardized'!A17</f>
        <v>check</v>
      </c>
      <c r="B17" s="23"/>
      <c r="C17" s="79"/>
      <c r="D17" s="79"/>
      <c r="E17" s="79"/>
      <c r="F17" s="79"/>
      <c r="G17" s="79"/>
      <c r="H17" s="79"/>
      <c r="I17" s="79"/>
      <c r="J17" s="79"/>
      <c r="K17" s="79"/>
      <c r="L17" s="79"/>
      <c r="M17" s="144"/>
      <c r="N17" s="144"/>
      <c r="O17" s="144"/>
      <c r="P17" s="144"/>
      <c r="Q17" s="144"/>
      <c r="R17" s="144"/>
      <c r="S17" s="74"/>
      <c r="T17" s="78"/>
      <c r="U17" s="78"/>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row>
    <row r="18" spans="1:1010 1027:2036 2053:3062 3079:4088 4105:5114 5131:6140 6157:7166 7183:8192 8209:9200 9217:10226 10243:11252 11269:12278 12295:13304 13321:14330 14347:15356 15373:16382" s="11" customFormat="1" x14ac:dyDescent="0.35">
      <c r="A18" s="183" t="str">
        <f>'Balance Sheet - Standardized'!A20</f>
        <v xml:space="preserve">  + Inventories</v>
      </c>
      <c r="B18" s="75" t="str">
        <f>'Balance Sheet - Standardized'!B20</f>
        <v>BS_INVENTORIES</v>
      </c>
      <c r="C18" s="76">
        <f>IF('Balance Sheet - Standardized'!C20="",0,'Balance Sheet - Standardized'!C20)/'Balance Sheet - Standardized'!C$61</f>
        <v>0.15332861552977858</v>
      </c>
      <c r="D18" s="76">
        <f>IF('Balance Sheet - Standardized'!D20="",0,'Balance Sheet - Standardized'!D20)/'Balance Sheet - Standardized'!D$61</f>
        <v>0.17025603123913113</v>
      </c>
      <c r="E18" s="76">
        <f>IF('Balance Sheet - Standardized'!E20="",0,'Balance Sheet - Standardized'!E20)/'Balance Sheet - Standardized'!E$61</f>
        <v>0.15838490692765306</v>
      </c>
      <c r="F18" s="76">
        <f>IF('Balance Sheet - Standardized'!F20="",0,'Balance Sheet - Standardized'!F20)/'Balance Sheet - Standardized'!F$61</f>
        <v>0.18445816027534709</v>
      </c>
      <c r="G18" s="76">
        <f>IF('Balance Sheet - Standardized'!G20="",0,'Balance Sheet - Standardized'!G20)/'Balance Sheet - Standardized'!G$61</f>
        <v>0.18367611642589471</v>
      </c>
      <c r="H18" s="76">
        <f>IF('Balance Sheet - Standardized'!H20="",0,'Balance Sheet - Standardized'!H20)/'Balance Sheet - Standardized'!H$61</f>
        <v>0.22794635780817191</v>
      </c>
      <c r="I18" s="76">
        <f>IF('Balance Sheet - Standardized'!I20="",0,'Balance Sheet - Standardized'!I20)/'Balance Sheet - Standardized'!I$61</f>
        <v>0.27267316116304302</v>
      </c>
      <c r="J18" s="76">
        <f>IF('Balance Sheet - Standardized'!J20="",0,'Balance Sheet - Standardized'!J20)/'Balance Sheet - Standardized'!J$61</f>
        <v>0.20911943781348066</v>
      </c>
      <c r="K18" s="76">
        <f>IF('Balance Sheet - Standardized'!K20="",0,'Balance Sheet - Standardized'!K20)/'Balance Sheet - Standardized'!K$61</f>
        <v>0.20316561260246874</v>
      </c>
      <c r="L18" s="76">
        <f>IF('Balance Sheet - Standardized'!L20="",0,'Balance Sheet - Standardized'!L20)/'Balance Sheet - Standardized'!L$61</f>
        <v>0.16276539063503467</v>
      </c>
      <c r="M18" s="106"/>
      <c r="N18" s="106"/>
      <c r="O18" s="106"/>
      <c r="P18" s="106"/>
      <c r="Q18" s="106"/>
      <c r="R18" s="106"/>
      <c r="S18" s="78"/>
      <c r="T18" s="78"/>
      <c r="U18" s="106"/>
      <c r="V18" s="106"/>
      <c r="W18" s="106"/>
      <c r="X18" s="106"/>
      <c r="Y18" s="106"/>
      <c r="Z18" s="106"/>
      <c r="AA18" s="106"/>
      <c r="AB18" s="106"/>
      <c r="AC18" s="106"/>
      <c r="AD18" s="106"/>
      <c r="AE18" s="106"/>
      <c r="AF18" s="106"/>
      <c r="AG18" s="106"/>
      <c r="AH18" s="106"/>
      <c r="AI18" s="106"/>
      <c r="AJ18" s="106"/>
      <c r="AK18" s="78"/>
      <c r="AL18" s="78"/>
      <c r="AM18" s="106"/>
      <c r="AN18" s="106"/>
      <c r="AO18" s="106"/>
      <c r="AP18" s="106"/>
      <c r="AQ18" s="106"/>
      <c r="AR18" s="106"/>
      <c r="AS18" s="106"/>
      <c r="AT18" s="106"/>
      <c r="AU18" s="106"/>
      <c r="AV18" s="106"/>
      <c r="AW18" s="106"/>
      <c r="AX18" s="106"/>
      <c r="AY18" s="106"/>
      <c r="AZ18" s="106"/>
      <c r="BA18" s="106"/>
      <c r="BB18" s="106"/>
      <c r="BC18" s="78"/>
      <c r="BD18" s="78"/>
      <c r="BE18" s="106"/>
      <c r="BF18" s="106"/>
      <c r="BG18" s="106"/>
      <c r="BH18" s="106"/>
      <c r="BI18" s="106"/>
      <c r="BJ18" s="106"/>
      <c r="BU18" s="12"/>
      <c r="BV18" s="12"/>
      <c r="CM18" s="12"/>
      <c r="CN18" s="12"/>
      <c r="DE18" s="12"/>
      <c r="DF18" s="12"/>
      <c r="DW18" s="12"/>
      <c r="DX18" s="12"/>
      <c r="EO18" s="12"/>
      <c r="EP18" s="12"/>
      <c r="FG18" s="12"/>
      <c r="FH18" s="12"/>
      <c r="FY18" s="12"/>
      <c r="FZ18" s="12"/>
      <c r="GQ18" s="12"/>
      <c r="GR18" s="12"/>
      <c r="HI18" s="12"/>
      <c r="HJ18" s="12"/>
      <c r="IA18" s="12"/>
      <c r="IB18" s="12"/>
      <c r="IS18" s="12"/>
      <c r="IT18" s="12"/>
      <c r="JK18" s="12"/>
      <c r="JL18" s="12"/>
      <c r="KC18" s="12"/>
      <c r="KD18" s="12"/>
      <c r="KU18" s="12"/>
      <c r="KV18" s="12"/>
      <c r="LM18" s="12"/>
      <c r="LN18" s="12"/>
      <c r="ME18" s="12"/>
      <c r="MF18" s="12"/>
      <c r="MW18" s="12"/>
      <c r="MX18" s="12"/>
      <c r="NO18" s="12"/>
      <c r="NP18" s="12"/>
      <c r="OG18" s="12"/>
      <c r="OH18" s="12"/>
      <c r="OY18" s="12"/>
      <c r="OZ18" s="12"/>
      <c r="PQ18" s="12"/>
      <c r="PR18" s="12"/>
      <c r="QI18" s="12"/>
      <c r="QJ18" s="12"/>
      <c r="RA18" s="12"/>
      <c r="RB18" s="12"/>
      <c r="RS18" s="12"/>
      <c r="RT18" s="12"/>
      <c r="SK18" s="12"/>
      <c r="SL18" s="12"/>
      <c r="TC18" s="12"/>
      <c r="TD18" s="12"/>
      <c r="TU18" s="12"/>
      <c r="TV18" s="12"/>
      <c r="UM18" s="12"/>
      <c r="UN18" s="12"/>
      <c r="VE18" s="12"/>
      <c r="VF18" s="12"/>
      <c r="VW18" s="12"/>
      <c r="VX18" s="12"/>
      <c r="WO18" s="12"/>
      <c r="WP18" s="12"/>
      <c r="XG18" s="12"/>
      <c r="XH18" s="12"/>
      <c r="XY18" s="12"/>
      <c r="XZ18" s="12"/>
      <c r="YQ18" s="12"/>
      <c r="YR18" s="12"/>
      <c r="ZI18" s="12"/>
      <c r="ZJ18" s="12"/>
      <c r="AAA18" s="12"/>
      <c r="AAB18" s="12"/>
      <c r="AAS18" s="12"/>
      <c r="AAT18" s="12"/>
      <c r="ABK18" s="12"/>
      <c r="ABL18" s="12"/>
      <c r="ACC18" s="12"/>
      <c r="ACD18" s="12"/>
      <c r="ACU18" s="12"/>
      <c r="ACV18" s="12"/>
      <c r="ADM18" s="12"/>
      <c r="ADN18" s="12"/>
      <c r="AEE18" s="12"/>
      <c r="AEF18" s="12"/>
      <c r="AEW18" s="12"/>
      <c r="AEX18" s="12"/>
      <c r="AFO18" s="12"/>
      <c r="AFP18" s="12"/>
      <c r="AGG18" s="12"/>
      <c r="AGH18" s="12"/>
      <c r="AGY18" s="12"/>
      <c r="AGZ18" s="12"/>
      <c r="AHQ18" s="12"/>
      <c r="AHR18" s="12"/>
      <c r="AII18" s="12"/>
      <c r="AIJ18" s="12"/>
      <c r="AJA18" s="12"/>
      <c r="AJB18" s="12"/>
      <c r="AJS18" s="12"/>
      <c r="AJT18" s="12"/>
      <c r="AKK18" s="12"/>
      <c r="AKL18" s="12"/>
      <c r="ALC18" s="12"/>
      <c r="ALD18" s="12"/>
      <c r="ALU18" s="12"/>
      <c r="ALV18" s="12"/>
      <c r="AMM18" s="12"/>
      <c r="AMN18" s="12"/>
      <c r="ANE18" s="12"/>
      <c r="ANF18" s="12"/>
      <c r="ANW18" s="12"/>
      <c r="ANX18" s="12"/>
      <c r="AOO18" s="12"/>
      <c r="AOP18" s="12"/>
      <c r="APG18" s="12"/>
      <c r="APH18" s="12"/>
      <c r="APY18" s="12"/>
      <c r="APZ18" s="12"/>
      <c r="AQQ18" s="12"/>
      <c r="AQR18" s="12"/>
      <c r="ARI18" s="12"/>
      <c r="ARJ18" s="12"/>
      <c r="ASA18" s="12"/>
      <c r="ASB18" s="12"/>
      <c r="ASS18" s="12"/>
      <c r="AST18" s="12"/>
      <c r="ATK18" s="12"/>
      <c r="ATL18" s="12"/>
      <c r="AUC18" s="12"/>
      <c r="AUD18" s="12"/>
      <c r="AUU18" s="12"/>
      <c r="AUV18" s="12"/>
      <c r="AVM18" s="12"/>
      <c r="AVN18" s="12"/>
      <c r="AWE18" s="12"/>
      <c r="AWF18" s="12"/>
      <c r="AWW18" s="12"/>
      <c r="AWX18" s="12"/>
      <c r="AXO18" s="12"/>
      <c r="AXP18" s="12"/>
      <c r="AYG18" s="12"/>
      <c r="AYH18" s="12"/>
      <c r="AYY18" s="12"/>
      <c r="AYZ18" s="12"/>
      <c r="AZQ18" s="12"/>
      <c r="AZR18" s="12"/>
      <c r="BAI18" s="12"/>
      <c r="BAJ18" s="12"/>
      <c r="BBA18" s="12"/>
      <c r="BBB18" s="12"/>
      <c r="BBS18" s="12"/>
      <c r="BBT18" s="12"/>
      <c r="BCK18" s="12"/>
      <c r="BCL18" s="12"/>
      <c r="BDC18" s="12"/>
      <c r="BDD18" s="12"/>
      <c r="BDU18" s="12"/>
      <c r="BDV18" s="12"/>
      <c r="BEM18" s="12"/>
      <c r="BEN18" s="12"/>
      <c r="BFE18" s="12"/>
      <c r="BFF18" s="12"/>
      <c r="BFW18" s="12"/>
      <c r="BFX18" s="12"/>
      <c r="BGO18" s="12"/>
      <c r="BGP18" s="12"/>
      <c r="BHG18" s="12"/>
      <c r="BHH18" s="12"/>
      <c r="BHY18" s="12"/>
      <c r="BHZ18" s="12"/>
      <c r="BIQ18" s="12"/>
      <c r="BIR18" s="12"/>
      <c r="BJI18" s="12"/>
      <c r="BJJ18" s="12"/>
      <c r="BKA18" s="12"/>
      <c r="BKB18" s="12"/>
      <c r="BKS18" s="12"/>
      <c r="BKT18" s="12"/>
      <c r="BLK18" s="12"/>
      <c r="BLL18" s="12"/>
      <c r="BMC18" s="12"/>
      <c r="BMD18" s="12"/>
      <c r="BMU18" s="12"/>
      <c r="BMV18" s="12"/>
      <c r="BNM18" s="12"/>
      <c r="BNN18" s="12"/>
      <c r="BOE18" s="12"/>
      <c r="BOF18" s="12"/>
      <c r="BOW18" s="12"/>
      <c r="BOX18" s="12"/>
      <c r="BPO18" s="12"/>
      <c r="BPP18" s="12"/>
      <c r="BQG18" s="12"/>
      <c r="BQH18" s="12"/>
      <c r="BQY18" s="12"/>
      <c r="BQZ18" s="12"/>
      <c r="BRQ18" s="12"/>
      <c r="BRR18" s="12"/>
      <c r="BSI18" s="12"/>
      <c r="BSJ18" s="12"/>
      <c r="BTA18" s="12"/>
      <c r="BTB18" s="12"/>
      <c r="BTS18" s="12"/>
      <c r="BTT18" s="12"/>
      <c r="BUK18" s="12"/>
      <c r="BUL18" s="12"/>
      <c r="BVC18" s="12"/>
      <c r="BVD18" s="12"/>
      <c r="BVU18" s="12"/>
      <c r="BVV18" s="12"/>
      <c r="BWM18" s="12"/>
      <c r="BWN18" s="12"/>
      <c r="BXE18" s="12"/>
      <c r="BXF18" s="12"/>
      <c r="BXW18" s="12"/>
      <c r="BXX18" s="12"/>
      <c r="BYO18" s="12"/>
      <c r="BYP18" s="12"/>
      <c r="BZG18" s="12"/>
      <c r="BZH18" s="12"/>
      <c r="BZY18" s="12"/>
      <c r="BZZ18" s="12"/>
      <c r="CAQ18" s="12"/>
      <c r="CAR18" s="12"/>
      <c r="CBI18" s="12"/>
      <c r="CBJ18" s="12"/>
      <c r="CCA18" s="12"/>
      <c r="CCB18" s="12"/>
      <c r="CCS18" s="12"/>
      <c r="CCT18" s="12"/>
      <c r="CDK18" s="12"/>
      <c r="CDL18" s="12"/>
      <c r="CEC18" s="12"/>
      <c r="CED18" s="12"/>
      <c r="CEU18" s="12"/>
      <c r="CEV18" s="12"/>
      <c r="CFM18" s="12"/>
      <c r="CFN18" s="12"/>
      <c r="CGE18" s="12"/>
      <c r="CGF18" s="12"/>
      <c r="CGW18" s="12"/>
      <c r="CGX18" s="12"/>
      <c r="CHO18" s="12"/>
      <c r="CHP18" s="12"/>
      <c r="CIG18" s="12"/>
      <c r="CIH18" s="12"/>
      <c r="CIY18" s="12"/>
      <c r="CIZ18" s="12"/>
      <c r="CJQ18" s="12"/>
      <c r="CJR18" s="12"/>
      <c r="CKI18" s="12"/>
      <c r="CKJ18" s="12"/>
      <c r="CLA18" s="12"/>
      <c r="CLB18" s="12"/>
      <c r="CLS18" s="12"/>
      <c r="CLT18" s="12"/>
      <c r="CMK18" s="12"/>
      <c r="CML18" s="12"/>
      <c r="CNC18" s="12"/>
      <c r="CND18" s="12"/>
      <c r="CNU18" s="12"/>
      <c r="CNV18" s="12"/>
      <c r="COM18" s="12"/>
      <c r="CON18" s="12"/>
      <c r="CPE18" s="12"/>
      <c r="CPF18" s="12"/>
      <c r="CPW18" s="12"/>
      <c r="CPX18" s="12"/>
      <c r="CQO18" s="12"/>
      <c r="CQP18" s="12"/>
      <c r="CRG18" s="12"/>
      <c r="CRH18" s="12"/>
      <c r="CRY18" s="12"/>
      <c r="CRZ18" s="12"/>
      <c r="CSQ18" s="12"/>
      <c r="CSR18" s="12"/>
      <c r="CTI18" s="12"/>
      <c r="CTJ18" s="12"/>
      <c r="CUA18" s="12"/>
      <c r="CUB18" s="12"/>
      <c r="CUS18" s="12"/>
      <c r="CUT18" s="12"/>
      <c r="CVK18" s="12"/>
      <c r="CVL18" s="12"/>
      <c r="CWC18" s="12"/>
      <c r="CWD18" s="12"/>
      <c r="CWU18" s="12"/>
      <c r="CWV18" s="12"/>
      <c r="CXM18" s="12"/>
      <c r="CXN18" s="12"/>
      <c r="CYE18" s="12"/>
      <c r="CYF18" s="12"/>
      <c r="CYW18" s="12"/>
      <c r="CYX18" s="12"/>
      <c r="CZO18" s="12"/>
      <c r="CZP18" s="12"/>
      <c r="DAG18" s="12"/>
      <c r="DAH18" s="12"/>
      <c r="DAY18" s="12"/>
      <c r="DAZ18" s="12"/>
      <c r="DBQ18" s="12"/>
      <c r="DBR18" s="12"/>
      <c r="DCI18" s="12"/>
      <c r="DCJ18" s="12"/>
      <c r="DDA18" s="12"/>
      <c r="DDB18" s="12"/>
      <c r="DDS18" s="12"/>
      <c r="DDT18" s="12"/>
      <c r="DEK18" s="12"/>
      <c r="DEL18" s="12"/>
      <c r="DFC18" s="12"/>
      <c r="DFD18" s="12"/>
      <c r="DFU18" s="12"/>
      <c r="DFV18" s="12"/>
      <c r="DGM18" s="12"/>
      <c r="DGN18" s="12"/>
      <c r="DHE18" s="12"/>
      <c r="DHF18" s="12"/>
      <c r="DHW18" s="12"/>
      <c r="DHX18" s="12"/>
      <c r="DIO18" s="12"/>
      <c r="DIP18" s="12"/>
      <c r="DJG18" s="12"/>
      <c r="DJH18" s="12"/>
      <c r="DJY18" s="12"/>
      <c r="DJZ18" s="12"/>
      <c r="DKQ18" s="12"/>
      <c r="DKR18" s="12"/>
      <c r="DLI18" s="12"/>
      <c r="DLJ18" s="12"/>
      <c r="DMA18" s="12"/>
      <c r="DMB18" s="12"/>
      <c r="DMS18" s="12"/>
      <c r="DMT18" s="12"/>
      <c r="DNK18" s="12"/>
      <c r="DNL18" s="12"/>
      <c r="DOC18" s="12"/>
      <c r="DOD18" s="12"/>
      <c r="DOU18" s="12"/>
      <c r="DOV18" s="12"/>
      <c r="DPM18" s="12"/>
      <c r="DPN18" s="12"/>
      <c r="DQE18" s="12"/>
      <c r="DQF18" s="12"/>
      <c r="DQW18" s="12"/>
      <c r="DQX18" s="12"/>
      <c r="DRO18" s="12"/>
      <c r="DRP18" s="12"/>
      <c r="DSG18" s="12"/>
      <c r="DSH18" s="12"/>
      <c r="DSY18" s="12"/>
      <c r="DSZ18" s="12"/>
      <c r="DTQ18" s="12"/>
      <c r="DTR18" s="12"/>
      <c r="DUI18" s="12"/>
      <c r="DUJ18" s="12"/>
      <c r="DVA18" s="12"/>
      <c r="DVB18" s="12"/>
      <c r="DVS18" s="12"/>
      <c r="DVT18" s="12"/>
      <c r="DWK18" s="12"/>
      <c r="DWL18" s="12"/>
      <c r="DXC18" s="12"/>
      <c r="DXD18" s="12"/>
      <c r="DXU18" s="12"/>
      <c r="DXV18" s="12"/>
      <c r="DYM18" s="12"/>
      <c r="DYN18" s="12"/>
      <c r="DZE18" s="12"/>
      <c r="DZF18" s="12"/>
      <c r="DZW18" s="12"/>
      <c r="DZX18" s="12"/>
      <c r="EAO18" s="12"/>
      <c r="EAP18" s="12"/>
      <c r="EBG18" s="12"/>
      <c r="EBH18" s="12"/>
      <c r="EBY18" s="12"/>
      <c r="EBZ18" s="12"/>
      <c r="ECQ18" s="12"/>
      <c r="ECR18" s="12"/>
      <c r="EDI18" s="12"/>
      <c r="EDJ18" s="12"/>
      <c r="EEA18" s="12"/>
      <c r="EEB18" s="12"/>
      <c r="EES18" s="12"/>
      <c r="EET18" s="12"/>
      <c r="EFK18" s="12"/>
      <c r="EFL18" s="12"/>
      <c r="EGC18" s="12"/>
      <c r="EGD18" s="12"/>
      <c r="EGU18" s="12"/>
      <c r="EGV18" s="12"/>
      <c r="EHM18" s="12"/>
      <c r="EHN18" s="12"/>
      <c r="EIE18" s="12"/>
      <c r="EIF18" s="12"/>
      <c r="EIW18" s="12"/>
      <c r="EIX18" s="12"/>
      <c r="EJO18" s="12"/>
      <c r="EJP18" s="12"/>
      <c r="EKG18" s="12"/>
      <c r="EKH18" s="12"/>
      <c r="EKY18" s="12"/>
      <c r="EKZ18" s="12"/>
      <c r="ELQ18" s="12"/>
      <c r="ELR18" s="12"/>
      <c r="EMI18" s="12"/>
      <c r="EMJ18" s="12"/>
      <c r="ENA18" s="12"/>
      <c r="ENB18" s="12"/>
      <c r="ENS18" s="12"/>
      <c r="ENT18" s="12"/>
      <c r="EOK18" s="12"/>
      <c r="EOL18" s="12"/>
      <c r="EPC18" s="12"/>
      <c r="EPD18" s="12"/>
      <c r="EPU18" s="12"/>
      <c r="EPV18" s="12"/>
      <c r="EQM18" s="12"/>
      <c r="EQN18" s="12"/>
      <c r="ERE18" s="12"/>
      <c r="ERF18" s="12"/>
      <c r="ERW18" s="12"/>
      <c r="ERX18" s="12"/>
      <c r="ESO18" s="12"/>
      <c r="ESP18" s="12"/>
      <c r="ETG18" s="12"/>
      <c r="ETH18" s="12"/>
      <c r="ETY18" s="12"/>
      <c r="ETZ18" s="12"/>
      <c r="EUQ18" s="12"/>
      <c r="EUR18" s="12"/>
      <c r="EVI18" s="12"/>
      <c r="EVJ18" s="12"/>
      <c r="EWA18" s="12"/>
      <c r="EWB18" s="12"/>
      <c r="EWS18" s="12"/>
      <c r="EWT18" s="12"/>
      <c r="EXK18" s="12"/>
      <c r="EXL18" s="12"/>
      <c r="EYC18" s="12"/>
      <c r="EYD18" s="12"/>
      <c r="EYU18" s="12"/>
      <c r="EYV18" s="12"/>
      <c r="EZM18" s="12"/>
      <c r="EZN18" s="12"/>
      <c r="FAE18" s="12"/>
      <c r="FAF18" s="12"/>
      <c r="FAW18" s="12"/>
      <c r="FAX18" s="12"/>
      <c r="FBO18" s="12"/>
      <c r="FBP18" s="12"/>
      <c r="FCG18" s="12"/>
      <c r="FCH18" s="12"/>
      <c r="FCY18" s="12"/>
      <c r="FCZ18" s="12"/>
      <c r="FDQ18" s="12"/>
      <c r="FDR18" s="12"/>
      <c r="FEI18" s="12"/>
      <c r="FEJ18" s="12"/>
      <c r="FFA18" s="12"/>
      <c r="FFB18" s="12"/>
      <c r="FFS18" s="12"/>
      <c r="FFT18" s="12"/>
      <c r="FGK18" s="12"/>
      <c r="FGL18" s="12"/>
      <c r="FHC18" s="12"/>
      <c r="FHD18" s="12"/>
      <c r="FHU18" s="12"/>
      <c r="FHV18" s="12"/>
      <c r="FIM18" s="12"/>
      <c r="FIN18" s="12"/>
      <c r="FJE18" s="12"/>
      <c r="FJF18" s="12"/>
      <c r="FJW18" s="12"/>
      <c r="FJX18" s="12"/>
      <c r="FKO18" s="12"/>
      <c r="FKP18" s="12"/>
      <c r="FLG18" s="12"/>
      <c r="FLH18" s="12"/>
      <c r="FLY18" s="12"/>
      <c r="FLZ18" s="12"/>
      <c r="FMQ18" s="12"/>
      <c r="FMR18" s="12"/>
      <c r="FNI18" s="12"/>
      <c r="FNJ18" s="12"/>
      <c r="FOA18" s="12"/>
      <c r="FOB18" s="12"/>
      <c r="FOS18" s="12"/>
      <c r="FOT18" s="12"/>
      <c r="FPK18" s="12"/>
      <c r="FPL18" s="12"/>
      <c r="FQC18" s="12"/>
      <c r="FQD18" s="12"/>
      <c r="FQU18" s="12"/>
      <c r="FQV18" s="12"/>
      <c r="FRM18" s="12"/>
      <c r="FRN18" s="12"/>
      <c r="FSE18" s="12"/>
      <c r="FSF18" s="12"/>
      <c r="FSW18" s="12"/>
      <c r="FSX18" s="12"/>
      <c r="FTO18" s="12"/>
      <c r="FTP18" s="12"/>
      <c r="FUG18" s="12"/>
      <c r="FUH18" s="12"/>
      <c r="FUY18" s="12"/>
      <c r="FUZ18" s="12"/>
      <c r="FVQ18" s="12"/>
      <c r="FVR18" s="12"/>
      <c r="FWI18" s="12"/>
      <c r="FWJ18" s="12"/>
      <c r="FXA18" s="12"/>
      <c r="FXB18" s="12"/>
      <c r="FXS18" s="12"/>
      <c r="FXT18" s="12"/>
      <c r="FYK18" s="12"/>
      <c r="FYL18" s="12"/>
      <c r="FZC18" s="12"/>
      <c r="FZD18" s="12"/>
      <c r="FZU18" s="12"/>
      <c r="FZV18" s="12"/>
      <c r="GAM18" s="12"/>
      <c r="GAN18" s="12"/>
      <c r="GBE18" s="12"/>
      <c r="GBF18" s="12"/>
      <c r="GBW18" s="12"/>
      <c r="GBX18" s="12"/>
      <c r="GCO18" s="12"/>
      <c r="GCP18" s="12"/>
      <c r="GDG18" s="12"/>
      <c r="GDH18" s="12"/>
      <c r="GDY18" s="12"/>
      <c r="GDZ18" s="12"/>
      <c r="GEQ18" s="12"/>
      <c r="GER18" s="12"/>
      <c r="GFI18" s="12"/>
      <c r="GFJ18" s="12"/>
      <c r="GGA18" s="12"/>
      <c r="GGB18" s="12"/>
      <c r="GGS18" s="12"/>
      <c r="GGT18" s="12"/>
      <c r="GHK18" s="12"/>
      <c r="GHL18" s="12"/>
      <c r="GIC18" s="12"/>
      <c r="GID18" s="12"/>
      <c r="GIU18" s="12"/>
      <c r="GIV18" s="12"/>
      <c r="GJM18" s="12"/>
      <c r="GJN18" s="12"/>
      <c r="GKE18" s="12"/>
      <c r="GKF18" s="12"/>
      <c r="GKW18" s="12"/>
      <c r="GKX18" s="12"/>
      <c r="GLO18" s="12"/>
      <c r="GLP18" s="12"/>
      <c r="GMG18" s="12"/>
      <c r="GMH18" s="12"/>
      <c r="GMY18" s="12"/>
      <c r="GMZ18" s="12"/>
      <c r="GNQ18" s="12"/>
      <c r="GNR18" s="12"/>
      <c r="GOI18" s="12"/>
      <c r="GOJ18" s="12"/>
      <c r="GPA18" s="12"/>
      <c r="GPB18" s="12"/>
      <c r="GPS18" s="12"/>
      <c r="GPT18" s="12"/>
      <c r="GQK18" s="12"/>
      <c r="GQL18" s="12"/>
      <c r="GRC18" s="12"/>
      <c r="GRD18" s="12"/>
      <c r="GRU18" s="12"/>
      <c r="GRV18" s="12"/>
      <c r="GSM18" s="12"/>
      <c r="GSN18" s="12"/>
      <c r="GTE18" s="12"/>
      <c r="GTF18" s="12"/>
      <c r="GTW18" s="12"/>
      <c r="GTX18" s="12"/>
      <c r="GUO18" s="12"/>
      <c r="GUP18" s="12"/>
      <c r="GVG18" s="12"/>
      <c r="GVH18" s="12"/>
      <c r="GVY18" s="12"/>
      <c r="GVZ18" s="12"/>
      <c r="GWQ18" s="12"/>
      <c r="GWR18" s="12"/>
      <c r="GXI18" s="12"/>
      <c r="GXJ18" s="12"/>
      <c r="GYA18" s="12"/>
      <c r="GYB18" s="12"/>
      <c r="GYS18" s="12"/>
      <c r="GYT18" s="12"/>
      <c r="GZK18" s="12"/>
      <c r="GZL18" s="12"/>
      <c r="HAC18" s="12"/>
      <c r="HAD18" s="12"/>
      <c r="HAU18" s="12"/>
      <c r="HAV18" s="12"/>
      <c r="HBM18" s="12"/>
      <c r="HBN18" s="12"/>
      <c r="HCE18" s="12"/>
      <c r="HCF18" s="12"/>
      <c r="HCW18" s="12"/>
      <c r="HCX18" s="12"/>
      <c r="HDO18" s="12"/>
      <c r="HDP18" s="12"/>
      <c r="HEG18" s="12"/>
      <c r="HEH18" s="12"/>
      <c r="HEY18" s="12"/>
      <c r="HEZ18" s="12"/>
      <c r="HFQ18" s="12"/>
      <c r="HFR18" s="12"/>
      <c r="HGI18" s="12"/>
      <c r="HGJ18" s="12"/>
      <c r="HHA18" s="12"/>
      <c r="HHB18" s="12"/>
      <c r="HHS18" s="12"/>
      <c r="HHT18" s="12"/>
      <c r="HIK18" s="12"/>
      <c r="HIL18" s="12"/>
      <c r="HJC18" s="12"/>
      <c r="HJD18" s="12"/>
      <c r="HJU18" s="12"/>
      <c r="HJV18" s="12"/>
      <c r="HKM18" s="12"/>
      <c r="HKN18" s="12"/>
      <c r="HLE18" s="12"/>
      <c r="HLF18" s="12"/>
      <c r="HLW18" s="12"/>
      <c r="HLX18" s="12"/>
      <c r="HMO18" s="12"/>
      <c r="HMP18" s="12"/>
      <c r="HNG18" s="12"/>
      <c r="HNH18" s="12"/>
      <c r="HNY18" s="12"/>
      <c r="HNZ18" s="12"/>
      <c r="HOQ18" s="12"/>
      <c r="HOR18" s="12"/>
      <c r="HPI18" s="12"/>
      <c r="HPJ18" s="12"/>
      <c r="HQA18" s="12"/>
      <c r="HQB18" s="12"/>
      <c r="HQS18" s="12"/>
      <c r="HQT18" s="12"/>
      <c r="HRK18" s="12"/>
      <c r="HRL18" s="12"/>
      <c r="HSC18" s="12"/>
      <c r="HSD18" s="12"/>
      <c r="HSU18" s="12"/>
      <c r="HSV18" s="12"/>
      <c r="HTM18" s="12"/>
      <c r="HTN18" s="12"/>
      <c r="HUE18" s="12"/>
      <c r="HUF18" s="12"/>
      <c r="HUW18" s="12"/>
      <c r="HUX18" s="12"/>
      <c r="HVO18" s="12"/>
      <c r="HVP18" s="12"/>
      <c r="HWG18" s="12"/>
      <c r="HWH18" s="12"/>
      <c r="HWY18" s="12"/>
      <c r="HWZ18" s="12"/>
      <c r="HXQ18" s="12"/>
      <c r="HXR18" s="12"/>
      <c r="HYI18" s="12"/>
      <c r="HYJ18" s="12"/>
      <c r="HZA18" s="12"/>
      <c r="HZB18" s="12"/>
      <c r="HZS18" s="12"/>
      <c r="HZT18" s="12"/>
      <c r="IAK18" s="12"/>
      <c r="IAL18" s="12"/>
      <c r="IBC18" s="12"/>
      <c r="IBD18" s="12"/>
      <c r="IBU18" s="12"/>
      <c r="IBV18" s="12"/>
      <c r="ICM18" s="12"/>
      <c r="ICN18" s="12"/>
      <c r="IDE18" s="12"/>
      <c r="IDF18" s="12"/>
      <c r="IDW18" s="12"/>
      <c r="IDX18" s="12"/>
      <c r="IEO18" s="12"/>
      <c r="IEP18" s="12"/>
      <c r="IFG18" s="12"/>
      <c r="IFH18" s="12"/>
      <c r="IFY18" s="12"/>
      <c r="IFZ18" s="12"/>
      <c r="IGQ18" s="12"/>
      <c r="IGR18" s="12"/>
      <c r="IHI18" s="12"/>
      <c r="IHJ18" s="12"/>
      <c r="IIA18" s="12"/>
      <c r="IIB18" s="12"/>
      <c r="IIS18" s="12"/>
      <c r="IIT18" s="12"/>
      <c r="IJK18" s="12"/>
      <c r="IJL18" s="12"/>
      <c r="IKC18" s="12"/>
      <c r="IKD18" s="12"/>
      <c r="IKU18" s="12"/>
      <c r="IKV18" s="12"/>
      <c r="ILM18" s="12"/>
      <c r="ILN18" s="12"/>
      <c r="IME18" s="12"/>
      <c r="IMF18" s="12"/>
      <c r="IMW18" s="12"/>
      <c r="IMX18" s="12"/>
      <c r="INO18" s="12"/>
      <c r="INP18" s="12"/>
      <c r="IOG18" s="12"/>
      <c r="IOH18" s="12"/>
      <c r="IOY18" s="12"/>
      <c r="IOZ18" s="12"/>
      <c r="IPQ18" s="12"/>
      <c r="IPR18" s="12"/>
      <c r="IQI18" s="12"/>
      <c r="IQJ18" s="12"/>
      <c r="IRA18" s="12"/>
      <c r="IRB18" s="12"/>
      <c r="IRS18" s="12"/>
      <c r="IRT18" s="12"/>
      <c r="ISK18" s="12"/>
      <c r="ISL18" s="12"/>
      <c r="ITC18" s="12"/>
      <c r="ITD18" s="12"/>
      <c r="ITU18" s="12"/>
      <c r="ITV18" s="12"/>
      <c r="IUM18" s="12"/>
      <c r="IUN18" s="12"/>
      <c r="IVE18" s="12"/>
      <c r="IVF18" s="12"/>
      <c r="IVW18" s="12"/>
      <c r="IVX18" s="12"/>
      <c r="IWO18" s="12"/>
      <c r="IWP18" s="12"/>
      <c r="IXG18" s="12"/>
      <c r="IXH18" s="12"/>
      <c r="IXY18" s="12"/>
      <c r="IXZ18" s="12"/>
      <c r="IYQ18" s="12"/>
      <c r="IYR18" s="12"/>
      <c r="IZI18" s="12"/>
      <c r="IZJ18" s="12"/>
      <c r="JAA18" s="12"/>
      <c r="JAB18" s="12"/>
      <c r="JAS18" s="12"/>
      <c r="JAT18" s="12"/>
      <c r="JBK18" s="12"/>
      <c r="JBL18" s="12"/>
      <c r="JCC18" s="12"/>
      <c r="JCD18" s="12"/>
      <c r="JCU18" s="12"/>
      <c r="JCV18" s="12"/>
      <c r="JDM18" s="12"/>
      <c r="JDN18" s="12"/>
      <c r="JEE18" s="12"/>
      <c r="JEF18" s="12"/>
      <c r="JEW18" s="12"/>
      <c r="JEX18" s="12"/>
      <c r="JFO18" s="12"/>
      <c r="JFP18" s="12"/>
      <c r="JGG18" s="12"/>
      <c r="JGH18" s="12"/>
      <c r="JGY18" s="12"/>
      <c r="JGZ18" s="12"/>
      <c r="JHQ18" s="12"/>
      <c r="JHR18" s="12"/>
      <c r="JII18" s="12"/>
      <c r="JIJ18" s="12"/>
      <c r="JJA18" s="12"/>
      <c r="JJB18" s="12"/>
      <c r="JJS18" s="12"/>
      <c r="JJT18" s="12"/>
      <c r="JKK18" s="12"/>
      <c r="JKL18" s="12"/>
      <c r="JLC18" s="12"/>
      <c r="JLD18" s="12"/>
      <c r="JLU18" s="12"/>
      <c r="JLV18" s="12"/>
      <c r="JMM18" s="12"/>
      <c r="JMN18" s="12"/>
      <c r="JNE18" s="12"/>
      <c r="JNF18" s="12"/>
      <c r="JNW18" s="12"/>
      <c r="JNX18" s="12"/>
      <c r="JOO18" s="12"/>
      <c r="JOP18" s="12"/>
      <c r="JPG18" s="12"/>
      <c r="JPH18" s="12"/>
      <c r="JPY18" s="12"/>
      <c r="JPZ18" s="12"/>
      <c r="JQQ18" s="12"/>
      <c r="JQR18" s="12"/>
      <c r="JRI18" s="12"/>
      <c r="JRJ18" s="12"/>
      <c r="JSA18" s="12"/>
      <c r="JSB18" s="12"/>
      <c r="JSS18" s="12"/>
      <c r="JST18" s="12"/>
      <c r="JTK18" s="12"/>
      <c r="JTL18" s="12"/>
      <c r="JUC18" s="12"/>
      <c r="JUD18" s="12"/>
      <c r="JUU18" s="12"/>
      <c r="JUV18" s="12"/>
      <c r="JVM18" s="12"/>
      <c r="JVN18" s="12"/>
      <c r="JWE18" s="12"/>
      <c r="JWF18" s="12"/>
      <c r="JWW18" s="12"/>
      <c r="JWX18" s="12"/>
      <c r="JXO18" s="12"/>
      <c r="JXP18" s="12"/>
      <c r="JYG18" s="12"/>
      <c r="JYH18" s="12"/>
      <c r="JYY18" s="12"/>
      <c r="JYZ18" s="12"/>
      <c r="JZQ18" s="12"/>
      <c r="JZR18" s="12"/>
      <c r="KAI18" s="12"/>
      <c r="KAJ18" s="12"/>
      <c r="KBA18" s="12"/>
      <c r="KBB18" s="12"/>
      <c r="KBS18" s="12"/>
      <c r="KBT18" s="12"/>
      <c r="KCK18" s="12"/>
      <c r="KCL18" s="12"/>
      <c r="KDC18" s="12"/>
      <c r="KDD18" s="12"/>
      <c r="KDU18" s="12"/>
      <c r="KDV18" s="12"/>
      <c r="KEM18" s="12"/>
      <c r="KEN18" s="12"/>
      <c r="KFE18" s="12"/>
      <c r="KFF18" s="12"/>
      <c r="KFW18" s="12"/>
      <c r="KFX18" s="12"/>
      <c r="KGO18" s="12"/>
      <c r="KGP18" s="12"/>
      <c r="KHG18" s="12"/>
      <c r="KHH18" s="12"/>
      <c r="KHY18" s="12"/>
      <c r="KHZ18" s="12"/>
      <c r="KIQ18" s="12"/>
      <c r="KIR18" s="12"/>
      <c r="KJI18" s="12"/>
      <c r="KJJ18" s="12"/>
      <c r="KKA18" s="12"/>
      <c r="KKB18" s="12"/>
      <c r="KKS18" s="12"/>
      <c r="KKT18" s="12"/>
      <c r="KLK18" s="12"/>
      <c r="KLL18" s="12"/>
      <c r="KMC18" s="12"/>
      <c r="KMD18" s="12"/>
      <c r="KMU18" s="12"/>
      <c r="KMV18" s="12"/>
      <c r="KNM18" s="12"/>
      <c r="KNN18" s="12"/>
      <c r="KOE18" s="12"/>
      <c r="KOF18" s="12"/>
      <c r="KOW18" s="12"/>
      <c r="KOX18" s="12"/>
      <c r="KPO18" s="12"/>
      <c r="KPP18" s="12"/>
      <c r="KQG18" s="12"/>
      <c r="KQH18" s="12"/>
      <c r="KQY18" s="12"/>
      <c r="KQZ18" s="12"/>
      <c r="KRQ18" s="12"/>
      <c r="KRR18" s="12"/>
      <c r="KSI18" s="12"/>
      <c r="KSJ18" s="12"/>
      <c r="KTA18" s="12"/>
      <c r="KTB18" s="12"/>
      <c r="KTS18" s="12"/>
      <c r="KTT18" s="12"/>
      <c r="KUK18" s="12"/>
      <c r="KUL18" s="12"/>
      <c r="KVC18" s="12"/>
      <c r="KVD18" s="12"/>
      <c r="KVU18" s="12"/>
      <c r="KVV18" s="12"/>
      <c r="KWM18" s="12"/>
      <c r="KWN18" s="12"/>
      <c r="KXE18" s="12"/>
      <c r="KXF18" s="12"/>
      <c r="KXW18" s="12"/>
      <c r="KXX18" s="12"/>
      <c r="KYO18" s="12"/>
      <c r="KYP18" s="12"/>
      <c r="KZG18" s="12"/>
      <c r="KZH18" s="12"/>
      <c r="KZY18" s="12"/>
      <c r="KZZ18" s="12"/>
      <c r="LAQ18" s="12"/>
      <c r="LAR18" s="12"/>
      <c r="LBI18" s="12"/>
      <c r="LBJ18" s="12"/>
      <c r="LCA18" s="12"/>
      <c r="LCB18" s="12"/>
      <c r="LCS18" s="12"/>
      <c r="LCT18" s="12"/>
      <c r="LDK18" s="12"/>
      <c r="LDL18" s="12"/>
      <c r="LEC18" s="12"/>
      <c r="LED18" s="12"/>
      <c r="LEU18" s="12"/>
      <c r="LEV18" s="12"/>
      <c r="LFM18" s="12"/>
      <c r="LFN18" s="12"/>
      <c r="LGE18" s="12"/>
      <c r="LGF18" s="12"/>
      <c r="LGW18" s="12"/>
      <c r="LGX18" s="12"/>
      <c r="LHO18" s="12"/>
      <c r="LHP18" s="12"/>
      <c r="LIG18" s="12"/>
      <c r="LIH18" s="12"/>
      <c r="LIY18" s="12"/>
      <c r="LIZ18" s="12"/>
      <c r="LJQ18" s="12"/>
      <c r="LJR18" s="12"/>
      <c r="LKI18" s="12"/>
      <c r="LKJ18" s="12"/>
      <c r="LLA18" s="12"/>
      <c r="LLB18" s="12"/>
      <c r="LLS18" s="12"/>
      <c r="LLT18" s="12"/>
      <c r="LMK18" s="12"/>
      <c r="LML18" s="12"/>
      <c r="LNC18" s="12"/>
      <c r="LND18" s="12"/>
      <c r="LNU18" s="12"/>
      <c r="LNV18" s="12"/>
      <c r="LOM18" s="12"/>
      <c r="LON18" s="12"/>
      <c r="LPE18" s="12"/>
      <c r="LPF18" s="12"/>
      <c r="LPW18" s="12"/>
      <c r="LPX18" s="12"/>
      <c r="LQO18" s="12"/>
      <c r="LQP18" s="12"/>
      <c r="LRG18" s="12"/>
      <c r="LRH18" s="12"/>
      <c r="LRY18" s="12"/>
      <c r="LRZ18" s="12"/>
      <c r="LSQ18" s="12"/>
      <c r="LSR18" s="12"/>
      <c r="LTI18" s="12"/>
      <c r="LTJ18" s="12"/>
      <c r="LUA18" s="12"/>
      <c r="LUB18" s="12"/>
      <c r="LUS18" s="12"/>
      <c r="LUT18" s="12"/>
      <c r="LVK18" s="12"/>
      <c r="LVL18" s="12"/>
      <c r="LWC18" s="12"/>
      <c r="LWD18" s="12"/>
      <c r="LWU18" s="12"/>
      <c r="LWV18" s="12"/>
      <c r="LXM18" s="12"/>
      <c r="LXN18" s="12"/>
      <c r="LYE18" s="12"/>
      <c r="LYF18" s="12"/>
      <c r="LYW18" s="12"/>
      <c r="LYX18" s="12"/>
      <c r="LZO18" s="12"/>
      <c r="LZP18" s="12"/>
      <c r="MAG18" s="12"/>
      <c r="MAH18" s="12"/>
      <c r="MAY18" s="12"/>
      <c r="MAZ18" s="12"/>
      <c r="MBQ18" s="12"/>
      <c r="MBR18" s="12"/>
      <c r="MCI18" s="12"/>
      <c r="MCJ18" s="12"/>
      <c r="MDA18" s="12"/>
      <c r="MDB18" s="12"/>
      <c r="MDS18" s="12"/>
      <c r="MDT18" s="12"/>
      <c r="MEK18" s="12"/>
      <c r="MEL18" s="12"/>
      <c r="MFC18" s="12"/>
      <c r="MFD18" s="12"/>
      <c r="MFU18" s="12"/>
      <c r="MFV18" s="12"/>
      <c r="MGM18" s="12"/>
      <c r="MGN18" s="12"/>
      <c r="MHE18" s="12"/>
      <c r="MHF18" s="12"/>
      <c r="MHW18" s="12"/>
      <c r="MHX18" s="12"/>
      <c r="MIO18" s="12"/>
      <c r="MIP18" s="12"/>
      <c r="MJG18" s="12"/>
      <c r="MJH18" s="12"/>
      <c r="MJY18" s="12"/>
      <c r="MJZ18" s="12"/>
      <c r="MKQ18" s="12"/>
      <c r="MKR18" s="12"/>
      <c r="MLI18" s="12"/>
      <c r="MLJ18" s="12"/>
      <c r="MMA18" s="12"/>
      <c r="MMB18" s="12"/>
      <c r="MMS18" s="12"/>
      <c r="MMT18" s="12"/>
      <c r="MNK18" s="12"/>
      <c r="MNL18" s="12"/>
      <c r="MOC18" s="12"/>
      <c r="MOD18" s="12"/>
      <c r="MOU18" s="12"/>
      <c r="MOV18" s="12"/>
      <c r="MPM18" s="12"/>
      <c r="MPN18" s="12"/>
      <c r="MQE18" s="12"/>
      <c r="MQF18" s="12"/>
      <c r="MQW18" s="12"/>
      <c r="MQX18" s="12"/>
      <c r="MRO18" s="12"/>
      <c r="MRP18" s="12"/>
      <c r="MSG18" s="12"/>
      <c r="MSH18" s="12"/>
      <c r="MSY18" s="12"/>
      <c r="MSZ18" s="12"/>
      <c r="MTQ18" s="12"/>
      <c r="MTR18" s="12"/>
      <c r="MUI18" s="12"/>
      <c r="MUJ18" s="12"/>
      <c r="MVA18" s="12"/>
      <c r="MVB18" s="12"/>
      <c r="MVS18" s="12"/>
      <c r="MVT18" s="12"/>
      <c r="MWK18" s="12"/>
      <c r="MWL18" s="12"/>
      <c r="MXC18" s="12"/>
      <c r="MXD18" s="12"/>
      <c r="MXU18" s="12"/>
      <c r="MXV18" s="12"/>
      <c r="MYM18" s="12"/>
      <c r="MYN18" s="12"/>
      <c r="MZE18" s="12"/>
      <c r="MZF18" s="12"/>
      <c r="MZW18" s="12"/>
      <c r="MZX18" s="12"/>
      <c r="NAO18" s="12"/>
      <c r="NAP18" s="12"/>
      <c r="NBG18" s="12"/>
      <c r="NBH18" s="12"/>
      <c r="NBY18" s="12"/>
      <c r="NBZ18" s="12"/>
      <c r="NCQ18" s="12"/>
      <c r="NCR18" s="12"/>
      <c r="NDI18" s="12"/>
      <c r="NDJ18" s="12"/>
      <c r="NEA18" s="12"/>
      <c r="NEB18" s="12"/>
      <c r="NES18" s="12"/>
      <c r="NET18" s="12"/>
      <c r="NFK18" s="12"/>
      <c r="NFL18" s="12"/>
      <c r="NGC18" s="12"/>
      <c r="NGD18" s="12"/>
      <c r="NGU18" s="12"/>
      <c r="NGV18" s="12"/>
      <c r="NHM18" s="12"/>
      <c r="NHN18" s="12"/>
      <c r="NIE18" s="12"/>
      <c r="NIF18" s="12"/>
      <c r="NIW18" s="12"/>
      <c r="NIX18" s="12"/>
      <c r="NJO18" s="12"/>
      <c r="NJP18" s="12"/>
      <c r="NKG18" s="12"/>
      <c r="NKH18" s="12"/>
      <c r="NKY18" s="12"/>
      <c r="NKZ18" s="12"/>
      <c r="NLQ18" s="12"/>
      <c r="NLR18" s="12"/>
      <c r="NMI18" s="12"/>
      <c r="NMJ18" s="12"/>
      <c r="NNA18" s="12"/>
      <c r="NNB18" s="12"/>
      <c r="NNS18" s="12"/>
      <c r="NNT18" s="12"/>
      <c r="NOK18" s="12"/>
      <c r="NOL18" s="12"/>
      <c r="NPC18" s="12"/>
      <c r="NPD18" s="12"/>
      <c r="NPU18" s="12"/>
      <c r="NPV18" s="12"/>
      <c r="NQM18" s="12"/>
      <c r="NQN18" s="12"/>
      <c r="NRE18" s="12"/>
      <c r="NRF18" s="12"/>
      <c r="NRW18" s="12"/>
      <c r="NRX18" s="12"/>
      <c r="NSO18" s="12"/>
      <c r="NSP18" s="12"/>
      <c r="NTG18" s="12"/>
      <c r="NTH18" s="12"/>
      <c r="NTY18" s="12"/>
      <c r="NTZ18" s="12"/>
      <c r="NUQ18" s="12"/>
      <c r="NUR18" s="12"/>
      <c r="NVI18" s="12"/>
      <c r="NVJ18" s="12"/>
      <c r="NWA18" s="12"/>
      <c r="NWB18" s="12"/>
      <c r="NWS18" s="12"/>
      <c r="NWT18" s="12"/>
      <c r="NXK18" s="12"/>
      <c r="NXL18" s="12"/>
      <c r="NYC18" s="12"/>
      <c r="NYD18" s="12"/>
      <c r="NYU18" s="12"/>
      <c r="NYV18" s="12"/>
      <c r="NZM18" s="12"/>
      <c r="NZN18" s="12"/>
      <c r="OAE18" s="12"/>
      <c r="OAF18" s="12"/>
      <c r="OAW18" s="12"/>
      <c r="OAX18" s="12"/>
      <c r="OBO18" s="12"/>
      <c r="OBP18" s="12"/>
      <c r="OCG18" s="12"/>
      <c r="OCH18" s="12"/>
      <c r="OCY18" s="12"/>
      <c r="OCZ18" s="12"/>
      <c r="ODQ18" s="12"/>
      <c r="ODR18" s="12"/>
      <c r="OEI18" s="12"/>
      <c r="OEJ18" s="12"/>
      <c r="OFA18" s="12"/>
      <c r="OFB18" s="12"/>
      <c r="OFS18" s="12"/>
      <c r="OFT18" s="12"/>
      <c r="OGK18" s="12"/>
      <c r="OGL18" s="12"/>
      <c r="OHC18" s="12"/>
      <c r="OHD18" s="12"/>
      <c r="OHU18" s="12"/>
      <c r="OHV18" s="12"/>
      <c r="OIM18" s="12"/>
      <c r="OIN18" s="12"/>
      <c r="OJE18" s="12"/>
      <c r="OJF18" s="12"/>
      <c r="OJW18" s="12"/>
      <c r="OJX18" s="12"/>
      <c r="OKO18" s="12"/>
      <c r="OKP18" s="12"/>
      <c r="OLG18" s="12"/>
      <c r="OLH18" s="12"/>
      <c r="OLY18" s="12"/>
      <c r="OLZ18" s="12"/>
      <c r="OMQ18" s="12"/>
      <c r="OMR18" s="12"/>
      <c r="ONI18" s="12"/>
      <c r="ONJ18" s="12"/>
      <c r="OOA18" s="12"/>
      <c r="OOB18" s="12"/>
      <c r="OOS18" s="12"/>
      <c r="OOT18" s="12"/>
      <c r="OPK18" s="12"/>
      <c r="OPL18" s="12"/>
      <c r="OQC18" s="12"/>
      <c r="OQD18" s="12"/>
      <c r="OQU18" s="12"/>
      <c r="OQV18" s="12"/>
      <c r="ORM18" s="12"/>
      <c r="ORN18" s="12"/>
      <c r="OSE18" s="12"/>
      <c r="OSF18" s="12"/>
      <c r="OSW18" s="12"/>
      <c r="OSX18" s="12"/>
      <c r="OTO18" s="12"/>
      <c r="OTP18" s="12"/>
      <c r="OUG18" s="12"/>
      <c r="OUH18" s="12"/>
      <c r="OUY18" s="12"/>
      <c r="OUZ18" s="12"/>
      <c r="OVQ18" s="12"/>
      <c r="OVR18" s="12"/>
      <c r="OWI18" s="12"/>
      <c r="OWJ18" s="12"/>
      <c r="OXA18" s="12"/>
      <c r="OXB18" s="12"/>
      <c r="OXS18" s="12"/>
      <c r="OXT18" s="12"/>
      <c r="OYK18" s="12"/>
      <c r="OYL18" s="12"/>
      <c r="OZC18" s="12"/>
      <c r="OZD18" s="12"/>
      <c r="OZU18" s="12"/>
      <c r="OZV18" s="12"/>
      <c r="PAM18" s="12"/>
      <c r="PAN18" s="12"/>
      <c r="PBE18" s="12"/>
      <c r="PBF18" s="12"/>
      <c r="PBW18" s="12"/>
      <c r="PBX18" s="12"/>
      <c r="PCO18" s="12"/>
      <c r="PCP18" s="12"/>
      <c r="PDG18" s="12"/>
      <c r="PDH18" s="12"/>
      <c r="PDY18" s="12"/>
      <c r="PDZ18" s="12"/>
      <c r="PEQ18" s="12"/>
      <c r="PER18" s="12"/>
      <c r="PFI18" s="12"/>
      <c r="PFJ18" s="12"/>
      <c r="PGA18" s="12"/>
      <c r="PGB18" s="12"/>
      <c r="PGS18" s="12"/>
      <c r="PGT18" s="12"/>
      <c r="PHK18" s="12"/>
      <c r="PHL18" s="12"/>
      <c r="PIC18" s="12"/>
      <c r="PID18" s="12"/>
      <c r="PIU18" s="12"/>
      <c r="PIV18" s="12"/>
      <c r="PJM18" s="12"/>
      <c r="PJN18" s="12"/>
      <c r="PKE18" s="12"/>
      <c r="PKF18" s="12"/>
      <c r="PKW18" s="12"/>
      <c r="PKX18" s="12"/>
      <c r="PLO18" s="12"/>
      <c r="PLP18" s="12"/>
      <c r="PMG18" s="12"/>
      <c r="PMH18" s="12"/>
      <c r="PMY18" s="12"/>
      <c r="PMZ18" s="12"/>
      <c r="PNQ18" s="12"/>
      <c r="PNR18" s="12"/>
      <c r="POI18" s="12"/>
      <c r="POJ18" s="12"/>
      <c r="PPA18" s="12"/>
      <c r="PPB18" s="12"/>
      <c r="PPS18" s="12"/>
      <c r="PPT18" s="12"/>
      <c r="PQK18" s="12"/>
      <c r="PQL18" s="12"/>
      <c r="PRC18" s="12"/>
      <c r="PRD18" s="12"/>
      <c r="PRU18" s="12"/>
      <c r="PRV18" s="12"/>
      <c r="PSM18" s="12"/>
      <c r="PSN18" s="12"/>
      <c r="PTE18" s="12"/>
      <c r="PTF18" s="12"/>
      <c r="PTW18" s="12"/>
      <c r="PTX18" s="12"/>
      <c r="PUO18" s="12"/>
      <c r="PUP18" s="12"/>
      <c r="PVG18" s="12"/>
      <c r="PVH18" s="12"/>
      <c r="PVY18" s="12"/>
      <c r="PVZ18" s="12"/>
      <c r="PWQ18" s="12"/>
      <c r="PWR18" s="12"/>
      <c r="PXI18" s="12"/>
      <c r="PXJ18" s="12"/>
      <c r="PYA18" s="12"/>
      <c r="PYB18" s="12"/>
      <c r="PYS18" s="12"/>
      <c r="PYT18" s="12"/>
      <c r="PZK18" s="12"/>
      <c r="PZL18" s="12"/>
      <c r="QAC18" s="12"/>
      <c r="QAD18" s="12"/>
      <c r="QAU18" s="12"/>
      <c r="QAV18" s="12"/>
      <c r="QBM18" s="12"/>
      <c r="QBN18" s="12"/>
      <c r="QCE18" s="12"/>
      <c r="QCF18" s="12"/>
      <c r="QCW18" s="12"/>
      <c r="QCX18" s="12"/>
      <c r="QDO18" s="12"/>
      <c r="QDP18" s="12"/>
      <c r="QEG18" s="12"/>
      <c r="QEH18" s="12"/>
      <c r="QEY18" s="12"/>
      <c r="QEZ18" s="12"/>
      <c r="QFQ18" s="12"/>
      <c r="QFR18" s="12"/>
      <c r="QGI18" s="12"/>
      <c r="QGJ18" s="12"/>
      <c r="QHA18" s="12"/>
      <c r="QHB18" s="12"/>
      <c r="QHS18" s="12"/>
      <c r="QHT18" s="12"/>
      <c r="QIK18" s="12"/>
      <c r="QIL18" s="12"/>
      <c r="QJC18" s="12"/>
      <c r="QJD18" s="12"/>
      <c r="QJU18" s="12"/>
      <c r="QJV18" s="12"/>
      <c r="QKM18" s="12"/>
      <c r="QKN18" s="12"/>
      <c r="QLE18" s="12"/>
      <c r="QLF18" s="12"/>
      <c r="QLW18" s="12"/>
      <c r="QLX18" s="12"/>
      <c r="QMO18" s="12"/>
      <c r="QMP18" s="12"/>
      <c r="QNG18" s="12"/>
      <c r="QNH18" s="12"/>
      <c r="QNY18" s="12"/>
      <c r="QNZ18" s="12"/>
      <c r="QOQ18" s="12"/>
      <c r="QOR18" s="12"/>
      <c r="QPI18" s="12"/>
      <c r="QPJ18" s="12"/>
      <c r="QQA18" s="12"/>
      <c r="QQB18" s="12"/>
      <c r="QQS18" s="12"/>
      <c r="QQT18" s="12"/>
      <c r="QRK18" s="12"/>
      <c r="QRL18" s="12"/>
      <c r="QSC18" s="12"/>
      <c r="QSD18" s="12"/>
      <c r="QSU18" s="12"/>
      <c r="QSV18" s="12"/>
      <c r="QTM18" s="12"/>
      <c r="QTN18" s="12"/>
      <c r="QUE18" s="12"/>
      <c r="QUF18" s="12"/>
      <c r="QUW18" s="12"/>
      <c r="QUX18" s="12"/>
      <c r="QVO18" s="12"/>
      <c r="QVP18" s="12"/>
      <c r="QWG18" s="12"/>
      <c r="QWH18" s="12"/>
      <c r="QWY18" s="12"/>
      <c r="QWZ18" s="12"/>
      <c r="QXQ18" s="12"/>
      <c r="QXR18" s="12"/>
      <c r="QYI18" s="12"/>
      <c r="QYJ18" s="12"/>
      <c r="QZA18" s="12"/>
      <c r="QZB18" s="12"/>
      <c r="QZS18" s="12"/>
      <c r="QZT18" s="12"/>
      <c r="RAK18" s="12"/>
      <c r="RAL18" s="12"/>
      <c r="RBC18" s="12"/>
      <c r="RBD18" s="12"/>
      <c r="RBU18" s="12"/>
      <c r="RBV18" s="12"/>
      <c r="RCM18" s="12"/>
      <c r="RCN18" s="12"/>
      <c r="RDE18" s="12"/>
      <c r="RDF18" s="12"/>
      <c r="RDW18" s="12"/>
      <c r="RDX18" s="12"/>
      <c r="REO18" s="12"/>
      <c r="REP18" s="12"/>
      <c r="RFG18" s="12"/>
      <c r="RFH18" s="12"/>
      <c r="RFY18" s="12"/>
      <c r="RFZ18" s="12"/>
      <c r="RGQ18" s="12"/>
      <c r="RGR18" s="12"/>
      <c r="RHI18" s="12"/>
      <c r="RHJ18" s="12"/>
      <c r="RIA18" s="12"/>
      <c r="RIB18" s="12"/>
      <c r="RIS18" s="12"/>
      <c r="RIT18" s="12"/>
      <c r="RJK18" s="12"/>
      <c r="RJL18" s="12"/>
      <c r="RKC18" s="12"/>
      <c r="RKD18" s="12"/>
      <c r="RKU18" s="12"/>
      <c r="RKV18" s="12"/>
      <c r="RLM18" s="12"/>
      <c r="RLN18" s="12"/>
      <c r="RME18" s="12"/>
      <c r="RMF18" s="12"/>
      <c r="RMW18" s="12"/>
      <c r="RMX18" s="12"/>
      <c r="RNO18" s="12"/>
      <c r="RNP18" s="12"/>
      <c r="ROG18" s="12"/>
      <c r="ROH18" s="12"/>
      <c r="ROY18" s="12"/>
      <c r="ROZ18" s="12"/>
      <c r="RPQ18" s="12"/>
      <c r="RPR18" s="12"/>
      <c r="RQI18" s="12"/>
      <c r="RQJ18" s="12"/>
      <c r="RRA18" s="12"/>
      <c r="RRB18" s="12"/>
      <c r="RRS18" s="12"/>
      <c r="RRT18" s="12"/>
      <c r="RSK18" s="12"/>
      <c r="RSL18" s="12"/>
      <c r="RTC18" s="12"/>
      <c r="RTD18" s="12"/>
      <c r="RTU18" s="12"/>
      <c r="RTV18" s="12"/>
      <c r="RUM18" s="12"/>
      <c r="RUN18" s="12"/>
      <c r="RVE18" s="12"/>
      <c r="RVF18" s="12"/>
      <c r="RVW18" s="12"/>
      <c r="RVX18" s="12"/>
      <c r="RWO18" s="12"/>
      <c r="RWP18" s="12"/>
      <c r="RXG18" s="12"/>
      <c r="RXH18" s="12"/>
      <c r="RXY18" s="12"/>
      <c r="RXZ18" s="12"/>
      <c r="RYQ18" s="12"/>
      <c r="RYR18" s="12"/>
      <c r="RZI18" s="12"/>
      <c r="RZJ18" s="12"/>
      <c r="SAA18" s="12"/>
      <c r="SAB18" s="12"/>
      <c r="SAS18" s="12"/>
      <c r="SAT18" s="12"/>
      <c r="SBK18" s="12"/>
      <c r="SBL18" s="12"/>
      <c r="SCC18" s="12"/>
      <c r="SCD18" s="12"/>
      <c r="SCU18" s="12"/>
      <c r="SCV18" s="12"/>
      <c r="SDM18" s="12"/>
      <c r="SDN18" s="12"/>
      <c r="SEE18" s="12"/>
      <c r="SEF18" s="12"/>
      <c r="SEW18" s="12"/>
      <c r="SEX18" s="12"/>
      <c r="SFO18" s="12"/>
      <c r="SFP18" s="12"/>
      <c r="SGG18" s="12"/>
      <c r="SGH18" s="12"/>
      <c r="SGY18" s="12"/>
      <c r="SGZ18" s="12"/>
      <c r="SHQ18" s="12"/>
      <c r="SHR18" s="12"/>
      <c r="SII18" s="12"/>
      <c r="SIJ18" s="12"/>
      <c r="SJA18" s="12"/>
      <c r="SJB18" s="12"/>
      <c r="SJS18" s="12"/>
      <c r="SJT18" s="12"/>
      <c r="SKK18" s="12"/>
      <c r="SKL18" s="12"/>
      <c r="SLC18" s="12"/>
      <c r="SLD18" s="12"/>
      <c r="SLU18" s="12"/>
      <c r="SLV18" s="12"/>
      <c r="SMM18" s="12"/>
      <c r="SMN18" s="12"/>
      <c r="SNE18" s="12"/>
      <c r="SNF18" s="12"/>
      <c r="SNW18" s="12"/>
      <c r="SNX18" s="12"/>
      <c r="SOO18" s="12"/>
      <c r="SOP18" s="12"/>
      <c r="SPG18" s="12"/>
      <c r="SPH18" s="12"/>
      <c r="SPY18" s="12"/>
      <c r="SPZ18" s="12"/>
      <c r="SQQ18" s="12"/>
      <c r="SQR18" s="12"/>
      <c r="SRI18" s="12"/>
      <c r="SRJ18" s="12"/>
      <c r="SSA18" s="12"/>
      <c r="SSB18" s="12"/>
      <c r="SSS18" s="12"/>
      <c r="SST18" s="12"/>
      <c r="STK18" s="12"/>
      <c r="STL18" s="12"/>
      <c r="SUC18" s="12"/>
      <c r="SUD18" s="12"/>
      <c r="SUU18" s="12"/>
      <c r="SUV18" s="12"/>
      <c r="SVM18" s="12"/>
      <c r="SVN18" s="12"/>
      <c r="SWE18" s="12"/>
      <c r="SWF18" s="12"/>
      <c r="SWW18" s="12"/>
      <c r="SWX18" s="12"/>
      <c r="SXO18" s="12"/>
      <c r="SXP18" s="12"/>
      <c r="SYG18" s="12"/>
      <c r="SYH18" s="12"/>
      <c r="SYY18" s="12"/>
      <c r="SYZ18" s="12"/>
      <c r="SZQ18" s="12"/>
      <c r="SZR18" s="12"/>
      <c r="TAI18" s="12"/>
      <c r="TAJ18" s="12"/>
      <c r="TBA18" s="12"/>
      <c r="TBB18" s="12"/>
      <c r="TBS18" s="12"/>
      <c r="TBT18" s="12"/>
      <c r="TCK18" s="12"/>
      <c r="TCL18" s="12"/>
      <c r="TDC18" s="12"/>
      <c r="TDD18" s="12"/>
      <c r="TDU18" s="12"/>
      <c r="TDV18" s="12"/>
      <c r="TEM18" s="12"/>
      <c r="TEN18" s="12"/>
      <c r="TFE18" s="12"/>
      <c r="TFF18" s="12"/>
      <c r="TFW18" s="12"/>
      <c r="TFX18" s="12"/>
      <c r="TGO18" s="12"/>
      <c r="TGP18" s="12"/>
      <c r="THG18" s="12"/>
      <c r="THH18" s="12"/>
      <c r="THY18" s="12"/>
      <c r="THZ18" s="12"/>
      <c r="TIQ18" s="12"/>
      <c r="TIR18" s="12"/>
      <c r="TJI18" s="12"/>
      <c r="TJJ18" s="12"/>
      <c r="TKA18" s="12"/>
      <c r="TKB18" s="12"/>
      <c r="TKS18" s="12"/>
      <c r="TKT18" s="12"/>
      <c r="TLK18" s="12"/>
      <c r="TLL18" s="12"/>
      <c r="TMC18" s="12"/>
      <c r="TMD18" s="12"/>
      <c r="TMU18" s="12"/>
      <c r="TMV18" s="12"/>
      <c r="TNM18" s="12"/>
      <c r="TNN18" s="12"/>
      <c r="TOE18" s="12"/>
      <c r="TOF18" s="12"/>
      <c r="TOW18" s="12"/>
      <c r="TOX18" s="12"/>
      <c r="TPO18" s="12"/>
      <c r="TPP18" s="12"/>
      <c r="TQG18" s="12"/>
      <c r="TQH18" s="12"/>
      <c r="TQY18" s="12"/>
      <c r="TQZ18" s="12"/>
      <c r="TRQ18" s="12"/>
      <c r="TRR18" s="12"/>
      <c r="TSI18" s="12"/>
      <c r="TSJ18" s="12"/>
      <c r="TTA18" s="12"/>
      <c r="TTB18" s="12"/>
      <c r="TTS18" s="12"/>
      <c r="TTT18" s="12"/>
      <c r="TUK18" s="12"/>
      <c r="TUL18" s="12"/>
      <c r="TVC18" s="12"/>
      <c r="TVD18" s="12"/>
      <c r="TVU18" s="12"/>
      <c r="TVV18" s="12"/>
      <c r="TWM18" s="12"/>
      <c r="TWN18" s="12"/>
      <c r="TXE18" s="12"/>
      <c r="TXF18" s="12"/>
      <c r="TXW18" s="12"/>
      <c r="TXX18" s="12"/>
      <c r="TYO18" s="12"/>
      <c r="TYP18" s="12"/>
      <c r="TZG18" s="12"/>
      <c r="TZH18" s="12"/>
      <c r="TZY18" s="12"/>
      <c r="TZZ18" s="12"/>
      <c r="UAQ18" s="12"/>
      <c r="UAR18" s="12"/>
      <c r="UBI18" s="12"/>
      <c r="UBJ18" s="12"/>
      <c r="UCA18" s="12"/>
      <c r="UCB18" s="12"/>
      <c r="UCS18" s="12"/>
      <c r="UCT18" s="12"/>
      <c r="UDK18" s="12"/>
      <c r="UDL18" s="12"/>
      <c r="UEC18" s="12"/>
      <c r="UED18" s="12"/>
      <c r="UEU18" s="12"/>
      <c r="UEV18" s="12"/>
      <c r="UFM18" s="12"/>
      <c r="UFN18" s="12"/>
      <c r="UGE18" s="12"/>
      <c r="UGF18" s="12"/>
      <c r="UGW18" s="12"/>
      <c r="UGX18" s="12"/>
      <c r="UHO18" s="12"/>
      <c r="UHP18" s="12"/>
      <c r="UIG18" s="12"/>
      <c r="UIH18" s="12"/>
      <c r="UIY18" s="12"/>
      <c r="UIZ18" s="12"/>
      <c r="UJQ18" s="12"/>
      <c r="UJR18" s="12"/>
      <c r="UKI18" s="12"/>
      <c r="UKJ18" s="12"/>
      <c r="ULA18" s="12"/>
      <c r="ULB18" s="12"/>
      <c r="ULS18" s="12"/>
      <c r="ULT18" s="12"/>
      <c r="UMK18" s="12"/>
      <c r="UML18" s="12"/>
      <c r="UNC18" s="12"/>
      <c r="UND18" s="12"/>
      <c r="UNU18" s="12"/>
      <c r="UNV18" s="12"/>
      <c r="UOM18" s="12"/>
      <c r="UON18" s="12"/>
      <c r="UPE18" s="12"/>
      <c r="UPF18" s="12"/>
      <c r="UPW18" s="12"/>
      <c r="UPX18" s="12"/>
      <c r="UQO18" s="12"/>
      <c r="UQP18" s="12"/>
      <c r="URG18" s="12"/>
      <c r="URH18" s="12"/>
      <c r="URY18" s="12"/>
      <c r="URZ18" s="12"/>
      <c r="USQ18" s="12"/>
      <c r="USR18" s="12"/>
      <c r="UTI18" s="12"/>
      <c r="UTJ18" s="12"/>
      <c r="UUA18" s="12"/>
      <c r="UUB18" s="12"/>
      <c r="UUS18" s="12"/>
      <c r="UUT18" s="12"/>
      <c r="UVK18" s="12"/>
      <c r="UVL18" s="12"/>
      <c r="UWC18" s="12"/>
      <c r="UWD18" s="12"/>
      <c r="UWU18" s="12"/>
      <c r="UWV18" s="12"/>
      <c r="UXM18" s="12"/>
      <c r="UXN18" s="12"/>
      <c r="UYE18" s="12"/>
      <c r="UYF18" s="12"/>
      <c r="UYW18" s="12"/>
      <c r="UYX18" s="12"/>
      <c r="UZO18" s="12"/>
      <c r="UZP18" s="12"/>
      <c r="VAG18" s="12"/>
      <c r="VAH18" s="12"/>
      <c r="VAY18" s="12"/>
      <c r="VAZ18" s="12"/>
      <c r="VBQ18" s="12"/>
      <c r="VBR18" s="12"/>
      <c r="VCI18" s="12"/>
      <c r="VCJ18" s="12"/>
      <c r="VDA18" s="12"/>
      <c r="VDB18" s="12"/>
      <c r="VDS18" s="12"/>
      <c r="VDT18" s="12"/>
      <c r="VEK18" s="12"/>
      <c r="VEL18" s="12"/>
      <c r="VFC18" s="12"/>
      <c r="VFD18" s="12"/>
      <c r="VFU18" s="12"/>
      <c r="VFV18" s="12"/>
      <c r="VGM18" s="12"/>
      <c r="VGN18" s="12"/>
      <c r="VHE18" s="12"/>
      <c r="VHF18" s="12"/>
      <c r="VHW18" s="12"/>
      <c r="VHX18" s="12"/>
      <c r="VIO18" s="12"/>
      <c r="VIP18" s="12"/>
      <c r="VJG18" s="12"/>
      <c r="VJH18" s="12"/>
      <c r="VJY18" s="12"/>
      <c r="VJZ18" s="12"/>
      <c r="VKQ18" s="12"/>
      <c r="VKR18" s="12"/>
      <c r="VLI18" s="12"/>
      <c r="VLJ18" s="12"/>
      <c r="VMA18" s="12"/>
      <c r="VMB18" s="12"/>
      <c r="VMS18" s="12"/>
      <c r="VMT18" s="12"/>
      <c r="VNK18" s="12"/>
      <c r="VNL18" s="12"/>
      <c r="VOC18" s="12"/>
      <c r="VOD18" s="12"/>
      <c r="VOU18" s="12"/>
      <c r="VOV18" s="12"/>
      <c r="VPM18" s="12"/>
      <c r="VPN18" s="12"/>
      <c r="VQE18" s="12"/>
      <c r="VQF18" s="12"/>
      <c r="VQW18" s="12"/>
      <c r="VQX18" s="12"/>
      <c r="VRO18" s="12"/>
      <c r="VRP18" s="12"/>
      <c r="VSG18" s="12"/>
      <c r="VSH18" s="12"/>
      <c r="VSY18" s="12"/>
      <c r="VSZ18" s="12"/>
      <c r="VTQ18" s="12"/>
      <c r="VTR18" s="12"/>
      <c r="VUI18" s="12"/>
      <c r="VUJ18" s="12"/>
      <c r="VVA18" s="12"/>
      <c r="VVB18" s="12"/>
      <c r="VVS18" s="12"/>
      <c r="VVT18" s="12"/>
      <c r="VWK18" s="12"/>
      <c r="VWL18" s="12"/>
      <c r="VXC18" s="12"/>
      <c r="VXD18" s="12"/>
      <c r="VXU18" s="12"/>
      <c r="VXV18" s="12"/>
      <c r="VYM18" s="12"/>
      <c r="VYN18" s="12"/>
      <c r="VZE18" s="12"/>
      <c r="VZF18" s="12"/>
      <c r="VZW18" s="12"/>
      <c r="VZX18" s="12"/>
      <c r="WAO18" s="12"/>
      <c r="WAP18" s="12"/>
      <c r="WBG18" s="12"/>
      <c r="WBH18" s="12"/>
      <c r="WBY18" s="12"/>
      <c r="WBZ18" s="12"/>
      <c r="WCQ18" s="12"/>
      <c r="WCR18" s="12"/>
      <c r="WDI18" s="12"/>
      <c r="WDJ18" s="12"/>
      <c r="WEA18" s="12"/>
      <c r="WEB18" s="12"/>
      <c r="WES18" s="12"/>
      <c r="WET18" s="12"/>
      <c r="WFK18" s="12"/>
      <c r="WFL18" s="12"/>
      <c r="WGC18" s="12"/>
      <c r="WGD18" s="12"/>
      <c r="WGU18" s="12"/>
      <c r="WGV18" s="12"/>
      <c r="WHM18" s="12"/>
      <c r="WHN18" s="12"/>
      <c r="WIE18" s="12"/>
      <c r="WIF18" s="12"/>
      <c r="WIW18" s="12"/>
      <c r="WIX18" s="12"/>
      <c r="WJO18" s="12"/>
      <c r="WJP18" s="12"/>
      <c r="WKG18" s="12"/>
      <c r="WKH18" s="12"/>
      <c r="WKY18" s="12"/>
      <c r="WKZ18" s="12"/>
      <c r="WLQ18" s="12"/>
      <c r="WLR18" s="12"/>
      <c r="WMI18" s="12"/>
      <c r="WMJ18" s="12"/>
      <c r="WNA18" s="12"/>
      <c r="WNB18" s="12"/>
      <c r="WNS18" s="12"/>
      <c r="WNT18" s="12"/>
      <c r="WOK18" s="12"/>
      <c r="WOL18" s="12"/>
      <c r="WPC18" s="12"/>
      <c r="WPD18" s="12"/>
      <c r="WPU18" s="12"/>
      <c r="WPV18" s="12"/>
      <c r="WQM18" s="12"/>
      <c r="WQN18" s="12"/>
      <c r="WRE18" s="12"/>
      <c r="WRF18" s="12"/>
      <c r="WRW18" s="12"/>
      <c r="WRX18" s="12"/>
      <c r="WSO18" s="12"/>
      <c r="WSP18" s="12"/>
      <c r="WTG18" s="12"/>
      <c r="WTH18" s="12"/>
      <c r="WTY18" s="12"/>
      <c r="WTZ18" s="12"/>
      <c r="WUQ18" s="12"/>
      <c r="WUR18" s="12"/>
      <c r="WVI18" s="12"/>
      <c r="WVJ18" s="12"/>
      <c r="WWA18" s="12"/>
      <c r="WWB18" s="12"/>
      <c r="WWS18" s="12"/>
      <c r="WWT18" s="12"/>
      <c r="WXK18" s="12"/>
      <c r="WXL18" s="12"/>
      <c r="WYC18" s="12"/>
      <c r="WYD18" s="12"/>
      <c r="WYU18" s="12"/>
      <c r="WYV18" s="12"/>
      <c r="WZM18" s="12"/>
      <c r="WZN18" s="12"/>
      <c r="XAE18" s="12"/>
      <c r="XAF18" s="12"/>
      <c r="XAW18" s="12"/>
      <c r="XAX18" s="12"/>
      <c r="XBO18" s="12"/>
      <c r="XBP18" s="12"/>
      <c r="XCG18" s="12"/>
      <c r="XCH18" s="12"/>
      <c r="XCY18" s="12"/>
      <c r="XCZ18" s="12"/>
      <c r="XDQ18" s="12"/>
      <c r="XDR18" s="12"/>
      <c r="XEI18" s="12"/>
      <c r="XEJ18" s="12"/>
      <c r="XFA18" s="12"/>
      <c r="XFB18" s="12"/>
    </row>
    <row r="19" spans="1:1010 1027:2036 2053:3062 3079:4088 4105:5114 5131:6140 6157:7166 7183:8192 8209:9200 9217:10226 10243:11252 11269:12278 12295:13304 13321:14330 14347:15356 15373:16382" x14ac:dyDescent="0.35">
      <c r="A19" s="181" t="str">
        <f>'Balance Sheet - Standardized'!A21</f>
        <v xml:space="preserve">    + Raw Materials</v>
      </c>
      <c r="B19" s="13" t="str">
        <f>'Balance Sheet - Standardized'!B21</f>
        <v>INVTRY_RAW_MATERIALS</v>
      </c>
      <c r="C19" s="77">
        <f>IF('Balance Sheet - Standardized'!C21="",0,'Balance Sheet - Standardized'!C21)/'Balance Sheet - Standardized'!C$61</f>
        <v>5.4560372501358936E-2</v>
      </c>
      <c r="D19" s="77">
        <f>IF('Balance Sheet - Standardized'!D21="",0,'Balance Sheet - Standardized'!D21)/'Balance Sheet - Standardized'!D$61</f>
        <v>6.1573181142694534E-2</v>
      </c>
      <c r="E19" s="77">
        <f>IF('Balance Sheet - Standardized'!E21="",0,'Balance Sheet - Standardized'!E21)/'Balance Sheet - Standardized'!E$61</f>
        <v>7.259483144629951E-2</v>
      </c>
      <c r="F19" s="77">
        <f>IF('Balance Sheet - Standardized'!F21="",0,'Balance Sheet - Standardized'!F21)/'Balance Sheet - Standardized'!F$61</f>
        <v>9.8032435630424089E-2</v>
      </c>
      <c r="G19" s="77">
        <f>IF('Balance Sheet - Standardized'!G21="",0,'Balance Sheet - Standardized'!G21)/'Balance Sheet - Standardized'!G$61</f>
        <v>8.9750510932017122E-2</v>
      </c>
      <c r="H19" s="77">
        <f>IF('Balance Sheet - Standardized'!H21="",0,'Balance Sheet - Standardized'!H21)/'Balance Sheet - Standardized'!H$61</f>
        <v>0.10979856713513346</v>
      </c>
      <c r="I19" s="77">
        <f>IF('Balance Sheet - Standardized'!I21="",0,'Balance Sheet - Standardized'!I21)/'Balance Sheet - Standardized'!I$61</f>
        <v>0.13152551245122443</v>
      </c>
      <c r="J19" s="77">
        <f>IF('Balance Sheet - Standardized'!J21="",0,'Balance Sheet - Standardized'!J21)/'Balance Sheet - Standardized'!J$61</f>
        <v>0.11252849824316713</v>
      </c>
      <c r="K19" s="77">
        <f>IF('Balance Sheet - Standardized'!K21="",0,'Balance Sheet - Standardized'!K21)/'Balance Sheet - Standardized'!K$61</f>
        <v>0.11144624272590473</v>
      </c>
      <c r="L19" s="77">
        <f>IF('Balance Sheet - Standardized'!L21="",0,'Balance Sheet - Standardized'!L21)/'Balance Sheet - Standardized'!L$61</f>
        <v>8.3857018491120747E-2</v>
      </c>
      <c r="M19" s="106"/>
      <c r="N19" s="106"/>
      <c r="O19" s="106"/>
      <c r="P19" s="106"/>
      <c r="Q19" s="106"/>
      <c r="R19" s="106"/>
      <c r="S19" s="74"/>
      <c r="T19" s="78"/>
      <c r="U19" s="78"/>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row>
    <row r="20" spans="1:1010 1027:2036 2053:3062 3079:4088 4105:5114 5131:6140 6157:7166 7183:8192 8209:9200 9217:10226 10243:11252 11269:12278 12295:13304 13321:14330 14347:15356 15373:16382" x14ac:dyDescent="0.35">
      <c r="A20" s="181" t="str">
        <f>'Balance Sheet - Standardized'!A22</f>
        <v xml:space="preserve">    + Work In Process</v>
      </c>
      <c r="B20" s="13" t="str">
        <f>'Balance Sheet - Standardized'!B22</f>
        <v>INVTRY_IN_PROGRESS</v>
      </c>
      <c r="C20" s="77">
        <f>IF('Balance Sheet - Standardized'!C22="",0,'Balance Sheet - Standardized'!C22)/'Balance Sheet - Standardized'!C$61</f>
        <v>1.1778099135411219E-2</v>
      </c>
      <c r="D20" s="77">
        <f>IF('Balance Sheet - Standardized'!D22="",0,'Balance Sheet - Standardized'!D22)/'Balance Sheet - Standardized'!D$61</f>
        <v>1.4056423309197839E-2</v>
      </c>
      <c r="E20" s="77">
        <f>IF('Balance Sheet - Standardized'!E22="",0,'Balance Sheet - Standardized'!E22)/'Balance Sheet - Standardized'!E$61</f>
        <v>1.8342608584404785E-2</v>
      </c>
      <c r="F20" s="77">
        <f>IF('Balance Sheet - Standardized'!F22="",0,'Balance Sheet - Standardized'!F22)/'Balance Sheet - Standardized'!F$61</f>
        <v>9.0223339742641628E-3</v>
      </c>
      <c r="G20" s="77">
        <f>IF('Balance Sheet - Standardized'!G22="",0,'Balance Sheet - Standardized'!G22)/'Balance Sheet - Standardized'!G$61</f>
        <v>1.13298955700529E-2</v>
      </c>
      <c r="H20" s="77">
        <f>IF('Balance Sheet - Standardized'!H22="",0,'Balance Sheet - Standardized'!H22)/'Balance Sheet - Standardized'!H$61</f>
        <v>1.3027613644388994E-2</v>
      </c>
      <c r="I20" s="77">
        <f>IF('Balance Sheet - Standardized'!I22="",0,'Balance Sheet - Standardized'!I22)/'Balance Sheet - Standardized'!I$61</f>
        <v>1.7734393578863382E-2</v>
      </c>
      <c r="J20" s="77">
        <f>IF('Balance Sheet - Standardized'!J22="",0,'Balance Sheet - Standardized'!J22)/'Balance Sheet - Standardized'!J$61</f>
        <v>1.0487353485502776E-2</v>
      </c>
      <c r="K20" s="77">
        <f>IF('Balance Sheet - Standardized'!K22="",0,'Balance Sheet - Standardized'!K22)/'Balance Sheet - Standardized'!K$61</f>
        <v>1.3406433825463807E-2</v>
      </c>
      <c r="L20" s="77">
        <f>IF('Balance Sheet - Standardized'!L22="",0,'Balance Sheet - Standardized'!L22)/'Balance Sheet - Standardized'!L$61</f>
        <v>8.546256344875814E-3</v>
      </c>
      <c r="M20" s="106"/>
      <c r="N20" s="106"/>
      <c r="O20" s="106"/>
      <c r="P20" s="106"/>
      <c r="Q20" s="106"/>
      <c r="R20" s="106"/>
      <c r="S20" s="74"/>
      <c r="T20" s="78"/>
      <c r="U20" s="78"/>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row>
    <row r="21" spans="1:1010 1027:2036 2053:3062 3079:4088 4105:5114 5131:6140 6157:7166 7183:8192 8209:9200 9217:10226 10243:11252 11269:12278 12295:13304 13321:14330 14347:15356 15373:16382" x14ac:dyDescent="0.35">
      <c r="A21" s="181" t="str">
        <f>'Balance Sheet - Standardized'!A23</f>
        <v xml:space="preserve">    + Finished Goods</v>
      </c>
      <c r="B21" s="13" t="str">
        <f>'Balance Sheet - Standardized'!B23</f>
        <v>INVTRY_FINISHED_GOODS</v>
      </c>
      <c r="C21" s="77">
        <f>IF('Balance Sheet - Standardized'!C23="",0,'Balance Sheet - Standardized'!C23)/'Balance Sheet - Standardized'!C$61</f>
        <v>9.8058521276268421E-2</v>
      </c>
      <c r="D21" s="77">
        <f>IF('Balance Sheet - Standardized'!D23="",0,'Balance Sheet - Standardized'!D23)/'Balance Sheet - Standardized'!D$61</f>
        <v>0.10351519271508521</v>
      </c>
      <c r="E21" s="77">
        <f>IF('Balance Sheet - Standardized'!E23="",0,'Balance Sheet - Standardized'!E23)/'Balance Sheet - Standardized'!E$61</f>
        <v>8.0352859336019974E-2</v>
      </c>
      <c r="F21" s="77">
        <f>IF('Balance Sheet - Standardized'!F23="",0,'Balance Sheet - Standardized'!F23)/'Balance Sheet - Standardized'!F$61</f>
        <v>9.3565241028634005E-2</v>
      </c>
      <c r="G21" s="77">
        <f>IF('Balance Sheet - Standardized'!G23="",0,'Balance Sheet - Standardized'!G23)/'Balance Sheet - Standardized'!G$61</f>
        <v>9.05900870424836E-2</v>
      </c>
      <c r="H21" s="77">
        <f>IF('Balance Sheet - Standardized'!H23="",0,'Balance Sheet - Standardized'!H23)/'Balance Sheet - Standardized'!H$61</f>
        <v>0.11778839740420757</v>
      </c>
      <c r="I21" s="77">
        <f>IF('Balance Sheet - Standardized'!I23="",0,'Balance Sheet - Standardized'!I23)/'Balance Sheet - Standardized'!I$61</f>
        <v>0.15481817427070596</v>
      </c>
      <c r="J21" s="77">
        <f>IF('Balance Sheet - Standardized'!J23="",0,'Balance Sheet - Standardized'!J23)/'Balance Sheet - Standardized'!J$61</f>
        <v>0.11639755384491593</v>
      </c>
      <c r="K21" s="77">
        <f>IF('Balance Sheet - Standardized'!K23="",0,'Balance Sheet - Standardized'!K23)/'Balance Sheet - Standardized'!K$61</f>
        <v>0.10638462995506634</v>
      </c>
      <c r="L21" s="77">
        <f>IF('Balance Sheet - Standardized'!L23="",0,'Balance Sheet - Standardized'!L23)/'Balance Sheet - Standardized'!L$61</f>
        <v>9.3515263380730601E-2</v>
      </c>
      <c r="M21" s="106"/>
      <c r="N21" s="106"/>
      <c r="O21" s="106"/>
      <c r="P21" s="106"/>
      <c r="Q21" s="106"/>
      <c r="R21" s="106"/>
      <c r="S21" s="74"/>
      <c r="T21" s="78"/>
      <c r="U21" s="78"/>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row>
    <row r="22" spans="1:1010 1027:2036 2053:3062 3079:4088 4105:5114 5131:6140 6157:7166 7183:8192 8209:9200 9217:10226 10243:11252 11269:12278 12295:13304 13321:14330 14347:15356 15373:16382" x14ac:dyDescent="0.35">
      <c r="A22" s="181" t="str">
        <f>'Balance Sheet - Standardized'!A24</f>
        <v xml:space="preserve">    + Other Inventory</v>
      </c>
      <c r="B22" s="13" t="str">
        <f>'Balance Sheet - Standardized'!B24</f>
        <v>BS_OTHER_INV</v>
      </c>
      <c r="C22" s="77">
        <f>IF('Balance Sheet - Standardized'!C24="",0,'Balance Sheet - Standardized'!C24)/'Balance Sheet - Standardized'!C$61</f>
        <v>-1.1068377383260003E-2</v>
      </c>
      <c r="D22" s="77">
        <f>IF('Balance Sheet - Standardized'!D24="",0,'Balance Sheet - Standardized'!D24)/'Balance Sheet - Standardized'!D$61</f>
        <v>-8.888765927846461E-3</v>
      </c>
      <c r="E22" s="77">
        <f>IF('Balance Sheet - Standardized'!E24="",0,'Balance Sheet - Standardized'!E24)/'Balance Sheet - Standardized'!E$61</f>
        <v>-1.2905392439071198E-2</v>
      </c>
      <c r="F22" s="77">
        <f>IF('Balance Sheet - Standardized'!F24="",0,'Balance Sheet - Standardized'!F24)/'Balance Sheet - Standardized'!F$61</f>
        <v>-1.6161850357975193E-2</v>
      </c>
      <c r="G22" s="77">
        <f>IF('Balance Sheet - Standardized'!G24="",0,'Balance Sheet - Standardized'!G24)/'Balance Sheet - Standardized'!G$61</f>
        <v>-7.9943771186589217E-3</v>
      </c>
      <c r="H22" s="77">
        <f>IF('Balance Sheet - Standardized'!H24="",0,'Balance Sheet - Standardized'!H24)/'Balance Sheet - Standardized'!H$61</f>
        <v>-1.2668220375558118E-2</v>
      </c>
      <c r="I22" s="77">
        <f>IF('Balance Sheet - Standardized'!I24="",0,'Balance Sheet - Standardized'!I24)/'Balance Sheet - Standardized'!I$61</f>
        <v>-3.1404919137750772E-2</v>
      </c>
      <c r="J22" s="77">
        <f>IF('Balance Sheet - Standardized'!J24="",0,'Balance Sheet - Standardized'!J24)/'Balance Sheet - Standardized'!J$61</f>
        <v>-3.029396776010514E-2</v>
      </c>
      <c r="K22" s="77">
        <f>IF('Balance Sheet - Standardized'!K24="",0,'Balance Sheet - Standardized'!K24)/'Balance Sheet - Standardized'!K$61</f>
        <v>-2.8071693903966161E-2</v>
      </c>
      <c r="L22" s="77">
        <f>IF('Balance Sheet - Standardized'!L24="",0,'Balance Sheet - Standardized'!L24)/'Balance Sheet - Standardized'!L$61</f>
        <v>-2.3153147581692506E-2</v>
      </c>
      <c r="M22" s="106"/>
      <c r="N22" s="106"/>
      <c r="O22" s="106"/>
      <c r="P22" s="106"/>
      <c r="Q22" s="106"/>
      <c r="R22" s="106"/>
      <c r="S22" s="74"/>
      <c r="T22" s="78"/>
      <c r="U22" s="78"/>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row>
    <row r="23" spans="1:1010 1027:2036 2053:3062 3079:4088 4105:5114 5131:6140 6157:7166 7183:8192 8209:9200 9217:10226 10243:11252 11269:12278 12295:13304 13321:14330 14347:15356 15373:16382" x14ac:dyDescent="0.35">
      <c r="A23" s="23" t="str">
        <f>'Balance Sheet - Standardized'!A25</f>
        <v>check</v>
      </c>
      <c r="B23" s="23"/>
      <c r="C23" s="79"/>
      <c r="D23" s="79"/>
      <c r="E23" s="79"/>
      <c r="F23" s="79"/>
      <c r="G23" s="79"/>
      <c r="H23" s="79"/>
      <c r="I23" s="79"/>
      <c r="J23" s="79"/>
      <c r="K23" s="79"/>
      <c r="L23" s="79"/>
      <c r="M23" s="144"/>
      <c r="N23" s="144"/>
      <c r="O23" s="144"/>
      <c r="P23" s="144"/>
      <c r="Q23" s="144"/>
      <c r="R23" s="144"/>
      <c r="S23" s="74"/>
      <c r="T23" s="78"/>
      <c r="U23" s="78"/>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row>
    <row r="24" spans="1:1010 1027:2036 2053:3062 3079:4088 4105:5114 5131:6140 6157:7166 7183:8192 8209:9200 9217:10226 10243:11252 11269:12278 12295:13304 13321:14330 14347:15356 15373:16382" s="11" customFormat="1" x14ac:dyDescent="0.35">
      <c r="A24" s="183" t="str">
        <f>'Balance Sheet - Standardized'!A26</f>
        <v xml:space="preserve">  + Other ST Assets</v>
      </c>
      <c r="B24" s="75" t="str">
        <f>'Balance Sheet - Standardized'!B26</f>
        <v>OTHER_CURRENT_ASSETS_DETAILED</v>
      </c>
      <c r="C24" s="76">
        <f>IF('Balance Sheet - Standardized'!C26="",0,'Balance Sheet - Standardized'!C26)/'Balance Sheet - Standardized'!C$61</f>
        <v>4.1371034737392696E-2</v>
      </c>
      <c r="D24" s="76">
        <f>IF('Balance Sheet - Standardized'!D26="",0,'Balance Sheet - Standardized'!D26)/'Balance Sheet - Standardized'!D$61</f>
        <v>2.2348389034685553E-2</v>
      </c>
      <c r="E24" s="76">
        <f>IF('Balance Sheet - Standardized'!E26="",0,'Balance Sheet - Standardized'!E26)/'Balance Sheet - Standardized'!E$61</f>
        <v>4.3825561312607945E-2</v>
      </c>
      <c r="F24" s="76">
        <f>IF('Balance Sheet - Standardized'!F26="",0,'Balance Sheet - Standardized'!F26)/'Balance Sheet - Standardized'!F$61</f>
        <v>3.6872843854059652E-2</v>
      </c>
      <c r="G24" s="76">
        <f>IF('Balance Sheet - Standardized'!G26="",0,'Balance Sheet - Standardized'!G26)/'Balance Sheet - Standardized'!G$61</f>
        <v>3.089254477447128E-2</v>
      </c>
      <c r="H24" s="76">
        <f>IF('Balance Sheet - Standardized'!H26="",0,'Balance Sheet - Standardized'!H26)/'Balance Sheet - Standardized'!H$61</f>
        <v>4.7927995794000179E-2</v>
      </c>
      <c r="I24" s="76">
        <f>IF('Balance Sheet - Standardized'!I26="",0,'Balance Sheet - Standardized'!I26)/'Balance Sheet - Standardized'!I$61</f>
        <v>4.0268598035890932E-2</v>
      </c>
      <c r="J24" s="76">
        <f>IF('Balance Sheet - Standardized'!J26="",0,'Balance Sheet - Standardized'!J26)/'Balance Sheet - Standardized'!J$61</f>
        <v>2.7448166724780731E-2</v>
      </c>
      <c r="K24" s="76">
        <f>IF('Balance Sheet - Standardized'!K26="",0,'Balance Sheet - Standardized'!K26)/'Balance Sheet - Standardized'!K$61</f>
        <v>4.1144019194140735E-2</v>
      </c>
      <c r="L24" s="76">
        <f>IF('Balance Sheet - Standardized'!L26="",0,'Balance Sheet - Standardized'!L26)/'Balance Sheet - Standardized'!L$61</f>
        <v>3.8417717604859923E-2</v>
      </c>
      <c r="M24" s="106"/>
      <c r="N24" s="106"/>
      <c r="O24" s="106"/>
      <c r="P24" s="106"/>
      <c r="Q24" s="106"/>
      <c r="R24" s="106"/>
      <c r="S24" s="78"/>
      <c r="T24" s="78"/>
      <c r="U24" s="106"/>
      <c r="V24" s="106"/>
      <c r="W24" s="106"/>
      <c r="X24" s="106"/>
      <c r="Y24" s="106"/>
      <c r="Z24" s="106"/>
      <c r="AA24" s="106"/>
      <c r="AB24" s="106"/>
      <c r="AC24" s="106"/>
      <c r="AD24" s="106"/>
      <c r="AE24" s="106"/>
      <c r="AF24" s="106"/>
      <c r="AG24" s="106"/>
      <c r="AH24" s="106"/>
      <c r="AI24" s="106"/>
      <c r="AJ24" s="106"/>
      <c r="AK24" s="78"/>
      <c r="AL24" s="78"/>
      <c r="AM24" s="106"/>
      <c r="AN24" s="106"/>
      <c r="AO24" s="106"/>
      <c r="AP24" s="106"/>
      <c r="AQ24" s="106"/>
      <c r="AR24" s="106"/>
      <c r="AS24" s="106"/>
      <c r="AT24" s="106"/>
      <c r="AU24" s="106"/>
      <c r="AV24" s="106"/>
      <c r="AW24" s="106"/>
      <c r="AX24" s="106"/>
      <c r="AY24" s="106"/>
      <c r="AZ24" s="106"/>
      <c r="BA24" s="106"/>
      <c r="BB24" s="106"/>
      <c r="BC24" s="78"/>
      <c r="BD24" s="78"/>
      <c r="BE24" s="106"/>
      <c r="BF24" s="106"/>
      <c r="BG24" s="106"/>
      <c r="BH24" s="106"/>
      <c r="BI24" s="106"/>
      <c r="BJ24" s="106"/>
      <c r="BU24" s="12"/>
      <c r="BV24" s="12"/>
      <c r="CM24" s="12"/>
      <c r="CN24" s="12"/>
      <c r="DE24" s="12"/>
      <c r="DF24" s="12"/>
      <c r="DW24" s="12"/>
      <c r="DX24" s="12"/>
      <c r="EO24" s="12"/>
      <c r="EP24" s="12"/>
      <c r="FG24" s="12"/>
      <c r="FH24" s="12"/>
      <c r="FY24" s="12"/>
      <c r="FZ24" s="12"/>
      <c r="GQ24" s="12"/>
      <c r="GR24" s="12"/>
      <c r="HI24" s="12"/>
      <c r="HJ24" s="12"/>
      <c r="IA24" s="12"/>
      <c r="IB24" s="12"/>
      <c r="IS24" s="12"/>
      <c r="IT24" s="12"/>
      <c r="JK24" s="12"/>
      <c r="JL24" s="12"/>
      <c r="KC24" s="12"/>
      <c r="KD24" s="12"/>
      <c r="KU24" s="12"/>
      <c r="KV24" s="12"/>
      <c r="LM24" s="12"/>
      <c r="LN24" s="12"/>
      <c r="ME24" s="12"/>
      <c r="MF24" s="12"/>
      <c r="MW24" s="12"/>
      <c r="MX24" s="12"/>
      <c r="NO24" s="12"/>
      <c r="NP24" s="12"/>
      <c r="OG24" s="12"/>
      <c r="OH24" s="12"/>
      <c r="OY24" s="12"/>
      <c r="OZ24" s="12"/>
      <c r="PQ24" s="12"/>
      <c r="PR24" s="12"/>
      <c r="QI24" s="12"/>
      <c r="QJ24" s="12"/>
      <c r="RA24" s="12"/>
      <c r="RB24" s="12"/>
      <c r="RS24" s="12"/>
      <c r="RT24" s="12"/>
      <c r="SK24" s="12"/>
      <c r="SL24" s="12"/>
      <c r="TC24" s="12"/>
      <c r="TD24" s="12"/>
      <c r="TU24" s="12"/>
      <c r="TV24" s="12"/>
      <c r="UM24" s="12"/>
      <c r="UN24" s="12"/>
      <c r="VE24" s="12"/>
      <c r="VF24" s="12"/>
      <c r="VW24" s="12"/>
      <c r="VX24" s="12"/>
      <c r="WO24" s="12"/>
      <c r="WP24" s="12"/>
      <c r="XG24" s="12"/>
      <c r="XH24" s="12"/>
      <c r="XY24" s="12"/>
      <c r="XZ24" s="12"/>
      <c r="YQ24" s="12"/>
      <c r="YR24" s="12"/>
      <c r="ZI24" s="12"/>
      <c r="ZJ24" s="12"/>
      <c r="AAA24" s="12"/>
      <c r="AAB24" s="12"/>
      <c r="AAS24" s="12"/>
      <c r="AAT24" s="12"/>
      <c r="ABK24" s="12"/>
      <c r="ABL24" s="12"/>
      <c r="ACC24" s="12"/>
      <c r="ACD24" s="12"/>
      <c r="ACU24" s="12"/>
      <c r="ACV24" s="12"/>
      <c r="ADM24" s="12"/>
      <c r="ADN24" s="12"/>
      <c r="AEE24" s="12"/>
      <c r="AEF24" s="12"/>
      <c r="AEW24" s="12"/>
      <c r="AEX24" s="12"/>
      <c r="AFO24" s="12"/>
      <c r="AFP24" s="12"/>
      <c r="AGG24" s="12"/>
      <c r="AGH24" s="12"/>
      <c r="AGY24" s="12"/>
      <c r="AGZ24" s="12"/>
      <c r="AHQ24" s="12"/>
      <c r="AHR24" s="12"/>
      <c r="AII24" s="12"/>
      <c r="AIJ24" s="12"/>
      <c r="AJA24" s="12"/>
      <c r="AJB24" s="12"/>
      <c r="AJS24" s="12"/>
      <c r="AJT24" s="12"/>
      <c r="AKK24" s="12"/>
      <c r="AKL24" s="12"/>
      <c r="ALC24" s="12"/>
      <c r="ALD24" s="12"/>
      <c r="ALU24" s="12"/>
      <c r="ALV24" s="12"/>
      <c r="AMM24" s="12"/>
      <c r="AMN24" s="12"/>
      <c r="ANE24" s="12"/>
      <c r="ANF24" s="12"/>
      <c r="ANW24" s="12"/>
      <c r="ANX24" s="12"/>
      <c r="AOO24" s="12"/>
      <c r="AOP24" s="12"/>
      <c r="APG24" s="12"/>
      <c r="APH24" s="12"/>
      <c r="APY24" s="12"/>
      <c r="APZ24" s="12"/>
      <c r="AQQ24" s="12"/>
      <c r="AQR24" s="12"/>
      <c r="ARI24" s="12"/>
      <c r="ARJ24" s="12"/>
      <c r="ASA24" s="12"/>
      <c r="ASB24" s="12"/>
      <c r="ASS24" s="12"/>
      <c r="AST24" s="12"/>
      <c r="ATK24" s="12"/>
      <c r="ATL24" s="12"/>
      <c r="AUC24" s="12"/>
      <c r="AUD24" s="12"/>
      <c r="AUU24" s="12"/>
      <c r="AUV24" s="12"/>
      <c r="AVM24" s="12"/>
      <c r="AVN24" s="12"/>
      <c r="AWE24" s="12"/>
      <c r="AWF24" s="12"/>
      <c r="AWW24" s="12"/>
      <c r="AWX24" s="12"/>
      <c r="AXO24" s="12"/>
      <c r="AXP24" s="12"/>
      <c r="AYG24" s="12"/>
      <c r="AYH24" s="12"/>
      <c r="AYY24" s="12"/>
      <c r="AYZ24" s="12"/>
      <c r="AZQ24" s="12"/>
      <c r="AZR24" s="12"/>
      <c r="BAI24" s="12"/>
      <c r="BAJ24" s="12"/>
      <c r="BBA24" s="12"/>
      <c r="BBB24" s="12"/>
      <c r="BBS24" s="12"/>
      <c r="BBT24" s="12"/>
      <c r="BCK24" s="12"/>
      <c r="BCL24" s="12"/>
      <c r="BDC24" s="12"/>
      <c r="BDD24" s="12"/>
      <c r="BDU24" s="12"/>
      <c r="BDV24" s="12"/>
      <c r="BEM24" s="12"/>
      <c r="BEN24" s="12"/>
      <c r="BFE24" s="12"/>
      <c r="BFF24" s="12"/>
      <c r="BFW24" s="12"/>
      <c r="BFX24" s="12"/>
      <c r="BGO24" s="12"/>
      <c r="BGP24" s="12"/>
      <c r="BHG24" s="12"/>
      <c r="BHH24" s="12"/>
      <c r="BHY24" s="12"/>
      <c r="BHZ24" s="12"/>
      <c r="BIQ24" s="12"/>
      <c r="BIR24" s="12"/>
      <c r="BJI24" s="12"/>
      <c r="BJJ24" s="12"/>
      <c r="BKA24" s="12"/>
      <c r="BKB24" s="12"/>
      <c r="BKS24" s="12"/>
      <c r="BKT24" s="12"/>
      <c r="BLK24" s="12"/>
      <c r="BLL24" s="12"/>
      <c r="BMC24" s="12"/>
      <c r="BMD24" s="12"/>
      <c r="BMU24" s="12"/>
      <c r="BMV24" s="12"/>
      <c r="BNM24" s="12"/>
      <c r="BNN24" s="12"/>
      <c r="BOE24" s="12"/>
      <c r="BOF24" s="12"/>
      <c r="BOW24" s="12"/>
      <c r="BOX24" s="12"/>
      <c r="BPO24" s="12"/>
      <c r="BPP24" s="12"/>
      <c r="BQG24" s="12"/>
      <c r="BQH24" s="12"/>
      <c r="BQY24" s="12"/>
      <c r="BQZ24" s="12"/>
      <c r="BRQ24" s="12"/>
      <c r="BRR24" s="12"/>
      <c r="BSI24" s="12"/>
      <c r="BSJ24" s="12"/>
      <c r="BTA24" s="12"/>
      <c r="BTB24" s="12"/>
      <c r="BTS24" s="12"/>
      <c r="BTT24" s="12"/>
      <c r="BUK24" s="12"/>
      <c r="BUL24" s="12"/>
      <c r="BVC24" s="12"/>
      <c r="BVD24" s="12"/>
      <c r="BVU24" s="12"/>
      <c r="BVV24" s="12"/>
      <c r="BWM24" s="12"/>
      <c r="BWN24" s="12"/>
      <c r="BXE24" s="12"/>
      <c r="BXF24" s="12"/>
      <c r="BXW24" s="12"/>
      <c r="BXX24" s="12"/>
      <c r="BYO24" s="12"/>
      <c r="BYP24" s="12"/>
      <c r="BZG24" s="12"/>
      <c r="BZH24" s="12"/>
      <c r="BZY24" s="12"/>
      <c r="BZZ24" s="12"/>
      <c r="CAQ24" s="12"/>
      <c r="CAR24" s="12"/>
      <c r="CBI24" s="12"/>
      <c r="CBJ24" s="12"/>
      <c r="CCA24" s="12"/>
      <c r="CCB24" s="12"/>
      <c r="CCS24" s="12"/>
      <c r="CCT24" s="12"/>
      <c r="CDK24" s="12"/>
      <c r="CDL24" s="12"/>
      <c r="CEC24" s="12"/>
      <c r="CED24" s="12"/>
      <c r="CEU24" s="12"/>
      <c r="CEV24" s="12"/>
      <c r="CFM24" s="12"/>
      <c r="CFN24" s="12"/>
      <c r="CGE24" s="12"/>
      <c r="CGF24" s="12"/>
      <c r="CGW24" s="12"/>
      <c r="CGX24" s="12"/>
      <c r="CHO24" s="12"/>
      <c r="CHP24" s="12"/>
      <c r="CIG24" s="12"/>
      <c r="CIH24" s="12"/>
      <c r="CIY24" s="12"/>
      <c r="CIZ24" s="12"/>
      <c r="CJQ24" s="12"/>
      <c r="CJR24" s="12"/>
      <c r="CKI24" s="12"/>
      <c r="CKJ24" s="12"/>
      <c r="CLA24" s="12"/>
      <c r="CLB24" s="12"/>
      <c r="CLS24" s="12"/>
      <c r="CLT24" s="12"/>
      <c r="CMK24" s="12"/>
      <c r="CML24" s="12"/>
      <c r="CNC24" s="12"/>
      <c r="CND24" s="12"/>
      <c r="CNU24" s="12"/>
      <c r="CNV24" s="12"/>
      <c r="COM24" s="12"/>
      <c r="CON24" s="12"/>
      <c r="CPE24" s="12"/>
      <c r="CPF24" s="12"/>
      <c r="CPW24" s="12"/>
      <c r="CPX24" s="12"/>
      <c r="CQO24" s="12"/>
      <c r="CQP24" s="12"/>
      <c r="CRG24" s="12"/>
      <c r="CRH24" s="12"/>
      <c r="CRY24" s="12"/>
      <c r="CRZ24" s="12"/>
      <c r="CSQ24" s="12"/>
      <c r="CSR24" s="12"/>
      <c r="CTI24" s="12"/>
      <c r="CTJ24" s="12"/>
      <c r="CUA24" s="12"/>
      <c r="CUB24" s="12"/>
      <c r="CUS24" s="12"/>
      <c r="CUT24" s="12"/>
      <c r="CVK24" s="12"/>
      <c r="CVL24" s="12"/>
      <c r="CWC24" s="12"/>
      <c r="CWD24" s="12"/>
      <c r="CWU24" s="12"/>
      <c r="CWV24" s="12"/>
      <c r="CXM24" s="12"/>
      <c r="CXN24" s="12"/>
      <c r="CYE24" s="12"/>
      <c r="CYF24" s="12"/>
      <c r="CYW24" s="12"/>
      <c r="CYX24" s="12"/>
      <c r="CZO24" s="12"/>
      <c r="CZP24" s="12"/>
      <c r="DAG24" s="12"/>
      <c r="DAH24" s="12"/>
      <c r="DAY24" s="12"/>
      <c r="DAZ24" s="12"/>
      <c r="DBQ24" s="12"/>
      <c r="DBR24" s="12"/>
      <c r="DCI24" s="12"/>
      <c r="DCJ24" s="12"/>
      <c r="DDA24" s="12"/>
      <c r="DDB24" s="12"/>
      <c r="DDS24" s="12"/>
      <c r="DDT24" s="12"/>
      <c r="DEK24" s="12"/>
      <c r="DEL24" s="12"/>
      <c r="DFC24" s="12"/>
      <c r="DFD24" s="12"/>
      <c r="DFU24" s="12"/>
      <c r="DFV24" s="12"/>
      <c r="DGM24" s="12"/>
      <c r="DGN24" s="12"/>
      <c r="DHE24" s="12"/>
      <c r="DHF24" s="12"/>
      <c r="DHW24" s="12"/>
      <c r="DHX24" s="12"/>
      <c r="DIO24" s="12"/>
      <c r="DIP24" s="12"/>
      <c r="DJG24" s="12"/>
      <c r="DJH24" s="12"/>
      <c r="DJY24" s="12"/>
      <c r="DJZ24" s="12"/>
      <c r="DKQ24" s="12"/>
      <c r="DKR24" s="12"/>
      <c r="DLI24" s="12"/>
      <c r="DLJ24" s="12"/>
      <c r="DMA24" s="12"/>
      <c r="DMB24" s="12"/>
      <c r="DMS24" s="12"/>
      <c r="DMT24" s="12"/>
      <c r="DNK24" s="12"/>
      <c r="DNL24" s="12"/>
      <c r="DOC24" s="12"/>
      <c r="DOD24" s="12"/>
      <c r="DOU24" s="12"/>
      <c r="DOV24" s="12"/>
      <c r="DPM24" s="12"/>
      <c r="DPN24" s="12"/>
      <c r="DQE24" s="12"/>
      <c r="DQF24" s="12"/>
      <c r="DQW24" s="12"/>
      <c r="DQX24" s="12"/>
      <c r="DRO24" s="12"/>
      <c r="DRP24" s="12"/>
      <c r="DSG24" s="12"/>
      <c r="DSH24" s="12"/>
      <c r="DSY24" s="12"/>
      <c r="DSZ24" s="12"/>
      <c r="DTQ24" s="12"/>
      <c r="DTR24" s="12"/>
      <c r="DUI24" s="12"/>
      <c r="DUJ24" s="12"/>
      <c r="DVA24" s="12"/>
      <c r="DVB24" s="12"/>
      <c r="DVS24" s="12"/>
      <c r="DVT24" s="12"/>
      <c r="DWK24" s="12"/>
      <c r="DWL24" s="12"/>
      <c r="DXC24" s="12"/>
      <c r="DXD24" s="12"/>
      <c r="DXU24" s="12"/>
      <c r="DXV24" s="12"/>
      <c r="DYM24" s="12"/>
      <c r="DYN24" s="12"/>
      <c r="DZE24" s="12"/>
      <c r="DZF24" s="12"/>
      <c r="DZW24" s="12"/>
      <c r="DZX24" s="12"/>
      <c r="EAO24" s="12"/>
      <c r="EAP24" s="12"/>
      <c r="EBG24" s="12"/>
      <c r="EBH24" s="12"/>
      <c r="EBY24" s="12"/>
      <c r="EBZ24" s="12"/>
      <c r="ECQ24" s="12"/>
      <c r="ECR24" s="12"/>
      <c r="EDI24" s="12"/>
      <c r="EDJ24" s="12"/>
      <c r="EEA24" s="12"/>
      <c r="EEB24" s="12"/>
      <c r="EES24" s="12"/>
      <c r="EET24" s="12"/>
      <c r="EFK24" s="12"/>
      <c r="EFL24" s="12"/>
      <c r="EGC24" s="12"/>
      <c r="EGD24" s="12"/>
      <c r="EGU24" s="12"/>
      <c r="EGV24" s="12"/>
      <c r="EHM24" s="12"/>
      <c r="EHN24" s="12"/>
      <c r="EIE24" s="12"/>
      <c r="EIF24" s="12"/>
      <c r="EIW24" s="12"/>
      <c r="EIX24" s="12"/>
      <c r="EJO24" s="12"/>
      <c r="EJP24" s="12"/>
      <c r="EKG24" s="12"/>
      <c r="EKH24" s="12"/>
      <c r="EKY24" s="12"/>
      <c r="EKZ24" s="12"/>
      <c r="ELQ24" s="12"/>
      <c r="ELR24" s="12"/>
      <c r="EMI24" s="12"/>
      <c r="EMJ24" s="12"/>
      <c r="ENA24" s="12"/>
      <c r="ENB24" s="12"/>
      <c r="ENS24" s="12"/>
      <c r="ENT24" s="12"/>
      <c r="EOK24" s="12"/>
      <c r="EOL24" s="12"/>
      <c r="EPC24" s="12"/>
      <c r="EPD24" s="12"/>
      <c r="EPU24" s="12"/>
      <c r="EPV24" s="12"/>
      <c r="EQM24" s="12"/>
      <c r="EQN24" s="12"/>
      <c r="ERE24" s="12"/>
      <c r="ERF24" s="12"/>
      <c r="ERW24" s="12"/>
      <c r="ERX24" s="12"/>
      <c r="ESO24" s="12"/>
      <c r="ESP24" s="12"/>
      <c r="ETG24" s="12"/>
      <c r="ETH24" s="12"/>
      <c r="ETY24" s="12"/>
      <c r="ETZ24" s="12"/>
      <c r="EUQ24" s="12"/>
      <c r="EUR24" s="12"/>
      <c r="EVI24" s="12"/>
      <c r="EVJ24" s="12"/>
      <c r="EWA24" s="12"/>
      <c r="EWB24" s="12"/>
      <c r="EWS24" s="12"/>
      <c r="EWT24" s="12"/>
      <c r="EXK24" s="12"/>
      <c r="EXL24" s="12"/>
      <c r="EYC24" s="12"/>
      <c r="EYD24" s="12"/>
      <c r="EYU24" s="12"/>
      <c r="EYV24" s="12"/>
      <c r="EZM24" s="12"/>
      <c r="EZN24" s="12"/>
      <c r="FAE24" s="12"/>
      <c r="FAF24" s="12"/>
      <c r="FAW24" s="12"/>
      <c r="FAX24" s="12"/>
      <c r="FBO24" s="12"/>
      <c r="FBP24" s="12"/>
      <c r="FCG24" s="12"/>
      <c r="FCH24" s="12"/>
      <c r="FCY24" s="12"/>
      <c r="FCZ24" s="12"/>
      <c r="FDQ24" s="12"/>
      <c r="FDR24" s="12"/>
      <c r="FEI24" s="12"/>
      <c r="FEJ24" s="12"/>
      <c r="FFA24" s="12"/>
      <c r="FFB24" s="12"/>
      <c r="FFS24" s="12"/>
      <c r="FFT24" s="12"/>
      <c r="FGK24" s="12"/>
      <c r="FGL24" s="12"/>
      <c r="FHC24" s="12"/>
      <c r="FHD24" s="12"/>
      <c r="FHU24" s="12"/>
      <c r="FHV24" s="12"/>
      <c r="FIM24" s="12"/>
      <c r="FIN24" s="12"/>
      <c r="FJE24" s="12"/>
      <c r="FJF24" s="12"/>
      <c r="FJW24" s="12"/>
      <c r="FJX24" s="12"/>
      <c r="FKO24" s="12"/>
      <c r="FKP24" s="12"/>
      <c r="FLG24" s="12"/>
      <c r="FLH24" s="12"/>
      <c r="FLY24" s="12"/>
      <c r="FLZ24" s="12"/>
      <c r="FMQ24" s="12"/>
      <c r="FMR24" s="12"/>
      <c r="FNI24" s="12"/>
      <c r="FNJ24" s="12"/>
      <c r="FOA24" s="12"/>
      <c r="FOB24" s="12"/>
      <c r="FOS24" s="12"/>
      <c r="FOT24" s="12"/>
      <c r="FPK24" s="12"/>
      <c r="FPL24" s="12"/>
      <c r="FQC24" s="12"/>
      <c r="FQD24" s="12"/>
      <c r="FQU24" s="12"/>
      <c r="FQV24" s="12"/>
      <c r="FRM24" s="12"/>
      <c r="FRN24" s="12"/>
      <c r="FSE24" s="12"/>
      <c r="FSF24" s="12"/>
      <c r="FSW24" s="12"/>
      <c r="FSX24" s="12"/>
      <c r="FTO24" s="12"/>
      <c r="FTP24" s="12"/>
      <c r="FUG24" s="12"/>
      <c r="FUH24" s="12"/>
      <c r="FUY24" s="12"/>
      <c r="FUZ24" s="12"/>
      <c r="FVQ24" s="12"/>
      <c r="FVR24" s="12"/>
      <c r="FWI24" s="12"/>
      <c r="FWJ24" s="12"/>
      <c r="FXA24" s="12"/>
      <c r="FXB24" s="12"/>
      <c r="FXS24" s="12"/>
      <c r="FXT24" s="12"/>
      <c r="FYK24" s="12"/>
      <c r="FYL24" s="12"/>
      <c r="FZC24" s="12"/>
      <c r="FZD24" s="12"/>
      <c r="FZU24" s="12"/>
      <c r="FZV24" s="12"/>
      <c r="GAM24" s="12"/>
      <c r="GAN24" s="12"/>
      <c r="GBE24" s="12"/>
      <c r="GBF24" s="12"/>
      <c r="GBW24" s="12"/>
      <c r="GBX24" s="12"/>
      <c r="GCO24" s="12"/>
      <c r="GCP24" s="12"/>
      <c r="GDG24" s="12"/>
      <c r="GDH24" s="12"/>
      <c r="GDY24" s="12"/>
      <c r="GDZ24" s="12"/>
      <c r="GEQ24" s="12"/>
      <c r="GER24" s="12"/>
      <c r="GFI24" s="12"/>
      <c r="GFJ24" s="12"/>
      <c r="GGA24" s="12"/>
      <c r="GGB24" s="12"/>
      <c r="GGS24" s="12"/>
      <c r="GGT24" s="12"/>
      <c r="GHK24" s="12"/>
      <c r="GHL24" s="12"/>
      <c r="GIC24" s="12"/>
      <c r="GID24" s="12"/>
      <c r="GIU24" s="12"/>
      <c r="GIV24" s="12"/>
      <c r="GJM24" s="12"/>
      <c r="GJN24" s="12"/>
      <c r="GKE24" s="12"/>
      <c r="GKF24" s="12"/>
      <c r="GKW24" s="12"/>
      <c r="GKX24" s="12"/>
      <c r="GLO24" s="12"/>
      <c r="GLP24" s="12"/>
      <c r="GMG24" s="12"/>
      <c r="GMH24" s="12"/>
      <c r="GMY24" s="12"/>
      <c r="GMZ24" s="12"/>
      <c r="GNQ24" s="12"/>
      <c r="GNR24" s="12"/>
      <c r="GOI24" s="12"/>
      <c r="GOJ24" s="12"/>
      <c r="GPA24" s="12"/>
      <c r="GPB24" s="12"/>
      <c r="GPS24" s="12"/>
      <c r="GPT24" s="12"/>
      <c r="GQK24" s="12"/>
      <c r="GQL24" s="12"/>
      <c r="GRC24" s="12"/>
      <c r="GRD24" s="12"/>
      <c r="GRU24" s="12"/>
      <c r="GRV24" s="12"/>
      <c r="GSM24" s="12"/>
      <c r="GSN24" s="12"/>
      <c r="GTE24" s="12"/>
      <c r="GTF24" s="12"/>
      <c r="GTW24" s="12"/>
      <c r="GTX24" s="12"/>
      <c r="GUO24" s="12"/>
      <c r="GUP24" s="12"/>
      <c r="GVG24" s="12"/>
      <c r="GVH24" s="12"/>
      <c r="GVY24" s="12"/>
      <c r="GVZ24" s="12"/>
      <c r="GWQ24" s="12"/>
      <c r="GWR24" s="12"/>
      <c r="GXI24" s="12"/>
      <c r="GXJ24" s="12"/>
      <c r="GYA24" s="12"/>
      <c r="GYB24" s="12"/>
      <c r="GYS24" s="12"/>
      <c r="GYT24" s="12"/>
      <c r="GZK24" s="12"/>
      <c r="GZL24" s="12"/>
      <c r="HAC24" s="12"/>
      <c r="HAD24" s="12"/>
      <c r="HAU24" s="12"/>
      <c r="HAV24" s="12"/>
      <c r="HBM24" s="12"/>
      <c r="HBN24" s="12"/>
      <c r="HCE24" s="12"/>
      <c r="HCF24" s="12"/>
      <c r="HCW24" s="12"/>
      <c r="HCX24" s="12"/>
      <c r="HDO24" s="12"/>
      <c r="HDP24" s="12"/>
      <c r="HEG24" s="12"/>
      <c r="HEH24" s="12"/>
      <c r="HEY24" s="12"/>
      <c r="HEZ24" s="12"/>
      <c r="HFQ24" s="12"/>
      <c r="HFR24" s="12"/>
      <c r="HGI24" s="12"/>
      <c r="HGJ24" s="12"/>
      <c r="HHA24" s="12"/>
      <c r="HHB24" s="12"/>
      <c r="HHS24" s="12"/>
      <c r="HHT24" s="12"/>
      <c r="HIK24" s="12"/>
      <c r="HIL24" s="12"/>
      <c r="HJC24" s="12"/>
      <c r="HJD24" s="12"/>
      <c r="HJU24" s="12"/>
      <c r="HJV24" s="12"/>
      <c r="HKM24" s="12"/>
      <c r="HKN24" s="12"/>
      <c r="HLE24" s="12"/>
      <c r="HLF24" s="12"/>
      <c r="HLW24" s="12"/>
      <c r="HLX24" s="12"/>
      <c r="HMO24" s="12"/>
      <c r="HMP24" s="12"/>
      <c r="HNG24" s="12"/>
      <c r="HNH24" s="12"/>
      <c r="HNY24" s="12"/>
      <c r="HNZ24" s="12"/>
      <c r="HOQ24" s="12"/>
      <c r="HOR24" s="12"/>
      <c r="HPI24" s="12"/>
      <c r="HPJ24" s="12"/>
      <c r="HQA24" s="12"/>
      <c r="HQB24" s="12"/>
      <c r="HQS24" s="12"/>
      <c r="HQT24" s="12"/>
      <c r="HRK24" s="12"/>
      <c r="HRL24" s="12"/>
      <c r="HSC24" s="12"/>
      <c r="HSD24" s="12"/>
      <c r="HSU24" s="12"/>
      <c r="HSV24" s="12"/>
      <c r="HTM24" s="12"/>
      <c r="HTN24" s="12"/>
      <c r="HUE24" s="12"/>
      <c r="HUF24" s="12"/>
      <c r="HUW24" s="12"/>
      <c r="HUX24" s="12"/>
      <c r="HVO24" s="12"/>
      <c r="HVP24" s="12"/>
      <c r="HWG24" s="12"/>
      <c r="HWH24" s="12"/>
      <c r="HWY24" s="12"/>
      <c r="HWZ24" s="12"/>
      <c r="HXQ24" s="12"/>
      <c r="HXR24" s="12"/>
      <c r="HYI24" s="12"/>
      <c r="HYJ24" s="12"/>
      <c r="HZA24" s="12"/>
      <c r="HZB24" s="12"/>
      <c r="HZS24" s="12"/>
      <c r="HZT24" s="12"/>
      <c r="IAK24" s="12"/>
      <c r="IAL24" s="12"/>
      <c r="IBC24" s="12"/>
      <c r="IBD24" s="12"/>
      <c r="IBU24" s="12"/>
      <c r="IBV24" s="12"/>
      <c r="ICM24" s="12"/>
      <c r="ICN24" s="12"/>
      <c r="IDE24" s="12"/>
      <c r="IDF24" s="12"/>
      <c r="IDW24" s="12"/>
      <c r="IDX24" s="12"/>
      <c r="IEO24" s="12"/>
      <c r="IEP24" s="12"/>
      <c r="IFG24" s="12"/>
      <c r="IFH24" s="12"/>
      <c r="IFY24" s="12"/>
      <c r="IFZ24" s="12"/>
      <c r="IGQ24" s="12"/>
      <c r="IGR24" s="12"/>
      <c r="IHI24" s="12"/>
      <c r="IHJ24" s="12"/>
      <c r="IIA24" s="12"/>
      <c r="IIB24" s="12"/>
      <c r="IIS24" s="12"/>
      <c r="IIT24" s="12"/>
      <c r="IJK24" s="12"/>
      <c r="IJL24" s="12"/>
      <c r="IKC24" s="12"/>
      <c r="IKD24" s="12"/>
      <c r="IKU24" s="12"/>
      <c r="IKV24" s="12"/>
      <c r="ILM24" s="12"/>
      <c r="ILN24" s="12"/>
      <c r="IME24" s="12"/>
      <c r="IMF24" s="12"/>
      <c r="IMW24" s="12"/>
      <c r="IMX24" s="12"/>
      <c r="INO24" s="12"/>
      <c r="INP24" s="12"/>
      <c r="IOG24" s="12"/>
      <c r="IOH24" s="12"/>
      <c r="IOY24" s="12"/>
      <c r="IOZ24" s="12"/>
      <c r="IPQ24" s="12"/>
      <c r="IPR24" s="12"/>
      <c r="IQI24" s="12"/>
      <c r="IQJ24" s="12"/>
      <c r="IRA24" s="12"/>
      <c r="IRB24" s="12"/>
      <c r="IRS24" s="12"/>
      <c r="IRT24" s="12"/>
      <c r="ISK24" s="12"/>
      <c r="ISL24" s="12"/>
      <c r="ITC24" s="12"/>
      <c r="ITD24" s="12"/>
      <c r="ITU24" s="12"/>
      <c r="ITV24" s="12"/>
      <c r="IUM24" s="12"/>
      <c r="IUN24" s="12"/>
      <c r="IVE24" s="12"/>
      <c r="IVF24" s="12"/>
      <c r="IVW24" s="12"/>
      <c r="IVX24" s="12"/>
      <c r="IWO24" s="12"/>
      <c r="IWP24" s="12"/>
      <c r="IXG24" s="12"/>
      <c r="IXH24" s="12"/>
      <c r="IXY24" s="12"/>
      <c r="IXZ24" s="12"/>
      <c r="IYQ24" s="12"/>
      <c r="IYR24" s="12"/>
      <c r="IZI24" s="12"/>
      <c r="IZJ24" s="12"/>
      <c r="JAA24" s="12"/>
      <c r="JAB24" s="12"/>
      <c r="JAS24" s="12"/>
      <c r="JAT24" s="12"/>
      <c r="JBK24" s="12"/>
      <c r="JBL24" s="12"/>
      <c r="JCC24" s="12"/>
      <c r="JCD24" s="12"/>
      <c r="JCU24" s="12"/>
      <c r="JCV24" s="12"/>
      <c r="JDM24" s="12"/>
      <c r="JDN24" s="12"/>
      <c r="JEE24" s="12"/>
      <c r="JEF24" s="12"/>
      <c r="JEW24" s="12"/>
      <c r="JEX24" s="12"/>
      <c r="JFO24" s="12"/>
      <c r="JFP24" s="12"/>
      <c r="JGG24" s="12"/>
      <c r="JGH24" s="12"/>
      <c r="JGY24" s="12"/>
      <c r="JGZ24" s="12"/>
      <c r="JHQ24" s="12"/>
      <c r="JHR24" s="12"/>
      <c r="JII24" s="12"/>
      <c r="JIJ24" s="12"/>
      <c r="JJA24" s="12"/>
      <c r="JJB24" s="12"/>
      <c r="JJS24" s="12"/>
      <c r="JJT24" s="12"/>
      <c r="JKK24" s="12"/>
      <c r="JKL24" s="12"/>
      <c r="JLC24" s="12"/>
      <c r="JLD24" s="12"/>
      <c r="JLU24" s="12"/>
      <c r="JLV24" s="12"/>
      <c r="JMM24" s="12"/>
      <c r="JMN24" s="12"/>
      <c r="JNE24" s="12"/>
      <c r="JNF24" s="12"/>
      <c r="JNW24" s="12"/>
      <c r="JNX24" s="12"/>
      <c r="JOO24" s="12"/>
      <c r="JOP24" s="12"/>
      <c r="JPG24" s="12"/>
      <c r="JPH24" s="12"/>
      <c r="JPY24" s="12"/>
      <c r="JPZ24" s="12"/>
      <c r="JQQ24" s="12"/>
      <c r="JQR24" s="12"/>
      <c r="JRI24" s="12"/>
      <c r="JRJ24" s="12"/>
      <c r="JSA24" s="12"/>
      <c r="JSB24" s="12"/>
      <c r="JSS24" s="12"/>
      <c r="JST24" s="12"/>
      <c r="JTK24" s="12"/>
      <c r="JTL24" s="12"/>
      <c r="JUC24" s="12"/>
      <c r="JUD24" s="12"/>
      <c r="JUU24" s="12"/>
      <c r="JUV24" s="12"/>
      <c r="JVM24" s="12"/>
      <c r="JVN24" s="12"/>
      <c r="JWE24" s="12"/>
      <c r="JWF24" s="12"/>
      <c r="JWW24" s="12"/>
      <c r="JWX24" s="12"/>
      <c r="JXO24" s="12"/>
      <c r="JXP24" s="12"/>
      <c r="JYG24" s="12"/>
      <c r="JYH24" s="12"/>
      <c r="JYY24" s="12"/>
      <c r="JYZ24" s="12"/>
      <c r="JZQ24" s="12"/>
      <c r="JZR24" s="12"/>
      <c r="KAI24" s="12"/>
      <c r="KAJ24" s="12"/>
      <c r="KBA24" s="12"/>
      <c r="KBB24" s="12"/>
      <c r="KBS24" s="12"/>
      <c r="KBT24" s="12"/>
      <c r="KCK24" s="12"/>
      <c r="KCL24" s="12"/>
      <c r="KDC24" s="12"/>
      <c r="KDD24" s="12"/>
      <c r="KDU24" s="12"/>
      <c r="KDV24" s="12"/>
      <c r="KEM24" s="12"/>
      <c r="KEN24" s="12"/>
      <c r="KFE24" s="12"/>
      <c r="KFF24" s="12"/>
      <c r="KFW24" s="12"/>
      <c r="KFX24" s="12"/>
      <c r="KGO24" s="12"/>
      <c r="KGP24" s="12"/>
      <c r="KHG24" s="12"/>
      <c r="KHH24" s="12"/>
      <c r="KHY24" s="12"/>
      <c r="KHZ24" s="12"/>
      <c r="KIQ24" s="12"/>
      <c r="KIR24" s="12"/>
      <c r="KJI24" s="12"/>
      <c r="KJJ24" s="12"/>
      <c r="KKA24" s="12"/>
      <c r="KKB24" s="12"/>
      <c r="KKS24" s="12"/>
      <c r="KKT24" s="12"/>
      <c r="KLK24" s="12"/>
      <c r="KLL24" s="12"/>
      <c r="KMC24" s="12"/>
      <c r="KMD24" s="12"/>
      <c r="KMU24" s="12"/>
      <c r="KMV24" s="12"/>
      <c r="KNM24" s="12"/>
      <c r="KNN24" s="12"/>
      <c r="KOE24" s="12"/>
      <c r="KOF24" s="12"/>
      <c r="KOW24" s="12"/>
      <c r="KOX24" s="12"/>
      <c r="KPO24" s="12"/>
      <c r="KPP24" s="12"/>
      <c r="KQG24" s="12"/>
      <c r="KQH24" s="12"/>
      <c r="KQY24" s="12"/>
      <c r="KQZ24" s="12"/>
      <c r="KRQ24" s="12"/>
      <c r="KRR24" s="12"/>
      <c r="KSI24" s="12"/>
      <c r="KSJ24" s="12"/>
      <c r="KTA24" s="12"/>
      <c r="KTB24" s="12"/>
      <c r="KTS24" s="12"/>
      <c r="KTT24" s="12"/>
      <c r="KUK24" s="12"/>
      <c r="KUL24" s="12"/>
      <c r="KVC24" s="12"/>
      <c r="KVD24" s="12"/>
      <c r="KVU24" s="12"/>
      <c r="KVV24" s="12"/>
      <c r="KWM24" s="12"/>
      <c r="KWN24" s="12"/>
      <c r="KXE24" s="12"/>
      <c r="KXF24" s="12"/>
      <c r="KXW24" s="12"/>
      <c r="KXX24" s="12"/>
      <c r="KYO24" s="12"/>
      <c r="KYP24" s="12"/>
      <c r="KZG24" s="12"/>
      <c r="KZH24" s="12"/>
      <c r="KZY24" s="12"/>
      <c r="KZZ24" s="12"/>
      <c r="LAQ24" s="12"/>
      <c r="LAR24" s="12"/>
      <c r="LBI24" s="12"/>
      <c r="LBJ24" s="12"/>
      <c r="LCA24" s="12"/>
      <c r="LCB24" s="12"/>
      <c r="LCS24" s="12"/>
      <c r="LCT24" s="12"/>
      <c r="LDK24" s="12"/>
      <c r="LDL24" s="12"/>
      <c r="LEC24" s="12"/>
      <c r="LED24" s="12"/>
      <c r="LEU24" s="12"/>
      <c r="LEV24" s="12"/>
      <c r="LFM24" s="12"/>
      <c r="LFN24" s="12"/>
      <c r="LGE24" s="12"/>
      <c r="LGF24" s="12"/>
      <c r="LGW24" s="12"/>
      <c r="LGX24" s="12"/>
      <c r="LHO24" s="12"/>
      <c r="LHP24" s="12"/>
      <c r="LIG24" s="12"/>
      <c r="LIH24" s="12"/>
      <c r="LIY24" s="12"/>
      <c r="LIZ24" s="12"/>
      <c r="LJQ24" s="12"/>
      <c r="LJR24" s="12"/>
      <c r="LKI24" s="12"/>
      <c r="LKJ24" s="12"/>
      <c r="LLA24" s="12"/>
      <c r="LLB24" s="12"/>
      <c r="LLS24" s="12"/>
      <c r="LLT24" s="12"/>
      <c r="LMK24" s="12"/>
      <c r="LML24" s="12"/>
      <c r="LNC24" s="12"/>
      <c r="LND24" s="12"/>
      <c r="LNU24" s="12"/>
      <c r="LNV24" s="12"/>
      <c r="LOM24" s="12"/>
      <c r="LON24" s="12"/>
      <c r="LPE24" s="12"/>
      <c r="LPF24" s="12"/>
      <c r="LPW24" s="12"/>
      <c r="LPX24" s="12"/>
      <c r="LQO24" s="12"/>
      <c r="LQP24" s="12"/>
      <c r="LRG24" s="12"/>
      <c r="LRH24" s="12"/>
      <c r="LRY24" s="12"/>
      <c r="LRZ24" s="12"/>
      <c r="LSQ24" s="12"/>
      <c r="LSR24" s="12"/>
      <c r="LTI24" s="12"/>
      <c r="LTJ24" s="12"/>
      <c r="LUA24" s="12"/>
      <c r="LUB24" s="12"/>
      <c r="LUS24" s="12"/>
      <c r="LUT24" s="12"/>
      <c r="LVK24" s="12"/>
      <c r="LVL24" s="12"/>
      <c r="LWC24" s="12"/>
      <c r="LWD24" s="12"/>
      <c r="LWU24" s="12"/>
      <c r="LWV24" s="12"/>
      <c r="LXM24" s="12"/>
      <c r="LXN24" s="12"/>
      <c r="LYE24" s="12"/>
      <c r="LYF24" s="12"/>
      <c r="LYW24" s="12"/>
      <c r="LYX24" s="12"/>
      <c r="LZO24" s="12"/>
      <c r="LZP24" s="12"/>
      <c r="MAG24" s="12"/>
      <c r="MAH24" s="12"/>
      <c r="MAY24" s="12"/>
      <c r="MAZ24" s="12"/>
      <c r="MBQ24" s="12"/>
      <c r="MBR24" s="12"/>
      <c r="MCI24" s="12"/>
      <c r="MCJ24" s="12"/>
      <c r="MDA24" s="12"/>
      <c r="MDB24" s="12"/>
      <c r="MDS24" s="12"/>
      <c r="MDT24" s="12"/>
      <c r="MEK24" s="12"/>
      <c r="MEL24" s="12"/>
      <c r="MFC24" s="12"/>
      <c r="MFD24" s="12"/>
      <c r="MFU24" s="12"/>
      <c r="MFV24" s="12"/>
      <c r="MGM24" s="12"/>
      <c r="MGN24" s="12"/>
      <c r="MHE24" s="12"/>
      <c r="MHF24" s="12"/>
      <c r="MHW24" s="12"/>
      <c r="MHX24" s="12"/>
      <c r="MIO24" s="12"/>
      <c r="MIP24" s="12"/>
      <c r="MJG24" s="12"/>
      <c r="MJH24" s="12"/>
      <c r="MJY24" s="12"/>
      <c r="MJZ24" s="12"/>
      <c r="MKQ24" s="12"/>
      <c r="MKR24" s="12"/>
      <c r="MLI24" s="12"/>
      <c r="MLJ24" s="12"/>
      <c r="MMA24" s="12"/>
      <c r="MMB24" s="12"/>
      <c r="MMS24" s="12"/>
      <c r="MMT24" s="12"/>
      <c r="MNK24" s="12"/>
      <c r="MNL24" s="12"/>
      <c r="MOC24" s="12"/>
      <c r="MOD24" s="12"/>
      <c r="MOU24" s="12"/>
      <c r="MOV24" s="12"/>
      <c r="MPM24" s="12"/>
      <c r="MPN24" s="12"/>
      <c r="MQE24" s="12"/>
      <c r="MQF24" s="12"/>
      <c r="MQW24" s="12"/>
      <c r="MQX24" s="12"/>
      <c r="MRO24" s="12"/>
      <c r="MRP24" s="12"/>
      <c r="MSG24" s="12"/>
      <c r="MSH24" s="12"/>
      <c r="MSY24" s="12"/>
      <c r="MSZ24" s="12"/>
      <c r="MTQ24" s="12"/>
      <c r="MTR24" s="12"/>
      <c r="MUI24" s="12"/>
      <c r="MUJ24" s="12"/>
      <c r="MVA24" s="12"/>
      <c r="MVB24" s="12"/>
      <c r="MVS24" s="12"/>
      <c r="MVT24" s="12"/>
      <c r="MWK24" s="12"/>
      <c r="MWL24" s="12"/>
      <c r="MXC24" s="12"/>
      <c r="MXD24" s="12"/>
      <c r="MXU24" s="12"/>
      <c r="MXV24" s="12"/>
      <c r="MYM24" s="12"/>
      <c r="MYN24" s="12"/>
      <c r="MZE24" s="12"/>
      <c r="MZF24" s="12"/>
      <c r="MZW24" s="12"/>
      <c r="MZX24" s="12"/>
      <c r="NAO24" s="12"/>
      <c r="NAP24" s="12"/>
      <c r="NBG24" s="12"/>
      <c r="NBH24" s="12"/>
      <c r="NBY24" s="12"/>
      <c r="NBZ24" s="12"/>
      <c r="NCQ24" s="12"/>
      <c r="NCR24" s="12"/>
      <c r="NDI24" s="12"/>
      <c r="NDJ24" s="12"/>
      <c r="NEA24" s="12"/>
      <c r="NEB24" s="12"/>
      <c r="NES24" s="12"/>
      <c r="NET24" s="12"/>
      <c r="NFK24" s="12"/>
      <c r="NFL24" s="12"/>
      <c r="NGC24" s="12"/>
      <c r="NGD24" s="12"/>
      <c r="NGU24" s="12"/>
      <c r="NGV24" s="12"/>
      <c r="NHM24" s="12"/>
      <c r="NHN24" s="12"/>
      <c r="NIE24" s="12"/>
      <c r="NIF24" s="12"/>
      <c r="NIW24" s="12"/>
      <c r="NIX24" s="12"/>
      <c r="NJO24" s="12"/>
      <c r="NJP24" s="12"/>
      <c r="NKG24" s="12"/>
      <c r="NKH24" s="12"/>
      <c r="NKY24" s="12"/>
      <c r="NKZ24" s="12"/>
      <c r="NLQ24" s="12"/>
      <c r="NLR24" s="12"/>
      <c r="NMI24" s="12"/>
      <c r="NMJ24" s="12"/>
      <c r="NNA24" s="12"/>
      <c r="NNB24" s="12"/>
      <c r="NNS24" s="12"/>
      <c r="NNT24" s="12"/>
      <c r="NOK24" s="12"/>
      <c r="NOL24" s="12"/>
      <c r="NPC24" s="12"/>
      <c r="NPD24" s="12"/>
      <c r="NPU24" s="12"/>
      <c r="NPV24" s="12"/>
      <c r="NQM24" s="12"/>
      <c r="NQN24" s="12"/>
      <c r="NRE24" s="12"/>
      <c r="NRF24" s="12"/>
      <c r="NRW24" s="12"/>
      <c r="NRX24" s="12"/>
      <c r="NSO24" s="12"/>
      <c r="NSP24" s="12"/>
      <c r="NTG24" s="12"/>
      <c r="NTH24" s="12"/>
      <c r="NTY24" s="12"/>
      <c r="NTZ24" s="12"/>
      <c r="NUQ24" s="12"/>
      <c r="NUR24" s="12"/>
      <c r="NVI24" s="12"/>
      <c r="NVJ24" s="12"/>
      <c r="NWA24" s="12"/>
      <c r="NWB24" s="12"/>
      <c r="NWS24" s="12"/>
      <c r="NWT24" s="12"/>
      <c r="NXK24" s="12"/>
      <c r="NXL24" s="12"/>
      <c r="NYC24" s="12"/>
      <c r="NYD24" s="12"/>
      <c r="NYU24" s="12"/>
      <c r="NYV24" s="12"/>
      <c r="NZM24" s="12"/>
      <c r="NZN24" s="12"/>
      <c r="OAE24" s="12"/>
      <c r="OAF24" s="12"/>
      <c r="OAW24" s="12"/>
      <c r="OAX24" s="12"/>
      <c r="OBO24" s="12"/>
      <c r="OBP24" s="12"/>
      <c r="OCG24" s="12"/>
      <c r="OCH24" s="12"/>
      <c r="OCY24" s="12"/>
      <c r="OCZ24" s="12"/>
      <c r="ODQ24" s="12"/>
      <c r="ODR24" s="12"/>
      <c r="OEI24" s="12"/>
      <c r="OEJ24" s="12"/>
      <c r="OFA24" s="12"/>
      <c r="OFB24" s="12"/>
      <c r="OFS24" s="12"/>
      <c r="OFT24" s="12"/>
      <c r="OGK24" s="12"/>
      <c r="OGL24" s="12"/>
      <c r="OHC24" s="12"/>
      <c r="OHD24" s="12"/>
      <c r="OHU24" s="12"/>
      <c r="OHV24" s="12"/>
      <c r="OIM24" s="12"/>
      <c r="OIN24" s="12"/>
      <c r="OJE24" s="12"/>
      <c r="OJF24" s="12"/>
      <c r="OJW24" s="12"/>
      <c r="OJX24" s="12"/>
      <c r="OKO24" s="12"/>
      <c r="OKP24" s="12"/>
      <c r="OLG24" s="12"/>
      <c r="OLH24" s="12"/>
      <c r="OLY24" s="12"/>
      <c r="OLZ24" s="12"/>
      <c r="OMQ24" s="12"/>
      <c r="OMR24" s="12"/>
      <c r="ONI24" s="12"/>
      <c r="ONJ24" s="12"/>
      <c r="OOA24" s="12"/>
      <c r="OOB24" s="12"/>
      <c r="OOS24" s="12"/>
      <c r="OOT24" s="12"/>
      <c r="OPK24" s="12"/>
      <c r="OPL24" s="12"/>
      <c r="OQC24" s="12"/>
      <c r="OQD24" s="12"/>
      <c r="OQU24" s="12"/>
      <c r="OQV24" s="12"/>
      <c r="ORM24" s="12"/>
      <c r="ORN24" s="12"/>
      <c r="OSE24" s="12"/>
      <c r="OSF24" s="12"/>
      <c r="OSW24" s="12"/>
      <c r="OSX24" s="12"/>
      <c r="OTO24" s="12"/>
      <c r="OTP24" s="12"/>
      <c r="OUG24" s="12"/>
      <c r="OUH24" s="12"/>
      <c r="OUY24" s="12"/>
      <c r="OUZ24" s="12"/>
      <c r="OVQ24" s="12"/>
      <c r="OVR24" s="12"/>
      <c r="OWI24" s="12"/>
      <c r="OWJ24" s="12"/>
      <c r="OXA24" s="12"/>
      <c r="OXB24" s="12"/>
      <c r="OXS24" s="12"/>
      <c r="OXT24" s="12"/>
      <c r="OYK24" s="12"/>
      <c r="OYL24" s="12"/>
      <c r="OZC24" s="12"/>
      <c r="OZD24" s="12"/>
      <c r="OZU24" s="12"/>
      <c r="OZV24" s="12"/>
      <c r="PAM24" s="12"/>
      <c r="PAN24" s="12"/>
      <c r="PBE24" s="12"/>
      <c r="PBF24" s="12"/>
      <c r="PBW24" s="12"/>
      <c r="PBX24" s="12"/>
      <c r="PCO24" s="12"/>
      <c r="PCP24" s="12"/>
      <c r="PDG24" s="12"/>
      <c r="PDH24" s="12"/>
      <c r="PDY24" s="12"/>
      <c r="PDZ24" s="12"/>
      <c r="PEQ24" s="12"/>
      <c r="PER24" s="12"/>
      <c r="PFI24" s="12"/>
      <c r="PFJ24" s="12"/>
      <c r="PGA24" s="12"/>
      <c r="PGB24" s="12"/>
      <c r="PGS24" s="12"/>
      <c r="PGT24" s="12"/>
      <c r="PHK24" s="12"/>
      <c r="PHL24" s="12"/>
      <c r="PIC24" s="12"/>
      <c r="PID24" s="12"/>
      <c r="PIU24" s="12"/>
      <c r="PIV24" s="12"/>
      <c r="PJM24" s="12"/>
      <c r="PJN24" s="12"/>
      <c r="PKE24" s="12"/>
      <c r="PKF24" s="12"/>
      <c r="PKW24" s="12"/>
      <c r="PKX24" s="12"/>
      <c r="PLO24" s="12"/>
      <c r="PLP24" s="12"/>
      <c r="PMG24" s="12"/>
      <c r="PMH24" s="12"/>
      <c r="PMY24" s="12"/>
      <c r="PMZ24" s="12"/>
      <c r="PNQ24" s="12"/>
      <c r="PNR24" s="12"/>
      <c r="POI24" s="12"/>
      <c r="POJ24" s="12"/>
      <c r="PPA24" s="12"/>
      <c r="PPB24" s="12"/>
      <c r="PPS24" s="12"/>
      <c r="PPT24" s="12"/>
      <c r="PQK24" s="12"/>
      <c r="PQL24" s="12"/>
      <c r="PRC24" s="12"/>
      <c r="PRD24" s="12"/>
      <c r="PRU24" s="12"/>
      <c r="PRV24" s="12"/>
      <c r="PSM24" s="12"/>
      <c r="PSN24" s="12"/>
      <c r="PTE24" s="12"/>
      <c r="PTF24" s="12"/>
      <c r="PTW24" s="12"/>
      <c r="PTX24" s="12"/>
      <c r="PUO24" s="12"/>
      <c r="PUP24" s="12"/>
      <c r="PVG24" s="12"/>
      <c r="PVH24" s="12"/>
      <c r="PVY24" s="12"/>
      <c r="PVZ24" s="12"/>
      <c r="PWQ24" s="12"/>
      <c r="PWR24" s="12"/>
      <c r="PXI24" s="12"/>
      <c r="PXJ24" s="12"/>
      <c r="PYA24" s="12"/>
      <c r="PYB24" s="12"/>
      <c r="PYS24" s="12"/>
      <c r="PYT24" s="12"/>
      <c r="PZK24" s="12"/>
      <c r="PZL24" s="12"/>
      <c r="QAC24" s="12"/>
      <c r="QAD24" s="12"/>
      <c r="QAU24" s="12"/>
      <c r="QAV24" s="12"/>
      <c r="QBM24" s="12"/>
      <c r="QBN24" s="12"/>
      <c r="QCE24" s="12"/>
      <c r="QCF24" s="12"/>
      <c r="QCW24" s="12"/>
      <c r="QCX24" s="12"/>
      <c r="QDO24" s="12"/>
      <c r="QDP24" s="12"/>
      <c r="QEG24" s="12"/>
      <c r="QEH24" s="12"/>
      <c r="QEY24" s="12"/>
      <c r="QEZ24" s="12"/>
      <c r="QFQ24" s="12"/>
      <c r="QFR24" s="12"/>
      <c r="QGI24" s="12"/>
      <c r="QGJ24" s="12"/>
      <c r="QHA24" s="12"/>
      <c r="QHB24" s="12"/>
      <c r="QHS24" s="12"/>
      <c r="QHT24" s="12"/>
      <c r="QIK24" s="12"/>
      <c r="QIL24" s="12"/>
      <c r="QJC24" s="12"/>
      <c r="QJD24" s="12"/>
      <c r="QJU24" s="12"/>
      <c r="QJV24" s="12"/>
      <c r="QKM24" s="12"/>
      <c r="QKN24" s="12"/>
      <c r="QLE24" s="12"/>
      <c r="QLF24" s="12"/>
      <c r="QLW24" s="12"/>
      <c r="QLX24" s="12"/>
      <c r="QMO24" s="12"/>
      <c r="QMP24" s="12"/>
      <c r="QNG24" s="12"/>
      <c r="QNH24" s="12"/>
      <c r="QNY24" s="12"/>
      <c r="QNZ24" s="12"/>
      <c r="QOQ24" s="12"/>
      <c r="QOR24" s="12"/>
      <c r="QPI24" s="12"/>
      <c r="QPJ24" s="12"/>
      <c r="QQA24" s="12"/>
      <c r="QQB24" s="12"/>
      <c r="QQS24" s="12"/>
      <c r="QQT24" s="12"/>
      <c r="QRK24" s="12"/>
      <c r="QRL24" s="12"/>
      <c r="QSC24" s="12"/>
      <c r="QSD24" s="12"/>
      <c r="QSU24" s="12"/>
      <c r="QSV24" s="12"/>
      <c r="QTM24" s="12"/>
      <c r="QTN24" s="12"/>
      <c r="QUE24" s="12"/>
      <c r="QUF24" s="12"/>
      <c r="QUW24" s="12"/>
      <c r="QUX24" s="12"/>
      <c r="QVO24" s="12"/>
      <c r="QVP24" s="12"/>
      <c r="QWG24" s="12"/>
      <c r="QWH24" s="12"/>
      <c r="QWY24" s="12"/>
      <c r="QWZ24" s="12"/>
      <c r="QXQ24" s="12"/>
      <c r="QXR24" s="12"/>
      <c r="QYI24" s="12"/>
      <c r="QYJ24" s="12"/>
      <c r="QZA24" s="12"/>
      <c r="QZB24" s="12"/>
      <c r="QZS24" s="12"/>
      <c r="QZT24" s="12"/>
      <c r="RAK24" s="12"/>
      <c r="RAL24" s="12"/>
      <c r="RBC24" s="12"/>
      <c r="RBD24" s="12"/>
      <c r="RBU24" s="12"/>
      <c r="RBV24" s="12"/>
      <c r="RCM24" s="12"/>
      <c r="RCN24" s="12"/>
      <c r="RDE24" s="12"/>
      <c r="RDF24" s="12"/>
      <c r="RDW24" s="12"/>
      <c r="RDX24" s="12"/>
      <c r="REO24" s="12"/>
      <c r="REP24" s="12"/>
      <c r="RFG24" s="12"/>
      <c r="RFH24" s="12"/>
      <c r="RFY24" s="12"/>
      <c r="RFZ24" s="12"/>
      <c r="RGQ24" s="12"/>
      <c r="RGR24" s="12"/>
      <c r="RHI24" s="12"/>
      <c r="RHJ24" s="12"/>
      <c r="RIA24" s="12"/>
      <c r="RIB24" s="12"/>
      <c r="RIS24" s="12"/>
      <c r="RIT24" s="12"/>
      <c r="RJK24" s="12"/>
      <c r="RJL24" s="12"/>
      <c r="RKC24" s="12"/>
      <c r="RKD24" s="12"/>
      <c r="RKU24" s="12"/>
      <c r="RKV24" s="12"/>
      <c r="RLM24" s="12"/>
      <c r="RLN24" s="12"/>
      <c r="RME24" s="12"/>
      <c r="RMF24" s="12"/>
      <c r="RMW24" s="12"/>
      <c r="RMX24" s="12"/>
      <c r="RNO24" s="12"/>
      <c r="RNP24" s="12"/>
      <c r="ROG24" s="12"/>
      <c r="ROH24" s="12"/>
      <c r="ROY24" s="12"/>
      <c r="ROZ24" s="12"/>
      <c r="RPQ24" s="12"/>
      <c r="RPR24" s="12"/>
      <c r="RQI24" s="12"/>
      <c r="RQJ24" s="12"/>
      <c r="RRA24" s="12"/>
      <c r="RRB24" s="12"/>
      <c r="RRS24" s="12"/>
      <c r="RRT24" s="12"/>
      <c r="RSK24" s="12"/>
      <c r="RSL24" s="12"/>
      <c r="RTC24" s="12"/>
      <c r="RTD24" s="12"/>
      <c r="RTU24" s="12"/>
      <c r="RTV24" s="12"/>
      <c r="RUM24" s="12"/>
      <c r="RUN24" s="12"/>
      <c r="RVE24" s="12"/>
      <c r="RVF24" s="12"/>
      <c r="RVW24" s="12"/>
      <c r="RVX24" s="12"/>
      <c r="RWO24" s="12"/>
      <c r="RWP24" s="12"/>
      <c r="RXG24" s="12"/>
      <c r="RXH24" s="12"/>
      <c r="RXY24" s="12"/>
      <c r="RXZ24" s="12"/>
      <c r="RYQ24" s="12"/>
      <c r="RYR24" s="12"/>
      <c r="RZI24" s="12"/>
      <c r="RZJ24" s="12"/>
      <c r="SAA24" s="12"/>
      <c r="SAB24" s="12"/>
      <c r="SAS24" s="12"/>
      <c r="SAT24" s="12"/>
      <c r="SBK24" s="12"/>
      <c r="SBL24" s="12"/>
      <c r="SCC24" s="12"/>
      <c r="SCD24" s="12"/>
      <c r="SCU24" s="12"/>
      <c r="SCV24" s="12"/>
      <c r="SDM24" s="12"/>
      <c r="SDN24" s="12"/>
      <c r="SEE24" s="12"/>
      <c r="SEF24" s="12"/>
      <c r="SEW24" s="12"/>
      <c r="SEX24" s="12"/>
      <c r="SFO24" s="12"/>
      <c r="SFP24" s="12"/>
      <c r="SGG24" s="12"/>
      <c r="SGH24" s="12"/>
      <c r="SGY24" s="12"/>
      <c r="SGZ24" s="12"/>
      <c r="SHQ24" s="12"/>
      <c r="SHR24" s="12"/>
      <c r="SII24" s="12"/>
      <c r="SIJ24" s="12"/>
      <c r="SJA24" s="12"/>
      <c r="SJB24" s="12"/>
      <c r="SJS24" s="12"/>
      <c r="SJT24" s="12"/>
      <c r="SKK24" s="12"/>
      <c r="SKL24" s="12"/>
      <c r="SLC24" s="12"/>
      <c r="SLD24" s="12"/>
      <c r="SLU24" s="12"/>
      <c r="SLV24" s="12"/>
      <c r="SMM24" s="12"/>
      <c r="SMN24" s="12"/>
      <c r="SNE24" s="12"/>
      <c r="SNF24" s="12"/>
      <c r="SNW24" s="12"/>
      <c r="SNX24" s="12"/>
      <c r="SOO24" s="12"/>
      <c r="SOP24" s="12"/>
      <c r="SPG24" s="12"/>
      <c r="SPH24" s="12"/>
      <c r="SPY24" s="12"/>
      <c r="SPZ24" s="12"/>
      <c r="SQQ24" s="12"/>
      <c r="SQR24" s="12"/>
      <c r="SRI24" s="12"/>
      <c r="SRJ24" s="12"/>
      <c r="SSA24" s="12"/>
      <c r="SSB24" s="12"/>
      <c r="SSS24" s="12"/>
      <c r="SST24" s="12"/>
      <c r="STK24" s="12"/>
      <c r="STL24" s="12"/>
      <c r="SUC24" s="12"/>
      <c r="SUD24" s="12"/>
      <c r="SUU24" s="12"/>
      <c r="SUV24" s="12"/>
      <c r="SVM24" s="12"/>
      <c r="SVN24" s="12"/>
      <c r="SWE24" s="12"/>
      <c r="SWF24" s="12"/>
      <c r="SWW24" s="12"/>
      <c r="SWX24" s="12"/>
      <c r="SXO24" s="12"/>
      <c r="SXP24" s="12"/>
      <c r="SYG24" s="12"/>
      <c r="SYH24" s="12"/>
      <c r="SYY24" s="12"/>
      <c r="SYZ24" s="12"/>
      <c r="SZQ24" s="12"/>
      <c r="SZR24" s="12"/>
      <c r="TAI24" s="12"/>
      <c r="TAJ24" s="12"/>
      <c r="TBA24" s="12"/>
      <c r="TBB24" s="12"/>
      <c r="TBS24" s="12"/>
      <c r="TBT24" s="12"/>
      <c r="TCK24" s="12"/>
      <c r="TCL24" s="12"/>
      <c r="TDC24" s="12"/>
      <c r="TDD24" s="12"/>
      <c r="TDU24" s="12"/>
      <c r="TDV24" s="12"/>
      <c r="TEM24" s="12"/>
      <c r="TEN24" s="12"/>
      <c r="TFE24" s="12"/>
      <c r="TFF24" s="12"/>
      <c r="TFW24" s="12"/>
      <c r="TFX24" s="12"/>
      <c r="TGO24" s="12"/>
      <c r="TGP24" s="12"/>
      <c r="THG24" s="12"/>
      <c r="THH24" s="12"/>
      <c r="THY24" s="12"/>
      <c r="THZ24" s="12"/>
      <c r="TIQ24" s="12"/>
      <c r="TIR24" s="12"/>
      <c r="TJI24" s="12"/>
      <c r="TJJ24" s="12"/>
      <c r="TKA24" s="12"/>
      <c r="TKB24" s="12"/>
      <c r="TKS24" s="12"/>
      <c r="TKT24" s="12"/>
      <c r="TLK24" s="12"/>
      <c r="TLL24" s="12"/>
      <c r="TMC24" s="12"/>
      <c r="TMD24" s="12"/>
      <c r="TMU24" s="12"/>
      <c r="TMV24" s="12"/>
      <c r="TNM24" s="12"/>
      <c r="TNN24" s="12"/>
      <c r="TOE24" s="12"/>
      <c r="TOF24" s="12"/>
      <c r="TOW24" s="12"/>
      <c r="TOX24" s="12"/>
      <c r="TPO24" s="12"/>
      <c r="TPP24" s="12"/>
      <c r="TQG24" s="12"/>
      <c r="TQH24" s="12"/>
      <c r="TQY24" s="12"/>
      <c r="TQZ24" s="12"/>
      <c r="TRQ24" s="12"/>
      <c r="TRR24" s="12"/>
      <c r="TSI24" s="12"/>
      <c r="TSJ24" s="12"/>
      <c r="TTA24" s="12"/>
      <c r="TTB24" s="12"/>
      <c r="TTS24" s="12"/>
      <c r="TTT24" s="12"/>
      <c r="TUK24" s="12"/>
      <c r="TUL24" s="12"/>
      <c r="TVC24" s="12"/>
      <c r="TVD24" s="12"/>
      <c r="TVU24" s="12"/>
      <c r="TVV24" s="12"/>
      <c r="TWM24" s="12"/>
      <c r="TWN24" s="12"/>
      <c r="TXE24" s="12"/>
      <c r="TXF24" s="12"/>
      <c r="TXW24" s="12"/>
      <c r="TXX24" s="12"/>
      <c r="TYO24" s="12"/>
      <c r="TYP24" s="12"/>
      <c r="TZG24" s="12"/>
      <c r="TZH24" s="12"/>
      <c r="TZY24" s="12"/>
      <c r="TZZ24" s="12"/>
      <c r="UAQ24" s="12"/>
      <c r="UAR24" s="12"/>
      <c r="UBI24" s="12"/>
      <c r="UBJ24" s="12"/>
      <c r="UCA24" s="12"/>
      <c r="UCB24" s="12"/>
      <c r="UCS24" s="12"/>
      <c r="UCT24" s="12"/>
      <c r="UDK24" s="12"/>
      <c r="UDL24" s="12"/>
      <c r="UEC24" s="12"/>
      <c r="UED24" s="12"/>
      <c r="UEU24" s="12"/>
      <c r="UEV24" s="12"/>
      <c r="UFM24" s="12"/>
      <c r="UFN24" s="12"/>
      <c r="UGE24" s="12"/>
      <c r="UGF24" s="12"/>
      <c r="UGW24" s="12"/>
      <c r="UGX24" s="12"/>
      <c r="UHO24" s="12"/>
      <c r="UHP24" s="12"/>
      <c r="UIG24" s="12"/>
      <c r="UIH24" s="12"/>
      <c r="UIY24" s="12"/>
      <c r="UIZ24" s="12"/>
      <c r="UJQ24" s="12"/>
      <c r="UJR24" s="12"/>
      <c r="UKI24" s="12"/>
      <c r="UKJ24" s="12"/>
      <c r="ULA24" s="12"/>
      <c r="ULB24" s="12"/>
      <c r="ULS24" s="12"/>
      <c r="ULT24" s="12"/>
      <c r="UMK24" s="12"/>
      <c r="UML24" s="12"/>
      <c r="UNC24" s="12"/>
      <c r="UND24" s="12"/>
      <c r="UNU24" s="12"/>
      <c r="UNV24" s="12"/>
      <c r="UOM24" s="12"/>
      <c r="UON24" s="12"/>
      <c r="UPE24" s="12"/>
      <c r="UPF24" s="12"/>
      <c r="UPW24" s="12"/>
      <c r="UPX24" s="12"/>
      <c r="UQO24" s="12"/>
      <c r="UQP24" s="12"/>
      <c r="URG24" s="12"/>
      <c r="URH24" s="12"/>
      <c r="URY24" s="12"/>
      <c r="URZ24" s="12"/>
      <c r="USQ24" s="12"/>
      <c r="USR24" s="12"/>
      <c r="UTI24" s="12"/>
      <c r="UTJ24" s="12"/>
      <c r="UUA24" s="12"/>
      <c r="UUB24" s="12"/>
      <c r="UUS24" s="12"/>
      <c r="UUT24" s="12"/>
      <c r="UVK24" s="12"/>
      <c r="UVL24" s="12"/>
      <c r="UWC24" s="12"/>
      <c r="UWD24" s="12"/>
      <c r="UWU24" s="12"/>
      <c r="UWV24" s="12"/>
      <c r="UXM24" s="12"/>
      <c r="UXN24" s="12"/>
      <c r="UYE24" s="12"/>
      <c r="UYF24" s="12"/>
      <c r="UYW24" s="12"/>
      <c r="UYX24" s="12"/>
      <c r="UZO24" s="12"/>
      <c r="UZP24" s="12"/>
      <c r="VAG24" s="12"/>
      <c r="VAH24" s="12"/>
      <c r="VAY24" s="12"/>
      <c r="VAZ24" s="12"/>
      <c r="VBQ24" s="12"/>
      <c r="VBR24" s="12"/>
      <c r="VCI24" s="12"/>
      <c r="VCJ24" s="12"/>
      <c r="VDA24" s="12"/>
      <c r="VDB24" s="12"/>
      <c r="VDS24" s="12"/>
      <c r="VDT24" s="12"/>
      <c r="VEK24" s="12"/>
      <c r="VEL24" s="12"/>
      <c r="VFC24" s="12"/>
      <c r="VFD24" s="12"/>
      <c r="VFU24" s="12"/>
      <c r="VFV24" s="12"/>
      <c r="VGM24" s="12"/>
      <c r="VGN24" s="12"/>
      <c r="VHE24" s="12"/>
      <c r="VHF24" s="12"/>
      <c r="VHW24" s="12"/>
      <c r="VHX24" s="12"/>
      <c r="VIO24" s="12"/>
      <c r="VIP24" s="12"/>
      <c r="VJG24" s="12"/>
      <c r="VJH24" s="12"/>
      <c r="VJY24" s="12"/>
      <c r="VJZ24" s="12"/>
      <c r="VKQ24" s="12"/>
      <c r="VKR24" s="12"/>
      <c r="VLI24" s="12"/>
      <c r="VLJ24" s="12"/>
      <c r="VMA24" s="12"/>
      <c r="VMB24" s="12"/>
      <c r="VMS24" s="12"/>
      <c r="VMT24" s="12"/>
      <c r="VNK24" s="12"/>
      <c r="VNL24" s="12"/>
      <c r="VOC24" s="12"/>
      <c r="VOD24" s="12"/>
      <c r="VOU24" s="12"/>
      <c r="VOV24" s="12"/>
      <c r="VPM24" s="12"/>
      <c r="VPN24" s="12"/>
      <c r="VQE24" s="12"/>
      <c r="VQF24" s="12"/>
      <c r="VQW24" s="12"/>
      <c r="VQX24" s="12"/>
      <c r="VRO24" s="12"/>
      <c r="VRP24" s="12"/>
      <c r="VSG24" s="12"/>
      <c r="VSH24" s="12"/>
      <c r="VSY24" s="12"/>
      <c r="VSZ24" s="12"/>
      <c r="VTQ24" s="12"/>
      <c r="VTR24" s="12"/>
      <c r="VUI24" s="12"/>
      <c r="VUJ24" s="12"/>
      <c r="VVA24" s="12"/>
      <c r="VVB24" s="12"/>
      <c r="VVS24" s="12"/>
      <c r="VVT24" s="12"/>
      <c r="VWK24" s="12"/>
      <c r="VWL24" s="12"/>
      <c r="VXC24" s="12"/>
      <c r="VXD24" s="12"/>
      <c r="VXU24" s="12"/>
      <c r="VXV24" s="12"/>
      <c r="VYM24" s="12"/>
      <c r="VYN24" s="12"/>
      <c r="VZE24" s="12"/>
      <c r="VZF24" s="12"/>
      <c r="VZW24" s="12"/>
      <c r="VZX24" s="12"/>
      <c r="WAO24" s="12"/>
      <c r="WAP24" s="12"/>
      <c r="WBG24" s="12"/>
      <c r="WBH24" s="12"/>
      <c r="WBY24" s="12"/>
      <c r="WBZ24" s="12"/>
      <c r="WCQ24" s="12"/>
      <c r="WCR24" s="12"/>
      <c r="WDI24" s="12"/>
      <c r="WDJ24" s="12"/>
      <c r="WEA24" s="12"/>
      <c r="WEB24" s="12"/>
      <c r="WES24" s="12"/>
      <c r="WET24" s="12"/>
      <c r="WFK24" s="12"/>
      <c r="WFL24" s="12"/>
      <c r="WGC24" s="12"/>
      <c r="WGD24" s="12"/>
      <c r="WGU24" s="12"/>
      <c r="WGV24" s="12"/>
      <c r="WHM24" s="12"/>
      <c r="WHN24" s="12"/>
      <c r="WIE24" s="12"/>
      <c r="WIF24" s="12"/>
      <c r="WIW24" s="12"/>
      <c r="WIX24" s="12"/>
      <c r="WJO24" s="12"/>
      <c r="WJP24" s="12"/>
      <c r="WKG24" s="12"/>
      <c r="WKH24" s="12"/>
      <c r="WKY24" s="12"/>
      <c r="WKZ24" s="12"/>
      <c r="WLQ24" s="12"/>
      <c r="WLR24" s="12"/>
      <c r="WMI24" s="12"/>
      <c r="WMJ24" s="12"/>
      <c r="WNA24" s="12"/>
      <c r="WNB24" s="12"/>
      <c r="WNS24" s="12"/>
      <c r="WNT24" s="12"/>
      <c r="WOK24" s="12"/>
      <c r="WOL24" s="12"/>
      <c r="WPC24" s="12"/>
      <c r="WPD24" s="12"/>
      <c r="WPU24" s="12"/>
      <c r="WPV24" s="12"/>
      <c r="WQM24" s="12"/>
      <c r="WQN24" s="12"/>
      <c r="WRE24" s="12"/>
      <c r="WRF24" s="12"/>
      <c r="WRW24" s="12"/>
      <c r="WRX24" s="12"/>
      <c r="WSO24" s="12"/>
      <c r="WSP24" s="12"/>
      <c r="WTG24" s="12"/>
      <c r="WTH24" s="12"/>
      <c r="WTY24" s="12"/>
      <c r="WTZ24" s="12"/>
      <c r="WUQ24" s="12"/>
      <c r="WUR24" s="12"/>
      <c r="WVI24" s="12"/>
      <c r="WVJ24" s="12"/>
      <c r="WWA24" s="12"/>
      <c r="WWB24" s="12"/>
      <c r="WWS24" s="12"/>
      <c r="WWT24" s="12"/>
      <c r="WXK24" s="12"/>
      <c r="WXL24" s="12"/>
      <c r="WYC24" s="12"/>
      <c r="WYD24" s="12"/>
      <c r="WYU24" s="12"/>
      <c r="WYV24" s="12"/>
      <c r="WZM24" s="12"/>
      <c r="WZN24" s="12"/>
      <c r="XAE24" s="12"/>
      <c r="XAF24" s="12"/>
      <c r="XAW24" s="12"/>
      <c r="XAX24" s="12"/>
      <c r="XBO24" s="12"/>
      <c r="XBP24" s="12"/>
      <c r="XCG24" s="12"/>
      <c r="XCH24" s="12"/>
      <c r="XCY24" s="12"/>
      <c r="XCZ24" s="12"/>
      <c r="XDQ24" s="12"/>
      <c r="XDR24" s="12"/>
      <c r="XEI24" s="12"/>
      <c r="XEJ24" s="12"/>
      <c r="XFA24" s="12"/>
      <c r="XFB24" s="12"/>
    </row>
    <row r="25" spans="1:1010 1027:2036 2053:3062 3079:4088 4105:5114 5131:6140 6157:7166 7183:8192 8209:9200 9217:10226 10243:11252 11269:12278 12295:13304 13321:14330 14347:15356 15373:16382" x14ac:dyDescent="0.35">
      <c r="A25" s="181" t="str">
        <f>'Balance Sheet - Standardized'!A27</f>
        <v xml:space="preserve">    + Prepaid Expenses</v>
      </c>
      <c r="B25" s="13" t="str">
        <f>'Balance Sheet - Standardized'!B27</f>
        <v>BS_PREPAY</v>
      </c>
      <c r="C25" s="77">
        <f>IF('Balance Sheet - Standardized'!C27="",0,'Balance Sheet - Standardized'!C27)/'Balance Sheet - Standardized'!C$61</f>
        <v>7.5300247171881888E-3</v>
      </c>
      <c r="D25" s="77">
        <f>IF('Balance Sheet - Standardized'!D27="",0,'Balance Sheet - Standardized'!D27)/'Balance Sheet - Standardized'!D$61</f>
        <v>8.6634837322540868E-3</v>
      </c>
      <c r="E25" s="77">
        <f>IF('Balance Sheet - Standardized'!E27="",0,'Balance Sheet - Standardized'!E27)/'Balance Sheet - Standardized'!E$61</f>
        <v>7.7620258427685031E-3</v>
      </c>
      <c r="F25" s="77">
        <f>IF('Balance Sheet - Standardized'!F27="",0,'Balance Sheet - Standardized'!F27)/'Balance Sheet - Standardized'!F$61</f>
        <v>0</v>
      </c>
      <c r="G25" s="77">
        <f>IF('Balance Sheet - Standardized'!G27="",0,'Balance Sheet - Standardized'!G27)/'Balance Sheet - Standardized'!G$61</f>
        <v>0</v>
      </c>
      <c r="H25" s="77">
        <f>IF('Balance Sheet - Standardized'!H27="",0,'Balance Sheet - Standardized'!H27)/'Balance Sheet - Standardized'!H$61</f>
        <v>0</v>
      </c>
      <c r="I25" s="77">
        <f>IF('Balance Sheet - Standardized'!I27="",0,'Balance Sheet - Standardized'!I27)/'Balance Sheet - Standardized'!I$61</f>
        <v>0</v>
      </c>
      <c r="J25" s="77">
        <f>IF('Balance Sheet - Standardized'!J27="",0,'Balance Sheet - Standardized'!J27)/'Balance Sheet - Standardized'!J$61</f>
        <v>0</v>
      </c>
      <c r="K25" s="77">
        <f>IF('Balance Sheet - Standardized'!K27="",0,'Balance Sheet - Standardized'!K27)/'Balance Sheet - Standardized'!K$61</f>
        <v>0</v>
      </c>
      <c r="L25" s="77">
        <f>IF('Balance Sheet - Standardized'!L27="",0,'Balance Sheet - Standardized'!L27)/'Balance Sheet - Standardized'!L$61</f>
        <v>0</v>
      </c>
      <c r="M25" s="106"/>
      <c r="N25" s="106"/>
      <c r="O25" s="106"/>
      <c r="P25" s="106"/>
      <c r="Q25" s="106"/>
      <c r="R25" s="106"/>
      <c r="S25" s="74"/>
      <c r="T25" s="80"/>
      <c r="U25" s="80"/>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row>
    <row r="26" spans="1:1010 1027:2036 2053:3062 3079:4088 4105:5114 5131:6140 6157:7166 7183:8192 8209:9200 9217:10226 10243:11252 11269:12278 12295:13304 13321:14330 14347:15356 15373:16382" x14ac:dyDescent="0.35">
      <c r="A26" s="181" t="str">
        <f>'Balance Sheet - Standardized'!A28</f>
        <v xml:space="preserve">    + ST Derivative &amp; Hedging Assets</v>
      </c>
      <c r="B26" s="13" t="str">
        <f>'Balance Sheet - Standardized'!B28</f>
        <v>BS_DERIV_&amp;_HEDGING_ASSETS_ST</v>
      </c>
      <c r="C26" s="77">
        <f>IF('Balance Sheet - Standardized'!C28="",0,'Balance Sheet - Standardized'!C28)/'Balance Sheet - Standardized'!C$61</f>
        <v>1.4973898239028542E-4</v>
      </c>
      <c r="D26" s="77">
        <f>IF('Balance Sheet - Standardized'!D28="",0,'Balance Sheet - Standardized'!D28)/'Balance Sheet - Standardized'!D$61</f>
        <v>1.7785436494134758E-5</v>
      </c>
      <c r="E26" s="77">
        <f>IF('Balance Sheet - Standardized'!E28="",0,'Balance Sheet - Standardized'!E28)/'Balance Sheet - Standardized'!E$61</f>
        <v>1.7950809185696924E-3</v>
      </c>
      <c r="F26" s="77">
        <f>IF('Balance Sheet - Standardized'!F28="",0,'Balance Sheet - Standardized'!F28)/'Balance Sheet - Standardized'!F$61</f>
        <v>2.2226042045595368E-3</v>
      </c>
      <c r="G26" s="77">
        <f>IF('Balance Sheet - Standardized'!G28="",0,'Balance Sheet - Standardized'!G28)/'Balance Sheet - Standardized'!G$61</f>
        <v>3.6808138454689185E-5</v>
      </c>
      <c r="H26" s="77">
        <f>IF('Balance Sheet - Standardized'!H28="",0,'Balance Sheet - Standardized'!H28)/'Balance Sheet - Standardized'!H$61</f>
        <v>0</v>
      </c>
      <c r="I26" s="77">
        <f>IF('Balance Sheet - Standardized'!I28="",0,'Balance Sheet - Standardized'!I28)/'Balance Sheet - Standardized'!I$61</f>
        <v>0</v>
      </c>
      <c r="J26" s="77">
        <f>IF('Balance Sheet - Standardized'!J28="",0,'Balance Sheet - Standardized'!J28)/'Balance Sheet - Standardized'!J$61</f>
        <v>0</v>
      </c>
      <c r="K26" s="77">
        <f>IF('Balance Sheet - Standardized'!K28="",0,'Balance Sheet - Standardized'!K28)/'Balance Sheet - Standardized'!K$61</f>
        <v>0</v>
      </c>
      <c r="L26" s="77">
        <f>IF('Balance Sheet - Standardized'!L28="",0,'Balance Sheet - Standardized'!L28)/'Balance Sheet - Standardized'!L$61</f>
        <v>0</v>
      </c>
      <c r="M26" s="106"/>
      <c r="N26" s="106"/>
      <c r="O26" s="106"/>
      <c r="P26" s="106"/>
      <c r="Q26" s="106"/>
      <c r="R26" s="106"/>
      <c r="S26" s="74"/>
      <c r="T26" s="78"/>
      <c r="U26" s="78"/>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row>
    <row r="27" spans="1:1010 1027:2036 2053:3062 3079:4088 4105:5114 5131:6140 6157:7166 7183:8192 8209:9200 9217:10226 10243:11252 11269:12278 12295:13304 13321:14330 14347:15356 15373:16382" x14ac:dyDescent="0.35">
      <c r="A27" s="181" t="str">
        <f>'Balance Sheet - Standardized'!A29</f>
        <v xml:space="preserve">    + Assets Held-for-Sale</v>
      </c>
      <c r="B27" s="13" t="str">
        <f>'Balance Sheet - Standardized'!B29</f>
        <v>BS_ASSETS_HELD_FOR_SALE_ST</v>
      </c>
      <c r="C27" s="77">
        <f>IF('Balance Sheet - Standardized'!C29="",0,'Balance Sheet - Standardized'!C29)/'Balance Sheet - Standardized'!C$61</f>
        <v>0</v>
      </c>
      <c r="D27" s="77">
        <f>IF('Balance Sheet - Standardized'!D29="",0,'Balance Sheet - Standardized'!D29)/'Balance Sheet - Standardized'!D$61</f>
        <v>0</v>
      </c>
      <c r="E27" s="77">
        <f>IF('Balance Sheet - Standardized'!E29="",0,'Balance Sheet - Standardized'!E29)/'Balance Sheet - Standardized'!E$61</f>
        <v>2.166290859080151E-2</v>
      </c>
      <c r="F27" s="77">
        <f>IF('Balance Sheet - Standardized'!F29="",0,'Balance Sheet - Standardized'!F29)/'Balance Sheet - Standardized'!F$61</f>
        <v>5.484555699021015E-3</v>
      </c>
      <c r="G27" s="77">
        <f>IF('Balance Sheet - Standardized'!G29="",0,'Balance Sheet - Standardized'!G29)/'Balance Sheet - Standardized'!G$61</f>
        <v>0</v>
      </c>
      <c r="H27" s="77">
        <f>IF('Balance Sheet - Standardized'!H29="",0,'Balance Sheet - Standardized'!H29)/'Balance Sheet - Standardized'!H$61</f>
        <v>0</v>
      </c>
      <c r="I27" s="77">
        <f>IF('Balance Sheet - Standardized'!I29="",0,'Balance Sheet - Standardized'!I29)/'Balance Sheet - Standardized'!I$61</f>
        <v>0</v>
      </c>
      <c r="J27" s="77">
        <f>IF('Balance Sheet - Standardized'!J29="",0,'Balance Sheet - Standardized'!J29)/'Balance Sheet - Standardized'!J$61</f>
        <v>0</v>
      </c>
      <c r="K27" s="77">
        <f>IF('Balance Sheet - Standardized'!K29="",0,'Balance Sheet - Standardized'!K29)/'Balance Sheet - Standardized'!K$61</f>
        <v>0</v>
      </c>
      <c r="L27" s="77">
        <f>IF('Balance Sheet - Standardized'!L29="",0,'Balance Sheet - Standardized'!L29)/'Balance Sheet - Standardized'!L$61</f>
        <v>0</v>
      </c>
      <c r="M27" s="106"/>
      <c r="N27" s="106"/>
      <c r="O27" s="106"/>
      <c r="P27" s="106"/>
      <c r="Q27" s="106"/>
      <c r="R27" s="106"/>
      <c r="S27" s="74"/>
      <c r="T27" s="78"/>
      <c r="U27" s="78"/>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row>
    <row r="28" spans="1:1010 1027:2036 2053:3062 3079:4088 4105:5114 5131:6140 6157:7166 7183:8192 8209:9200 9217:10226 10243:11252 11269:12278 12295:13304 13321:14330 14347:15356 15373:16382" x14ac:dyDescent="0.35">
      <c r="A28" s="181" t="str">
        <f>'Balance Sheet - Standardized'!A30</f>
        <v xml:space="preserve">    + ST Deferred Tax Assets</v>
      </c>
      <c r="B28" s="13" t="str">
        <f>'Balance Sheet - Standardized'!B30</f>
        <v>BS_DEFERRED_TAX_ASSETS_ST</v>
      </c>
      <c r="C28" s="77">
        <f>IF('Balance Sheet - Standardized'!C30="",0,'Balance Sheet - Standardized'!C30)/'Balance Sheet - Standardized'!C$61</f>
        <v>0</v>
      </c>
      <c r="D28" s="77">
        <f>IF('Balance Sheet - Standardized'!D30="",0,'Balance Sheet - Standardized'!D30)/'Balance Sheet - Standardized'!D$61</f>
        <v>0</v>
      </c>
      <c r="E28" s="77">
        <f>IF('Balance Sheet - Standardized'!E30="",0,'Balance Sheet - Standardized'!E30)/'Balance Sheet - Standardized'!E$61</f>
        <v>0</v>
      </c>
      <c r="F28" s="77">
        <f>IF('Balance Sheet - Standardized'!F30="",0,'Balance Sheet - Standardized'!F30)/'Balance Sheet - Standardized'!F$61</f>
        <v>0</v>
      </c>
      <c r="G28" s="77">
        <f>IF('Balance Sheet - Standardized'!G30="",0,'Balance Sheet - Standardized'!G30)/'Balance Sheet - Standardized'!G$61</f>
        <v>0</v>
      </c>
      <c r="H28" s="77">
        <f>IF('Balance Sheet - Standardized'!H30="",0,'Balance Sheet - Standardized'!H30)/'Balance Sheet - Standardized'!H$61</f>
        <v>0</v>
      </c>
      <c r="I28" s="77">
        <f>IF('Balance Sheet - Standardized'!I30="",0,'Balance Sheet - Standardized'!I30)/'Balance Sheet - Standardized'!I$61</f>
        <v>0</v>
      </c>
      <c r="J28" s="77">
        <f>IF('Balance Sheet - Standardized'!J30="",0,'Balance Sheet - Standardized'!J30)/'Balance Sheet - Standardized'!J$61</f>
        <v>0</v>
      </c>
      <c r="K28" s="77">
        <f>IF('Balance Sheet - Standardized'!K30="",0,'Balance Sheet - Standardized'!K30)/'Balance Sheet - Standardized'!K$61</f>
        <v>0</v>
      </c>
      <c r="L28" s="77">
        <f>IF('Balance Sheet - Standardized'!L30="",0,'Balance Sheet - Standardized'!L30)/'Balance Sheet - Standardized'!L$61</f>
        <v>0</v>
      </c>
      <c r="M28" s="106"/>
      <c r="N28" s="106"/>
      <c r="O28" s="106"/>
      <c r="P28" s="106"/>
      <c r="Q28" s="106"/>
      <c r="R28" s="106"/>
      <c r="S28" s="74"/>
      <c r="T28" s="78"/>
      <c r="U28" s="78"/>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row>
    <row r="29" spans="1:1010 1027:2036 2053:3062 3079:4088 4105:5114 5131:6140 6157:7166 7183:8192 8209:9200 9217:10226 10243:11252 11269:12278 12295:13304 13321:14330 14347:15356 15373:16382" x14ac:dyDescent="0.35">
      <c r="A29" s="181" t="str">
        <f>'Balance Sheet - Standardized'!A31</f>
        <v xml:space="preserve">    + Taxes Receivable</v>
      </c>
      <c r="B29" s="13" t="str">
        <f>'Balance Sheet - Standardized'!B31</f>
        <v>BS_TAXES_RECEIVABLE_SHORT_TERM</v>
      </c>
      <c r="C29" s="77">
        <f>IF('Balance Sheet - Standardized'!C31="",0,'Balance Sheet - Standardized'!C31)/'Balance Sheet - Standardized'!C$61</f>
        <v>0</v>
      </c>
      <c r="D29" s="77">
        <f>IF('Balance Sheet - Standardized'!D31="",0,'Balance Sheet - Standardized'!D31)/'Balance Sheet - Standardized'!D$61</f>
        <v>0</v>
      </c>
      <c r="E29" s="77">
        <f>IF('Balance Sheet - Standardized'!E31="",0,'Balance Sheet - Standardized'!E31)/'Balance Sheet - Standardized'!E$61</f>
        <v>0</v>
      </c>
      <c r="F29" s="77">
        <f>IF('Balance Sheet - Standardized'!F31="",0,'Balance Sheet - Standardized'!F31)/'Balance Sheet - Standardized'!F$61</f>
        <v>0</v>
      </c>
      <c r="G29" s="77">
        <f>IF('Balance Sheet - Standardized'!G31="",0,'Balance Sheet - Standardized'!G31)/'Balance Sheet - Standardized'!G$61</f>
        <v>0</v>
      </c>
      <c r="H29" s="77">
        <f>IF('Balance Sheet - Standardized'!H31="",0,'Balance Sheet - Standardized'!H31)/'Balance Sheet - Standardized'!H$61</f>
        <v>0</v>
      </c>
      <c r="I29" s="77">
        <f>IF('Balance Sheet - Standardized'!I31="",0,'Balance Sheet - Standardized'!I31)/'Balance Sheet - Standardized'!I$61</f>
        <v>0</v>
      </c>
      <c r="J29" s="77">
        <f>IF('Balance Sheet - Standardized'!J31="",0,'Balance Sheet - Standardized'!J31)/'Balance Sheet - Standardized'!J$61</f>
        <v>0</v>
      </c>
      <c r="K29" s="77">
        <f>IF('Balance Sheet - Standardized'!K31="",0,'Balance Sheet - Standardized'!K31)/'Balance Sheet - Standardized'!K$61</f>
        <v>0</v>
      </c>
      <c r="L29" s="77">
        <f>IF('Balance Sheet - Standardized'!L31="",0,'Balance Sheet - Standardized'!L31)/'Balance Sheet - Standardized'!L$61</f>
        <v>0</v>
      </c>
      <c r="M29" s="106"/>
      <c r="N29" s="106"/>
      <c r="O29" s="106"/>
      <c r="P29" s="106"/>
      <c r="Q29" s="106"/>
      <c r="R29" s="106"/>
      <c r="S29" s="74"/>
      <c r="T29" s="78"/>
      <c r="U29" s="78"/>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row>
    <row r="30" spans="1:1010 1027:2036 2053:3062 3079:4088 4105:5114 5131:6140 6157:7166 7183:8192 8209:9200 9217:10226 10243:11252 11269:12278 12295:13304 13321:14330 14347:15356 15373:16382" x14ac:dyDescent="0.35">
      <c r="A30" s="181" t="s">
        <v>60</v>
      </c>
      <c r="B30" s="13" t="str">
        <f>'Balance Sheet - Standardized'!B32</f>
        <v>BS_ASSETS_OF_DISCONTINUED_OPS_ST</v>
      </c>
      <c r="C30" s="77">
        <f>IF('Balance Sheet - Standardized'!C32="",0,'Balance Sheet - Standardized'!C32)/'Balance Sheet - Standardized'!C$61</f>
        <v>0</v>
      </c>
      <c r="D30" s="77">
        <f>IF('Balance Sheet - Standardized'!D32="",0,'Balance Sheet - Standardized'!D32)/'Balance Sheet - Standardized'!D$61</f>
        <v>0</v>
      </c>
      <c r="E30" s="77">
        <f>IF('Balance Sheet - Standardized'!E32="",0,'Balance Sheet - Standardized'!E32)/'Balance Sheet - Standardized'!E$61</f>
        <v>0</v>
      </c>
      <c r="F30" s="77">
        <f>IF('Balance Sheet - Standardized'!F32="",0,'Balance Sheet - Standardized'!F32)/'Balance Sheet - Standardized'!F$61</f>
        <v>0</v>
      </c>
      <c r="G30" s="77">
        <f>IF('Balance Sheet - Standardized'!G32="",0,'Balance Sheet - Standardized'!G32)/'Balance Sheet - Standardized'!G$61</f>
        <v>0</v>
      </c>
      <c r="H30" s="77">
        <f>IF('Balance Sheet - Standardized'!H32="",0,'Balance Sheet - Standardized'!H32)/'Balance Sheet - Standardized'!H$61</f>
        <v>0</v>
      </c>
      <c r="I30" s="77">
        <f>IF('Balance Sheet - Standardized'!I32="",0,'Balance Sheet - Standardized'!I32)/'Balance Sheet - Standardized'!I$61</f>
        <v>0</v>
      </c>
      <c r="J30" s="77">
        <f>IF('Balance Sheet - Standardized'!J32="",0,'Balance Sheet - Standardized'!J32)/'Balance Sheet - Standardized'!J$61</f>
        <v>0</v>
      </c>
      <c r="K30" s="77">
        <f>IF('Balance Sheet - Standardized'!K32="",0,'Balance Sheet - Standardized'!K32)/'Balance Sheet - Standardized'!K$61</f>
        <v>0</v>
      </c>
      <c r="L30" s="77">
        <f>IF('Balance Sheet - Standardized'!L32="",0,'Balance Sheet - Standardized'!L32)/'Balance Sheet - Standardized'!L$61</f>
        <v>0</v>
      </c>
      <c r="M30" s="106"/>
      <c r="N30" s="106"/>
      <c r="O30" s="106"/>
      <c r="P30" s="106"/>
      <c r="Q30" s="106"/>
      <c r="R30" s="106"/>
      <c r="S30" s="74"/>
      <c r="T30" s="78"/>
      <c r="U30" s="78"/>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row>
    <row r="31" spans="1:1010 1027:2036 2053:3062 3079:4088 4105:5114 5131:6140 6157:7166 7183:8192 8209:9200 9217:10226 10243:11252 11269:12278 12295:13304 13321:14330 14347:15356 15373:16382" x14ac:dyDescent="0.35">
      <c r="A31" s="181" t="str">
        <f>'Balance Sheet - Standardized'!A33</f>
        <v xml:space="preserve">    + Misc ST Assets</v>
      </c>
      <c r="B31" s="13" t="str">
        <f>'Balance Sheet - Standardized'!B33</f>
        <v>BS_OTHER_CUR_ASSET_LESS_PREPAY</v>
      </c>
      <c r="C31" s="77">
        <f>IF('Balance Sheet - Standardized'!C33="",0,'Balance Sheet - Standardized'!C33)/'Balance Sheet - Standardized'!C$61</f>
        <v>3.3691271037814226E-2</v>
      </c>
      <c r="D31" s="77">
        <f>IF('Balance Sheet - Standardized'!D33="",0,'Balance Sheet - Standardized'!D33)/'Balance Sheet - Standardized'!D$61</f>
        <v>1.3667119865937332E-2</v>
      </c>
      <c r="E31" s="77">
        <f>IF('Balance Sheet - Standardized'!E33="",0,'Balance Sheet - Standardized'!E33)/'Balance Sheet - Standardized'!E$61</f>
        <v>1.2605545960468241E-2</v>
      </c>
      <c r="F31" s="77">
        <f>IF('Balance Sheet - Standardized'!F33="",0,'Balance Sheet - Standardized'!F33)/'Balance Sheet - Standardized'!F$61</f>
        <v>2.9165683950479099E-2</v>
      </c>
      <c r="G31" s="77">
        <f>IF('Balance Sheet - Standardized'!G33="",0,'Balance Sheet - Standardized'!G33)/'Balance Sheet - Standardized'!G$61</f>
        <v>3.0855736636016588E-2</v>
      </c>
      <c r="H31" s="77">
        <f>IF('Balance Sheet - Standardized'!H33="",0,'Balance Sheet - Standardized'!H33)/'Balance Sheet - Standardized'!H$61</f>
        <v>4.7927995794000179E-2</v>
      </c>
      <c r="I31" s="77">
        <f>IF('Balance Sheet - Standardized'!I33="",0,'Balance Sheet - Standardized'!I33)/'Balance Sheet - Standardized'!I$61</f>
        <v>4.0268598035890932E-2</v>
      </c>
      <c r="J31" s="77">
        <f>IF('Balance Sheet - Standardized'!J33="",0,'Balance Sheet - Standardized'!J33)/'Balance Sheet - Standardized'!J$61</f>
        <v>2.7448166724780731E-2</v>
      </c>
      <c r="K31" s="77">
        <f>IF('Balance Sheet - Standardized'!K33="",0,'Balance Sheet - Standardized'!K33)/'Balance Sheet - Standardized'!K$61</f>
        <v>4.1144019194140735E-2</v>
      </c>
      <c r="L31" s="77">
        <f>IF('Balance Sheet - Standardized'!L33="",0,'Balance Sheet - Standardized'!L33)/'Balance Sheet - Standardized'!L$61</f>
        <v>3.8417717604859923E-2</v>
      </c>
      <c r="M31" s="106"/>
      <c r="N31" s="106"/>
      <c r="O31" s="106"/>
      <c r="P31" s="106"/>
      <c r="Q31" s="106"/>
      <c r="R31" s="106"/>
      <c r="S31" s="74"/>
      <c r="T31" s="78"/>
      <c r="U31" s="78"/>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row>
    <row r="32" spans="1:1010 1027:2036 2053:3062 3079:4088 4105:5114 5131:6140 6157:7166 7183:8192 8209:9200 9217:10226 10243:11252 11269:12278 12295:13304 13321:14330 14347:15356 15373:16382" x14ac:dyDescent="0.35">
      <c r="A32" s="23" t="str">
        <f>'Balance Sheet - Standardized'!A34</f>
        <v>check</v>
      </c>
      <c r="B32" s="13"/>
      <c r="C32" s="79"/>
      <c r="D32" s="79"/>
      <c r="E32" s="79"/>
      <c r="F32" s="79"/>
      <c r="G32" s="79"/>
      <c r="H32" s="79"/>
      <c r="I32" s="79"/>
      <c r="J32" s="79"/>
      <c r="K32" s="79"/>
      <c r="L32" s="79"/>
      <c r="M32" s="144"/>
      <c r="N32" s="144"/>
      <c r="O32" s="144"/>
      <c r="P32" s="144"/>
      <c r="Q32" s="144"/>
      <c r="R32" s="144"/>
      <c r="S32" s="74"/>
      <c r="T32" s="78"/>
      <c r="U32" s="78"/>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row>
    <row r="33" spans="1:1010 1027:2036 2053:3062 3079:4088 4105:5114 5131:6140 6157:7166 7183:8192 8209:9200 9217:10226 10243:11252 11269:12278 12295:13304 13321:14330 14347:15356 15373:16382" x14ac:dyDescent="0.35">
      <c r="A33" s="51" t="str">
        <f>'Balance Sheet - Standardized'!A35</f>
        <v>Total Current Assets</v>
      </c>
      <c r="B33" s="51" t="str">
        <f>'Balance Sheet - Standardized'!B35</f>
        <v>BS_CUR_ASSET_REPORT</v>
      </c>
      <c r="C33" s="81">
        <f>IF('Balance Sheet - Standardized'!C35="",0,'Balance Sheet - Standardized'!C35)/'Balance Sheet - Standardized'!C$61</f>
        <v>0.56772612124755129</v>
      </c>
      <c r="D33" s="81">
        <f>IF('Balance Sheet - Standardized'!D35="",0,'Balance Sheet - Standardized'!D35)/'Balance Sheet - Standardized'!D$61</f>
        <v>0.57888433933031913</v>
      </c>
      <c r="E33" s="81">
        <f>IF('Balance Sheet - Standardized'!E35="",0,'Balance Sheet - Standardized'!E35)/'Balance Sheet - Standardized'!E$61</f>
        <v>0.6617631772532464</v>
      </c>
      <c r="F33" s="81">
        <f>IF('Balance Sheet - Standardized'!F35="",0,'Balance Sheet - Standardized'!F35)/'Balance Sheet - Standardized'!F$61</f>
        <v>0.62658650367569169</v>
      </c>
      <c r="G33" s="81">
        <f>IF('Balance Sheet - Standardized'!G35="",0,'Balance Sheet - Standardized'!G35)/'Balance Sheet - Standardized'!G$61</f>
        <v>0.60984950729677534</v>
      </c>
      <c r="H33" s="81">
        <f>IF('Balance Sheet - Standardized'!H35="",0,'Balance Sheet - Standardized'!H35)/'Balance Sheet - Standardized'!H$61</f>
        <v>0.65303326349490343</v>
      </c>
      <c r="I33" s="81">
        <f>IF('Balance Sheet - Standardized'!I35="",0,'Balance Sheet - Standardized'!I35)/'Balance Sheet - Standardized'!I$61</f>
        <v>0.67135578123219064</v>
      </c>
      <c r="J33" s="81">
        <f>IF('Balance Sheet - Standardized'!J35="",0,'Balance Sheet - Standardized'!J35)/'Balance Sheet - Standardized'!J$61</f>
        <v>0.65376176809806075</v>
      </c>
      <c r="K33" s="81">
        <f>IF('Balance Sheet - Standardized'!K35="",0,'Balance Sheet - Standardized'!K35)/'Balance Sheet - Standardized'!K$61</f>
        <v>0.64876511380736412</v>
      </c>
      <c r="L33" s="81">
        <f>IF('Balance Sheet - Standardized'!L35="",0,'Balance Sheet - Standardized'!L35)/'Balance Sheet - Standardized'!L$61</f>
        <v>0.63361226208202315</v>
      </c>
      <c r="M33" s="145"/>
      <c r="N33" s="145"/>
      <c r="O33" s="145"/>
      <c r="P33" s="145"/>
      <c r="Q33" s="145"/>
      <c r="R33" s="145"/>
      <c r="S33" s="74"/>
      <c r="T33" s="82"/>
      <c r="U33" s="82"/>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row>
    <row r="34" spans="1:1010 1027:2036 2053:3062 3079:4088 4105:5114 5131:6140 6157:7166 7183:8192 8209:9200 9217:10226 10243:11252 11269:12278 12295:13304 13321:14330 14347:15356 15373:16382" x14ac:dyDescent="0.35">
      <c r="A34" s="24" t="str">
        <f>'Balance Sheet - Standardized'!A36</f>
        <v>check</v>
      </c>
      <c r="B34" s="24"/>
      <c r="C34" s="83"/>
      <c r="D34" s="83"/>
      <c r="E34" s="83"/>
      <c r="F34" s="83"/>
      <c r="G34" s="83"/>
      <c r="H34" s="83"/>
      <c r="I34" s="83"/>
      <c r="J34" s="83"/>
      <c r="K34" s="83"/>
      <c r="L34" s="83"/>
      <c r="M34" s="146"/>
      <c r="N34" s="146"/>
      <c r="O34" s="146"/>
      <c r="P34" s="146"/>
      <c r="Q34" s="146"/>
      <c r="R34" s="146"/>
      <c r="S34" s="74"/>
      <c r="T34" s="82"/>
      <c r="U34" s="82"/>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row>
    <row r="35" spans="1:1010 1027:2036 2053:3062 3079:4088 4105:5114 5131:6140 6157:7166 7183:8192 8209:9200 9217:10226 10243:11252 11269:12278 12295:13304 13321:14330 14347:15356 15373:16382" x14ac:dyDescent="0.35">
      <c r="A35" s="183" t="str">
        <f>'Balance Sheet - Standardized'!A37</f>
        <v xml:space="preserve">  + Property, Plant &amp; Equip, Net (As Reported)</v>
      </c>
      <c r="B35" s="75" t="str">
        <f>'Balance Sheet - Standardized'!B37</f>
        <v>ARD_PROPERTY_PLANT_EQUIP_NET</v>
      </c>
      <c r="C35" s="76">
        <f>IF('Balance Sheet - Standardized'!C37="",0,'Balance Sheet - Standardized'!C37)/'Balance Sheet - Standardized'!C$61</f>
        <v>0.15922997241110529</v>
      </c>
      <c r="D35" s="76">
        <f>IF('Balance Sheet - Standardized'!D37="",0,'Balance Sheet - Standardized'!D37)/'Balance Sheet - Standardized'!D$61</f>
        <v>0.14721993866000571</v>
      </c>
      <c r="E35" s="76">
        <f>IF('Balance Sheet - Standardized'!E37="",0,'Balance Sheet - Standardized'!E37)/'Balance Sheet - Standardized'!E$61</f>
        <v>0.1144374080470799</v>
      </c>
      <c r="F35" s="76">
        <f>IF('Balance Sheet - Standardized'!F37="",0,'Balance Sheet - Standardized'!F37)/'Balance Sheet - Standardized'!F$61</f>
        <v>0.13784943055760981</v>
      </c>
      <c r="G35" s="76">
        <f>IF('Balance Sheet - Standardized'!G37="",0,'Balance Sheet - Standardized'!G37)/'Balance Sheet - Standardized'!G$61</f>
        <v>0.13948706982679143</v>
      </c>
      <c r="H35" s="76">
        <f>IF('Balance Sheet - Standardized'!H37="",0,'Balance Sheet - Standardized'!H37)/'Balance Sheet - Standardized'!H$61</f>
        <v>0.14438036049185088</v>
      </c>
      <c r="I35" s="76">
        <f>IF('Balance Sheet - Standardized'!I37="",0,'Balance Sheet - Standardized'!I37)/'Balance Sheet - Standardized'!I$61</f>
        <v>0.13293689043738643</v>
      </c>
      <c r="J35" s="76">
        <f>IF('Balance Sheet - Standardized'!J37="",0,'Balance Sheet - Standardized'!J37)/'Balance Sheet - Standardized'!J$61</f>
        <v>0.13368157068905401</v>
      </c>
      <c r="K35" s="76">
        <f>IF('Balance Sheet - Standardized'!K37="",0,'Balance Sheet - Standardized'!K37)/'Balance Sheet - Standardized'!K$61</f>
        <v>0.14839548979785119</v>
      </c>
      <c r="L35" s="76">
        <f>IF('Balance Sheet - Standardized'!L37="",0,'Balance Sheet - Standardized'!L37)/'Balance Sheet - Standardized'!L$61</f>
        <v>0.16924465650852247</v>
      </c>
      <c r="M35" s="146"/>
      <c r="N35" s="146"/>
      <c r="O35" s="146"/>
      <c r="P35" s="146"/>
      <c r="Q35" s="146"/>
      <c r="R35" s="146"/>
      <c r="S35" s="74"/>
      <c r="T35" s="82"/>
      <c r="U35" s="82"/>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row>
    <row r="36" spans="1:1010 1027:2036 2053:3062 3079:4088 4105:5114 5131:6140 6157:7166 7183:8192 8209:9200 9217:10226 10243:11252 11269:12278 12295:13304 13321:14330 14347:15356 15373:16382" s="11" customFormat="1" x14ac:dyDescent="0.35">
      <c r="A36" s="183" t="str">
        <f>'Balance Sheet - Standardized'!A38</f>
        <v xml:space="preserve">  + Property, Plant &amp; Equip, Net (Standardized)</v>
      </c>
      <c r="B36" s="75" t="str">
        <f>'Balance Sheet - Standardized'!B38</f>
        <v>BS_NET_FIX_ASSET</v>
      </c>
      <c r="C36" s="76">
        <f>IF('Balance Sheet - Standardized'!C38="",0,'Balance Sheet - Standardized'!C38)/'Balance Sheet - Standardized'!C$61</f>
        <v>0.15922997241110529</v>
      </c>
      <c r="D36" s="76">
        <f>IF('Balance Sheet - Standardized'!D38="",0,'Balance Sheet - Standardized'!D38)/'Balance Sheet - Standardized'!D$61</f>
        <v>0.14721993866000571</v>
      </c>
      <c r="E36" s="76">
        <f>IF('Balance Sheet - Standardized'!E38="",0,'Balance Sheet - Standardized'!E38)/'Balance Sheet - Standardized'!E$61</f>
        <v>0.1144374080470799</v>
      </c>
      <c r="F36" s="76">
        <f>IF('Balance Sheet - Standardized'!F38="",0,'Balance Sheet - Standardized'!F38)/'Balance Sheet - Standardized'!F$61</f>
        <v>0.13784943055760981</v>
      </c>
      <c r="G36" s="76">
        <f>IF('Balance Sheet - Standardized'!G38="",0,'Balance Sheet - Standardized'!G38)/'Balance Sheet - Standardized'!G$61</f>
        <v>0.1876128344720486</v>
      </c>
      <c r="H36" s="76">
        <f>IF('Balance Sheet - Standardized'!H38="",0,'Balance Sheet - Standardized'!H38)/'Balance Sheet - Standardized'!H$61</f>
        <v>0.17307061528441506</v>
      </c>
      <c r="I36" s="76">
        <f>IF('Balance Sheet - Standardized'!I38="",0,'Balance Sheet - Standardized'!I38)/'Balance Sheet - Standardized'!I$61</f>
        <v>0.1599275595825248</v>
      </c>
      <c r="J36" s="76">
        <f>IF('Balance Sheet - Standardized'!J38="",0,'Balance Sheet - Standardized'!J38)/'Balance Sheet - Standardized'!J$61</f>
        <v>0.15652844459941528</v>
      </c>
      <c r="K36" s="76">
        <f>IF('Balance Sheet - Standardized'!K38="",0,'Balance Sheet - Standardized'!K38)/'Balance Sheet - Standardized'!K$61</f>
        <v>0.16903787264940179</v>
      </c>
      <c r="L36" s="76">
        <f>IF('Balance Sheet - Standardized'!L38="",0,'Balance Sheet - Standardized'!L38)/'Balance Sheet - Standardized'!L$61</f>
        <v>0.19076609469623088</v>
      </c>
      <c r="M36" s="106"/>
      <c r="N36" s="106"/>
      <c r="O36" s="106"/>
      <c r="P36" s="106"/>
      <c r="Q36" s="106"/>
      <c r="R36" s="106"/>
      <c r="S36" s="78"/>
      <c r="T36" s="78"/>
      <c r="U36" s="106"/>
      <c r="V36" s="106"/>
      <c r="W36" s="106"/>
      <c r="X36" s="106"/>
      <c r="Y36" s="106"/>
      <c r="Z36" s="106"/>
      <c r="AA36" s="106"/>
      <c r="AB36" s="106"/>
      <c r="AC36" s="106"/>
      <c r="AD36" s="106"/>
      <c r="AE36" s="106"/>
      <c r="AF36" s="106"/>
      <c r="AG36" s="106"/>
      <c r="AH36" s="106"/>
      <c r="AI36" s="106"/>
      <c r="AJ36" s="106"/>
      <c r="AK36" s="78"/>
      <c r="AL36" s="78"/>
      <c r="AM36" s="106"/>
      <c r="AN36" s="106"/>
      <c r="AO36" s="106"/>
      <c r="AP36" s="106"/>
      <c r="AQ36" s="106"/>
      <c r="AR36" s="106"/>
      <c r="AS36" s="106"/>
      <c r="AT36" s="106"/>
      <c r="AU36" s="106"/>
      <c r="AV36" s="106"/>
      <c r="AW36" s="106"/>
      <c r="AX36" s="106"/>
      <c r="AY36" s="106"/>
      <c r="AZ36" s="106"/>
      <c r="BA36" s="106"/>
      <c r="BB36" s="106"/>
      <c r="BC36" s="78"/>
      <c r="BD36" s="78"/>
      <c r="BE36" s="106"/>
      <c r="BF36" s="106"/>
      <c r="BG36" s="106"/>
      <c r="BH36" s="106"/>
      <c r="BI36" s="106"/>
      <c r="BJ36" s="106"/>
      <c r="BU36" s="12"/>
      <c r="BV36" s="12"/>
      <c r="CM36" s="12"/>
      <c r="CN36" s="12"/>
      <c r="DE36" s="12"/>
      <c r="DF36" s="12"/>
      <c r="DW36" s="12"/>
      <c r="DX36" s="12"/>
      <c r="EO36" s="12"/>
      <c r="EP36" s="12"/>
      <c r="FG36" s="12"/>
      <c r="FH36" s="12"/>
      <c r="FY36" s="12"/>
      <c r="FZ36" s="12"/>
      <c r="GQ36" s="12"/>
      <c r="GR36" s="12"/>
      <c r="HI36" s="12"/>
      <c r="HJ36" s="12"/>
      <c r="IA36" s="12"/>
      <c r="IB36" s="12"/>
      <c r="IS36" s="12"/>
      <c r="IT36" s="12"/>
      <c r="JK36" s="12"/>
      <c r="JL36" s="12"/>
      <c r="KC36" s="12"/>
      <c r="KD36" s="12"/>
      <c r="KU36" s="12"/>
      <c r="KV36" s="12"/>
      <c r="LM36" s="12"/>
      <c r="LN36" s="12"/>
      <c r="ME36" s="12"/>
      <c r="MF36" s="12"/>
      <c r="MW36" s="12"/>
      <c r="MX36" s="12"/>
      <c r="NO36" s="12"/>
      <c r="NP36" s="12"/>
      <c r="OG36" s="12"/>
      <c r="OH36" s="12"/>
      <c r="OY36" s="12"/>
      <c r="OZ36" s="12"/>
      <c r="PQ36" s="12"/>
      <c r="PR36" s="12"/>
      <c r="QI36" s="12"/>
      <c r="QJ36" s="12"/>
      <c r="RA36" s="12"/>
      <c r="RB36" s="12"/>
      <c r="RS36" s="12"/>
      <c r="RT36" s="12"/>
      <c r="SK36" s="12"/>
      <c r="SL36" s="12"/>
      <c r="TC36" s="12"/>
      <c r="TD36" s="12"/>
      <c r="TU36" s="12"/>
      <c r="TV36" s="12"/>
      <c r="UM36" s="12"/>
      <c r="UN36" s="12"/>
      <c r="VE36" s="12"/>
      <c r="VF36" s="12"/>
      <c r="VW36" s="12"/>
      <c r="VX36" s="12"/>
      <c r="WO36" s="12"/>
      <c r="WP36" s="12"/>
      <c r="XG36" s="12"/>
      <c r="XH36" s="12"/>
      <c r="XY36" s="12"/>
      <c r="XZ36" s="12"/>
      <c r="YQ36" s="12"/>
      <c r="YR36" s="12"/>
      <c r="ZI36" s="12"/>
      <c r="ZJ36" s="12"/>
      <c r="AAA36" s="12"/>
      <c r="AAB36" s="12"/>
      <c r="AAS36" s="12"/>
      <c r="AAT36" s="12"/>
      <c r="ABK36" s="12"/>
      <c r="ABL36" s="12"/>
      <c r="ACC36" s="12"/>
      <c r="ACD36" s="12"/>
      <c r="ACU36" s="12"/>
      <c r="ACV36" s="12"/>
      <c r="ADM36" s="12"/>
      <c r="ADN36" s="12"/>
      <c r="AEE36" s="12"/>
      <c r="AEF36" s="12"/>
      <c r="AEW36" s="12"/>
      <c r="AEX36" s="12"/>
      <c r="AFO36" s="12"/>
      <c r="AFP36" s="12"/>
      <c r="AGG36" s="12"/>
      <c r="AGH36" s="12"/>
      <c r="AGY36" s="12"/>
      <c r="AGZ36" s="12"/>
      <c r="AHQ36" s="12"/>
      <c r="AHR36" s="12"/>
      <c r="AII36" s="12"/>
      <c r="AIJ36" s="12"/>
      <c r="AJA36" s="12"/>
      <c r="AJB36" s="12"/>
      <c r="AJS36" s="12"/>
      <c r="AJT36" s="12"/>
      <c r="AKK36" s="12"/>
      <c r="AKL36" s="12"/>
      <c r="ALC36" s="12"/>
      <c r="ALD36" s="12"/>
      <c r="ALU36" s="12"/>
      <c r="ALV36" s="12"/>
      <c r="AMM36" s="12"/>
      <c r="AMN36" s="12"/>
      <c r="ANE36" s="12"/>
      <c r="ANF36" s="12"/>
      <c r="ANW36" s="12"/>
      <c r="ANX36" s="12"/>
      <c r="AOO36" s="12"/>
      <c r="AOP36" s="12"/>
      <c r="APG36" s="12"/>
      <c r="APH36" s="12"/>
      <c r="APY36" s="12"/>
      <c r="APZ36" s="12"/>
      <c r="AQQ36" s="12"/>
      <c r="AQR36" s="12"/>
      <c r="ARI36" s="12"/>
      <c r="ARJ36" s="12"/>
      <c r="ASA36" s="12"/>
      <c r="ASB36" s="12"/>
      <c r="ASS36" s="12"/>
      <c r="AST36" s="12"/>
      <c r="ATK36" s="12"/>
      <c r="ATL36" s="12"/>
      <c r="AUC36" s="12"/>
      <c r="AUD36" s="12"/>
      <c r="AUU36" s="12"/>
      <c r="AUV36" s="12"/>
      <c r="AVM36" s="12"/>
      <c r="AVN36" s="12"/>
      <c r="AWE36" s="12"/>
      <c r="AWF36" s="12"/>
      <c r="AWW36" s="12"/>
      <c r="AWX36" s="12"/>
      <c r="AXO36" s="12"/>
      <c r="AXP36" s="12"/>
      <c r="AYG36" s="12"/>
      <c r="AYH36" s="12"/>
      <c r="AYY36" s="12"/>
      <c r="AYZ36" s="12"/>
      <c r="AZQ36" s="12"/>
      <c r="AZR36" s="12"/>
      <c r="BAI36" s="12"/>
      <c r="BAJ36" s="12"/>
      <c r="BBA36" s="12"/>
      <c r="BBB36" s="12"/>
      <c r="BBS36" s="12"/>
      <c r="BBT36" s="12"/>
      <c r="BCK36" s="12"/>
      <c r="BCL36" s="12"/>
      <c r="BDC36" s="12"/>
      <c r="BDD36" s="12"/>
      <c r="BDU36" s="12"/>
      <c r="BDV36" s="12"/>
      <c r="BEM36" s="12"/>
      <c r="BEN36" s="12"/>
      <c r="BFE36" s="12"/>
      <c r="BFF36" s="12"/>
      <c r="BFW36" s="12"/>
      <c r="BFX36" s="12"/>
      <c r="BGO36" s="12"/>
      <c r="BGP36" s="12"/>
      <c r="BHG36" s="12"/>
      <c r="BHH36" s="12"/>
      <c r="BHY36" s="12"/>
      <c r="BHZ36" s="12"/>
      <c r="BIQ36" s="12"/>
      <c r="BIR36" s="12"/>
      <c r="BJI36" s="12"/>
      <c r="BJJ36" s="12"/>
      <c r="BKA36" s="12"/>
      <c r="BKB36" s="12"/>
      <c r="BKS36" s="12"/>
      <c r="BKT36" s="12"/>
      <c r="BLK36" s="12"/>
      <c r="BLL36" s="12"/>
      <c r="BMC36" s="12"/>
      <c r="BMD36" s="12"/>
      <c r="BMU36" s="12"/>
      <c r="BMV36" s="12"/>
      <c r="BNM36" s="12"/>
      <c r="BNN36" s="12"/>
      <c r="BOE36" s="12"/>
      <c r="BOF36" s="12"/>
      <c r="BOW36" s="12"/>
      <c r="BOX36" s="12"/>
      <c r="BPO36" s="12"/>
      <c r="BPP36" s="12"/>
      <c r="BQG36" s="12"/>
      <c r="BQH36" s="12"/>
      <c r="BQY36" s="12"/>
      <c r="BQZ36" s="12"/>
      <c r="BRQ36" s="12"/>
      <c r="BRR36" s="12"/>
      <c r="BSI36" s="12"/>
      <c r="BSJ36" s="12"/>
      <c r="BTA36" s="12"/>
      <c r="BTB36" s="12"/>
      <c r="BTS36" s="12"/>
      <c r="BTT36" s="12"/>
      <c r="BUK36" s="12"/>
      <c r="BUL36" s="12"/>
      <c r="BVC36" s="12"/>
      <c r="BVD36" s="12"/>
      <c r="BVU36" s="12"/>
      <c r="BVV36" s="12"/>
      <c r="BWM36" s="12"/>
      <c r="BWN36" s="12"/>
      <c r="BXE36" s="12"/>
      <c r="BXF36" s="12"/>
      <c r="BXW36" s="12"/>
      <c r="BXX36" s="12"/>
      <c r="BYO36" s="12"/>
      <c r="BYP36" s="12"/>
      <c r="BZG36" s="12"/>
      <c r="BZH36" s="12"/>
      <c r="BZY36" s="12"/>
      <c r="BZZ36" s="12"/>
      <c r="CAQ36" s="12"/>
      <c r="CAR36" s="12"/>
      <c r="CBI36" s="12"/>
      <c r="CBJ36" s="12"/>
      <c r="CCA36" s="12"/>
      <c r="CCB36" s="12"/>
      <c r="CCS36" s="12"/>
      <c r="CCT36" s="12"/>
      <c r="CDK36" s="12"/>
      <c r="CDL36" s="12"/>
      <c r="CEC36" s="12"/>
      <c r="CED36" s="12"/>
      <c r="CEU36" s="12"/>
      <c r="CEV36" s="12"/>
      <c r="CFM36" s="12"/>
      <c r="CFN36" s="12"/>
      <c r="CGE36" s="12"/>
      <c r="CGF36" s="12"/>
      <c r="CGW36" s="12"/>
      <c r="CGX36" s="12"/>
      <c r="CHO36" s="12"/>
      <c r="CHP36" s="12"/>
      <c r="CIG36" s="12"/>
      <c r="CIH36" s="12"/>
      <c r="CIY36" s="12"/>
      <c r="CIZ36" s="12"/>
      <c r="CJQ36" s="12"/>
      <c r="CJR36" s="12"/>
      <c r="CKI36" s="12"/>
      <c r="CKJ36" s="12"/>
      <c r="CLA36" s="12"/>
      <c r="CLB36" s="12"/>
      <c r="CLS36" s="12"/>
      <c r="CLT36" s="12"/>
      <c r="CMK36" s="12"/>
      <c r="CML36" s="12"/>
      <c r="CNC36" s="12"/>
      <c r="CND36" s="12"/>
      <c r="CNU36" s="12"/>
      <c r="CNV36" s="12"/>
      <c r="COM36" s="12"/>
      <c r="CON36" s="12"/>
      <c r="CPE36" s="12"/>
      <c r="CPF36" s="12"/>
      <c r="CPW36" s="12"/>
      <c r="CPX36" s="12"/>
      <c r="CQO36" s="12"/>
      <c r="CQP36" s="12"/>
      <c r="CRG36" s="12"/>
      <c r="CRH36" s="12"/>
      <c r="CRY36" s="12"/>
      <c r="CRZ36" s="12"/>
      <c r="CSQ36" s="12"/>
      <c r="CSR36" s="12"/>
      <c r="CTI36" s="12"/>
      <c r="CTJ36" s="12"/>
      <c r="CUA36" s="12"/>
      <c r="CUB36" s="12"/>
      <c r="CUS36" s="12"/>
      <c r="CUT36" s="12"/>
      <c r="CVK36" s="12"/>
      <c r="CVL36" s="12"/>
      <c r="CWC36" s="12"/>
      <c r="CWD36" s="12"/>
      <c r="CWU36" s="12"/>
      <c r="CWV36" s="12"/>
      <c r="CXM36" s="12"/>
      <c r="CXN36" s="12"/>
      <c r="CYE36" s="12"/>
      <c r="CYF36" s="12"/>
      <c r="CYW36" s="12"/>
      <c r="CYX36" s="12"/>
      <c r="CZO36" s="12"/>
      <c r="CZP36" s="12"/>
      <c r="DAG36" s="12"/>
      <c r="DAH36" s="12"/>
      <c r="DAY36" s="12"/>
      <c r="DAZ36" s="12"/>
      <c r="DBQ36" s="12"/>
      <c r="DBR36" s="12"/>
      <c r="DCI36" s="12"/>
      <c r="DCJ36" s="12"/>
      <c r="DDA36" s="12"/>
      <c r="DDB36" s="12"/>
      <c r="DDS36" s="12"/>
      <c r="DDT36" s="12"/>
      <c r="DEK36" s="12"/>
      <c r="DEL36" s="12"/>
      <c r="DFC36" s="12"/>
      <c r="DFD36" s="12"/>
      <c r="DFU36" s="12"/>
      <c r="DFV36" s="12"/>
      <c r="DGM36" s="12"/>
      <c r="DGN36" s="12"/>
      <c r="DHE36" s="12"/>
      <c r="DHF36" s="12"/>
      <c r="DHW36" s="12"/>
      <c r="DHX36" s="12"/>
      <c r="DIO36" s="12"/>
      <c r="DIP36" s="12"/>
      <c r="DJG36" s="12"/>
      <c r="DJH36" s="12"/>
      <c r="DJY36" s="12"/>
      <c r="DJZ36" s="12"/>
      <c r="DKQ36" s="12"/>
      <c r="DKR36" s="12"/>
      <c r="DLI36" s="12"/>
      <c r="DLJ36" s="12"/>
      <c r="DMA36" s="12"/>
      <c r="DMB36" s="12"/>
      <c r="DMS36" s="12"/>
      <c r="DMT36" s="12"/>
      <c r="DNK36" s="12"/>
      <c r="DNL36" s="12"/>
      <c r="DOC36" s="12"/>
      <c r="DOD36" s="12"/>
      <c r="DOU36" s="12"/>
      <c r="DOV36" s="12"/>
      <c r="DPM36" s="12"/>
      <c r="DPN36" s="12"/>
      <c r="DQE36" s="12"/>
      <c r="DQF36" s="12"/>
      <c r="DQW36" s="12"/>
      <c r="DQX36" s="12"/>
      <c r="DRO36" s="12"/>
      <c r="DRP36" s="12"/>
      <c r="DSG36" s="12"/>
      <c r="DSH36" s="12"/>
      <c r="DSY36" s="12"/>
      <c r="DSZ36" s="12"/>
      <c r="DTQ36" s="12"/>
      <c r="DTR36" s="12"/>
      <c r="DUI36" s="12"/>
      <c r="DUJ36" s="12"/>
      <c r="DVA36" s="12"/>
      <c r="DVB36" s="12"/>
      <c r="DVS36" s="12"/>
      <c r="DVT36" s="12"/>
      <c r="DWK36" s="12"/>
      <c r="DWL36" s="12"/>
      <c r="DXC36" s="12"/>
      <c r="DXD36" s="12"/>
      <c r="DXU36" s="12"/>
      <c r="DXV36" s="12"/>
      <c r="DYM36" s="12"/>
      <c r="DYN36" s="12"/>
      <c r="DZE36" s="12"/>
      <c r="DZF36" s="12"/>
      <c r="DZW36" s="12"/>
      <c r="DZX36" s="12"/>
      <c r="EAO36" s="12"/>
      <c r="EAP36" s="12"/>
      <c r="EBG36" s="12"/>
      <c r="EBH36" s="12"/>
      <c r="EBY36" s="12"/>
      <c r="EBZ36" s="12"/>
      <c r="ECQ36" s="12"/>
      <c r="ECR36" s="12"/>
      <c r="EDI36" s="12"/>
      <c r="EDJ36" s="12"/>
      <c r="EEA36" s="12"/>
      <c r="EEB36" s="12"/>
      <c r="EES36" s="12"/>
      <c r="EET36" s="12"/>
      <c r="EFK36" s="12"/>
      <c r="EFL36" s="12"/>
      <c r="EGC36" s="12"/>
      <c r="EGD36" s="12"/>
      <c r="EGU36" s="12"/>
      <c r="EGV36" s="12"/>
      <c r="EHM36" s="12"/>
      <c r="EHN36" s="12"/>
      <c r="EIE36" s="12"/>
      <c r="EIF36" s="12"/>
      <c r="EIW36" s="12"/>
      <c r="EIX36" s="12"/>
      <c r="EJO36" s="12"/>
      <c r="EJP36" s="12"/>
      <c r="EKG36" s="12"/>
      <c r="EKH36" s="12"/>
      <c r="EKY36" s="12"/>
      <c r="EKZ36" s="12"/>
      <c r="ELQ36" s="12"/>
      <c r="ELR36" s="12"/>
      <c r="EMI36" s="12"/>
      <c r="EMJ36" s="12"/>
      <c r="ENA36" s="12"/>
      <c r="ENB36" s="12"/>
      <c r="ENS36" s="12"/>
      <c r="ENT36" s="12"/>
      <c r="EOK36" s="12"/>
      <c r="EOL36" s="12"/>
      <c r="EPC36" s="12"/>
      <c r="EPD36" s="12"/>
      <c r="EPU36" s="12"/>
      <c r="EPV36" s="12"/>
      <c r="EQM36" s="12"/>
      <c r="EQN36" s="12"/>
      <c r="ERE36" s="12"/>
      <c r="ERF36" s="12"/>
      <c r="ERW36" s="12"/>
      <c r="ERX36" s="12"/>
      <c r="ESO36" s="12"/>
      <c r="ESP36" s="12"/>
      <c r="ETG36" s="12"/>
      <c r="ETH36" s="12"/>
      <c r="ETY36" s="12"/>
      <c r="ETZ36" s="12"/>
      <c r="EUQ36" s="12"/>
      <c r="EUR36" s="12"/>
      <c r="EVI36" s="12"/>
      <c r="EVJ36" s="12"/>
      <c r="EWA36" s="12"/>
      <c r="EWB36" s="12"/>
      <c r="EWS36" s="12"/>
      <c r="EWT36" s="12"/>
      <c r="EXK36" s="12"/>
      <c r="EXL36" s="12"/>
      <c r="EYC36" s="12"/>
      <c r="EYD36" s="12"/>
      <c r="EYU36" s="12"/>
      <c r="EYV36" s="12"/>
      <c r="EZM36" s="12"/>
      <c r="EZN36" s="12"/>
      <c r="FAE36" s="12"/>
      <c r="FAF36" s="12"/>
      <c r="FAW36" s="12"/>
      <c r="FAX36" s="12"/>
      <c r="FBO36" s="12"/>
      <c r="FBP36" s="12"/>
      <c r="FCG36" s="12"/>
      <c r="FCH36" s="12"/>
      <c r="FCY36" s="12"/>
      <c r="FCZ36" s="12"/>
      <c r="FDQ36" s="12"/>
      <c r="FDR36" s="12"/>
      <c r="FEI36" s="12"/>
      <c r="FEJ36" s="12"/>
      <c r="FFA36" s="12"/>
      <c r="FFB36" s="12"/>
      <c r="FFS36" s="12"/>
      <c r="FFT36" s="12"/>
      <c r="FGK36" s="12"/>
      <c r="FGL36" s="12"/>
      <c r="FHC36" s="12"/>
      <c r="FHD36" s="12"/>
      <c r="FHU36" s="12"/>
      <c r="FHV36" s="12"/>
      <c r="FIM36" s="12"/>
      <c r="FIN36" s="12"/>
      <c r="FJE36" s="12"/>
      <c r="FJF36" s="12"/>
      <c r="FJW36" s="12"/>
      <c r="FJX36" s="12"/>
      <c r="FKO36" s="12"/>
      <c r="FKP36" s="12"/>
      <c r="FLG36" s="12"/>
      <c r="FLH36" s="12"/>
      <c r="FLY36" s="12"/>
      <c r="FLZ36" s="12"/>
      <c r="FMQ36" s="12"/>
      <c r="FMR36" s="12"/>
      <c r="FNI36" s="12"/>
      <c r="FNJ36" s="12"/>
      <c r="FOA36" s="12"/>
      <c r="FOB36" s="12"/>
      <c r="FOS36" s="12"/>
      <c r="FOT36" s="12"/>
      <c r="FPK36" s="12"/>
      <c r="FPL36" s="12"/>
      <c r="FQC36" s="12"/>
      <c r="FQD36" s="12"/>
      <c r="FQU36" s="12"/>
      <c r="FQV36" s="12"/>
      <c r="FRM36" s="12"/>
      <c r="FRN36" s="12"/>
      <c r="FSE36" s="12"/>
      <c r="FSF36" s="12"/>
      <c r="FSW36" s="12"/>
      <c r="FSX36" s="12"/>
      <c r="FTO36" s="12"/>
      <c r="FTP36" s="12"/>
      <c r="FUG36" s="12"/>
      <c r="FUH36" s="12"/>
      <c r="FUY36" s="12"/>
      <c r="FUZ36" s="12"/>
      <c r="FVQ36" s="12"/>
      <c r="FVR36" s="12"/>
      <c r="FWI36" s="12"/>
      <c r="FWJ36" s="12"/>
      <c r="FXA36" s="12"/>
      <c r="FXB36" s="12"/>
      <c r="FXS36" s="12"/>
      <c r="FXT36" s="12"/>
      <c r="FYK36" s="12"/>
      <c r="FYL36" s="12"/>
      <c r="FZC36" s="12"/>
      <c r="FZD36" s="12"/>
      <c r="FZU36" s="12"/>
      <c r="FZV36" s="12"/>
      <c r="GAM36" s="12"/>
      <c r="GAN36" s="12"/>
      <c r="GBE36" s="12"/>
      <c r="GBF36" s="12"/>
      <c r="GBW36" s="12"/>
      <c r="GBX36" s="12"/>
      <c r="GCO36" s="12"/>
      <c r="GCP36" s="12"/>
      <c r="GDG36" s="12"/>
      <c r="GDH36" s="12"/>
      <c r="GDY36" s="12"/>
      <c r="GDZ36" s="12"/>
      <c r="GEQ36" s="12"/>
      <c r="GER36" s="12"/>
      <c r="GFI36" s="12"/>
      <c r="GFJ36" s="12"/>
      <c r="GGA36" s="12"/>
      <c r="GGB36" s="12"/>
      <c r="GGS36" s="12"/>
      <c r="GGT36" s="12"/>
      <c r="GHK36" s="12"/>
      <c r="GHL36" s="12"/>
      <c r="GIC36" s="12"/>
      <c r="GID36" s="12"/>
      <c r="GIU36" s="12"/>
      <c r="GIV36" s="12"/>
      <c r="GJM36" s="12"/>
      <c r="GJN36" s="12"/>
      <c r="GKE36" s="12"/>
      <c r="GKF36" s="12"/>
      <c r="GKW36" s="12"/>
      <c r="GKX36" s="12"/>
      <c r="GLO36" s="12"/>
      <c r="GLP36" s="12"/>
      <c r="GMG36" s="12"/>
      <c r="GMH36" s="12"/>
      <c r="GMY36" s="12"/>
      <c r="GMZ36" s="12"/>
      <c r="GNQ36" s="12"/>
      <c r="GNR36" s="12"/>
      <c r="GOI36" s="12"/>
      <c r="GOJ36" s="12"/>
      <c r="GPA36" s="12"/>
      <c r="GPB36" s="12"/>
      <c r="GPS36" s="12"/>
      <c r="GPT36" s="12"/>
      <c r="GQK36" s="12"/>
      <c r="GQL36" s="12"/>
      <c r="GRC36" s="12"/>
      <c r="GRD36" s="12"/>
      <c r="GRU36" s="12"/>
      <c r="GRV36" s="12"/>
      <c r="GSM36" s="12"/>
      <c r="GSN36" s="12"/>
      <c r="GTE36" s="12"/>
      <c r="GTF36" s="12"/>
      <c r="GTW36" s="12"/>
      <c r="GTX36" s="12"/>
      <c r="GUO36" s="12"/>
      <c r="GUP36" s="12"/>
      <c r="GVG36" s="12"/>
      <c r="GVH36" s="12"/>
      <c r="GVY36" s="12"/>
      <c r="GVZ36" s="12"/>
      <c r="GWQ36" s="12"/>
      <c r="GWR36" s="12"/>
      <c r="GXI36" s="12"/>
      <c r="GXJ36" s="12"/>
      <c r="GYA36" s="12"/>
      <c r="GYB36" s="12"/>
      <c r="GYS36" s="12"/>
      <c r="GYT36" s="12"/>
      <c r="GZK36" s="12"/>
      <c r="GZL36" s="12"/>
      <c r="HAC36" s="12"/>
      <c r="HAD36" s="12"/>
      <c r="HAU36" s="12"/>
      <c r="HAV36" s="12"/>
      <c r="HBM36" s="12"/>
      <c r="HBN36" s="12"/>
      <c r="HCE36" s="12"/>
      <c r="HCF36" s="12"/>
      <c r="HCW36" s="12"/>
      <c r="HCX36" s="12"/>
      <c r="HDO36" s="12"/>
      <c r="HDP36" s="12"/>
      <c r="HEG36" s="12"/>
      <c r="HEH36" s="12"/>
      <c r="HEY36" s="12"/>
      <c r="HEZ36" s="12"/>
      <c r="HFQ36" s="12"/>
      <c r="HFR36" s="12"/>
      <c r="HGI36" s="12"/>
      <c r="HGJ36" s="12"/>
      <c r="HHA36" s="12"/>
      <c r="HHB36" s="12"/>
      <c r="HHS36" s="12"/>
      <c r="HHT36" s="12"/>
      <c r="HIK36" s="12"/>
      <c r="HIL36" s="12"/>
      <c r="HJC36" s="12"/>
      <c r="HJD36" s="12"/>
      <c r="HJU36" s="12"/>
      <c r="HJV36" s="12"/>
      <c r="HKM36" s="12"/>
      <c r="HKN36" s="12"/>
      <c r="HLE36" s="12"/>
      <c r="HLF36" s="12"/>
      <c r="HLW36" s="12"/>
      <c r="HLX36" s="12"/>
      <c r="HMO36" s="12"/>
      <c r="HMP36" s="12"/>
      <c r="HNG36" s="12"/>
      <c r="HNH36" s="12"/>
      <c r="HNY36" s="12"/>
      <c r="HNZ36" s="12"/>
      <c r="HOQ36" s="12"/>
      <c r="HOR36" s="12"/>
      <c r="HPI36" s="12"/>
      <c r="HPJ36" s="12"/>
      <c r="HQA36" s="12"/>
      <c r="HQB36" s="12"/>
      <c r="HQS36" s="12"/>
      <c r="HQT36" s="12"/>
      <c r="HRK36" s="12"/>
      <c r="HRL36" s="12"/>
      <c r="HSC36" s="12"/>
      <c r="HSD36" s="12"/>
      <c r="HSU36" s="12"/>
      <c r="HSV36" s="12"/>
      <c r="HTM36" s="12"/>
      <c r="HTN36" s="12"/>
      <c r="HUE36" s="12"/>
      <c r="HUF36" s="12"/>
      <c r="HUW36" s="12"/>
      <c r="HUX36" s="12"/>
      <c r="HVO36" s="12"/>
      <c r="HVP36" s="12"/>
      <c r="HWG36" s="12"/>
      <c r="HWH36" s="12"/>
      <c r="HWY36" s="12"/>
      <c r="HWZ36" s="12"/>
      <c r="HXQ36" s="12"/>
      <c r="HXR36" s="12"/>
      <c r="HYI36" s="12"/>
      <c r="HYJ36" s="12"/>
      <c r="HZA36" s="12"/>
      <c r="HZB36" s="12"/>
      <c r="HZS36" s="12"/>
      <c r="HZT36" s="12"/>
      <c r="IAK36" s="12"/>
      <c r="IAL36" s="12"/>
      <c r="IBC36" s="12"/>
      <c r="IBD36" s="12"/>
      <c r="IBU36" s="12"/>
      <c r="IBV36" s="12"/>
      <c r="ICM36" s="12"/>
      <c r="ICN36" s="12"/>
      <c r="IDE36" s="12"/>
      <c r="IDF36" s="12"/>
      <c r="IDW36" s="12"/>
      <c r="IDX36" s="12"/>
      <c r="IEO36" s="12"/>
      <c r="IEP36" s="12"/>
      <c r="IFG36" s="12"/>
      <c r="IFH36" s="12"/>
      <c r="IFY36" s="12"/>
      <c r="IFZ36" s="12"/>
      <c r="IGQ36" s="12"/>
      <c r="IGR36" s="12"/>
      <c r="IHI36" s="12"/>
      <c r="IHJ36" s="12"/>
      <c r="IIA36" s="12"/>
      <c r="IIB36" s="12"/>
      <c r="IIS36" s="12"/>
      <c r="IIT36" s="12"/>
      <c r="IJK36" s="12"/>
      <c r="IJL36" s="12"/>
      <c r="IKC36" s="12"/>
      <c r="IKD36" s="12"/>
      <c r="IKU36" s="12"/>
      <c r="IKV36" s="12"/>
      <c r="ILM36" s="12"/>
      <c r="ILN36" s="12"/>
      <c r="IME36" s="12"/>
      <c r="IMF36" s="12"/>
      <c r="IMW36" s="12"/>
      <c r="IMX36" s="12"/>
      <c r="INO36" s="12"/>
      <c r="INP36" s="12"/>
      <c r="IOG36" s="12"/>
      <c r="IOH36" s="12"/>
      <c r="IOY36" s="12"/>
      <c r="IOZ36" s="12"/>
      <c r="IPQ36" s="12"/>
      <c r="IPR36" s="12"/>
      <c r="IQI36" s="12"/>
      <c r="IQJ36" s="12"/>
      <c r="IRA36" s="12"/>
      <c r="IRB36" s="12"/>
      <c r="IRS36" s="12"/>
      <c r="IRT36" s="12"/>
      <c r="ISK36" s="12"/>
      <c r="ISL36" s="12"/>
      <c r="ITC36" s="12"/>
      <c r="ITD36" s="12"/>
      <c r="ITU36" s="12"/>
      <c r="ITV36" s="12"/>
      <c r="IUM36" s="12"/>
      <c r="IUN36" s="12"/>
      <c r="IVE36" s="12"/>
      <c r="IVF36" s="12"/>
      <c r="IVW36" s="12"/>
      <c r="IVX36" s="12"/>
      <c r="IWO36" s="12"/>
      <c r="IWP36" s="12"/>
      <c r="IXG36" s="12"/>
      <c r="IXH36" s="12"/>
      <c r="IXY36" s="12"/>
      <c r="IXZ36" s="12"/>
      <c r="IYQ36" s="12"/>
      <c r="IYR36" s="12"/>
      <c r="IZI36" s="12"/>
      <c r="IZJ36" s="12"/>
      <c r="JAA36" s="12"/>
      <c r="JAB36" s="12"/>
      <c r="JAS36" s="12"/>
      <c r="JAT36" s="12"/>
      <c r="JBK36" s="12"/>
      <c r="JBL36" s="12"/>
      <c r="JCC36" s="12"/>
      <c r="JCD36" s="12"/>
      <c r="JCU36" s="12"/>
      <c r="JCV36" s="12"/>
      <c r="JDM36" s="12"/>
      <c r="JDN36" s="12"/>
      <c r="JEE36" s="12"/>
      <c r="JEF36" s="12"/>
      <c r="JEW36" s="12"/>
      <c r="JEX36" s="12"/>
      <c r="JFO36" s="12"/>
      <c r="JFP36" s="12"/>
      <c r="JGG36" s="12"/>
      <c r="JGH36" s="12"/>
      <c r="JGY36" s="12"/>
      <c r="JGZ36" s="12"/>
      <c r="JHQ36" s="12"/>
      <c r="JHR36" s="12"/>
      <c r="JII36" s="12"/>
      <c r="JIJ36" s="12"/>
      <c r="JJA36" s="12"/>
      <c r="JJB36" s="12"/>
      <c r="JJS36" s="12"/>
      <c r="JJT36" s="12"/>
      <c r="JKK36" s="12"/>
      <c r="JKL36" s="12"/>
      <c r="JLC36" s="12"/>
      <c r="JLD36" s="12"/>
      <c r="JLU36" s="12"/>
      <c r="JLV36" s="12"/>
      <c r="JMM36" s="12"/>
      <c r="JMN36" s="12"/>
      <c r="JNE36" s="12"/>
      <c r="JNF36" s="12"/>
      <c r="JNW36" s="12"/>
      <c r="JNX36" s="12"/>
      <c r="JOO36" s="12"/>
      <c r="JOP36" s="12"/>
      <c r="JPG36" s="12"/>
      <c r="JPH36" s="12"/>
      <c r="JPY36" s="12"/>
      <c r="JPZ36" s="12"/>
      <c r="JQQ36" s="12"/>
      <c r="JQR36" s="12"/>
      <c r="JRI36" s="12"/>
      <c r="JRJ36" s="12"/>
      <c r="JSA36" s="12"/>
      <c r="JSB36" s="12"/>
      <c r="JSS36" s="12"/>
      <c r="JST36" s="12"/>
      <c r="JTK36" s="12"/>
      <c r="JTL36" s="12"/>
      <c r="JUC36" s="12"/>
      <c r="JUD36" s="12"/>
      <c r="JUU36" s="12"/>
      <c r="JUV36" s="12"/>
      <c r="JVM36" s="12"/>
      <c r="JVN36" s="12"/>
      <c r="JWE36" s="12"/>
      <c r="JWF36" s="12"/>
      <c r="JWW36" s="12"/>
      <c r="JWX36" s="12"/>
      <c r="JXO36" s="12"/>
      <c r="JXP36" s="12"/>
      <c r="JYG36" s="12"/>
      <c r="JYH36" s="12"/>
      <c r="JYY36" s="12"/>
      <c r="JYZ36" s="12"/>
      <c r="JZQ36" s="12"/>
      <c r="JZR36" s="12"/>
      <c r="KAI36" s="12"/>
      <c r="KAJ36" s="12"/>
      <c r="KBA36" s="12"/>
      <c r="KBB36" s="12"/>
      <c r="KBS36" s="12"/>
      <c r="KBT36" s="12"/>
      <c r="KCK36" s="12"/>
      <c r="KCL36" s="12"/>
      <c r="KDC36" s="12"/>
      <c r="KDD36" s="12"/>
      <c r="KDU36" s="12"/>
      <c r="KDV36" s="12"/>
      <c r="KEM36" s="12"/>
      <c r="KEN36" s="12"/>
      <c r="KFE36" s="12"/>
      <c r="KFF36" s="12"/>
      <c r="KFW36" s="12"/>
      <c r="KFX36" s="12"/>
      <c r="KGO36" s="12"/>
      <c r="KGP36" s="12"/>
      <c r="KHG36" s="12"/>
      <c r="KHH36" s="12"/>
      <c r="KHY36" s="12"/>
      <c r="KHZ36" s="12"/>
      <c r="KIQ36" s="12"/>
      <c r="KIR36" s="12"/>
      <c r="KJI36" s="12"/>
      <c r="KJJ36" s="12"/>
      <c r="KKA36" s="12"/>
      <c r="KKB36" s="12"/>
      <c r="KKS36" s="12"/>
      <c r="KKT36" s="12"/>
      <c r="KLK36" s="12"/>
      <c r="KLL36" s="12"/>
      <c r="KMC36" s="12"/>
      <c r="KMD36" s="12"/>
      <c r="KMU36" s="12"/>
      <c r="KMV36" s="12"/>
      <c r="KNM36" s="12"/>
      <c r="KNN36" s="12"/>
      <c r="KOE36" s="12"/>
      <c r="KOF36" s="12"/>
      <c r="KOW36" s="12"/>
      <c r="KOX36" s="12"/>
      <c r="KPO36" s="12"/>
      <c r="KPP36" s="12"/>
      <c r="KQG36" s="12"/>
      <c r="KQH36" s="12"/>
      <c r="KQY36" s="12"/>
      <c r="KQZ36" s="12"/>
      <c r="KRQ36" s="12"/>
      <c r="KRR36" s="12"/>
      <c r="KSI36" s="12"/>
      <c r="KSJ36" s="12"/>
      <c r="KTA36" s="12"/>
      <c r="KTB36" s="12"/>
      <c r="KTS36" s="12"/>
      <c r="KTT36" s="12"/>
      <c r="KUK36" s="12"/>
      <c r="KUL36" s="12"/>
      <c r="KVC36" s="12"/>
      <c r="KVD36" s="12"/>
      <c r="KVU36" s="12"/>
      <c r="KVV36" s="12"/>
      <c r="KWM36" s="12"/>
      <c r="KWN36" s="12"/>
      <c r="KXE36" s="12"/>
      <c r="KXF36" s="12"/>
      <c r="KXW36" s="12"/>
      <c r="KXX36" s="12"/>
      <c r="KYO36" s="12"/>
      <c r="KYP36" s="12"/>
      <c r="KZG36" s="12"/>
      <c r="KZH36" s="12"/>
      <c r="KZY36" s="12"/>
      <c r="KZZ36" s="12"/>
      <c r="LAQ36" s="12"/>
      <c r="LAR36" s="12"/>
      <c r="LBI36" s="12"/>
      <c r="LBJ36" s="12"/>
      <c r="LCA36" s="12"/>
      <c r="LCB36" s="12"/>
      <c r="LCS36" s="12"/>
      <c r="LCT36" s="12"/>
      <c r="LDK36" s="12"/>
      <c r="LDL36" s="12"/>
      <c r="LEC36" s="12"/>
      <c r="LED36" s="12"/>
      <c r="LEU36" s="12"/>
      <c r="LEV36" s="12"/>
      <c r="LFM36" s="12"/>
      <c r="LFN36" s="12"/>
      <c r="LGE36" s="12"/>
      <c r="LGF36" s="12"/>
      <c r="LGW36" s="12"/>
      <c r="LGX36" s="12"/>
      <c r="LHO36" s="12"/>
      <c r="LHP36" s="12"/>
      <c r="LIG36" s="12"/>
      <c r="LIH36" s="12"/>
      <c r="LIY36" s="12"/>
      <c r="LIZ36" s="12"/>
      <c r="LJQ36" s="12"/>
      <c r="LJR36" s="12"/>
      <c r="LKI36" s="12"/>
      <c r="LKJ36" s="12"/>
      <c r="LLA36" s="12"/>
      <c r="LLB36" s="12"/>
      <c r="LLS36" s="12"/>
      <c r="LLT36" s="12"/>
      <c r="LMK36" s="12"/>
      <c r="LML36" s="12"/>
      <c r="LNC36" s="12"/>
      <c r="LND36" s="12"/>
      <c r="LNU36" s="12"/>
      <c r="LNV36" s="12"/>
      <c r="LOM36" s="12"/>
      <c r="LON36" s="12"/>
      <c r="LPE36" s="12"/>
      <c r="LPF36" s="12"/>
      <c r="LPW36" s="12"/>
      <c r="LPX36" s="12"/>
      <c r="LQO36" s="12"/>
      <c r="LQP36" s="12"/>
      <c r="LRG36" s="12"/>
      <c r="LRH36" s="12"/>
      <c r="LRY36" s="12"/>
      <c r="LRZ36" s="12"/>
      <c r="LSQ36" s="12"/>
      <c r="LSR36" s="12"/>
      <c r="LTI36" s="12"/>
      <c r="LTJ36" s="12"/>
      <c r="LUA36" s="12"/>
      <c r="LUB36" s="12"/>
      <c r="LUS36" s="12"/>
      <c r="LUT36" s="12"/>
      <c r="LVK36" s="12"/>
      <c r="LVL36" s="12"/>
      <c r="LWC36" s="12"/>
      <c r="LWD36" s="12"/>
      <c r="LWU36" s="12"/>
      <c r="LWV36" s="12"/>
      <c r="LXM36" s="12"/>
      <c r="LXN36" s="12"/>
      <c r="LYE36" s="12"/>
      <c r="LYF36" s="12"/>
      <c r="LYW36" s="12"/>
      <c r="LYX36" s="12"/>
      <c r="LZO36" s="12"/>
      <c r="LZP36" s="12"/>
      <c r="MAG36" s="12"/>
      <c r="MAH36" s="12"/>
      <c r="MAY36" s="12"/>
      <c r="MAZ36" s="12"/>
      <c r="MBQ36" s="12"/>
      <c r="MBR36" s="12"/>
      <c r="MCI36" s="12"/>
      <c r="MCJ36" s="12"/>
      <c r="MDA36" s="12"/>
      <c r="MDB36" s="12"/>
      <c r="MDS36" s="12"/>
      <c r="MDT36" s="12"/>
      <c r="MEK36" s="12"/>
      <c r="MEL36" s="12"/>
      <c r="MFC36" s="12"/>
      <c r="MFD36" s="12"/>
      <c r="MFU36" s="12"/>
      <c r="MFV36" s="12"/>
      <c r="MGM36" s="12"/>
      <c r="MGN36" s="12"/>
      <c r="MHE36" s="12"/>
      <c r="MHF36" s="12"/>
      <c r="MHW36" s="12"/>
      <c r="MHX36" s="12"/>
      <c r="MIO36" s="12"/>
      <c r="MIP36" s="12"/>
      <c r="MJG36" s="12"/>
      <c r="MJH36" s="12"/>
      <c r="MJY36" s="12"/>
      <c r="MJZ36" s="12"/>
      <c r="MKQ36" s="12"/>
      <c r="MKR36" s="12"/>
      <c r="MLI36" s="12"/>
      <c r="MLJ36" s="12"/>
      <c r="MMA36" s="12"/>
      <c r="MMB36" s="12"/>
      <c r="MMS36" s="12"/>
      <c r="MMT36" s="12"/>
      <c r="MNK36" s="12"/>
      <c r="MNL36" s="12"/>
      <c r="MOC36" s="12"/>
      <c r="MOD36" s="12"/>
      <c r="MOU36" s="12"/>
      <c r="MOV36" s="12"/>
      <c r="MPM36" s="12"/>
      <c r="MPN36" s="12"/>
      <c r="MQE36" s="12"/>
      <c r="MQF36" s="12"/>
      <c r="MQW36" s="12"/>
      <c r="MQX36" s="12"/>
      <c r="MRO36" s="12"/>
      <c r="MRP36" s="12"/>
      <c r="MSG36" s="12"/>
      <c r="MSH36" s="12"/>
      <c r="MSY36" s="12"/>
      <c r="MSZ36" s="12"/>
      <c r="MTQ36" s="12"/>
      <c r="MTR36" s="12"/>
      <c r="MUI36" s="12"/>
      <c r="MUJ36" s="12"/>
      <c r="MVA36" s="12"/>
      <c r="MVB36" s="12"/>
      <c r="MVS36" s="12"/>
      <c r="MVT36" s="12"/>
      <c r="MWK36" s="12"/>
      <c r="MWL36" s="12"/>
      <c r="MXC36" s="12"/>
      <c r="MXD36" s="12"/>
      <c r="MXU36" s="12"/>
      <c r="MXV36" s="12"/>
      <c r="MYM36" s="12"/>
      <c r="MYN36" s="12"/>
      <c r="MZE36" s="12"/>
      <c r="MZF36" s="12"/>
      <c r="MZW36" s="12"/>
      <c r="MZX36" s="12"/>
      <c r="NAO36" s="12"/>
      <c r="NAP36" s="12"/>
      <c r="NBG36" s="12"/>
      <c r="NBH36" s="12"/>
      <c r="NBY36" s="12"/>
      <c r="NBZ36" s="12"/>
      <c r="NCQ36" s="12"/>
      <c r="NCR36" s="12"/>
      <c r="NDI36" s="12"/>
      <c r="NDJ36" s="12"/>
      <c r="NEA36" s="12"/>
      <c r="NEB36" s="12"/>
      <c r="NES36" s="12"/>
      <c r="NET36" s="12"/>
      <c r="NFK36" s="12"/>
      <c r="NFL36" s="12"/>
      <c r="NGC36" s="12"/>
      <c r="NGD36" s="12"/>
      <c r="NGU36" s="12"/>
      <c r="NGV36" s="12"/>
      <c r="NHM36" s="12"/>
      <c r="NHN36" s="12"/>
      <c r="NIE36" s="12"/>
      <c r="NIF36" s="12"/>
      <c r="NIW36" s="12"/>
      <c r="NIX36" s="12"/>
      <c r="NJO36" s="12"/>
      <c r="NJP36" s="12"/>
      <c r="NKG36" s="12"/>
      <c r="NKH36" s="12"/>
      <c r="NKY36" s="12"/>
      <c r="NKZ36" s="12"/>
      <c r="NLQ36" s="12"/>
      <c r="NLR36" s="12"/>
      <c r="NMI36" s="12"/>
      <c r="NMJ36" s="12"/>
      <c r="NNA36" s="12"/>
      <c r="NNB36" s="12"/>
      <c r="NNS36" s="12"/>
      <c r="NNT36" s="12"/>
      <c r="NOK36" s="12"/>
      <c r="NOL36" s="12"/>
      <c r="NPC36" s="12"/>
      <c r="NPD36" s="12"/>
      <c r="NPU36" s="12"/>
      <c r="NPV36" s="12"/>
      <c r="NQM36" s="12"/>
      <c r="NQN36" s="12"/>
      <c r="NRE36" s="12"/>
      <c r="NRF36" s="12"/>
      <c r="NRW36" s="12"/>
      <c r="NRX36" s="12"/>
      <c r="NSO36" s="12"/>
      <c r="NSP36" s="12"/>
      <c r="NTG36" s="12"/>
      <c r="NTH36" s="12"/>
      <c r="NTY36" s="12"/>
      <c r="NTZ36" s="12"/>
      <c r="NUQ36" s="12"/>
      <c r="NUR36" s="12"/>
      <c r="NVI36" s="12"/>
      <c r="NVJ36" s="12"/>
      <c r="NWA36" s="12"/>
      <c r="NWB36" s="12"/>
      <c r="NWS36" s="12"/>
      <c r="NWT36" s="12"/>
      <c r="NXK36" s="12"/>
      <c r="NXL36" s="12"/>
      <c r="NYC36" s="12"/>
      <c r="NYD36" s="12"/>
      <c r="NYU36" s="12"/>
      <c r="NYV36" s="12"/>
      <c r="NZM36" s="12"/>
      <c r="NZN36" s="12"/>
      <c r="OAE36" s="12"/>
      <c r="OAF36" s="12"/>
      <c r="OAW36" s="12"/>
      <c r="OAX36" s="12"/>
      <c r="OBO36" s="12"/>
      <c r="OBP36" s="12"/>
      <c r="OCG36" s="12"/>
      <c r="OCH36" s="12"/>
      <c r="OCY36" s="12"/>
      <c r="OCZ36" s="12"/>
      <c r="ODQ36" s="12"/>
      <c r="ODR36" s="12"/>
      <c r="OEI36" s="12"/>
      <c r="OEJ36" s="12"/>
      <c r="OFA36" s="12"/>
      <c r="OFB36" s="12"/>
      <c r="OFS36" s="12"/>
      <c r="OFT36" s="12"/>
      <c r="OGK36" s="12"/>
      <c r="OGL36" s="12"/>
      <c r="OHC36" s="12"/>
      <c r="OHD36" s="12"/>
      <c r="OHU36" s="12"/>
      <c r="OHV36" s="12"/>
      <c r="OIM36" s="12"/>
      <c r="OIN36" s="12"/>
      <c r="OJE36" s="12"/>
      <c r="OJF36" s="12"/>
      <c r="OJW36" s="12"/>
      <c r="OJX36" s="12"/>
      <c r="OKO36" s="12"/>
      <c r="OKP36" s="12"/>
      <c r="OLG36" s="12"/>
      <c r="OLH36" s="12"/>
      <c r="OLY36" s="12"/>
      <c r="OLZ36" s="12"/>
      <c r="OMQ36" s="12"/>
      <c r="OMR36" s="12"/>
      <c r="ONI36" s="12"/>
      <c r="ONJ36" s="12"/>
      <c r="OOA36" s="12"/>
      <c r="OOB36" s="12"/>
      <c r="OOS36" s="12"/>
      <c r="OOT36" s="12"/>
      <c r="OPK36" s="12"/>
      <c r="OPL36" s="12"/>
      <c r="OQC36" s="12"/>
      <c r="OQD36" s="12"/>
      <c r="OQU36" s="12"/>
      <c r="OQV36" s="12"/>
      <c r="ORM36" s="12"/>
      <c r="ORN36" s="12"/>
      <c r="OSE36" s="12"/>
      <c r="OSF36" s="12"/>
      <c r="OSW36" s="12"/>
      <c r="OSX36" s="12"/>
      <c r="OTO36" s="12"/>
      <c r="OTP36" s="12"/>
      <c r="OUG36" s="12"/>
      <c r="OUH36" s="12"/>
      <c r="OUY36" s="12"/>
      <c r="OUZ36" s="12"/>
      <c r="OVQ36" s="12"/>
      <c r="OVR36" s="12"/>
      <c r="OWI36" s="12"/>
      <c r="OWJ36" s="12"/>
      <c r="OXA36" s="12"/>
      <c r="OXB36" s="12"/>
      <c r="OXS36" s="12"/>
      <c r="OXT36" s="12"/>
      <c r="OYK36" s="12"/>
      <c r="OYL36" s="12"/>
      <c r="OZC36" s="12"/>
      <c r="OZD36" s="12"/>
      <c r="OZU36" s="12"/>
      <c r="OZV36" s="12"/>
      <c r="PAM36" s="12"/>
      <c r="PAN36" s="12"/>
      <c r="PBE36" s="12"/>
      <c r="PBF36" s="12"/>
      <c r="PBW36" s="12"/>
      <c r="PBX36" s="12"/>
      <c r="PCO36" s="12"/>
      <c r="PCP36" s="12"/>
      <c r="PDG36" s="12"/>
      <c r="PDH36" s="12"/>
      <c r="PDY36" s="12"/>
      <c r="PDZ36" s="12"/>
      <c r="PEQ36" s="12"/>
      <c r="PER36" s="12"/>
      <c r="PFI36" s="12"/>
      <c r="PFJ36" s="12"/>
      <c r="PGA36" s="12"/>
      <c r="PGB36" s="12"/>
      <c r="PGS36" s="12"/>
      <c r="PGT36" s="12"/>
      <c r="PHK36" s="12"/>
      <c r="PHL36" s="12"/>
      <c r="PIC36" s="12"/>
      <c r="PID36" s="12"/>
      <c r="PIU36" s="12"/>
      <c r="PIV36" s="12"/>
      <c r="PJM36" s="12"/>
      <c r="PJN36" s="12"/>
      <c r="PKE36" s="12"/>
      <c r="PKF36" s="12"/>
      <c r="PKW36" s="12"/>
      <c r="PKX36" s="12"/>
      <c r="PLO36" s="12"/>
      <c r="PLP36" s="12"/>
      <c r="PMG36" s="12"/>
      <c r="PMH36" s="12"/>
      <c r="PMY36" s="12"/>
      <c r="PMZ36" s="12"/>
      <c r="PNQ36" s="12"/>
      <c r="PNR36" s="12"/>
      <c r="POI36" s="12"/>
      <c r="POJ36" s="12"/>
      <c r="PPA36" s="12"/>
      <c r="PPB36" s="12"/>
      <c r="PPS36" s="12"/>
      <c r="PPT36" s="12"/>
      <c r="PQK36" s="12"/>
      <c r="PQL36" s="12"/>
      <c r="PRC36" s="12"/>
      <c r="PRD36" s="12"/>
      <c r="PRU36" s="12"/>
      <c r="PRV36" s="12"/>
      <c r="PSM36" s="12"/>
      <c r="PSN36" s="12"/>
      <c r="PTE36" s="12"/>
      <c r="PTF36" s="12"/>
      <c r="PTW36" s="12"/>
      <c r="PTX36" s="12"/>
      <c r="PUO36" s="12"/>
      <c r="PUP36" s="12"/>
      <c r="PVG36" s="12"/>
      <c r="PVH36" s="12"/>
      <c r="PVY36" s="12"/>
      <c r="PVZ36" s="12"/>
      <c r="PWQ36" s="12"/>
      <c r="PWR36" s="12"/>
      <c r="PXI36" s="12"/>
      <c r="PXJ36" s="12"/>
      <c r="PYA36" s="12"/>
      <c r="PYB36" s="12"/>
      <c r="PYS36" s="12"/>
      <c r="PYT36" s="12"/>
      <c r="PZK36" s="12"/>
      <c r="PZL36" s="12"/>
      <c r="QAC36" s="12"/>
      <c r="QAD36" s="12"/>
      <c r="QAU36" s="12"/>
      <c r="QAV36" s="12"/>
      <c r="QBM36" s="12"/>
      <c r="QBN36" s="12"/>
      <c r="QCE36" s="12"/>
      <c r="QCF36" s="12"/>
      <c r="QCW36" s="12"/>
      <c r="QCX36" s="12"/>
      <c r="QDO36" s="12"/>
      <c r="QDP36" s="12"/>
      <c r="QEG36" s="12"/>
      <c r="QEH36" s="12"/>
      <c r="QEY36" s="12"/>
      <c r="QEZ36" s="12"/>
      <c r="QFQ36" s="12"/>
      <c r="QFR36" s="12"/>
      <c r="QGI36" s="12"/>
      <c r="QGJ36" s="12"/>
      <c r="QHA36" s="12"/>
      <c r="QHB36" s="12"/>
      <c r="QHS36" s="12"/>
      <c r="QHT36" s="12"/>
      <c r="QIK36" s="12"/>
      <c r="QIL36" s="12"/>
      <c r="QJC36" s="12"/>
      <c r="QJD36" s="12"/>
      <c r="QJU36" s="12"/>
      <c r="QJV36" s="12"/>
      <c r="QKM36" s="12"/>
      <c r="QKN36" s="12"/>
      <c r="QLE36" s="12"/>
      <c r="QLF36" s="12"/>
      <c r="QLW36" s="12"/>
      <c r="QLX36" s="12"/>
      <c r="QMO36" s="12"/>
      <c r="QMP36" s="12"/>
      <c r="QNG36" s="12"/>
      <c r="QNH36" s="12"/>
      <c r="QNY36" s="12"/>
      <c r="QNZ36" s="12"/>
      <c r="QOQ36" s="12"/>
      <c r="QOR36" s="12"/>
      <c r="QPI36" s="12"/>
      <c r="QPJ36" s="12"/>
      <c r="QQA36" s="12"/>
      <c r="QQB36" s="12"/>
      <c r="QQS36" s="12"/>
      <c r="QQT36" s="12"/>
      <c r="QRK36" s="12"/>
      <c r="QRL36" s="12"/>
      <c r="QSC36" s="12"/>
      <c r="QSD36" s="12"/>
      <c r="QSU36" s="12"/>
      <c r="QSV36" s="12"/>
      <c r="QTM36" s="12"/>
      <c r="QTN36" s="12"/>
      <c r="QUE36" s="12"/>
      <c r="QUF36" s="12"/>
      <c r="QUW36" s="12"/>
      <c r="QUX36" s="12"/>
      <c r="QVO36" s="12"/>
      <c r="QVP36" s="12"/>
      <c r="QWG36" s="12"/>
      <c r="QWH36" s="12"/>
      <c r="QWY36" s="12"/>
      <c r="QWZ36" s="12"/>
      <c r="QXQ36" s="12"/>
      <c r="QXR36" s="12"/>
      <c r="QYI36" s="12"/>
      <c r="QYJ36" s="12"/>
      <c r="QZA36" s="12"/>
      <c r="QZB36" s="12"/>
      <c r="QZS36" s="12"/>
      <c r="QZT36" s="12"/>
      <c r="RAK36" s="12"/>
      <c r="RAL36" s="12"/>
      <c r="RBC36" s="12"/>
      <c r="RBD36" s="12"/>
      <c r="RBU36" s="12"/>
      <c r="RBV36" s="12"/>
      <c r="RCM36" s="12"/>
      <c r="RCN36" s="12"/>
      <c r="RDE36" s="12"/>
      <c r="RDF36" s="12"/>
      <c r="RDW36" s="12"/>
      <c r="RDX36" s="12"/>
      <c r="REO36" s="12"/>
      <c r="REP36" s="12"/>
      <c r="RFG36" s="12"/>
      <c r="RFH36" s="12"/>
      <c r="RFY36" s="12"/>
      <c r="RFZ36" s="12"/>
      <c r="RGQ36" s="12"/>
      <c r="RGR36" s="12"/>
      <c r="RHI36" s="12"/>
      <c r="RHJ36" s="12"/>
      <c r="RIA36" s="12"/>
      <c r="RIB36" s="12"/>
      <c r="RIS36" s="12"/>
      <c r="RIT36" s="12"/>
      <c r="RJK36" s="12"/>
      <c r="RJL36" s="12"/>
      <c r="RKC36" s="12"/>
      <c r="RKD36" s="12"/>
      <c r="RKU36" s="12"/>
      <c r="RKV36" s="12"/>
      <c r="RLM36" s="12"/>
      <c r="RLN36" s="12"/>
      <c r="RME36" s="12"/>
      <c r="RMF36" s="12"/>
      <c r="RMW36" s="12"/>
      <c r="RMX36" s="12"/>
      <c r="RNO36" s="12"/>
      <c r="RNP36" s="12"/>
      <c r="ROG36" s="12"/>
      <c r="ROH36" s="12"/>
      <c r="ROY36" s="12"/>
      <c r="ROZ36" s="12"/>
      <c r="RPQ36" s="12"/>
      <c r="RPR36" s="12"/>
      <c r="RQI36" s="12"/>
      <c r="RQJ36" s="12"/>
      <c r="RRA36" s="12"/>
      <c r="RRB36" s="12"/>
      <c r="RRS36" s="12"/>
      <c r="RRT36" s="12"/>
      <c r="RSK36" s="12"/>
      <c r="RSL36" s="12"/>
      <c r="RTC36" s="12"/>
      <c r="RTD36" s="12"/>
      <c r="RTU36" s="12"/>
      <c r="RTV36" s="12"/>
      <c r="RUM36" s="12"/>
      <c r="RUN36" s="12"/>
      <c r="RVE36" s="12"/>
      <c r="RVF36" s="12"/>
      <c r="RVW36" s="12"/>
      <c r="RVX36" s="12"/>
      <c r="RWO36" s="12"/>
      <c r="RWP36" s="12"/>
      <c r="RXG36" s="12"/>
      <c r="RXH36" s="12"/>
      <c r="RXY36" s="12"/>
      <c r="RXZ36" s="12"/>
      <c r="RYQ36" s="12"/>
      <c r="RYR36" s="12"/>
      <c r="RZI36" s="12"/>
      <c r="RZJ36" s="12"/>
      <c r="SAA36" s="12"/>
      <c r="SAB36" s="12"/>
      <c r="SAS36" s="12"/>
      <c r="SAT36" s="12"/>
      <c r="SBK36" s="12"/>
      <c r="SBL36" s="12"/>
      <c r="SCC36" s="12"/>
      <c r="SCD36" s="12"/>
      <c r="SCU36" s="12"/>
      <c r="SCV36" s="12"/>
      <c r="SDM36" s="12"/>
      <c r="SDN36" s="12"/>
      <c r="SEE36" s="12"/>
      <c r="SEF36" s="12"/>
      <c r="SEW36" s="12"/>
      <c r="SEX36" s="12"/>
      <c r="SFO36" s="12"/>
      <c r="SFP36" s="12"/>
      <c r="SGG36" s="12"/>
      <c r="SGH36" s="12"/>
      <c r="SGY36" s="12"/>
      <c r="SGZ36" s="12"/>
      <c r="SHQ36" s="12"/>
      <c r="SHR36" s="12"/>
      <c r="SII36" s="12"/>
      <c r="SIJ36" s="12"/>
      <c r="SJA36" s="12"/>
      <c r="SJB36" s="12"/>
      <c r="SJS36" s="12"/>
      <c r="SJT36" s="12"/>
      <c r="SKK36" s="12"/>
      <c r="SKL36" s="12"/>
      <c r="SLC36" s="12"/>
      <c r="SLD36" s="12"/>
      <c r="SLU36" s="12"/>
      <c r="SLV36" s="12"/>
      <c r="SMM36" s="12"/>
      <c r="SMN36" s="12"/>
      <c r="SNE36" s="12"/>
      <c r="SNF36" s="12"/>
      <c r="SNW36" s="12"/>
      <c r="SNX36" s="12"/>
      <c r="SOO36" s="12"/>
      <c r="SOP36" s="12"/>
      <c r="SPG36" s="12"/>
      <c r="SPH36" s="12"/>
      <c r="SPY36" s="12"/>
      <c r="SPZ36" s="12"/>
      <c r="SQQ36" s="12"/>
      <c r="SQR36" s="12"/>
      <c r="SRI36" s="12"/>
      <c r="SRJ36" s="12"/>
      <c r="SSA36" s="12"/>
      <c r="SSB36" s="12"/>
      <c r="SSS36" s="12"/>
      <c r="SST36" s="12"/>
      <c r="STK36" s="12"/>
      <c r="STL36" s="12"/>
      <c r="SUC36" s="12"/>
      <c r="SUD36" s="12"/>
      <c r="SUU36" s="12"/>
      <c r="SUV36" s="12"/>
      <c r="SVM36" s="12"/>
      <c r="SVN36" s="12"/>
      <c r="SWE36" s="12"/>
      <c r="SWF36" s="12"/>
      <c r="SWW36" s="12"/>
      <c r="SWX36" s="12"/>
      <c r="SXO36" s="12"/>
      <c r="SXP36" s="12"/>
      <c r="SYG36" s="12"/>
      <c r="SYH36" s="12"/>
      <c r="SYY36" s="12"/>
      <c r="SYZ36" s="12"/>
      <c r="SZQ36" s="12"/>
      <c r="SZR36" s="12"/>
      <c r="TAI36" s="12"/>
      <c r="TAJ36" s="12"/>
      <c r="TBA36" s="12"/>
      <c r="TBB36" s="12"/>
      <c r="TBS36" s="12"/>
      <c r="TBT36" s="12"/>
      <c r="TCK36" s="12"/>
      <c r="TCL36" s="12"/>
      <c r="TDC36" s="12"/>
      <c r="TDD36" s="12"/>
      <c r="TDU36" s="12"/>
      <c r="TDV36" s="12"/>
      <c r="TEM36" s="12"/>
      <c r="TEN36" s="12"/>
      <c r="TFE36" s="12"/>
      <c r="TFF36" s="12"/>
      <c r="TFW36" s="12"/>
      <c r="TFX36" s="12"/>
      <c r="TGO36" s="12"/>
      <c r="TGP36" s="12"/>
      <c r="THG36" s="12"/>
      <c r="THH36" s="12"/>
      <c r="THY36" s="12"/>
      <c r="THZ36" s="12"/>
      <c r="TIQ36" s="12"/>
      <c r="TIR36" s="12"/>
      <c r="TJI36" s="12"/>
      <c r="TJJ36" s="12"/>
      <c r="TKA36" s="12"/>
      <c r="TKB36" s="12"/>
      <c r="TKS36" s="12"/>
      <c r="TKT36" s="12"/>
      <c r="TLK36" s="12"/>
      <c r="TLL36" s="12"/>
      <c r="TMC36" s="12"/>
      <c r="TMD36" s="12"/>
      <c r="TMU36" s="12"/>
      <c r="TMV36" s="12"/>
      <c r="TNM36" s="12"/>
      <c r="TNN36" s="12"/>
      <c r="TOE36" s="12"/>
      <c r="TOF36" s="12"/>
      <c r="TOW36" s="12"/>
      <c r="TOX36" s="12"/>
      <c r="TPO36" s="12"/>
      <c r="TPP36" s="12"/>
      <c r="TQG36" s="12"/>
      <c r="TQH36" s="12"/>
      <c r="TQY36" s="12"/>
      <c r="TQZ36" s="12"/>
      <c r="TRQ36" s="12"/>
      <c r="TRR36" s="12"/>
      <c r="TSI36" s="12"/>
      <c r="TSJ36" s="12"/>
      <c r="TTA36" s="12"/>
      <c r="TTB36" s="12"/>
      <c r="TTS36" s="12"/>
      <c r="TTT36" s="12"/>
      <c r="TUK36" s="12"/>
      <c r="TUL36" s="12"/>
      <c r="TVC36" s="12"/>
      <c r="TVD36" s="12"/>
      <c r="TVU36" s="12"/>
      <c r="TVV36" s="12"/>
      <c r="TWM36" s="12"/>
      <c r="TWN36" s="12"/>
      <c r="TXE36" s="12"/>
      <c r="TXF36" s="12"/>
      <c r="TXW36" s="12"/>
      <c r="TXX36" s="12"/>
      <c r="TYO36" s="12"/>
      <c r="TYP36" s="12"/>
      <c r="TZG36" s="12"/>
      <c r="TZH36" s="12"/>
      <c r="TZY36" s="12"/>
      <c r="TZZ36" s="12"/>
      <c r="UAQ36" s="12"/>
      <c r="UAR36" s="12"/>
      <c r="UBI36" s="12"/>
      <c r="UBJ36" s="12"/>
      <c r="UCA36" s="12"/>
      <c r="UCB36" s="12"/>
      <c r="UCS36" s="12"/>
      <c r="UCT36" s="12"/>
      <c r="UDK36" s="12"/>
      <c r="UDL36" s="12"/>
      <c r="UEC36" s="12"/>
      <c r="UED36" s="12"/>
      <c r="UEU36" s="12"/>
      <c r="UEV36" s="12"/>
      <c r="UFM36" s="12"/>
      <c r="UFN36" s="12"/>
      <c r="UGE36" s="12"/>
      <c r="UGF36" s="12"/>
      <c r="UGW36" s="12"/>
      <c r="UGX36" s="12"/>
      <c r="UHO36" s="12"/>
      <c r="UHP36" s="12"/>
      <c r="UIG36" s="12"/>
      <c r="UIH36" s="12"/>
      <c r="UIY36" s="12"/>
      <c r="UIZ36" s="12"/>
      <c r="UJQ36" s="12"/>
      <c r="UJR36" s="12"/>
      <c r="UKI36" s="12"/>
      <c r="UKJ36" s="12"/>
      <c r="ULA36" s="12"/>
      <c r="ULB36" s="12"/>
      <c r="ULS36" s="12"/>
      <c r="ULT36" s="12"/>
      <c r="UMK36" s="12"/>
      <c r="UML36" s="12"/>
      <c r="UNC36" s="12"/>
      <c r="UND36" s="12"/>
      <c r="UNU36" s="12"/>
      <c r="UNV36" s="12"/>
      <c r="UOM36" s="12"/>
      <c r="UON36" s="12"/>
      <c r="UPE36" s="12"/>
      <c r="UPF36" s="12"/>
      <c r="UPW36" s="12"/>
      <c r="UPX36" s="12"/>
      <c r="UQO36" s="12"/>
      <c r="UQP36" s="12"/>
      <c r="URG36" s="12"/>
      <c r="URH36" s="12"/>
      <c r="URY36" s="12"/>
      <c r="URZ36" s="12"/>
      <c r="USQ36" s="12"/>
      <c r="USR36" s="12"/>
      <c r="UTI36" s="12"/>
      <c r="UTJ36" s="12"/>
      <c r="UUA36" s="12"/>
      <c r="UUB36" s="12"/>
      <c r="UUS36" s="12"/>
      <c r="UUT36" s="12"/>
      <c r="UVK36" s="12"/>
      <c r="UVL36" s="12"/>
      <c r="UWC36" s="12"/>
      <c r="UWD36" s="12"/>
      <c r="UWU36" s="12"/>
      <c r="UWV36" s="12"/>
      <c r="UXM36" s="12"/>
      <c r="UXN36" s="12"/>
      <c r="UYE36" s="12"/>
      <c r="UYF36" s="12"/>
      <c r="UYW36" s="12"/>
      <c r="UYX36" s="12"/>
      <c r="UZO36" s="12"/>
      <c r="UZP36" s="12"/>
      <c r="VAG36" s="12"/>
      <c r="VAH36" s="12"/>
      <c r="VAY36" s="12"/>
      <c r="VAZ36" s="12"/>
      <c r="VBQ36" s="12"/>
      <c r="VBR36" s="12"/>
      <c r="VCI36" s="12"/>
      <c r="VCJ36" s="12"/>
      <c r="VDA36" s="12"/>
      <c r="VDB36" s="12"/>
      <c r="VDS36" s="12"/>
      <c r="VDT36" s="12"/>
      <c r="VEK36" s="12"/>
      <c r="VEL36" s="12"/>
      <c r="VFC36" s="12"/>
      <c r="VFD36" s="12"/>
      <c r="VFU36" s="12"/>
      <c r="VFV36" s="12"/>
      <c r="VGM36" s="12"/>
      <c r="VGN36" s="12"/>
      <c r="VHE36" s="12"/>
      <c r="VHF36" s="12"/>
      <c r="VHW36" s="12"/>
      <c r="VHX36" s="12"/>
      <c r="VIO36" s="12"/>
      <c r="VIP36" s="12"/>
      <c r="VJG36" s="12"/>
      <c r="VJH36" s="12"/>
      <c r="VJY36" s="12"/>
      <c r="VJZ36" s="12"/>
      <c r="VKQ36" s="12"/>
      <c r="VKR36" s="12"/>
      <c r="VLI36" s="12"/>
      <c r="VLJ36" s="12"/>
      <c r="VMA36" s="12"/>
      <c r="VMB36" s="12"/>
      <c r="VMS36" s="12"/>
      <c r="VMT36" s="12"/>
      <c r="VNK36" s="12"/>
      <c r="VNL36" s="12"/>
      <c r="VOC36" s="12"/>
      <c r="VOD36" s="12"/>
      <c r="VOU36" s="12"/>
      <c r="VOV36" s="12"/>
      <c r="VPM36" s="12"/>
      <c r="VPN36" s="12"/>
      <c r="VQE36" s="12"/>
      <c r="VQF36" s="12"/>
      <c r="VQW36" s="12"/>
      <c r="VQX36" s="12"/>
      <c r="VRO36" s="12"/>
      <c r="VRP36" s="12"/>
      <c r="VSG36" s="12"/>
      <c r="VSH36" s="12"/>
      <c r="VSY36" s="12"/>
      <c r="VSZ36" s="12"/>
      <c r="VTQ36" s="12"/>
      <c r="VTR36" s="12"/>
      <c r="VUI36" s="12"/>
      <c r="VUJ36" s="12"/>
      <c r="VVA36" s="12"/>
      <c r="VVB36" s="12"/>
      <c r="VVS36" s="12"/>
      <c r="VVT36" s="12"/>
      <c r="VWK36" s="12"/>
      <c r="VWL36" s="12"/>
      <c r="VXC36" s="12"/>
      <c r="VXD36" s="12"/>
      <c r="VXU36" s="12"/>
      <c r="VXV36" s="12"/>
      <c r="VYM36" s="12"/>
      <c r="VYN36" s="12"/>
      <c r="VZE36" s="12"/>
      <c r="VZF36" s="12"/>
      <c r="VZW36" s="12"/>
      <c r="VZX36" s="12"/>
      <c r="WAO36" s="12"/>
      <c r="WAP36" s="12"/>
      <c r="WBG36" s="12"/>
      <c r="WBH36" s="12"/>
      <c r="WBY36" s="12"/>
      <c r="WBZ36" s="12"/>
      <c r="WCQ36" s="12"/>
      <c r="WCR36" s="12"/>
      <c r="WDI36" s="12"/>
      <c r="WDJ36" s="12"/>
      <c r="WEA36" s="12"/>
      <c r="WEB36" s="12"/>
      <c r="WES36" s="12"/>
      <c r="WET36" s="12"/>
      <c r="WFK36" s="12"/>
      <c r="WFL36" s="12"/>
      <c r="WGC36" s="12"/>
      <c r="WGD36" s="12"/>
      <c r="WGU36" s="12"/>
      <c r="WGV36" s="12"/>
      <c r="WHM36" s="12"/>
      <c r="WHN36" s="12"/>
      <c r="WIE36" s="12"/>
      <c r="WIF36" s="12"/>
      <c r="WIW36" s="12"/>
      <c r="WIX36" s="12"/>
      <c r="WJO36" s="12"/>
      <c r="WJP36" s="12"/>
      <c r="WKG36" s="12"/>
      <c r="WKH36" s="12"/>
      <c r="WKY36" s="12"/>
      <c r="WKZ36" s="12"/>
      <c r="WLQ36" s="12"/>
      <c r="WLR36" s="12"/>
      <c r="WMI36" s="12"/>
      <c r="WMJ36" s="12"/>
      <c r="WNA36" s="12"/>
      <c r="WNB36" s="12"/>
      <c r="WNS36" s="12"/>
      <c r="WNT36" s="12"/>
      <c r="WOK36" s="12"/>
      <c r="WOL36" s="12"/>
      <c r="WPC36" s="12"/>
      <c r="WPD36" s="12"/>
      <c r="WPU36" s="12"/>
      <c r="WPV36" s="12"/>
      <c r="WQM36" s="12"/>
      <c r="WQN36" s="12"/>
      <c r="WRE36" s="12"/>
      <c r="WRF36" s="12"/>
      <c r="WRW36" s="12"/>
      <c r="WRX36" s="12"/>
      <c r="WSO36" s="12"/>
      <c r="WSP36" s="12"/>
      <c r="WTG36" s="12"/>
      <c r="WTH36" s="12"/>
      <c r="WTY36" s="12"/>
      <c r="WTZ36" s="12"/>
      <c r="WUQ36" s="12"/>
      <c r="WUR36" s="12"/>
      <c r="WVI36" s="12"/>
      <c r="WVJ36" s="12"/>
      <c r="WWA36" s="12"/>
      <c r="WWB36" s="12"/>
      <c r="WWS36" s="12"/>
      <c r="WWT36" s="12"/>
      <c r="WXK36" s="12"/>
      <c r="WXL36" s="12"/>
      <c r="WYC36" s="12"/>
      <c r="WYD36" s="12"/>
      <c r="WYU36" s="12"/>
      <c r="WYV36" s="12"/>
      <c r="WZM36" s="12"/>
      <c r="WZN36" s="12"/>
      <c r="XAE36" s="12"/>
      <c r="XAF36" s="12"/>
      <c r="XAW36" s="12"/>
      <c r="XAX36" s="12"/>
      <c r="XBO36" s="12"/>
      <c r="XBP36" s="12"/>
      <c r="XCG36" s="12"/>
      <c r="XCH36" s="12"/>
      <c r="XCY36" s="12"/>
      <c r="XCZ36" s="12"/>
      <c r="XDQ36" s="12"/>
      <c r="XDR36" s="12"/>
      <c r="XEI36" s="12"/>
      <c r="XEJ36" s="12"/>
      <c r="XFA36" s="12"/>
      <c r="XFB36" s="12"/>
    </row>
    <row r="37" spans="1:1010 1027:2036 2053:3062 3079:4088 4105:5114 5131:6140 6157:7166 7183:8192 8209:9200 9217:10226 10243:11252 11269:12278 12295:13304 13321:14330 14347:15356 15373:16382" x14ac:dyDescent="0.35">
      <c r="A37" s="181" t="str">
        <f>'Balance Sheet - Standardized'!A39</f>
        <v xml:space="preserve">    + Property, Plant &amp; Equip (Standardized)</v>
      </c>
      <c r="B37" s="13" t="str">
        <f>'Balance Sheet - Standardized'!B39</f>
        <v>BS_GROSS_FIX_ASSET</v>
      </c>
      <c r="C37" s="77">
        <f>IF('Balance Sheet - Standardized'!C39="",0,'Balance Sheet - Standardized'!C39)/'Balance Sheet - Standardized'!C$61</f>
        <v>0.37474949488733683</v>
      </c>
      <c r="D37" s="77">
        <f>IF('Balance Sheet - Standardized'!D39="",0,'Balance Sheet - Standardized'!D39)/'Balance Sheet - Standardized'!D$61</f>
        <v>0.37377082872229422</v>
      </c>
      <c r="E37" s="77">
        <f>IF('Balance Sheet - Standardized'!E39="",0,'Balance Sheet - Standardized'!E39)/'Balance Sheet - Standardized'!E$61</f>
        <v>0.34272452504317791</v>
      </c>
      <c r="F37" s="77">
        <f>IF('Balance Sheet - Standardized'!F39="",0,'Balance Sheet - Standardized'!F39)/'Balance Sheet - Standardized'!F$61</f>
        <v>0.377153147823167</v>
      </c>
      <c r="G37" s="77">
        <f>IF('Balance Sheet - Standardized'!G39="",0,'Balance Sheet - Standardized'!G39)/'Balance Sheet - Standardized'!G$61</f>
        <v>0.41288915842573348</v>
      </c>
      <c r="H37" s="77">
        <f>IF('Balance Sheet - Standardized'!H39="",0,'Balance Sheet - Standardized'!H39)/'Balance Sheet - Standardized'!H$61</f>
        <v>0.38808352362343751</v>
      </c>
      <c r="I37" s="77">
        <f>IF('Balance Sheet - Standardized'!I39="",0,'Balance Sheet - Standardized'!I39)/'Balance Sheet - Standardized'!I$61</f>
        <v>0.36608865367485954</v>
      </c>
      <c r="J37" s="77">
        <f>IF('Balance Sheet - Standardized'!J39="",0,'Balance Sheet - Standardized'!J39)/'Balance Sheet - Standardized'!J$61</f>
        <v>0.36850173001099695</v>
      </c>
      <c r="K37" s="77">
        <f>IF('Balance Sheet - Standardized'!K39="",0,'Balance Sheet - Standardized'!K39)/'Balance Sheet - Standardized'!K$61</f>
        <v>0.38975996800976542</v>
      </c>
      <c r="L37" s="77">
        <f>IF('Balance Sheet - Standardized'!L39="",0,'Balance Sheet - Standardized'!L39)/'Balance Sheet - Standardized'!L$61</f>
        <v>0.39621995252344094</v>
      </c>
      <c r="M37" s="106"/>
      <c r="N37" s="106"/>
      <c r="O37" s="106"/>
      <c r="P37" s="106"/>
      <c r="Q37" s="106"/>
      <c r="R37" s="106"/>
      <c r="S37" s="74"/>
      <c r="T37" s="78"/>
      <c r="U37" s="78"/>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row>
    <row r="38" spans="1:1010 1027:2036 2053:3062 3079:4088 4105:5114 5131:6140 6157:7166 7183:8192 8209:9200 9217:10226 10243:11252 11269:12278 12295:13304 13321:14330 14347:15356 15373:16382" x14ac:dyDescent="0.35">
      <c r="A38" s="181" t="str">
        <f>'Balance Sheet - Standardized'!A40</f>
        <v xml:space="preserve">    - Accumulated Depreciation (Standardized)</v>
      </c>
      <c r="B38" s="13" t="str">
        <f>'Balance Sheet - Standardized'!B40</f>
        <v>BS_ACCUM_DEPR</v>
      </c>
      <c r="C38" s="77">
        <f>IF('Balance Sheet - Standardized'!C40="",0,'Balance Sheet - Standardized'!C40)/'Balance Sheet - Standardized'!C$61</f>
        <v>0.21551952247623152</v>
      </c>
      <c r="D38" s="77">
        <f>IF('Balance Sheet - Standardized'!D40="",0,'Balance Sheet - Standardized'!D40)/'Balance Sheet - Standardized'!D$61</f>
        <v>0.22655089006228854</v>
      </c>
      <c r="E38" s="77">
        <f>IF('Balance Sheet - Standardized'!E40="",0,'Balance Sheet - Standardized'!E40)/'Balance Sheet - Standardized'!E$61</f>
        <v>0.22828711699609799</v>
      </c>
      <c r="F38" s="77">
        <f>IF('Balance Sheet - Standardized'!F40="",0,'Balance Sheet - Standardized'!F40)/'Balance Sheet - Standardized'!F$61</f>
        <v>0.23930371726555721</v>
      </c>
      <c r="G38" s="77">
        <f>IF('Balance Sheet - Standardized'!G40="",0,'Balance Sheet - Standardized'!G40)/'Balance Sheet - Standardized'!G$61</f>
        <v>0.22527632395368488</v>
      </c>
      <c r="H38" s="77">
        <f>IF('Balance Sheet - Standardized'!H40="",0,'Balance Sheet - Standardized'!H40)/'Balance Sheet - Standardized'!H$61</f>
        <v>0.21501290833902242</v>
      </c>
      <c r="I38" s="77">
        <f>IF('Balance Sheet - Standardized'!I40="",0,'Balance Sheet - Standardized'!I40)/'Balance Sheet - Standardized'!I$61</f>
        <v>0.20616109409233477</v>
      </c>
      <c r="J38" s="77">
        <f>IF('Balance Sheet - Standardized'!J40="",0,'Balance Sheet - Standardized'!J40)/'Balance Sheet - Standardized'!J$61</f>
        <v>0.2119732854115817</v>
      </c>
      <c r="K38" s="77">
        <f>IF('Balance Sheet - Standardized'!K40="",0,'Balance Sheet - Standardized'!K40)/'Balance Sheet - Standardized'!K$61</f>
        <v>0.22072209536036369</v>
      </c>
      <c r="L38" s="77">
        <f>IF('Balance Sheet - Standardized'!L40="",0,'Balance Sheet - Standardized'!L40)/'Balance Sheet - Standardized'!L$61</f>
        <v>0.20545385782721004</v>
      </c>
      <c r="M38" s="106"/>
      <c r="N38" s="106"/>
      <c r="O38" s="106"/>
      <c r="P38" s="106"/>
      <c r="Q38" s="106"/>
      <c r="R38" s="106"/>
      <c r="S38" s="74"/>
      <c r="T38" s="78"/>
      <c r="U38" s="78"/>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row>
    <row r="39" spans="1:1010 1027:2036 2053:3062 3079:4088 4105:5114 5131:6140 6157:7166 7183:8192 8209:9200 9217:10226 10243:11252 11269:12278 12295:13304 13321:14330 14347:15356 15373:16382" x14ac:dyDescent="0.35">
      <c r="A39" s="181" t="str">
        <f>'Balance Sheet - Standardized'!A41</f>
        <v>Operating Leases</v>
      </c>
      <c r="B39" s="13"/>
      <c r="C39" s="77">
        <f>IF('Balance Sheet - Standardized'!C41="",0,'Balance Sheet - Standardized'!C41)/'Balance Sheet - Standardized'!C$61</f>
        <v>0</v>
      </c>
      <c r="D39" s="77">
        <f>IF('Balance Sheet - Standardized'!D41="",0,'Balance Sheet - Standardized'!D41)/'Balance Sheet - Standardized'!D$61</f>
        <v>0</v>
      </c>
      <c r="E39" s="77">
        <f>IF('Balance Sheet - Standardized'!E41="",0,'Balance Sheet - Standardized'!E41)/'Balance Sheet - Standardized'!E$61</f>
        <v>0</v>
      </c>
      <c r="F39" s="77">
        <f>IF('Balance Sheet - Standardized'!F41="",0,'Balance Sheet - Standardized'!F41)/'Balance Sheet - Standardized'!F$61</f>
        <v>0</v>
      </c>
      <c r="G39" s="77">
        <f>IF('Balance Sheet - Standardized'!G41="",0,'Balance Sheet - Standardized'!G41)/'Balance Sheet - Standardized'!G$61</f>
        <v>4.8125764645257176E-2</v>
      </c>
      <c r="H39" s="77">
        <f>IF('Balance Sheet - Standardized'!H41="",0,'Balance Sheet - Standardized'!H41)/'Balance Sheet - Standardized'!H$61</f>
        <v>2.8690254792564179E-2</v>
      </c>
      <c r="I39" s="77">
        <f>IF('Balance Sheet - Standardized'!I41="",0,'Balance Sheet - Standardized'!I41)/'Balance Sheet - Standardized'!I$61</f>
        <v>2.6990669145138362E-2</v>
      </c>
      <c r="J39" s="77">
        <f>IF('Balance Sheet - Standardized'!J41="",0,'Balance Sheet - Standardized'!J41)/'Balance Sheet - Standardized'!J$61</f>
        <v>2.2846873910361293E-2</v>
      </c>
      <c r="K39" s="77">
        <f>IF('Balance Sheet - Standardized'!K41="",0,'Balance Sheet - Standardized'!K41)/'Balance Sheet - Standardized'!K$61</f>
        <v>2.0642382851550595E-2</v>
      </c>
      <c r="L39" s="77">
        <f>IF('Balance Sheet - Standardized'!L41="",0,'Balance Sheet - Standardized'!L41)/'Balance Sheet - Standardized'!L$61</f>
        <v>2.1521438187708429E-2</v>
      </c>
      <c r="M39" s="106"/>
      <c r="N39" s="106"/>
      <c r="O39" s="106"/>
      <c r="P39" s="106"/>
      <c r="Q39" s="106"/>
      <c r="R39" s="106"/>
      <c r="S39" s="74"/>
      <c r="T39" s="78"/>
      <c r="U39" s="78"/>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row>
    <row r="40" spans="1:1010 1027:2036 2053:3062 3079:4088 4105:5114 5131:6140 6157:7166 7183:8192 8209:9200 9217:10226 10243:11252 11269:12278 12295:13304 13321:14330 14347:15356 15373:16382" x14ac:dyDescent="0.35">
      <c r="A40" s="23" t="str">
        <f>'Balance Sheet - Standardized'!A42</f>
        <v>check</v>
      </c>
      <c r="B40" s="23"/>
      <c r="C40" s="79"/>
      <c r="D40" s="79"/>
      <c r="E40" s="79"/>
      <c r="F40" s="79"/>
      <c r="G40" s="79"/>
      <c r="H40" s="79"/>
      <c r="I40" s="79"/>
      <c r="J40" s="79"/>
      <c r="K40" s="79"/>
      <c r="L40" s="79"/>
      <c r="M40" s="144"/>
      <c r="N40" s="144"/>
      <c r="O40" s="144"/>
      <c r="P40" s="144"/>
      <c r="Q40" s="144"/>
      <c r="R40" s="144"/>
      <c r="S40" s="74"/>
      <c r="T40" s="78"/>
      <c r="U40" s="78"/>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row>
    <row r="41" spans="1:1010 1027:2036 2053:3062 3079:4088 4105:5114 5131:6140 6157:7166 7183:8192 8209:9200 9217:10226 10243:11252 11269:12278 12295:13304 13321:14330 14347:15356 15373:16382" s="11" customFormat="1" x14ac:dyDescent="0.35">
      <c r="A41" s="183" t="str">
        <f>'Balance Sheet - Standardized'!A43</f>
        <v xml:space="preserve">  + LT Investments &amp; Receivables</v>
      </c>
      <c r="B41" s="75" t="str">
        <f>'Balance Sheet - Standardized'!B43</f>
        <v>BS_LT_INVEST</v>
      </c>
      <c r="C41" s="76">
        <f>IF('Balance Sheet - Standardized'!C43="",0,'Balance Sheet - Standardized'!C43)/'Balance Sheet - Standardized'!C$61</f>
        <v>0</v>
      </c>
      <c r="D41" s="76">
        <f>IF('Balance Sheet - Standardized'!D43="",0,'Balance Sheet - Standardized'!D43)/'Balance Sheet - Standardized'!D$61</f>
        <v>0</v>
      </c>
      <c r="E41" s="76">
        <f>IF('Balance Sheet - Standardized'!E43="",0,'Balance Sheet - Standardized'!E43)/'Balance Sheet - Standardized'!E$61</f>
        <v>0</v>
      </c>
      <c r="F41" s="76">
        <f>IF('Balance Sheet - Standardized'!F43="",0,'Balance Sheet - Standardized'!F43)/'Balance Sheet - Standardized'!F$61</f>
        <v>0</v>
      </c>
      <c r="G41" s="76">
        <f>IF('Balance Sheet - Standardized'!G43="",0,'Balance Sheet - Standardized'!G43)/'Balance Sheet - Standardized'!G$61</f>
        <v>0</v>
      </c>
      <c r="H41" s="76">
        <f>IF('Balance Sheet - Standardized'!H43="",0,'Balance Sheet - Standardized'!H43)/'Balance Sheet - Standardized'!H$61</f>
        <v>0</v>
      </c>
      <c r="I41" s="76">
        <f>IF('Balance Sheet - Standardized'!I43="",0,'Balance Sheet - Standardized'!I43)/'Balance Sheet - Standardized'!I$61</f>
        <v>0</v>
      </c>
      <c r="J41" s="76">
        <f>IF('Balance Sheet - Standardized'!J43="",0,'Balance Sheet - Standardized'!J43)/'Balance Sheet - Standardized'!J$61</f>
        <v>0</v>
      </c>
      <c r="K41" s="76">
        <f>IF('Balance Sheet - Standardized'!K43="",0,'Balance Sheet - Standardized'!K43)/'Balance Sheet - Standardized'!K$61</f>
        <v>0</v>
      </c>
      <c r="L41" s="76">
        <f>IF('Balance Sheet - Standardized'!L43="",0,'Balance Sheet - Standardized'!L43)/'Balance Sheet - Standardized'!L$61</f>
        <v>0</v>
      </c>
      <c r="M41" s="106"/>
      <c r="N41" s="106"/>
      <c r="O41" s="106"/>
      <c r="P41" s="106"/>
      <c r="Q41" s="106"/>
      <c r="R41" s="106"/>
      <c r="S41" s="78"/>
      <c r="T41" s="78"/>
      <c r="U41" s="106"/>
      <c r="V41" s="106"/>
      <c r="W41" s="106"/>
      <c r="X41" s="106"/>
      <c r="Y41" s="106"/>
      <c r="Z41" s="106"/>
      <c r="AA41" s="106"/>
      <c r="AB41" s="106"/>
      <c r="AC41" s="106"/>
      <c r="AD41" s="106"/>
      <c r="AE41" s="106"/>
      <c r="AF41" s="106"/>
      <c r="AG41" s="106"/>
      <c r="AH41" s="106"/>
      <c r="AI41" s="106"/>
      <c r="AJ41" s="106"/>
      <c r="AK41" s="78"/>
      <c r="AL41" s="78"/>
      <c r="AM41" s="106"/>
      <c r="AN41" s="106"/>
      <c r="AO41" s="106"/>
      <c r="AP41" s="106"/>
      <c r="AQ41" s="106"/>
      <c r="AR41" s="106"/>
      <c r="AS41" s="106"/>
      <c r="AT41" s="106"/>
      <c r="AU41" s="106"/>
      <c r="AV41" s="106"/>
      <c r="AW41" s="106"/>
      <c r="AX41" s="106"/>
      <c r="AY41" s="106"/>
      <c r="AZ41" s="106"/>
      <c r="BA41" s="106"/>
      <c r="BB41" s="106"/>
      <c r="BC41" s="78"/>
      <c r="BD41" s="78"/>
      <c r="BE41" s="106"/>
      <c r="BF41" s="106"/>
      <c r="BG41" s="106"/>
      <c r="BH41" s="106"/>
      <c r="BI41" s="106"/>
      <c r="BJ41" s="106"/>
      <c r="BU41" s="12"/>
      <c r="BV41" s="12"/>
      <c r="CM41" s="12"/>
      <c r="CN41" s="12"/>
      <c r="DE41" s="12"/>
      <c r="DF41" s="12"/>
      <c r="DW41" s="12"/>
      <c r="DX41" s="12"/>
      <c r="EO41" s="12"/>
      <c r="EP41" s="12"/>
      <c r="FG41" s="12"/>
      <c r="FH41" s="12"/>
      <c r="FY41" s="12"/>
      <c r="FZ41" s="12"/>
      <c r="GQ41" s="12"/>
      <c r="GR41" s="12"/>
      <c r="HI41" s="12"/>
      <c r="HJ41" s="12"/>
      <c r="IA41" s="12"/>
      <c r="IB41" s="12"/>
      <c r="IS41" s="12"/>
      <c r="IT41" s="12"/>
      <c r="JK41" s="12"/>
      <c r="JL41" s="12"/>
      <c r="KC41" s="12"/>
      <c r="KD41" s="12"/>
      <c r="KU41" s="12"/>
      <c r="KV41" s="12"/>
      <c r="LM41" s="12"/>
      <c r="LN41" s="12"/>
      <c r="ME41" s="12"/>
      <c r="MF41" s="12"/>
      <c r="MW41" s="12"/>
      <c r="MX41" s="12"/>
      <c r="NO41" s="12"/>
      <c r="NP41" s="12"/>
      <c r="OG41" s="12"/>
      <c r="OH41" s="12"/>
      <c r="OY41" s="12"/>
      <c r="OZ41" s="12"/>
      <c r="PQ41" s="12"/>
      <c r="PR41" s="12"/>
      <c r="QI41" s="12"/>
      <c r="QJ41" s="12"/>
      <c r="RA41" s="12"/>
      <c r="RB41" s="12"/>
      <c r="RS41" s="12"/>
      <c r="RT41" s="12"/>
      <c r="SK41" s="12"/>
      <c r="SL41" s="12"/>
      <c r="TC41" s="12"/>
      <c r="TD41" s="12"/>
      <c r="TU41" s="12"/>
      <c r="TV41" s="12"/>
      <c r="UM41" s="12"/>
      <c r="UN41" s="12"/>
      <c r="VE41" s="12"/>
      <c r="VF41" s="12"/>
      <c r="VW41" s="12"/>
      <c r="VX41" s="12"/>
      <c r="WO41" s="12"/>
      <c r="WP41" s="12"/>
      <c r="XG41" s="12"/>
      <c r="XH41" s="12"/>
      <c r="XY41" s="12"/>
      <c r="XZ41" s="12"/>
      <c r="YQ41" s="12"/>
      <c r="YR41" s="12"/>
      <c r="ZI41" s="12"/>
      <c r="ZJ41" s="12"/>
      <c r="AAA41" s="12"/>
      <c r="AAB41" s="12"/>
      <c r="AAS41" s="12"/>
      <c r="AAT41" s="12"/>
      <c r="ABK41" s="12"/>
      <c r="ABL41" s="12"/>
      <c r="ACC41" s="12"/>
      <c r="ACD41" s="12"/>
      <c r="ACU41" s="12"/>
      <c r="ACV41" s="12"/>
      <c r="ADM41" s="12"/>
      <c r="ADN41" s="12"/>
      <c r="AEE41" s="12"/>
      <c r="AEF41" s="12"/>
      <c r="AEW41" s="12"/>
      <c r="AEX41" s="12"/>
      <c r="AFO41" s="12"/>
      <c r="AFP41" s="12"/>
      <c r="AGG41" s="12"/>
      <c r="AGH41" s="12"/>
      <c r="AGY41" s="12"/>
      <c r="AGZ41" s="12"/>
      <c r="AHQ41" s="12"/>
      <c r="AHR41" s="12"/>
      <c r="AII41" s="12"/>
      <c r="AIJ41" s="12"/>
      <c r="AJA41" s="12"/>
      <c r="AJB41" s="12"/>
      <c r="AJS41" s="12"/>
      <c r="AJT41" s="12"/>
      <c r="AKK41" s="12"/>
      <c r="AKL41" s="12"/>
      <c r="ALC41" s="12"/>
      <c r="ALD41" s="12"/>
      <c r="ALU41" s="12"/>
      <c r="ALV41" s="12"/>
      <c r="AMM41" s="12"/>
      <c r="AMN41" s="12"/>
      <c r="ANE41" s="12"/>
      <c r="ANF41" s="12"/>
      <c r="ANW41" s="12"/>
      <c r="ANX41" s="12"/>
      <c r="AOO41" s="12"/>
      <c r="AOP41" s="12"/>
      <c r="APG41" s="12"/>
      <c r="APH41" s="12"/>
      <c r="APY41" s="12"/>
      <c r="APZ41" s="12"/>
      <c r="AQQ41" s="12"/>
      <c r="AQR41" s="12"/>
      <c r="ARI41" s="12"/>
      <c r="ARJ41" s="12"/>
      <c r="ASA41" s="12"/>
      <c r="ASB41" s="12"/>
      <c r="ASS41" s="12"/>
      <c r="AST41" s="12"/>
      <c r="ATK41" s="12"/>
      <c r="ATL41" s="12"/>
      <c r="AUC41" s="12"/>
      <c r="AUD41" s="12"/>
      <c r="AUU41" s="12"/>
      <c r="AUV41" s="12"/>
      <c r="AVM41" s="12"/>
      <c r="AVN41" s="12"/>
      <c r="AWE41" s="12"/>
      <c r="AWF41" s="12"/>
      <c r="AWW41" s="12"/>
      <c r="AWX41" s="12"/>
      <c r="AXO41" s="12"/>
      <c r="AXP41" s="12"/>
      <c r="AYG41" s="12"/>
      <c r="AYH41" s="12"/>
      <c r="AYY41" s="12"/>
      <c r="AYZ41" s="12"/>
      <c r="AZQ41" s="12"/>
      <c r="AZR41" s="12"/>
      <c r="BAI41" s="12"/>
      <c r="BAJ41" s="12"/>
      <c r="BBA41" s="12"/>
      <c r="BBB41" s="12"/>
      <c r="BBS41" s="12"/>
      <c r="BBT41" s="12"/>
      <c r="BCK41" s="12"/>
      <c r="BCL41" s="12"/>
      <c r="BDC41" s="12"/>
      <c r="BDD41" s="12"/>
      <c r="BDU41" s="12"/>
      <c r="BDV41" s="12"/>
      <c r="BEM41" s="12"/>
      <c r="BEN41" s="12"/>
      <c r="BFE41" s="12"/>
      <c r="BFF41" s="12"/>
      <c r="BFW41" s="12"/>
      <c r="BFX41" s="12"/>
      <c r="BGO41" s="12"/>
      <c r="BGP41" s="12"/>
      <c r="BHG41" s="12"/>
      <c r="BHH41" s="12"/>
      <c r="BHY41" s="12"/>
      <c r="BHZ41" s="12"/>
      <c r="BIQ41" s="12"/>
      <c r="BIR41" s="12"/>
      <c r="BJI41" s="12"/>
      <c r="BJJ41" s="12"/>
      <c r="BKA41" s="12"/>
      <c r="BKB41" s="12"/>
      <c r="BKS41" s="12"/>
      <c r="BKT41" s="12"/>
      <c r="BLK41" s="12"/>
      <c r="BLL41" s="12"/>
      <c r="BMC41" s="12"/>
      <c r="BMD41" s="12"/>
      <c r="BMU41" s="12"/>
      <c r="BMV41" s="12"/>
      <c r="BNM41" s="12"/>
      <c r="BNN41" s="12"/>
      <c r="BOE41" s="12"/>
      <c r="BOF41" s="12"/>
      <c r="BOW41" s="12"/>
      <c r="BOX41" s="12"/>
      <c r="BPO41" s="12"/>
      <c r="BPP41" s="12"/>
      <c r="BQG41" s="12"/>
      <c r="BQH41" s="12"/>
      <c r="BQY41" s="12"/>
      <c r="BQZ41" s="12"/>
      <c r="BRQ41" s="12"/>
      <c r="BRR41" s="12"/>
      <c r="BSI41" s="12"/>
      <c r="BSJ41" s="12"/>
      <c r="BTA41" s="12"/>
      <c r="BTB41" s="12"/>
      <c r="BTS41" s="12"/>
      <c r="BTT41" s="12"/>
      <c r="BUK41" s="12"/>
      <c r="BUL41" s="12"/>
      <c r="BVC41" s="12"/>
      <c r="BVD41" s="12"/>
      <c r="BVU41" s="12"/>
      <c r="BVV41" s="12"/>
      <c r="BWM41" s="12"/>
      <c r="BWN41" s="12"/>
      <c r="BXE41" s="12"/>
      <c r="BXF41" s="12"/>
      <c r="BXW41" s="12"/>
      <c r="BXX41" s="12"/>
      <c r="BYO41" s="12"/>
      <c r="BYP41" s="12"/>
      <c r="BZG41" s="12"/>
      <c r="BZH41" s="12"/>
      <c r="BZY41" s="12"/>
      <c r="BZZ41" s="12"/>
      <c r="CAQ41" s="12"/>
      <c r="CAR41" s="12"/>
      <c r="CBI41" s="12"/>
      <c r="CBJ41" s="12"/>
      <c r="CCA41" s="12"/>
      <c r="CCB41" s="12"/>
      <c r="CCS41" s="12"/>
      <c r="CCT41" s="12"/>
      <c r="CDK41" s="12"/>
      <c r="CDL41" s="12"/>
      <c r="CEC41" s="12"/>
      <c r="CED41" s="12"/>
      <c r="CEU41" s="12"/>
      <c r="CEV41" s="12"/>
      <c r="CFM41" s="12"/>
      <c r="CFN41" s="12"/>
      <c r="CGE41" s="12"/>
      <c r="CGF41" s="12"/>
      <c r="CGW41" s="12"/>
      <c r="CGX41" s="12"/>
      <c r="CHO41" s="12"/>
      <c r="CHP41" s="12"/>
      <c r="CIG41" s="12"/>
      <c r="CIH41" s="12"/>
      <c r="CIY41" s="12"/>
      <c r="CIZ41" s="12"/>
      <c r="CJQ41" s="12"/>
      <c r="CJR41" s="12"/>
      <c r="CKI41" s="12"/>
      <c r="CKJ41" s="12"/>
      <c r="CLA41" s="12"/>
      <c r="CLB41" s="12"/>
      <c r="CLS41" s="12"/>
      <c r="CLT41" s="12"/>
      <c r="CMK41" s="12"/>
      <c r="CML41" s="12"/>
      <c r="CNC41" s="12"/>
      <c r="CND41" s="12"/>
      <c r="CNU41" s="12"/>
      <c r="CNV41" s="12"/>
      <c r="COM41" s="12"/>
      <c r="CON41" s="12"/>
      <c r="CPE41" s="12"/>
      <c r="CPF41" s="12"/>
      <c r="CPW41" s="12"/>
      <c r="CPX41" s="12"/>
      <c r="CQO41" s="12"/>
      <c r="CQP41" s="12"/>
      <c r="CRG41" s="12"/>
      <c r="CRH41" s="12"/>
      <c r="CRY41" s="12"/>
      <c r="CRZ41" s="12"/>
      <c r="CSQ41" s="12"/>
      <c r="CSR41" s="12"/>
      <c r="CTI41" s="12"/>
      <c r="CTJ41" s="12"/>
      <c r="CUA41" s="12"/>
      <c r="CUB41" s="12"/>
      <c r="CUS41" s="12"/>
      <c r="CUT41" s="12"/>
      <c r="CVK41" s="12"/>
      <c r="CVL41" s="12"/>
      <c r="CWC41" s="12"/>
      <c r="CWD41" s="12"/>
      <c r="CWU41" s="12"/>
      <c r="CWV41" s="12"/>
      <c r="CXM41" s="12"/>
      <c r="CXN41" s="12"/>
      <c r="CYE41" s="12"/>
      <c r="CYF41" s="12"/>
      <c r="CYW41" s="12"/>
      <c r="CYX41" s="12"/>
      <c r="CZO41" s="12"/>
      <c r="CZP41" s="12"/>
      <c r="DAG41" s="12"/>
      <c r="DAH41" s="12"/>
      <c r="DAY41" s="12"/>
      <c r="DAZ41" s="12"/>
      <c r="DBQ41" s="12"/>
      <c r="DBR41" s="12"/>
      <c r="DCI41" s="12"/>
      <c r="DCJ41" s="12"/>
      <c r="DDA41" s="12"/>
      <c r="DDB41" s="12"/>
      <c r="DDS41" s="12"/>
      <c r="DDT41" s="12"/>
      <c r="DEK41" s="12"/>
      <c r="DEL41" s="12"/>
      <c r="DFC41" s="12"/>
      <c r="DFD41" s="12"/>
      <c r="DFU41" s="12"/>
      <c r="DFV41" s="12"/>
      <c r="DGM41" s="12"/>
      <c r="DGN41" s="12"/>
      <c r="DHE41" s="12"/>
      <c r="DHF41" s="12"/>
      <c r="DHW41" s="12"/>
      <c r="DHX41" s="12"/>
      <c r="DIO41" s="12"/>
      <c r="DIP41" s="12"/>
      <c r="DJG41" s="12"/>
      <c r="DJH41" s="12"/>
      <c r="DJY41" s="12"/>
      <c r="DJZ41" s="12"/>
      <c r="DKQ41" s="12"/>
      <c r="DKR41" s="12"/>
      <c r="DLI41" s="12"/>
      <c r="DLJ41" s="12"/>
      <c r="DMA41" s="12"/>
      <c r="DMB41" s="12"/>
      <c r="DMS41" s="12"/>
      <c r="DMT41" s="12"/>
      <c r="DNK41" s="12"/>
      <c r="DNL41" s="12"/>
      <c r="DOC41" s="12"/>
      <c r="DOD41" s="12"/>
      <c r="DOU41" s="12"/>
      <c r="DOV41" s="12"/>
      <c r="DPM41" s="12"/>
      <c r="DPN41" s="12"/>
      <c r="DQE41" s="12"/>
      <c r="DQF41" s="12"/>
      <c r="DQW41" s="12"/>
      <c r="DQX41" s="12"/>
      <c r="DRO41" s="12"/>
      <c r="DRP41" s="12"/>
      <c r="DSG41" s="12"/>
      <c r="DSH41" s="12"/>
      <c r="DSY41" s="12"/>
      <c r="DSZ41" s="12"/>
      <c r="DTQ41" s="12"/>
      <c r="DTR41" s="12"/>
      <c r="DUI41" s="12"/>
      <c r="DUJ41" s="12"/>
      <c r="DVA41" s="12"/>
      <c r="DVB41" s="12"/>
      <c r="DVS41" s="12"/>
      <c r="DVT41" s="12"/>
      <c r="DWK41" s="12"/>
      <c r="DWL41" s="12"/>
      <c r="DXC41" s="12"/>
      <c r="DXD41" s="12"/>
      <c r="DXU41" s="12"/>
      <c r="DXV41" s="12"/>
      <c r="DYM41" s="12"/>
      <c r="DYN41" s="12"/>
      <c r="DZE41" s="12"/>
      <c r="DZF41" s="12"/>
      <c r="DZW41" s="12"/>
      <c r="DZX41" s="12"/>
      <c r="EAO41" s="12"/>
      <c r="EAP41" s="12"/>
      <c r="EBG41" s="12"/>
      <c r="EBH41" s="12"/>
      <c r="EBY41" s="12"/>
      <c r="EBZ41" s="12"/>
      <c r="ECQ41" s="12"/>
      <c r="ECR41" s="12"/>
      <c r="EDI41" s="12"/>
      <c r="EDJ41" s="12"/>
      <c r="EEA41" s="12"/>
      <c r="EEB41" s="12"/>
      <c r="EES41" s="12"/>
      <c r="EET41" s="12"/>
      <c r="EFK41" s="12"/>
      <c r="EFL41" s="12"/>
      <c r="EGC41" s="12"/>
      <c r="EGD41" s="12"/>
      <c r="EGU41" s="12"/>
      <c r="EGV41" s="12"/>
      <c r="EHM41" s="12"/>
      <c r="EHN41" s="12"/>
      <c r="EIE41" s="12"/>
      <c r="EIF41" s="12"/>
      <c r="EIW41" s="12"/>
      <c r="EIX41" s="12"/>
      <c r="EJO41" s="12"/>
      <c r="EJP41" s="12"/>
      <c r="EKG41" s="12"/>
      <c r="EKH41" s="12"/>
      <c r="EKY41" s="12"/>
      <c r="EKZ41" s="12"/>
      <c r="ELQ41" s="12"/>
      <c r="ELR41" s="12"/>
      <c r="EMI41" s="12"/>
      <c r="EMJ41" s="12"/>
      <c r="ENA41" s="12"/>
      <c r="ENB41" s="12"/>
      <c r="ENS41" s="12"/>
      <c r="ENT41" s="12"/>
      <c r="EOK41" s="12"/>
      <c r="EOL41" s="12"/>
      <c r="EPC41" s="12"/>
      <c r="EPD41" s="12"/>
      <c r="EPU41" s="12"/>
      <c r="EPV41" s="12"/>
      <c r="EQM41" s="12"/>
      <c r="EQN41" s="12"/>
      <c r="ERE41" s="12"/>
      <c r="ERF41" s="12"/>
      <c r="ERW41" s="12"/>
      <c r="ERX41" s="12"/>
      <c r="ESO41" s="12"/>
      <c r="ESP41" s="12"/>
      <c r="ETG41" s="12"/>
      <c r="ETH41" s="12"/>
      <c r="ETY41" s="12"/>
      <c r="ETZ41" s="12"/>
      <c r="EUQ41" s="12"/>
      <c r="EUR41" s="12"/>
      <c r="EVI41" s="12"/>
      <c r="EVJ41" s="12"/>
      <c r="EWA41" s="12"/>
      <c r="EWB41" s="12"/>
      <c r="EWS41" s="12"/>
      <c r="EWT41" s="12"/>
      <c r="EXK41" s="12"/>
      <c r="EXL41" s="12"/>
      <c r="EYC41" s="12"/>
      <c r="EYD41" s="12"/>
      <c r="EYU41" s="12"/>
      <c r="EYV41" s="12"/>
      <c r="EZM41" s="12"/>
      <c r="EZN41" s="12"/>
      <c r="FAE41" s="12"/>
      <c r="FAF41" s="12"/>
      <c r="FAW41" s="12"/>
      <c r="FAX41" s="12"/>
      <c r="FBO41" s="12"/>
      <c r="FBP41" s="12"/>
      <c r="FCG41" s="12"/>
      <c r="FCH41" s="12"/>
      <c r="FCY41" s="12"/>
      <c r="FCZ41" s="12"/>
      <c r="FDQ41" s="12"/>
      <c r="FDR41" s="12"/>
      <c r="FEI41" s="12"/>
      <c r="FEJ41" s="12"/>
      <c r="FFA41" s="12"/>
      <c r="FFB41" s="12"/>
      <c r="FFS41" s="12"/>
      <c r="FFT41" s="12"/>
      <c r="FGK41" s="12"/>
      <c r="FGL41" s="12"/>
      <c r="FHC41" s="12"/>
      <c r="FHD41" s="12"/>
      <c r="FHU41" s="12"/>
      <c r="FHV41" s="12"/>
      <c r="FIM41" s="12"/>
      <c r="FIN41" s="12"/>
      <c r="FJE41" s="12"/>
      <c r="FJF41" s="12"/>
      <c r="FJW41" s="12"/>
      <c r="FJX41" s="12"/>
      <c r="FKO41" s="12"/>
      <c r="FKP41" s="12"/>
      <c r="FLG41" s="12"/>
      <c r="FLH41" s="12"/>
      <c r="FLY41" s="12"/>
      <c r="FLZ41" s="12"/>
      <c r="FMQ41" s="12"/>
      <c r="FMR41" s="12"/>
      <c r="FNI41" s="12"/>
      <c r="FNJ41" s="12"/>
      <c r="FOA41" s="12"/>
      <c r="FOB41" s="12"/>
      <c r="FOS41" s="12"/>
      <c r="FOT41" s="12"/>
      <c r="FPK41" s="12"/>
      <c r="FPL41" s="12"/>
      <c r="FQC41" s="12"/>
      <c r="FQD41" s="12"/>
      <c r="FQU41" s="12"/>
      <c r="FQV41" s="12"/>
      <c r="FRM41" s="12"/>
      <c r="FRN41" s="12"/>
      <c r="FSE41" s="12"/>
      <c r="FSF41" s="12"/>
      <c r="FSW41" s="12"/>
      <c r="FSX41" s="12"/>
      <c r="FTO41" s="12"/>
      <c r="FTP41" s="12"/>
      <c r="FUG41" s="12"/>
      <c r="FUH41" s="12"/>
      <c r="FUY41" s="12"/>
      <c r="FUZ41" s="12"/>
      <c r="FVQ41" s="12"/>
      <c r="FVR41" s="12"/>
      <c r="FWI41" s="12"/>
      <c r="FWJ41" s="12"/>
      <c r="FXA41" s="12"/>
      <c r="FXB41" s="12"/>
      <c r="FXS41" s="12"/>
      <c r="FXT41" s="12"/>
      <c r="FYK41" s="12"/>
      <c r="FYL41" s="12"/>
      <c r="FZC41" s="12"/>
      <c r="FZD41" s="12"/>
      <c r="FZU41" s="12"/>
      <c r="FZV41" s="12"/>
      <c r="GAM41" s="12"/>
      <c r="GAN41" s="12"/>
      <c r="GBE41" s="12"/>
      <c r="GBF41" s="12"/>
      <c r="GBW41" s="12"/>
      <c r="GBX41" s="12"/>
      <c r="GCO41" s="12"/>
      <c r="GCP41" s="12"/>
      <c r="GDG41" s="12"/>
      <c r="GDH41" s="12"/>
      <c r="GDY41" s="12"/>
      <c r="GDZ41" s="12"/>
      <c r="GEQ41" s="12"/>
      <c r="GER41" s="12"/>
      <c r="GFI41" s="12"/>
      <c r="GFJ41" s="12"/>
      <c r="GGA41" s="12"/>
      <c r="GGB41" s="12"/>
      <c r="GGS41" s="12"/>
      <c r="GGT41" s="12"/>
      <c r="GHK41" s="12"/>
      <c r="GHL41" s="12"/>
      <c r="GIC41" s="12"/>
      <c r="GID41" s="12"/>
      <c r="GIU41" s="12"/>
      <c r="GIV41" s="12"/>
      <c r="GJM41" s="12"/>
      <c r="GJN41" s="12"/>
      <c r="GKE41" s="12"/>
      <c r="GKF41" s="12"/>
      <c r="GKW41" s="12"/>
      <c r="GKX41" s="12"/>
      <c r="GLO41" s="12"/>
      <c r="GLP41" s="12"/>
      <c r="GMG41" s="12"/>
      <c r="GMH41" s="12"/>
      <c r="GMY41" s="12"/>
      <c r="GMZ41" s="12"/>
      <c r="GNQ41" s="12"/>
      <c r="GNR41" s="12"/>
      <c r="GOI41" s="12"/>
      <c r="GOJ41" s="12"/>
      <c r="GPA41" s="12"/>
      <c r="GPB41" s="12"/>
      <c r="GPS41" s="12"/>
      <c r="GPT41" s="12"/>
      <c r="GQK41" s="12"/>
      <c r="GQL41" s="12"/>
      <c r="GRC41" s="12"/>
      <c r="GRD41" s="12"/>
      <c r="GRU41" s="12"/>
      <c r="GRV41" s="12"/>
      <c r="GSM41" s="12"/>
      <c r="GSN41" s="12"/>
      <c r="GTE41" s="12"/>
      <c r="GTF41" s="12"/>
      <c r="GTW41" s="12"/>
      <c r="GTX41" s="12"/>
      <c r="GUO41" s="12"/>
      <c r="GUP41" s="12"/>
      <c r="GVG41" s="12"/>
      <c r="GVH41" s="12"/>
      <c r="GVY41" s="12"/>
      <c r="GVZ41" s="12"/>
      <c r="GWQ41" s="12"/>
      <c r="GWR41" s="12"/>
      <c r="GXI41" s="12"/>
      <c r="GXJ41" s="12"/>
      <c r="GYA41" s="12"/>
      <c r="GYB41" s="12"/>
      <c r="GYS41" s="12"/>
      <c r="GYT41" s="12"/>
      <c r="GZK41" s="12"/>
      <c r="GZL41" s="12"/>
      <c r="HAC41" s="12"/>
      <c r="HAD41" s="12"/>
      <c r="HAU41" s="12"/>
      <c r="HAV41" s="12"/>
      <c r="HBM41" s="12"/>
      <c r="HBN41" s="12"/>
      <c r="HCE41" s="12"/>
      <c r="HCF41" s="12"/>
      <c r="HCW41" s="12"/>
      <c r="HCX41" s="12"/>
      <c r="HDO41" s="12"/>
      <c r="HDP41" s="12"/>
      <c r="HEG41" s="12"/>
      <c r="HEH41" s="12"/>
      <c r="HEY41" s="12"/>
      <c r="HEZ41" s="12"/>
      <c r="HFQ41" s="12"/>
      <c r="HFR41" s="12"/>
      <c r="HGI41" s="12"/>
      <c r="HGJ41" s="12"/>
      <c r="HHA41" s="12"/>
      <c r="HHB41" s="12"/>
      <c r="HHS41" s="12"/>
      <c r="HHT41" s="12"/>
      <c r="HIK41" s="12"/>
      <c r="HIL41" s="12"/>
      <c r="HJC41" s="12"/>
      <c r="HJD41" s="12"/>
      <c r="HJU41" s="12"/>
      <c r="HJV41" s="12"/>
      <c r="HKM41" s="12"/>
      <c r="HKN41" s="12"/>
      <c r="HLE41" s="12"/>
      <c r="HLF41" s="12"/>
      <c r="HLW41" s="12"/>
      <c r="HLX41" s="12"/>
      <c r="HMO41" s="12"/>
      <c r="HMP41" s="12"/>
      <c r="HNG41" s="12"/>
      <c r="HNH41" s="12"/>
      <c r="HNY41" s="12"/>
      <c r="HNZ41" s="12"/>
      <c r="HOQ41" s="12"/>
      <c r="HOR41" s="12"/>
      <c r="HPI41" s="12"/>
      <c r="HPJ41" s="12"/>
      <c r="HQA41" s="12"/>
      <c r="HQB41" s="12"/>
      <c r="HQS41" s="12"/>
      <c r="HQT41" s="12"/>
      <c r="HRK41" s="12"/>
      <c r="HRL41" s="12"/>
      <c r="HSC41" s="12"/>
      <c r="HSD41" s="12"/>
      <c r="HSU41" s="12"/>
      <c r="HSV41" s="12"/>
      <c r="HTM41" s="12"/>
      <c r="HTN41" s="12"/>
      <c r="HUE41" s="12"/>
      <c r="HUF41" s="12"/>
      <c r="HUW41" s="12"/>
      <c r="HUX41" s="12"/>
      <c r="HVO41" s="12"/>
      <c r="HVP41" s="12"/>
      <c r="HWG41" s="12"/>
      <c r="HWH41" s="12"/>
      <c r="HWY41" s="12"/>
      <c r="HWZ41" s="12"/>
      <c r="HXQ41" s="12"/>
      <c r="HXR41" s="12"/>
      <c r="HYI41" s="12"/>
      <c r="HYJ41" s="12"/>
      <c r="HZA41" s="12"/>
      <c r="HZB41" s="12"/>
      <c r="HZS41" s="12"/>
      <c r="HZT41" s="12"/>
      <c r="IAK41" s="12"/>
      <c r="IAL41" s="12"/>
      <c r="IBC41" s="12"/>
      <c r="IBD41" s="12"/>
      <c r="IBU41" s="12"/>
      <c r="IBV41" s="12"/>
      <c r="ICM41" s="12"/>
      <c r="ICN41" s="12"/>
      <c r="IDE41" s="12"/>
      <c r="IDF41" s="12"/>
      <c r="IDW41" s="12"/>
      <c r="IDX41" s="12"/>
      <c r="IEO41" s="12"/>
      <c r="IEP41" s="12"/>
      <c r="IFG41" s="12"/>
      <c r="IFH41" s="12"/>
      <c r="IFY41" s="12"/>
      <c r="IFZ41" s="12"/>
      <c r="IGQ41" s="12"/>
      <c r="IGR41" s="12"/>
      <c r="IHI41" s="12"/>
      <c r="IHJ41" s="12"/>
      <c r="IIA41" s="12"/>
      <c r="IIB41" s="12"/>
      <c r="IIS41" s="12"/>
      <c r="IIT41" s="12"/>
      <c r="IJK41" s="12"/>
      <c r="IJL41" s="12"/>
      <c r="IKC41" s="12"/>
      <c r="IKD41" s="12"/>
      <c r="IKU41" s="12"/>
      <c r="IKV41" s="12"/>
      <c r="ILM41" s="12"/>
      <c r="ILN41" s="12"/>
      <c r="IME41" s="12"/>
      <c r="IMF41" s="12"/>
      <c r="IMW41" s="12"/>
      <c r="IMX41" s="12"/>
      <c r="INO41" s="12"/>
      <c r="INP41" s="12"/>
      <c r="IOG41" s="12"/>
      <c r="IOH41" s="12"/>
      <c r="IOY41" s="12"/>
      <c r="IOZ41" s="12"/>
      <c r="IPQ41" s="12"/>
      <c r="IPR41" s="12"/>
      <c r="IQI41" s="12"/>
      <c r="IQJ41" s="12"/>
      <c r="IRA41" s="12"/>
      <c r="IRB41" s="12"/>
      <c r="IRS41" s="12"/>
      <c r="IRT41" s="12"/>
      <c r="ISK41" s="12"/>
      <c r="ISL41" s="12"/>
      <c r="ITC41" s="12"/>
      <c r="ITD41" s="12"/>
      <c r="ITU41" s="12"/>
      <c r="ITV41" s="12"/>
      <c r="IUM41" s="12"/>
      <c r="IUN41" s="12"/>
      <c r="IVE41" s="12"/>
      <c r="IVF41" s="12"/>
      <c r="IVW41" s="12"/>
      <c r="IVX41" s="12"/>
      <c r="IWO41" s="12"/>
      <c r="IWP41" s="12"/>
      <c r="IXG41" s="12"/>
      <c r="IXH41" s="12"/>
      <c r="IXY41" s="12"/>
      <c r="IXZ41" s="12"/>
      <c r="IYQ41" s="12"/>
      <c r="IYR41" s="12"/>
      <c r="IZI41" s="12"/>
      <c r="IZJ41" s="12"/>
      <c r="JAA41" s="12"/>
      <c r="JAB41" s="12"/>
      <c r="JAS41" s="12"/>
      <c r="JAT41" s="12"/>
      <c r="JBK41" s="12"/>
      <c r="JBL41" s="12"/>
      <c r="JCC41" s="12"/>
      <c r="JCD41" s="12"/>
      <c r="JCU41" s="12"/>
      <c r="JCV41" s="12"/>
      <c r="JDM41" s="12"/>
      <c r="JDN41" s="12"/>
      <c r="JEE41" s="12"/>
      <c r="JEF41" s="12"/>
      <c r="JEW41" s="12"/>
      <c r="JEX41" s="12"/>
      <c r="JFO41" s="12"/>
      <c r="JFP41" s="12"/>
      <c r="JGG41" s="12"/>
      <c r="JGH41" s="12"/>
      <c r="JGY41" s="12"/>
      <c r="JGZ41" s="12"/>
      <c r="JHQ41" s="12"/>
      <c r="JHR41" s="12"/>
      <c r="JII41" s="12"/>
      <c r="JIJ41" s="12"/>
      <c r="JJA41" s="12"/>
      <c r="JJB41" s="12"/>
      <c r="JJS41" s="12"/>
      <c r="JJT41" s="12"/>
      <c r="JKK41" s="12"/>
      <c r="JKL41" s="12"/>
      <c r="JLC41" s="12"/>
      <c r="JLD41" s="12"/>
      <c r="JLU41" s="12"/>
      <c r="JLV41" s="12"/>
      <c r="JMM41" s="12"/>
      <c r="JMN41" s="12"/>
      <c r="JNE41" s="12"/>
      <c r="JNF41" s="12"/>
      <c r="JNW41" s="12"/>
      <c r="JNX41" s="12"/>
      <c r="JOO41" s="12"/>
      <c r="JOP41" s="12"/>
      <c r="JPG41" s="12"/>
      <c r="JPH41" s="12"/>
      <c r="JPY41" s="12"/>
      <c r="JPZ41" s="12"/>
      <c r="JQQ41" s="12"/>
      <c r="JQR41" s="12"/>
      <c r="JRI41" s="12"/>
      <c r="JRJ41" s="12"/>
      <c r="JSA41" s="12"/>
      <c r="JSB41" s="12"/>
      <c r="JSS41" s="12"/>
      <c r="JST41" s="12"/>
      <c r="JTK41" s="12"/>
      <c r="JTL41" s="12"/>
      <c r="JUC41" s="12"/>
      <c r="JUD41" s="12"/>
      <c r="JUU41" s="12"/>
      <c r="JUV41" s="12"/>
      <c r="JVM41" s="12"/>
      <c r="JVN41" s="12"/>
      <c r="JWE41" s="12"/>
      <c r="JWF41" s="12"/>
      <c r="JWW41" s="12"/>
      <c r="JWX41" s="12"/>
      <c r="JXO41" s="12"/>
      <c r="JXP41" s="12"/>
      <c r="JYG41" s="12"/>
      <c r="JYH41" s="12"/>
      <c r="JYY41" s="12"/>
      <c r="JYZ41" s="12"/>
      <c r="JZQ41" s="12"/>
      <c r="JZR41" s="12"/>
      <c r="KAI41" s="12"/>
      <c r="KAJ41" s="12"/>
      <c r="KBA41" s="12"/>
      <c r="KBB41" s="12"/>
      <c r="KBS41" s="12"/>
      <c r="KBT41" s="12"/>
      <c r="KCK41" s="12"/>
      <c r="KCL41" s="12"/>
      <c r="KDC41" s="12"/>
      <c r="KDD41" s="12"/>
      <c r="KDU41" s="12"/>
      <c r="KDV41" s="12"/>
      <c r="KEM41" s="12"/>
      <c r="KEN41" s="12"/>
      <c r="KFE41" s="12"/>
      <c r="KFF41" s="12"/>
      <c r="KFW41" s="12"/>
      <c r="KFX41" s="12"/>
      <c r="KGO41" s="12"/>
      <c r="KGP41" s="12"/>
      <c r="KHG41" s="12"/>
      <c r="KHH41" s="12"/>
      <c r="KHY41" s="12"/>
      <c r="KHZ41" s="12"/>
      <c r="KIQ41" s="12"/>
      <c r="KIR41" s="12"/>
      <c r="KJI41" s="12"/>
      <c r="KJJ41" s="12"/>
      <c r="KKA41" s="12"/>
      <c r="KKB41" s="12"/>
      <c r="KKS41" s="12"/>
      <c r="KKT41" s="12"/>
      <c r="KLK41" s="12"/>
      <c r="KLL41" s="12"/>
      <c r="KMC41" s="12"/>
      <c r="KMD41" s="12"/>
      <c r="KMU41" s="12"/>
      <c r="KMV41" s="12"/>
      <c r="KNM41" s="12"/>
      <c r="KNN41" s="12"/>
      <c r="KOE41" s="12"/>
      <c r="KOF41" s="12"/>
      <c r="KOW41" s="12"/>
      <c r="KOX41" s="12"/>
      <c r="KPO41" s="12"/>
      <c r="KPP41" s="12"/>
      <c r="KQG41" s="12"/>
      <c r="KQH41" s="12"/>
      <c r="KQY41" s="12"/>
      <c r="KQZ41" s="12"/>
      <c r="KRQ41" s="12"/>
      <c r="KRR41" s="12"/>
      <c r="KSI41" s="12"/>
      <c r="KSJ41" s="12"/>
      <c r="KTA41" s="12"/>
      <c r="KTB41" s="12"/>
      <c r="KTS41" s="12"/>
      <c r="KTT41" s="12"/>
      <c r="KUK41" s="12"/>
      <c r="KUL41" s="12"/>
      <c r="KVC41" s="12"/>
      <c r="KVD41" s="12"/>
      <c r="KVU41" s="12"/>
      <c r="KVV41" s="12"/>
      <c r="KWM41" s="12"/>
      <c r="KWN41" s="12"/>
      <c r="KXE41" s="12"/>
      <c r="KXF41" s="12"/>
      <c r="KXW41" s="12"/>
      <c r="KXX41" s="12"/>
      <c r="KYO41" s="12"/>
      <c r="KYP41" s="12"/>
      <c r="KZG41" s="12"/>
      <c r="KZH41" s="12"/>
      <c r="KZY41" s="12"/>
      <c r="KZZ41" s="12"/>
      <c r="LAQ41" s="12"/>
      <c r="LAR41" s="12"/>
      <c r="LBI41" s="12"/>
      <c r="LBJ41" s="12"/>
      <c r="LCA41" s="12"/>
      <c r="LCB41" s="12"/>
      <c r="LCS41" s="12"/>
      <c r="LCT41" s="12"/>
      <c r="LDK41" s="12"/>
      <c r="LDL41" s="12"/>
      <c r="LEC41" s="12"/>
      <c r="LED41" s="12"/>
      <c r="LEU41" s="12"/>
      <c r="LEV41" s="12"/>
      <c r="LFM41" s="12"/>
      <c r="LFN41" s="12"/>
      <c r="LGE41" s="12"/>
      <c r="LGF41" s="12"/>
      <c r="LGW41" s="12"/>
      <c r="LGX41" s="12"/>
      <c r="LHO41" s="12"/>
      <c r="LHP41" s="12"/>
      <c r="LIG41" s="12"/>
      <c r="LIH41" s="12"/>
      <c r="LIY41" s="12"/>
      <c r="LIZ41" s="12"/>
      <c r="LJQ41" s="12"/>
      <c r="LJR41" s="12"/>
      <c r="LKI41" s="12"/>
      <c r="LKJ41" s="12"/>
      <c r="LLA41" s="12"/>
      <c r="LLB41" s="12"/>
      <c r="LLS41" s="12"/>
      <c r="LLT41" s="12"/>
      <c r="LMK41" s="12"/>
      <c r="LML41" s="12"/>
      <c r="LNC41" s="12"/>
      <c r="LND41" s="12"/>
      <c r="LNU41" s="12"/>
      <c r="LNV41" s="12"/>
      <c r="LOM41" s="12"/>
      <c r="LON41" s="12"/>
      <c r="LPE41" s="12"/>
      <c r="LPF41" s="12"/>
      <c r="LPW41" s="12"/>
      <c r="LPX41" s="12"/>
      <c r="LQO41" s="12"/>
      <c r="LQP41" s="12"/>
      <c r="LRG41" s="12"/>
      <c r="LRH41" s="12"/>
      <c r="LRY41" s="12"/>
      <c r="LRZ41" s="12"/>
      <c r="LSQ41" s="12"/>
      <c r="LSR41" s="12"/>
      <c r="LTI41" s="12"/>
      <c r="LTJ41" s="12"/>
      <c r="LUA41" s="12"/>
      <c r="LUB41" s="12"/>
      <c r="LUS41" s="12"/>
      <c r="LUT41" s="12"/>
      <c r="LVK41" s="12"/>
      <c r="LVL41" s="12"/>
      <c r="LWC41" s="12"/>
      <c r="LWD41" s="12"/>
      <c r="LWU41" s="12"/>
      <c r="LWV41" s="12"/>
      <c r="LXM41" s="12"/>
      <c r="LXN41" s="12"/>
      <c r="LYE41" s="12"/>
      <c r="LYF41" s="12"/>
      <c r="LYW41" s="12"/>
      <c r="LYX41" s="12"/>
      <c r="LZO41" s="12"/>
      <c r="LZP41" s="12"/>
      <c r="MAG41" s="12"/>
      <c r="MAH41" s="12"/>
      <c r="MAY41" s="12"/>
      <c r="MAZ41" s="12"/>
      <c r="MBQ41" s="12"/>
      <c r="MBR41" s="12"/>
      <c r="MCI41" s="12"/>
      <c r="MCJ41" s="12"/>
      <c r="MDA41" s="12"/>
      <c r="MDB41" s="12"/>
      <c r="MDS41" s="12"/>
      <c r="MDT41" s="12"/>
      <c r="MEK41" s="12"/>
      <c r="MEL41" s="12"/>
      <c r="MFC41" s="12"/>
      <c r="MFD41" s="12"/>
      <c r="MFU41" s="12"/>
      <c r="MFV41" s="12"/>
      <c r="MGM41" s="12"/>
      <c r="MGN41" s="12"/>
      <c r="MHE41" s="12"/>
      <c r="MHF41" s="12"/>
      <c r="MHW41" s="12"/>
      <c r="MHX41" s="12"/>
      <c r="MIO41" s="12"/>
      <c r="MIP41" s="12"/>
      <c r="MJG41" s="12"/>
      <c r="MJH41" s="12"/>
      <c r="MJY41" s="12"/>
      <c r="MJZ41" s="12"/>
      <c r="MKQ41" s="12"/>
      <c r="MKR41" s="12"/>
      <c r="MLI41" s="12"/>
      <c r="MLJ41" s="12"/>
      <c r="MMA41" s="12"/>
      <c r="MMB41" s="12"/>
      <c r="MMS41" s="12"/>
      <c r="MMT41" s="12"/>
      <c r="MNK41" s="12"/>
      <c r="MNL41" s="12"/>
      <c r="MOC41" s="12"/>
      <c r="MOD41" s="12"/>
      <c r="MOU41" s="12"/>
      <c r="MOV41" s="12"/>
      <c r="MPM41" s="12"/>
      <c r="MPN41" s="12"/>
      <c r="MQE41" s="12"/>
      <c r="MQF41" s="12"/>
      <c r="MQW41" s="12"/>
      <c r="MQX41" s="12"/>
      <c r="MRO41" s="12"/>
      <c r="MRP41" s="12"/>
      <c r="MSG41" s="12"/>
      <c r="MSH41" s="12"/>
      <c r="MSY41" s="12"/>
      <c r="MSZ41" s="12"/>
      <c r="MTQ41" s="12"/>
      <c r="MTR41" s="12"/>
      <c r="MUI41" s="12"/>
      <c r="MUJ41" s="12"/>
      <c r="MVA41" s="12"/>
      <c r="MVB41" s="12"/>
      <c r="MVS41" s="12"/>
      <c r="MVT41" s="12"/>
      <c r="MWK41" s="12"/>
      <c r="MWL41" s="12"/>
      <c r="MXC41" s="12"/>
      <c r="MXD41" s="12"/>
      <c r="MXU41" s="12"/>
      <c r="MXV41" s="12"/>
      <c r="MYM41" s="12"/>
      <c r="MYN41" s="12"/>
      <c r="MZE41" s="12"/>
      <c r="MZF41" s="12"/>
      <c r="MZW41" s="12"/>
      <c r="MZX41" s="12"/>
      <c r="NAO41" s="12"/>
      <c r="NAP41" s="12"/>
      <c r="NBG41" s="12"/>
      <c r="NBH41" s="12"/>
      <c r="NBY41" s="12"/>
      <c r="NBZ41" s="12"/>
      <c r="NCQ41" s="12"/>
      <c r="NCR41" s="12"/>
      <c r="NDI41" s="12"/>
      <c r="NDJ41" s="12"/>
      <c r="NEA41" s="12"/>
      <c r="NEB41" s="12"/>
      <c r="NES41" s="12"/>
      <c r="NET41" s="12"/>
      <c r="NFK41" s="12"/>
      <c r="NFL41" s="12"/>
      <c r="NGC41" s="12"/>
      <c r="NGD41" s="12"/>
      <c r="NGU41" s="12"/>
      <c r="NGV41" s="12"/>
      <c r="NHM41" s="12"/>
      <c r="NHN41" s="12"/>
      <c r="NIE41" s="12"/>
      <c r="NIF41" s="12"/>
      <c r="NIW41" s="12"/>
      <c r="NIX41" s="12"/>
      <c r="NJO41" s="12"/>
      <c r="NJP41" s="12"/>
      <c r="NKG41" s="12"/>
      <c r="NKH41" s="12"/>
      <c r="NKY41" s="12"/>
      <c r="NKZ41" s="12"/>
      <c r="NLQ41" s="12"/>
      <c r="NLR41" s="12"/>
      <c r="NMI41" s="12"/>
      <c r="NMJ41" s="12"/>
      <c r="NNA41" s="12"/>
      <c r="NNB41" s="12"/>
      <c r="NNS41" s="12"/>
      <c r="NNT41" s="12"/>
      <c r="NOK41" s="12"/>
      <c r="NOL41" s="12"/>
      <c r="NPC41" s="12"/>
      <c r="NPD41" s="12"/>
      <c r="NPU41" s="12"/>
      <c r="NPV41" s="12"/>
      <c r="NQM41" s="12"/>
      <c r="NQN41" s="12"/>
      <c r="NRE41" s="12"/>
      <c r="NRF41" s="12"/>
      <c r="NRW41" s="12"/>
      <c r="NRX41" s="12"/>
      <c r="NSO41" s="12"/>
      <c r="NSP41" s="12"/>
      <c r="NTG41" s="12"/>
      <c r="NTH41" s="12"/>
      <c r="NTY41" s="12"/>
      <c r="NTZ41" s="12"/>
      <c r="NUQ41" s="12"/>
      <c r="NUR41" s="12"/>
      <c r="NVI41" s="12"/>
      <c r="NVJ41" s="12"/>
      <c r="NWA41" s="12"/>
      <c r="NWB41" s="12"/>
      <c r="NWS41" s="12"/>
      <c r="NWT41" s="12"/>
      <c r="NXK41" s="12"/>
      <c r="NXL41" s="12"/>
      <c r="NYC41" s="12"/>
      <c r="NYD41" s="12"/>
      <c r="NYU41" s="12"/>
      <c r="NYV41" s="12"/>
      <c r="NZM41" s="12"/>
      <c r="NZN41" s="12"/>
      <c r="OAE41" s="12"/>
      <c r="OAF41" s="12"/>
      <c r="OAW41" s="12"/>
      <c r="OAX41" s="12"/>
      <c r="OBO41" s="12"/>
      <c r="OBP41" s="12"/>
      <c r="OCG41" s="12"/>
      <c r="OCH41" s="12"/>
      <c r="OCY41" s="12"/>
      <c r="OCZ41" s="12"/>
      <c r="ODQ41" s="12"/>
      <c r="ODR41" s="12"/>
      <c r="OEI41" s="12"/>
      <c r="OEJ41" s="12"/>
      <c r="OFA41" s="12"/>
      <c r="OFB41" s="12"/>
      <c r="OFS41" s="12"/>
      <c r="OFT41" s="12"/>
      <c r="OGK41" s="12"/>
      <c r="OGL41" s="12"/>
      <c r="OHC41" s="12"/>
      <c r="OHD41" s="12"/>
      <c r="OHU41" s="12"/>
      <c r="OHV41" s="12"/>
      <c r="OIM41" s="12"/>
      <c r="OIN41" s="12"/>
      <c r="OJE41" s="12"/>
      <c r="OJF41" s="12"/>
      <c r="OJW41" s="12"/>
      <c r="OJX41" s="12"/>
      <c r="OKO41" s="12"/>
      <c r="OKP41" s="12"/>
      <c r="OLG41" s="12"/>
      <c r="OLH41" s="12"/>
      <c r="OLY41" s="12"/>
      <c r="OLZ41" s="12"/>
      <c r="OMQ41" s="12"/>
      <c r="OMR41" s="12"/>
      <c r="ONI41" s="12"/>
      <c r="ONJ41" s="12"/>
      <c r="OOA41" s="12"/>
      <c r="OOB41" s="12"/>
      <c r="OOS41" s="12"/>
      <c r="OOT41" s="12"/>
      <c r="OPK41" s="12"/>
      <c r="OPL41" s="12"/>
      <c r="OQC41" s="12"/>
      <c r="OQD41" s="12"/>
      <c r="OQU41" s="12"/>
      <c r="OQV41" s="12"/>
      <c r="ORM41" s="12"/>
      <c r="ORN41" s="12"/>
      <c r="OSE41" s="12"/>
      <c r="OSF41" s="12"/>
      <c r="OSW41" s="12"/>
      <c r="OSX41" s="12"/>
      <c r="OTO41" s="12"/>
      <c r="OTP41" s="12"/>
      <c r="OUG41" s="12"/>
      <c r="OUH41" s="12"/>
      <c r="OUY41" s="12"/>
      <c r="OUZ41" s="12"/>
      <c r="OVQ41" s="12"/>
      <c r="OVR41" s="12"/>
      <c r="OWI41" s="12"/>
      <c r="OWJ41" s="12"/>
      <c r="OXA41" s="12"/>
      <c r="OXB41" s="12"/>
      <c r="OXS41" s="12"/>
      <c r="OXT41" s="12"/>
      <c r="OYK41" s="12"/>
      <c r="OYL41" s="12"/>
      <c r="OZC41" s="12"/>
      <c r="OZD41" s="12"/>
      <c r="OZU41" s="12"/>
      <c r="OZV41" s="12"/>
      <c r="PAM41" s="12"/>
      <c r="PAN41" s="12"/>
      <c r="PBE41" s="12"/>
      <c r="PBF41" s="12"/>
      <c r="PBW41" s="12"/>
      <c r="PBX41" s="12"/>
      <c r="PCO41" s="12"/>
      <c r="PCP41" s="12"/>
      <c r="PDG41" s="12"/>
      <c r="PDH41" s="12"/>
      <c r="PDY41" s="12"/>
      <c r="PDZ41" s="12"/>
      <c r="PEQ41" s="12"/>
      <c r="PER41" s="12"/>
      <c r="PFI41" s="12"/>
      <c r="PFJ41" s="12"/>
      <c r="PGA41" s="12"/>
      <c r="PGB41" s="12"/>
      <c r="PGS41" s="12"/>
      <c r="PGT41" s="12"/>
      <c r="PHK41" s="12"/>
      <c r="PHL41" s="12"/>
      <c r="PIC41" s="12"/>
      <c r="PID41" s="12"/>
      <c r="PIU41" s="12"/>
      <c r="PIV41" s="12"/>
      <c r="PJM41" s="12"/>
      <c r="PJN41" s="12"/>
      <c r="PKE41" s="12"/>
      <c r="PKF41" s="12"/>
      <c r="PKW41" s="12"/>
      <c r="PKX41" s="12"/>
      <c r="PLO41" s="12"/>
      <c r="PLP41" s="12"/>
      <c r="PMG41" s="12"/>
      <c r="PMH41" s="12"/>
      <c r="PMY41" s="12"/>
      <c r="PMZ41" s="12"/>
      <c r="PNQ41" s="12"/>
      <c r="PNR41" s="12"/>
      <c r="POI41" s="12"/>
      <c r="POJ41" s="12"/>
      <c r="PPA41" s="12"/>
      <c r="PPB41" s="12"/>
      <c r="PPS41" s="12"/>
      <c r="PPT41" s="12"/>
      <c r="PQK41" s="12"/>
      <c r="PQL41" s="12"/>
      <c r="PRC41" s="12"/>
      <c r="PRD41" s="12"/>
      <c r="PRU41" s="12"/>
      <c r="PRV41" s="12"/>
      <c r="PSM41" s="12"/>
      <c r="PSN41" s="12"/>
      <c r="PTE41" s="12"/>
      <c r="PTF41" s="12"/>
      <c r="PTW41" s="12"/>
      <c r="PTX41" s="12"/>
      <c r="PUO41" s="12"/>
      <c r="PUP41" s="12"/>
      <c r="PVG41" s="12"/>
      <c r="PVH41" s="12"/>
      <c r="PVY41" s="12"/>
      <c r="PVZ41" s="12"/>
      <c r="PWQ41" s="12"/>
      <c r="PWR41" s="12"/>
      <c r="PXI41" s="12"/>
      <c r="PXJ41" s="12"/>
      <c r="PYA41" s="12"/>
      <c r="PYB41" s="12"/>
      <c r="PYS41" s="12"/>
      <c r="PYT41" s="12"/>
      <c r="PZK41" s="12"/>
      <c r="PZL41" s="12"/>
      <c r="QAC41" s="12"/>
      <c r="QAD41" s="12"/>
      <c r="QAU41" s="12"/>
      <c r="QAV41" s="12"/>
      <c r="QBM41" s="12"/>
      <c r="QBN41" s="12"/>
      <c r="QCE41" s="12"/>
      <c r="QCF41" s="12"/>
      <c r="QCW41" s="12"/>
      <c r="QCX41" s="12"/>
      <c r="QDO41" s="12"/>
      <c r="QDP41" s="12"/>
      <c r="QEG41" s="12"/>
      <c r="QEH41" s="12"/>
      <c r="QEY41" s="12"/>
      <c r="QEZ41" s="12"/>
      <c r="QFQ41" s="12"/>
      <c r="QFR41" s="12"/>
      <c r="QGI41" s="12"/>
      <c r="QGJ41" s="12"/>
      <c r="QHA41" s="12"/>
      <c r="QHB41" s="12"/>
      <c r="QHS41" s="12"/>
      <c r="QHT41" s="12"/>
      <c r="QIK41" s="12"/>
      <c r="QIL41" s="12"/>
      <c r="QJC41" s="12"/>
      <c r="QJD41" s="12"/>
      <c r="QJU41" s="12"/>
      <c r="QJV41" s="12"/>
      <c r="QKM41" s="12"/>
      <c r="QKN41" s="12"/>
      <c r="QLE41" s="12"/>
      <c r="QLF41" s="12"/>
      <c r="QLW41" s="12"/>
      <c r="QLX41" s="12"/>
      <c r="QMO41" s="12"/>
      <c r="QMP41" s="12"/>
      <c r="QNG41" s="12"/>
      <c r="QNH41" s="12"/>
      <c r="QNY41" s="12"/>
      <c r="QNZ41" s="12"/>
      <c r="QOQ41" s="12"/>
      <c r="QOR41" s="12"/>
      <c r="QPI41" s="12"/>
      <c r="QPJ41" s="12"/>
      <c r="QQA41" s="12"/>
      <c r="QQB41" s="12"/>
      <c r="QQS41" s="12"/>
      <c r="QQT41" s="12"/>
      <c r="QRK41" s="12"/>
      <c r="QRL41" s="12"/>
      <c r="QSC41" s="12"/>
      <c r="QSD41" s="12"/>
      <c r="QSU41" s="12"/>
      <c r="QSV41" s="12"/>
      <c r="QTM41" s="12"/>
      <c r="QTN41" s="12"/>
      <c r="QUE41" s="12"/>
      <c r="QUF41" s="12"/>
      <c r="QUW41" s="12"/>
      <c r="QUX41" s="12"/>
      <c r="QVO41" s="12"/>
      <c r="QVP41" s="12"/>
      <c r="QWG41" s="12"/>
      <c r="QWH41" s="12"/>
      <c r="QWY41" s="12"/>
      <c r="QWZ41" s="12"/>
      <c r="QXQ41" s="12"/>
      <c r="QXR41" s="12"/>
      <c r="QYI41" s="12"/>
      <c r="QYJ41" s="12"/>
      <c r="QZA41" s="12"/>
      <c r="QZB41" s="12"/>
      <c r="QZS41" s="12"/>
      <c r="QZT41" s="12"/>
      <c r="RAK41" s="12"/>
      <c r="RAL41" s="12"/>
      <c r="RBC41" s="12"/>
      <c r="RBD41" s="12"/>
      <c r="RBU41" s="12"/>
      <c r="RBV41" s="12"/>
      <c r="RCM41" s="12"/>
      <c r="RCN41" s="12"/>
      <c r="RDE41" s="12"/>
      <c r="RDF41" s="12"/>
      <c r="RDW41" s="12"/>
      <c r="RDX41" s="12"/>
      <c r="REO41" s="12"/>
      <c r="REP41" s="12"/>
      <c r="RFG41" s="12"/>
      <c r="RFH41" s="12"/>
      <c r="RFY41" s="12"/>
      <c r="RFZ41" s="12"/>
      <c r="RGQ41" s="12"/>
      <c r="RGR41" s="12"/>
      <c r="RHI41" s="12"/>
      <c r="RHJ41" s="12"/>
      <c r="RIA41" s="12"/>
      <c r="RIB41" s="12"/>
      <c r="RIS41" s="12"/>
      <c r="RIT41" s="12"/>
      <c r="RJK41" s="12"/>
      <c r="RJL41" s="12"/>
      <c r="RKC41" s="12"/>
      <c r="RKD41" s="12"/>
      <c r="RKU41" s="12"/>
      <c r="RKV41" s="12"/>
      <c r="RLM41" s="12"/>
      <c r="RLN41" s="12"/>
      <c r="RME41" s="12"/>
      <c r="RMF41" s="12"/>
      <c r="RMW41" s="12"/>
      <c r="RMX41" s="12"/>
      <c r="RNO41" s="12"/>
      <c r="RNP41" s="12"/>
      <c r="ROG41" s="12"/>
      <c r="ROH41" s="12"/>
      <c r="ROY41" s="12"/>
      <c r="ROZ41" s="12"/>
      <c r="RPQ41" s="12"/>
      <c r="RPR41" s="12"/>
      <c r="RQI41" s="12"/>
      <c r="RQJ41" s="12"/>
      <c r="RRA41" s="12"/>
      <c r="RRB41" s="12"/>
      <c r="RRS41" s="12"/>
      <c r="RRT41" s="12"/>
      <c r="RSK41" s="12"/>
      <c r="RSL41" s="12"/>
      <c r="RTC41" s="12"/>
      <c r="RTD41" s="12"/>
      <c r="RTU41" s="12"/>
      <c r="RTV41" s="12"/>
      <c r="RUM41" s="12"/>
      <c r="RUN41" s="12"/>
      <c r="RVE41" s="12"/>
      <c r="RVF41" s="12"/>
      <c r="RVW41" s="12"/>
      <c r="RVX41" s="12"/>
      <c r="RWO41" s="12"/>
      <c r="RWP41" s="12"/>
      <c r="RXG41" s="12"/>
      <c r="RXH41" s="12"/>
      <c r="RXY41" s="12"/>
      <c r="RXZ41" s="12"/>
      <c r="RYQ41" s="12"/>
      <c r="RYR41" s="12"/>
      <c r="RZI41" s="12"/>
      <c r="RZJ41" s="12"/>
      <c r="SAA41" s="12"/>
      <c r="SAB41" s="12"/>
      <c r="SAS41" s="12"/>
      <c r="SAT41" s="12"/>
      <c r="SBK41" s="12"/>
      <c r="SBL41" s="12"/>
      <c r="SCC41" s="12"/>
      <c r="SCD41" s="12"/>
      <c r="SCU41" s="12"/>
      <c r="SCV41" s="12"/>
      <c r="SDM41" s="12"/>
      <c r="SDN41" s="12"/>
      <c r="SEE41" s="12"/>
      <c r="SEF41" s="12"/>
      <c r="SEW41" s="12"/>
      <c r="SEX41" s="12"/>
      <c r="SFO41" s="12"/>
      <c r="SFP41" s="12"/>
      <c r="SGG41" s="12"/>
      <c r="SGH41" s="12"/>
      <c r="SGY41" s="12"/>
      <c r="SGZ41" s="12"/>
      <c r="SHQ41" s="12"/>
      <c r="SHR41" s="12"/>
      <c r="SII41" s="12"/>
      <c r="SIJ41" s="12"/>
      <c r="SJA41" s="12"/>
      <c r="SJB41" s="12"/>
      <c r="SJS41" s="12"/>
      <c r="SJT41" s="12"/>
      <c r="SKK41" s="12"/>
      <c r="SKL41" s="12"/>
      <c r="SLC41" s="12"/>
      <c r="SLD41" s="12"/>
      <c r="SLU41" s="12"/>
      <c r="SLV41" s="12"/>
      <c r="SMM41" s="12"/>
      <c r="SMN41" s="12"/>
      <c r="SNE41" s="12"/>
      <c r="SNF41" s="12"/>
      <c r="SNW41" s="12"/>
      <c r="SNX41" s="12"/>
      <c r="SOO41" s="12"/>
      <c r="SOP41" s="12"/>
      <c r="SPG41" s="12"/>
      <c r="SPH41" s="12"/>
      <c r="SPY41" s="12"/>
      <c r="SPZ41" s="12"/>
      <c r="SQQ41" s="12"/>
      <c r="SQR41" s="12"/>
      <c r="SRI41" s="12"/>
      <c r="SRJ41" s="12"/>
      <c r="SSA41" s="12"/>
      <c r="SSB41" s="12"/>
      <c r="SSS41" s="12"/>
      <c r="SST41" s="12"/>
      <c r="STK41" s="12"/>
      <c r="STL41" s="12"/>
      <c r="SUC41" s="12"/>
      <c r="SUD41" s="12"/>
      <c r="SUU41" s="12"/>
      <c r="SUV41" s="12"/>
      <c r="SVM41" s="12"/>
      <c r="SVN41" s="12"/>
      <c r="SWE41" s="12"/>
      <c r="SWF41" s="12"/>
      <c r="SWW41" s="12"/>
      <c r="SWX41" s="12"/>
      <c r="SXO41" s="12"/>
      <c r="SXP41" s="12"/>
      <c r="SYG41" s="12"/>
      <c r="SYH41" s="12"/>
      <c r="SYY41" s="12"/>
      <c r="SYZ41" s="12"/>
      <c r="SZQ41" s="12"/>
      <c r="SZR41" s="12"/>
      <c r="TAI41" s="12"/>
      <c r="TAJ41" s="12"/>
      <c r="TBA41" s="12"/>
      <c r="TBB41" s="12"/>
      <c r="TBS41" s="12"/>
      <c r="TBT41" s="12"/>
      <c r="TCK41" s="12"/>
      <c r="TCL41" s="12"/>
      <c r="TDC41" s="12"/>
      <c r="TDD41" s="12"/>
      <c r="TDU41" s="12"/>
      <c r="TDV41" s="12"/>
      <c r="TEM41" s="12"/>
      <c r="TEN41" s="12"/>
      <c r="TFE41" s="12"/>
      <c r="TFF41" s="12"/>
      <c r="TFW41" s="12"/>
      <c r="TFX41" s="12"/>
      <c r="TGO41" s="12"/>
      <c r="TGP41" s="12"/>
      <c r="THG41" s="12"/>
      <c r="THH41" s="12"/>
      <c r="THY41" s="12"/>
      <c r="THZ41" s="12"/>
      <c r="TIQ41" s="12"/>
      <c r="TIR41" s="12"/>
      <c r="TJI41" s="12"/>
      <c r="TJJ41" s="12"/>
      <c r="TKA41" s="12"/>
      <c r="TKB41" s="12"/>
      <c r="TKS41" s="12"/>
      <c r="TKT41" s="12"/>
      <c r="TLK41" s="12"/>
      <c r="TLL41" s="12"/>
      <c r="TMC41" s="12"/>
      <c r="TMD41" s="12"/>
      <c r="TMU41" s="12"/>
      <c r="TMV41" s="12"/>
      <c r="TNM41" s="12"/>
      <c r="TNN41" s="12"/>
      <c r="TOE41" s="12"/>
      <c r="TOF41" s="12"/>
      <c r="TOW41" s="12"/>
      <c r="TOX41" s="12"/>
      <c r="TPO41" s="12"/>
      <c r="TPP41" s="12"/>
      <c r="TQG41" s="12"/>
      <c r="TQH41" s="12"/>
      <c r="TQY41" s="12"/>
      <c r="TQZ41" s="12"/>
      <c r="TRQ41" s="12"/>
      <c r="TRR41" s="12"/>
      <c r="TSI41" s="12"/>
      <c r="TSJ41" s="12"/>
      <c r="TTA41" s="12"/>
      <c r="TTB41" s="12"/>
      <c r="TTS41" s="12"/>
      <c r="TTT41" s="12"/>
      <c r="TUK41" s="12"/>
      <c r="TUL41" s="12"/>
      <c r="TVC41" s="12"/>
      <c r="TVD41" s="12"/>
      <c r="TVU41" s="12"/>
      <c r="TVV41" s="12"/>
      <c r="TWM41" s="12"/>
      <c r="TWN41" s="12"/>
      <c r="TXE41" s="12"/>
      <c r="TXF41" s="12"/>
      <c r="TXW41" s="12"/>
      <c r="TXX41" s="12"/>
      <c r="TYO41" s="12"/>
      <c r="TYP41" s="12"/>
      <c r="TZG41" s="12"/>
      <c r="TZH41" s="12"/>
      <c r="TZY41" s="12"/>
      <c r="TZZ41" s="12"/>
      <c r="UAQ41" s="12"/>
      <c r="UAR41" s="12"/>
      <c r="UBI41" s="12"/>
      <c r="UBJ41" s="12"/>
      <c r="UCA41" s="12"/>
      <c r="UCB41" s="12"/>
      <c r="UCS41" s="12"/>
      <c r="UCT41" s="12"/>
      <c r="UDK41" s="12"/>
      <c r="UDL41" s="12"/>
      <c r="UEC41" s="12"/>
      <c r="UED41" s="12"/>
      <c r="UEU41" s="12"/>
      <c r="UEV41" s="12"/>
      <c r="UFM41" s="12"/>
      <c r="UFN41" s="12"/>
      <c r="UGE41" s="12"/>
      <c r="UGF41" s="12"/>
      <c r="UGW41" s="12"/>
      <c r="UGX41" s="12"/>
      <c r="UHO41" s="12"/>
      <c r="UHP41" s="12"/>
      <c r="UIG41" s="12"/>
      <c r="UIH41" s="12"/>
      <c r="UIY41" s="12"/>
      <c r="UIZ41" s="12"/>
      <c r="UJQ41" s="12"/>
      <c r="UJR41" s="12"/>
      <c r="UKI41" s="12"/>
      <c r="UKJ41" s="12"/>
      <c r="ULA41" s="12"/>
      <c r="ULB41" s="12"/>
      <c r="ULS41" s="12"/>
      <c r="ULT41" s="12"/>
      <c r="UMK41" s="12"/>
      <c r="UML41" s="12"/>
      <c r="UNC41" s="12"/>
      <c r="UND41" s="12"/>
      <c r="UNU41" s="12"/>
      <c r="UNV41" s="12"/>
      <c r="UOM41" s="12"/>
      <c r="UON41" s="12"/>
      <c r="UPE41" s="12"/>
      <c r="UPF41" s="12"/>
      <c r="UPW41" s="12"/>
      <c r="UPX41" s="12"/>
      <c r="UQO41" s="12"/>
      <c r="UQP41" s="12"/>
      <c r="URG41" s="12"/>
      <c r="URH41" s="12"/>
      <c r="URY41" s="12"/>
      <c r="URZ41" s="12"/>
      <c r="USQ41" s="12"/>
      <c r="USR41" s="12"/>
      <c r="UTI41" s="12"/>
      <c r="UTJ41" s="12"/>
      <c r="UUA41" s="12"/>
      <c r="UUB41" s="12"/>
      <c r="UUS41" s="12"/>
      <c r="UUT41" s="12"/>
      <c r="UVK41" s="12"/>
      <c r="UVL41" s="12"/>
      <c r="UWC41" s="12"/>
      <c r="UWD41" s="12"/>
      <c r="UWU41" s="12"/>
      <c r="UWV41" s="12"/>
      <c r="UXM41" s="12"/>
      <c r="UXN41" s="12"/>
      <c r="UYE41" s="12"/>
      <c r="UYF41" s="12"/>
      <c r="UYW41" s="12"/>
      <c r="UYX41" s="12"/>
      <c r="UZO41" s="12"/>
      <c r="UZP41" s="12"/>
      <c r="VAG41" s="12"/>
      <c r="VAH41" s="12"/>
      <c r="VAY41" s="12"/>
      <c r="VAZ41" s="12"/>
      <c r="VBQ41" s="12"/>
      <c r="VBR41" s="12"/>
      <c r="VCI41" s="12"/>
      <c r="VCJ41" s="12"/>
      <c r="VDA41" s="12"/>
      <c r="VDB41" s="12"/>
      <c r="VDS41" s="12"/>
      <c r="VDT41" s="12"/>
      <c r="VEK41" s="12"/>
      <c r="VEL41" s="12"/>
      <c r="VFC41" s="12"/>
      <c r="VFD41" s="12"/>
      <c r="VFU41" s="12"/>
      <c r="VFV41" s="12"/>
      <c r="VGM41" s="12"/>
      <c r="VGN41" s="12"/>
      <c r="VHE41" s="12"/>
      <c r="VHF41" s="12"/>
      <c r="VHW41" s="12"/>
      <c r="VHX41" s="12"/>
      <c r="VIO41" s="12"/>
      <c r="VIP41" s="12"/>
      <c r="VJG41" s="12"/>
      <c r="VJH41" s="12"/>
      <c r="VJY41" s="12"/>
      <c r="VJZ41" s="12"/>
      <c r="VKQ41" s="12"/>
      <c r="VKR41" s="12"/>
      <c r="VLI41" s="12"/>
      <c r="VLJ41" s="12"/>
      <c r="VMA41" s="12"/>
      <c r="VMB41" s="12"/>
      <c r="VMS41" s="12"/>
      <c r="VMT41" s="12"/>
      <c r="VNK41" s="12"/>
      <c r="VNL41" s="12"/>
      <c r="VOC41" s="12"/>
      <c r="VOD41" s="12"/>
      <c r="VOU41" s="12"/>
      <c r="VOV41" s="12"/>
      <c r="VPM41" s="12"/>
      <c r="VPN41" s="12"/>
      <c r="VQE41" s="12"/>
      <c r="VQF41" s="12"/>
      <c r="VQW41" s="12"/>
      <c r="VQX41" s="12"/>
      <c r="VRO41" s="12"/>
      <c r="VRP41" s="12"/>
      <c r="VSG41" s="12"/>
      <c r="VSH41" s="12"/>
      <c r="VSY41" s="12"/>
      <c r="VSZ41" s="12"/>
      <c r="VTQ41" s="12"/>
      <c r="VTR41" s="12"/>
      <c r="VUI41" s="12"/>
      <c r="VUJ41" s="12"/>
      <c r="VVA41" s="12"/>
      <c r="VVB41" s="12"/>
      <c r="VVS41" s="12"/>
      <c r="VVT41" s="12"/>
      <c r="VWK41" s="12"/>
      <c r="VWL41" s="12"/>
      <c r="VXC41" s="12"/>
      <c r="VXD41" s="12"/>
      <c r="VXU41" s="12"/>
      <c r="VXV41" s="12"/>
      <c r="VYM41" s="12"/>
      <c r="VYN41" s="12"/>
      <c r="VZE41" s="12"/>
      <c r="VZF41" s="12"/>
      <c r="VZW41" s="12"/>
      <c r="VZX41" s="12"/>
      <c r="WAO41" s="12"/>
      <c r="WAP41" s="12"/>
      <c r="WBG41" s="12"/>
      <c r="WBH41" s="12"/>
      <c r="WBY41" s="12"/>
      <c r="WBZ41" s="12"/>
      <c r="WCQ41" s="12"/>
      <c r="WCR41" s="12"/>
      <c r="WDI41" s="12"/>
      <c r="WDJ41" s="12"/>
      <c r="WEA41" s="12"/>
      <c r="WEB41" s="12"/>
      <c r="WES41" s="12"/>
      <c r="WET41" s="12"/>
      <c r="WFK41" s="12"/>
      <c r="WFL41" s="12"/>
      <c r="WGC41" s="12"/>
      <c r="WGD41" s="12"/>
      <c r="WGU41" s="12"/>
      <c r="WGV41" s="12"/>
      <c r="WHM41" s="12"/>
      <c r="WHN41" s="12"/>
      <c r="WIE41" s="12"/>
      <c r="WIF41" s="12"/>
      <c r="WIW41" s="12"/>
      <c r="WIX41" s="12"/>
      <c r="WJO41" s="12"/>
      <c r="WJP41" s="12"/>
      <c r="WKG41" s="12"/>
      <c r="WKH41" s="12"/>
      <c r="WKY41" s="12"/>
      <c r="WKZ41" s="12"/>
      <c r="WLQ41" s="12"/>
      <c r="WLR41" s="12"/>
      <c r="WMI41" s="12"/>
      <c r="WMJ41" s="12"/>
      <c r="WNA41" s="12"/>
      <c r="WNB41" s="12"/>
      <c r="WNS41" s="12"/>
      <c r="WNT41" s="12"/>
      <c r="WOK41" s="12"/>
      <c r="WOL41" s="12"/>
      <c r="WPC41" s="12"/>
      <c r="WPD41" s="12"/>
      <c r="WPU41" s="12"/>
      <c r="WPV41" s="12"/>
      <c r="WQM41" s="12"/>
      <c r="WQN41" s="12"/>
      <c r="WRE41" s="12"/>
      <c r="WRF41" s="12"/>
      <c r="WRW41" s="12"/>
      <c r="WRX41" s="12"/>
      <c r="WSO41" s="12"/>
      <c r="WSP41" s="12"/>
      <c r="WTG41" s="12"/>
      <c r="WTH41" s="12"/>
      <c r="WTY41" s="12"/>
      <c r="WTZ41" s="12"/>
      <c r="WUQ41" s="12"/>
      <c r="WUR41" s="12"/>
      <c r="WVI41" s="12"/>
      <c r="WVJ41" s="12"/>
      <c r="WWA41" s="12"/>
      <c r="WWB41" s="12"/>
      <c r="WWS41" s="12"/>
      <c r="WWT41" s="12"/>
      <c r="WXK41" s="12"/>
      <c r="WXL41" s="12"/>
      <c r="WYC41" s="12"/>
      <c r="WYD41" s="12"/>
      <c r="WYU41" s="12"/>
      <c r="WYV41" s="12"/>
      <c r="WZM41" s="12"/>
      <c r="WZN41" s="12"/>
      <c r="XAE41" s="12"/>
      <c r="XAF41" s="12"/>
      <c r="XAW41" s="12"/>
      <c r="XAX41" s="12"/>
      <c r="XBO41" s="12"/>
      <c r="XBP41" s="12"/>
      <c r="XCG41" s="12"/>
      <c r="XCH41" s="12"/>
      <c r="XCY41" s="12"/>
      <c r="XCZ41" s="12"/>
      <c r="XDQ41" s="12"/>
      <c r="XDR41" s="12"/>
      <c r="XEI41" s="12"/>
      <c r="XEJ41" s="12"/>
      <c r="XFA41" s="12"/>
      <c r="XFB41" s="12"/>
    </row>
    <row r="42" spans="1:1010 1027:2036 2053:3062 3079:4088 4105:5114 5131:6140 6157:7166 7183:8192 8209:9200 9217:10226 10243:11252 11269:12278 12295:13304 13321:14330 14347:15356 15373:16382" x14ac:dyDescent="0.35">
      <c r="A42" s="181" t="str">
        <f>'Balance Sheet - Standardized'!A44</f>
        <v xml:space="preserve">    + LT Investments</v>
      </c>
      <c r="B42" s="4" t="str">
        <f>'Balance Sheet - Standardized'!B44</f>
        <v>BS_LONG_TERM_INVESTMENTS</v>
      </c>
      <c r="C42" s="77">
        <f>IF('Balance Sheet - Standardized'!C44="",0,'Balance Sheet - Standardized'!C44)/'Balance Sheet - Standardized'!C$61</f>
        <v>0</v>
      </c>
      <c r="D42" s="77">
        <f>IF('Balance Sheet - Standardized'!D44="",0,'Balance Sheet - Standardized'!D44)/'Balance Sheet - Standardized'!D$61</f>
        <v>0</v>
      </c>
      <c r="E42" s="77">
        <f>IF('Balance Sheet - Standardized'!E44="",0,'Balance Sheet - Standardized'!E44)/'Balance Sheet - Standardized'!E$61</f>
        <v>0</v>
      </c>
      <c r="F42" s="77">
        <f>IF('Balance Sheet - Standardized'!F44="",0,'Balance Sheet - Standardized'!F44)/'Balance Sheet - Standardized'!F$61</f>
        <v>0</v>
      </c>
      <c r="G42" s="77">
        <f>IF('Balance Sheet - Standardized'!G44="",0,'Balance Sheet - Standardized'!G44)/'Balance Sheet - Standardized'!G$61</f>
        <v>0</v>
      </c>
      <c r="H42" s="77">
        <f>IF('Balance Sheet - Standardized'!H44="",0,'Balance Sheet - Standardized'!H44)/'Balance Sheet - Standardized'!H$61</f>
        <v>0</v>
      </c>
      <c r="I42" s="77">
        <f>IF('Balance Sheet - Standardized'!I44="",0,'Balance Sheet - Standardized'!I44)/'Balance Sheet - Standardized'!I$61</f>
        <v>0</v>
      </c>
      <c r="J42" s="77">
        <f>IF('Balance Sheet - Standardized'!J44="",0,'Balance Sheet - Standardized'!J44)/'Balance Sheet - Standardized'!J$61</f>
        <v>0</v>
      </c>
      <c r="K42" s="77">
        <f>IF('Balance Sheet - Standardized'!K44="",0,'Balance Sheet - Standardized'!K44)/'Balance Sheet - Standardized'!K$61</f>
        <v>0</v>
      </c>
      <c r="L42" s="77">
        <f>IF('Balance Sheet - Standardized'!L44="",0,'Balance Sheet - Standardized'!L44)/'Balance Sheet - Standardized'!L$61</f>
        <v>0</v>
      </c>
      <c r="M42" s="106"/>
      <c r="N42" s="106"/>
      <c r="O42" s="106"/>
      <c r="P42" s="106"/>
      <c r="Q42" s="106"/>
      <c r="R42" s="106"/>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row>
    <row r="43" spans="1:1010 1027:2036 2053:3062 3079:4088 4105:5114 5131:6140 6157:7166 7183:8192 8209:9200 9217:10226 10243:11252 11269:12278 12295:13304 13321:14330 14347:15356 15373:16382" x14ac:dyDescent="0.35">
      <c r="A43" s="181" t="str">
        <f>'Balance Sheet - Standardized'!A45</f>
        <v xml:space="preserve">    + LT Marketable Securities</v>
      </c>
      <c r="B43" s="13" t="str">
        <f>'Balance Sheet - Standardized'!B45</f>
        <v>BS_LT_MARKETABLE_SECURITIES</v>
      </c>
      <c r="C43" s="77">
        <f>IF('Balance Sheet - Standardized'!C45="",0,'Balance Sheet - Standardized'!C45)/'Balance Sheet - Standardized'!C$61</f>
        <v>0</v>
      </c>
      <c r="D43" s="77">
        <f>IF('Balance Sheet - Standardized'!D45="",0,'Balance Sheet - Standardized'!D45)/'Balance Sheet - Standardized'!D$61</f>
        <v>0</v>
      </c>
      <c r="E43" s="77">
        <f>IF('Balance Sheet - Standardized'!E45="",0,'Balance Sheet - Standardized'!E45)/'Balance Sheet - Standardized'!E$61</f>
        <v>0</v>
      </c>
      <c r="F43" s="77">
        <f>IF('Balance Sheet - Standardized'!F45="",0,'Balance Sheet - Standardized'!F45)/'Balance Sheet - Standardized'!F$61</f>
        <v>0</v>
      </c>
      <c r="G43" s="77">
        <f>IF('Balance Sheet - Standardized'!G45="",0,'Balance Sheet - Standardized'!G45)/'Balance Sheet - Standardized'!G$61</f>
        <v>0</v>
      </c>
      <c r="H43" s="77">
        <f>IF('Balance Sheet - Standardized'!H45="",0,'Balance Sheet - Standardized'!H45)/'Balance Sheet - Standardized'!H$61</f>
        <v>0</v>
      </c>
      <c r="I43" s="77">
        <f>IF('Balance Sheet - Standardized'!I45="",0,'Balance Sheet - Standardized'!I45)/'Balance Sheet - Standardized'!I$61</f>
        <v>0</v>
      </c>
      <c r="J43" s="77">
        <f>IF('Balance Sheet - Standardized'!J45="",0,'Balance Sheet - Standardized'!J45)/'Balance Sheet - Standardized'!J$61</f>
        <v>0</v>
      </c>
      <c r="K43" s="77">
        <f>IF('Balance Sheet - Standardized'!K45="",0,'Balance Sheet - Standardized'!K45)/'Balance Sheet - Standardized'!K$61</f>
        <v>0</v>
      </c>
      <c r="L43" s="77">
        <f>IF('Balance Sheet - Standardized'!L45="",0,'Balance Sheet - Standardized'!L45)/'Balance Sheet - Standardized'!L$61</f>
        <v>0</v>
      </c>
      <c r="M43" s="106"/>
      <c r="N43" s="106"/>
      <c r="O43" s="106"/>
      <c r="P43" s="106"/>
      <c r="Q43" s="106"/>
      <c r="R43" s="106"/>
      <c r="S43" s="74"/>
      <c r="T43" s="80"/>
      <c r="U43" s="80"/>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row>
    <row r="44" spans="1:1010 1027:2036 2053:3062 3079:4088 4105:5114 5131:6140 6157:7166 7183:8192 8209:9200 9217:10226 10243:11252 11269:12278 12295:13304 13321:14330 14347:15356 15373:16382" x14ac:dyDescent="0.35">
      <c r="A44" s="23" t="str">
        <f>'Balance Sheet - Standardized'!A46</f>
        <v>check</v>
      </c>
      <c r="B44" s="23"/>
      <c r="C44" s="79"/>
      <c r="D44" s="79"/>
      <c r="E44" s="79"/>
      <c r="F44" s="79"/>
      <c r="G44" s="79"/>
      <c r="H44" s="79"/>
      <c r="I44" s="79"/>
      <c r="J44" s="79"/>
      <c r="K44" s="79"/>
      <c r="L44" s="79"/>
      <c r="M44" s="144"/>
      <c r="N44" s="144"/>
      <c r="O44" s="144"/>
      <c r="P44" s="144"/>
      <c r="Q44" s="144"/>
      <c r="R44" s="144"/>
      <c r="S44" s="74"/>
      <c r="T44" s="80"/>
      <c r="U44" s="80"/>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row>
    <row r="45" spans="1:1010 1027:2036 2053:3062 3079:4088 4105:5114 5131:6140 6157:7166 7183:8192 8209:9200 9217:10226 10243:11252 11269:12278 12295:13304 13321:14330 14347:15356 15373:16382" s="11" customFormat="1" x14ac:dyDescent="0.35">
      <c r="A45" s="183" t="str">
        <f>'Balance Sheet - Standardized'!A47</f>
        <v xml:space="preserve">  + Other LT Assets</v>
      </c>
      <c r="B45" s="75" t="str">
        <f>'Balance Sheet - Standardized'!B47</f>
        <v>BS_OTHER_ASSETS_DEF_CHRG_OTHER</v>
      </c>
      <c r="C45" s="76">
        <f>IF('Balance Sheet - Standardized'!C47="",0,'Balance Sheet - Standardized'!C47)/'Balance Sheet - Standardized'!C$61</f>
        <v>0.27304390634134335</v>
      </c>
      <c r="D45" s="76">
        <f>IF('Balance Sheet - Standardized'!D47="",0,'Balance Sheet - Standardized'!D47)/'Balance Sheet - Standardized'!D$61</f>
        <v>0.27389572200967527</v>
      </c>
      <c r="E45" s="76">
        <f>IF('Balance Sheet - Standardized'!E47="",0,'Balance Sheet - Standardized'!E47)/'Balance Sheet - Standardized'!E$61</f>
        <v>0.22379941469967377</v>
      </c>
      <c r="F45" s="76">
        <f>IF('Balance Sheet - Standardized'!F47="",0,'Balance Sheet - Standardized'!F47)/'Balance Sheet - Standardized'!F$61</f>
        <v>0.2355640657666985</v>
      </c>
      <c r="G45" s="76">
        <f>IF('Balance Sheet - Standardized'!G47="",0,'Balance Sheet - Standardized'!G47)/'Balance Sheet - Standardized'!G$61</f>
        <v>0.20253765823117614</v>
      </c>
      <c r="H45" s="76">
        <f>IF('Balance Sheet - Standardized'!H47="",0,'Balance Sheet - Standardized'!H47)/'Balance Sheet - Standardized'!H$61</f>
        <v>0.1738961212206816</v>
      </c>
      <c r="I45" s="76">
        <f>IF('Balance Sheet - Standardized'!I47="",0,'Balance Sheet - Standardized'!I47)/'Balance Sheet - Standardized'!I$61</f>
        <v>0.16871665918528453</v>
      </c>
      <c r="J45" s="76">
        <f>IF('Balance Sheet - Standardized'!J47="",0,'Balance Sheet - Standardized'!J47)/'Balance Sheet - Standardized'!J$61</f>
        <v>0.18970978730252394</v>
      </c>
      <c r="K45" s="76">
        <f>IF('Balance Sheet - Standardized'!K47="",0,'Balance Sheet - Standardized'!K47)/'Balance Sheet - Standardized'!K$61</f>
        <v>0.18219701354323417</v>
      </c>
      <c r="L45" s="76">
        <f>IF('Balance Sheet - Standardized'!L47="",0,'Balance Sheet - Standardized'!L47)/'Balance Sheet - Standardized'!L$61</f>
        <v>0.17562164322174598</v>
      </c>
      <c r="M45" s="106"/>
      <c r="N45" s="106"/>
      <c r="O45" s="106"/>
      <c r="P45" s="106"/>
      <c r="Q45" s="106"/>
      <c r="R45" s="106"/>
      <c r="S45" s="78"/>
      <c r="T45" s="78"/>
      <c r="U45" s="106"/>
      <c r="V45" s="106"/>
      <c r="W45" s="106"/>
      <c r="X45" s="106"/>
      <c r="Y45" s="106"/>
      <c r="Z45" s="106"/>
      <c r="AA45" s="106"/>
      <c r="AB45" s="106"/>
      <c r="AC45" s="106"/>
      <c r="AD45" s="106"/>
      <c r="AE45" s="106"/>
      <c r="AF45" s="106"/>
      <c r="AG45" s="106"/>
      <c r="AH45" s="106"/>
      <c r="AI45" s="106"/>
      <c r="AJ45" s="106"/>
      <c r="AK45" s="78"/>
      <c r="AL45" s="78"/>
      <c r="AM45" s="106"/>
      <c r="AN45" s="106"/>
      <c r="AO45" s="106"/>
      <c r="AP45" s="106"/>
      <c r="AQ45" s="106"/>
      <c r="AR45" s="106"/>
      <c r="AS45" s="106"/>
      <c r="AT45" s="106"/>
      <c r="AU45" s="106"/>
      <c r="AV45" s="106"/>
      <c r="AW45" s="106"/>
      <c r="AX45" s="106"/>
      <c r="AY45" s="106"/>
      <c r="AZ45" s="106"/>
      <c r="BA45" s="106"/>
      <c r="BB45" s="106"/>
      <c r="BC45" s="78"/>
      <c r="BD45" s="78"/>
      <c r="BE45" s="106"/>
      <c r="BF45" s="106"/>
      <c r="BG45" s="106"/>
      <c r="BH45" s="106"/>
      <c r="BI45" s="106"/>
      <c r="BJ45" s="106"/>
      <c r="BU45" s="12"/>
      <c r="BV45" s="12"/>
      <c r="CM45" s="12"/>
      <c r="CN45" s="12"/>
      <c r="DE45" s="12"/>
      <c r="DF45" s="12"/>
      <c r="DW45" s="12"/>
      <c r="DX45" s="12"/>
      <c r="EO45" s="12"/>
      <c r="EP45" s="12"/>
      <c r="FG45" s="12"/>
      <c r="FH45" s="12"/>
      <c r="FY45" s="12"/>
      <c r="FZ45" s="12"/>
      <c r="GQ45" s="12"/>
      <c r="GR45" s="12"/>
      <c r="HI45" s="12"/>
      <c r="HJ45" s="12"/>
      <c r="IA45" s="12"/>
      <c r="IB45" s="12"/>
      <c r="IS45" s="12"/>
      <c r="IT45" s="12"/>
      <c r="JK45" s="12"/>
      <c r="JL45" s="12"/>
      <c r="KC45" s="12"/>
      <c r="KD45" s="12"/>
      <c r="KU45" s="12"/>
      <c r="KV45" s="12"/>
      <c r="LM45" s="12"/>
      <c r="LN45" s="12"/>
      <c r="ME45" s="12"/>
      <c r="MF45" s="12"/>
      <c r="MW45" s="12"/>
      <c r="MX45" s="12"/>
      <c r="NO45" s="12"/>
      <c r="NP45" s="12"/>
      <c r="OG45" s="12"/>
      <c r="OH45" s="12"/>
      <c r="OY45" s="12"/>
      <c r="OZ45" s="12"/>
      <c r="PQ45" s="12"/>
      <c r="PR45" s="12"/>
      <c r="QI45" s="12"/>
      <c r="QJ45" s="12"/>
      <c r="RA45" s="12"/>
      <c r="RB45" s="12"/>
      <c r="RS45" s="12"/>
      <c r="RT45" s="12"/>
      <c r="SK45" s="12"/>
      <c r="SL45" s="12"/>
      <c r="TC45" s="12"/>
      <c r="TD45" s="12"/>
      <c r="TU45" s="12"/>
      <c r="TV45" s="12"/>
      <c r="UM45" s="12"/>
      <c r="UN45" s="12"/>
      <c r="VE45" s="12"/>
      <c r="VF45" s="12"/>
      <c r="VW45" s="12"/>
      <c r="VX45" s="12"/>
      <c r="WO45" s="12"/>
      <c r="WP45" s="12"/>
      <c r="XG45" s="12"/>
      <c r="XH45" s="12"/>
      <c r="XY45" s="12"/>
      <c r="XZ45" s="12"/>
      <c r="YQ45" s="12"/>
      <c r="YR45" s="12"/>
      <c r="ZI45" s="12"/>
      <c r="ZJ45" s="12"/>
      <c r="AAA45" s="12"/>
      <c r="AAB45" s="12"/>
      <c r="AAS45" s="12"/>
      <c r="AAT45" s="12"/>
      <c r="ABK45" s="12"/>
      <c r="ABL45" s="12"/>
      <c r="ACC45" s="12"/>
      <c r="ACD45" s="12"/>
      <c r="ACU45" s="12"/>
      <c r="ACV45" s="12"/>
      <c r="ADM45" s="12"/>
      <c r="ADN45" s="12"/>
      <c r="AEE45" s="12"/>
      <c r="AEF45" s="12"/>
      <c r="AEW45" s="12"/>
      <c r="AEX45" s="12"/>
      <c r="AFO45" s="12"/>
      <c r="AFP45" s="12"/>
      <c r="AGG45" s="12"/>
      <c r="AGH45" s="12"/>
      <c r="AGY45" s="12"/>
      <c r="AGZ45" s="12"/>
      <c r="AHQ45" s="12"/>
      <c r="AHR45" s="12"/>
      <c r="AII45" s="12"/>
      <c r="AIJ45" s="12"/>
      <c r="AJA45" s="12"/>
      <c r="AJB45" s="12"/>
      <c r="AJS45" s="12"/>
      <c r="AJT45" s="12"/>
      <c r="AKK45" s="12"/>
      <c r="AKL45" s="12"/>
      <c r="ALC45" s="12"/>
      <c r="ALD45" s="12"/>
      <c r="ALU45" s="12"/>
      <c r="ALV45" s="12"/>
      <c r="AMM45" s="12"/>
      <c r="AMN45" s="12"/>
      <c r="ANE45" s="12"/>
      <c r="ANF45" s="12"/>
      <c r="ANW45" s="12"/>
      <c r="ANX45" s="12"/>
      <c r="AOO45" s="12"/>
      <c r="AOP45" s="12"/>
      <c r="APG45" s="12"/>
      <c r="APH45" s="12"/>
      <c r="APY45" s="12"/>
      <c r="APZ45" s="12"/>
      <c r="AQQ45" s="12"/>
      <c r="AQR45" s="12"/>
      <c r="ARI45" s="12"/>
      <c r="ARJ45" s="12"/>
      <c r="ASA45" s="12"/>
      <c r="ASB45" s="12"/>
      <c r="ASS45" s="12"/>
      <c r="AST45" s="12"/>
      <c r="ATK45" s="12"/>
      <c r="ATL45" s="12"/>
      <c r="AUC45" s="12"/>
      <c r="AUD45" s="12"/>
      <c r="AUU45" s="12"/>
      <c r="AUV45" s="12"/>
      <c r="AVM45" s="12"/>
      <c r="AVN45" s="12"/>
      <c r="AWE45" s="12"/>
      <c r="AWF45" s="12"/>
      <c r="AWW45" s="12"/>
      <c r="AWX45" s="12"/>
      <c r="AXO45" s="12"/>
      <c r="AXP45" s="12"/>
      <c r="AYG45" s="12"/>
      <c r="AYH45" s="12"/>
      <c r="AYY45" s="12"/>
      <c r="AYZ45" s="12"/>
      <c r="AZQ45" s="12"/>
      <c r="AZR45" s="12"/>
      <c r="BAI45" s="12"/>
      <c r="BAJ45" s="12"/>
      <c r="BBA45" s="12"/>
      <c r="BBB45" s="12"/>
      <c r="BBS45" s="12"/>
      <c r="BBT45" s="12"/>
      <c r="BCK45" s="12"/>
      <c r="BCL45" s="12"/>
      <c r="BDC45" s="12"/>
      <c r="BDD45" s="12"/>
      <c r="BDU45" s="12"/>
      <c r="BDV45" s="12"/>
      <c r="BEM45" s="12"/>
      <c r="BEN45" s="12"/>
      <c r="BFE45" s="12"/>
      <c r="BFF45" s="12"/>
      <c r="BFW45" s="12"/>
      <c r="BFX45" s="12"/>
      <c r="BGO45" s="12"/>
      <c r="BGP45" s="12"/>
      <c r="BHG45" s="12"/>
      <c r="BHH45" s="12"/>
      <c r="BHY45" s="12"/>
      <c r="BHZ45" s="12"/>
      <c r="BIQ45" s="12"/>
      <c r="BIR45" s="12"/>
      <c r="BJI45" s="12"/>
      <c r="BJJ45" s="12"/>
      <c r="BKA45" s="12"/>
      <c r="BKB45" s="12"/>
      <c r="BKS45" s="12"/>
      <c r="BKT45" s="12"/>
      <c r="BLK45" s="12"/>
      <c r="BLL45" s="12"/>
      <c r="BMC45" s="12"/>
      <c r="BMD45" s="12"/>
      <c r="BMU45" s="12"/>
      <c r="BMV45" s="12"/>
      <c r="BNM45" s="12"/>
      <c r="BNN45" s="12"/>
      <c r="BOE45" s="12"/>
      <c r="BOF45" s="12"/>
      <c r="BOW45" s="12"/>
      <c r="BOX45" s="12"/>
      <c r="BPO45" s="12"/>
      <c r="BPP45" s="12"/>
      <c r="BQG45" s="12"/>
      <c r="BQH45" s="12"/>
      <c r="BQY45" s="12"/>
      <c r="BQZ45" s="12"/>
      <c r="BRQ45" s="12"/>
      <c r="BRR45" s="12"/>
      <c r="BSI45" s="12"/>
      <c r="BSJ45" s="12"/>
      <c r="BTA45" s="12"/>
      <c r="BTB45" s="12"/>
      <c r="BTS45" s="12"/>
      <c r="BTT45" s="12"/>
      <c r="BUK45" s="12"/>
      <c r="BUL45" s="12"/>
      <c r="BVC45" s="12"/>
      <c r="BVD45" s="12"/>
      <c r="BVU45" s="12"/>
      <c r="BVV45" s="12"/>
      <c r="BWM45" s="12"/>
      <c r="BWN45" s="12"/>
      <c r="BXE45" s="12"/>
      <c r="BXF45" s="12"/>
      <c r="BXW45" s="12"/>
      <c r="BXX45" s="12"/>
      <c r="BYO45" s="12"/>
      <c r="BYP45" s="12"/>
      <c r="BZG45" s="12"/>
      <c r="BZH45" s="12"/>
      <c r="BZY45" s="12"/>
      <c r="BZZ45" s="12"/>
      <c r="CAQ45" s="12"/>
      <c r="CAR45" s="12"/>
      <c r="CBI45" s="12"/>
      <c r="CBJ45" s="12"/>
      <c r="CCA45" s="12"/>
      <c r="CCB45" s="12"/>
      <c r="CCS45" s="12"/>
      <c r="CCT45" s="12"/>
      <c r="CDK45" s="12"/>
      <c r="CDL45" s="12"/>
      <c r="CEC45" s="12"/>
      <c r="CED45" s="12"/>
      <c r="CEU45" s="12"/>
      <c r="CEV45" s="12"/>
      <c r="CFM45" s="12"/>
      <c r="CFN45" s="12"/>
      <c r="CGE45" s="12"/>
      <c r="CGF45" s="12"/>
      <c r="CGW45" s="12"/>
      <c r="CGX45" s="12"/>
      <c r="CHO45" s="12"/>
      <c r="CHP45" s="12"/>
      <c r="CIG45" s="12"/>
      <c r="CIH45" s="12"/>
      <c r="CIY45" s="12"/>
      <c r="CIZ45" s="12"/>
      <c r="CJQ45" s="12"/>
      <c r="CJR45" s="12"/>
      <c r="CKI45" s="12"/>
      <c r="CKJ45" s="12"/>
      <c r="CLA45" s="12"/>
      <c r="CLB45" s="12"/>
      <c r="CLS45" s="12"/>
      <c r="CLT45" s="12"/>
      <c r="CMK45" s="12"/>
      <c r="CML45" s="12"/>
      <c r="CNC45" s="12"/>
      <c r="CND45" s="12"/>
      <c r="CNU45" s="12"/>
      <c r="CNV45" s="12"/>
      <c r="COM45" s="12"/>
      <c r="CON45" s="12"/>
      <c r="CPE45" s="12"/>
      <c r="CPF45" s="12"/>
      <c r="CPW45" s="12"/>
      <c r="CPX45" s="12"/>
      <c r="CQO45" s="12"/>
      <c r="CQP45" s="12"/>
      <c r="CRG45" s="12"/>
      <c r="CRH45" s="12"/>
      <c r="CRY45" s="12"/>
      <c r="CRZ45" s="12"/>
      <c r="CSQ45" s="12"/>
      <c r="CSR45" s="12"/>
      <c r="CTI45" s="12"/>
      <c r="CTJ45" s="12"/>
      <c r="CUA45" s="12"/>
      <c r="CUB45" s="12"/>
      <c r="CUS45" s="12"/>
      <c r="CUT45" s="12"/>
      <c r="CVK45" s="12"/>
      <c r="CVL45" s="12"/>
      <c r="CWC45" s="12"/>
      <c r="CWD45" s="12"/>
      <c r="CWU45" s="12"/>
      <c r="CWV45" s="12"/>
      <c r="CXM45" s="12"/>
      <c r="CXN45" s="12"/>
      <c r="CYE45" s="12"/>
      <c r="CYF45" s="12"/>
      <c r="CYW45" s="12"/>
      <c r="CYX45" s="12"/>
      <c r="CZO45" s="12"/>
      <c r="CZP45" s="12"/>
      <c r="DAG45" s="12"/>
      <c r="DAH45" s="12"/>
      <c r="DAY45" s="12"/>
      <c r="DAZ45" s="12"/>
      <c r="DBQ45" s="12"/>
      <c r="DBR45" s="12"/>
      <c r="DCI45" s="12"/>
      <c r="DCJ45" s="12"/>
      <c r="DDA45" s="12"/>
      <c r="DDB45" s="12"/>
      <c r="DDS45" s="12"/>
      <c r="DDT45" s="12"/>
      <c r="DEK45" s="12"/>
      <c r="DEL45" s="12"/>
      <c r="DFC45" s="12"/>
      <c r="DFD45" s="12"/>
      <c r="DFU45" s="12"/>
      <c r="DFV45" s="12"/>
      <c r="DGM45" s="12"/>
      <c r="DGN45" s="12"/>
      <c r="DHE45" s="12"/>
      <c r="DHF45" s="12"/>
      <c r="DHW45" s="12"/>
      <c r="DHX45" s="12"/>
      <c r="DIO45" s="12"/>
      <c r="DIP45" s="12"/>
      <c r="DJG45" s="12"/>
      <c r="DJH45" s="12"/>
      <c r="DJY45" s="12"/>
      <c r="DJZ45" s="12"/>
      <c r="DKQ45" s="12"/>
      <c r="DKR45" s="12"/>
      <c r="DLI45" s="12"/>
      <c r="DLJ45" s="12"/>
      <c r="DMA45" s="12"/>
      <c r="DMB45" s="12"/>
      <c r="DMS45" s="12"/>
      <c r="DMT45" s="12"/>
      <c r="DNK45" s="12"/>
      <c r="DNL45" s="12"/>
      <c r="DOC45" s="12"/>
      <c r="DOD45" s="12"/>
      <c r="DOU45" s="12"/>
      <c r="DOV45" s="12"/>
      <c r="DPM45" s="12"/>
      <c r="DPN45" s="12"/>
      <c r="DQE45" s="12"/>
      <c r="DQF45" s="12"/>
      <c r="DQW45" s="12"/>
      <c r="DQX45" s="12"/>
      <c r="DRO45" s="12"/>
      <c r="DRP45" s="12"/>
      <c r="DSG45" s="12"/>
      <c r="DSH45" s="12"/>
      <c r="DSY45" s="12"/>
      <c r="DSZ45" s="12"/>
      <c r="DTQ45" s="12"/>
      <c r="DTR45" s="12"/>
      <c r="DUI45" s="12"/>
      <c r="DUJ45" s="12"/>
      <c r="DVA45" s="12"/>
      <c r="DVB45" s="12"/>
      <c r="DVS45" s="12"/>
      <c r="DVT45" s="12"/>
      <c r="DWK45" s="12"/>
      <c r="DWL45" s="12"/>
      <c r="DXC45" s="12"/>
      <c r="DXD45" s="12"/>
      <c r="DXU45" s="12"/>
      <c r="DXV45" s="12"/>
      <c r="DYM45" s="12"/>
      <c r="DYN45" s="12"/>
      <c r="DZE45" s="12"/>
      <c r="DZF45" s="12"/>
      <c r="DZW45" s="12"/>
      <c r="DZX45" s="12"/>
      <c r="EAO45" s="12"/>
      <c r="EAP45" s="12"/>
      <c r="EBG45" s="12"/>
      <c r="EBH45" s="12"/>
      <c r="EBY45" s="12"/>
      <c r="EBZ45" s="12"/>
      <c r="ECQ45" s="12"/>
      <c r="ECR45" s="12"/>
      <c r="EDI45" s="12"/>
      <c r="EDJ45" s="12"/>
      <c r="EEA45" s="12"/>
      <c r="EEB45" s="12"/>
      <c r="EES45" s="12"/>
      <c r="EET45" s="12"/>
      <c r="EFK45" s="12"/>
      <c r="EFL45" s="12"/>
      <c r="EGC45" s="12"/>
      <c r="EGD45" s="12"/>
      <c r="EGU45" s="12"/>
      <c r="EGV45" s="12"/>
      <c r="EHM45" s="12"/>
      <c r="EHN45" s="12"/>
      <c r="EIE45" s="12"/>
      <c r="EIF45" s="12"/>
      <c r="EIW45" s="12"/>
      <c r="EIX45" s="12"/>
      <c r="EJO45" s="12"/>
      <c r="EJP45" s="12"/>
      <c r="EKG45" s="12"/>
      <c r="EKH45" s="12"/>
      <c r="EKY45" s="12"/>
      <c r="EKZ45" s="12"/>
      <c r="ELQ45" s="12"/>
      <c r="ELR45" s="12"/>
      <c r="EMI45" s="12"/>
      <c r="EMJ45" s="12"/>
      <c r="ENA45" s="12"/>
      <c r="ENB45" s="12"/>
      <c r="ENS45" s="12"/>
      <c r="ENT45" s="12"/>
      <c r="EOK45" s="12"/>
      <c r="EOL45" s="12"/>
      <c r="EPC45" s="12"/>
      <c r="EPD45" s="12"/>
      <c r="EPU45" s="12"/>
      <c r="EPV45" s="12"/>
      <c r="EQM45" s="12"/>
      <c r="EQN45" s="12"/>
      <c r="ERE45" s="12"/>
      <c r="ERF45" s="12"/>
      <c r="ERW45" s="12"/>
      <c r="ERX45" s="12"/>
      <c r="ESO45" s="12"/>
      <c r="ESP45" s="12"/>
      <c r="ETG45" s="12"/>
      <c r="ETH45" s="12"/>
      <c r="ETY45" s="12"/>
      <c r="ETZ45" s="12"/>
      <c r="EUQ45" s="12"/>
      <c r="EUR45" s="12"/>
      <c r="EVI45" s="12"/>
      <c r="EVJ45" s="12"/>
      <c r="EWA45" s="12"/>
      <c r="EWB45" s="12"/>
      <c r="EWS45" s="12"/>
      <c r="EWT45" s="12"/>
      <c r="EXK45" s="12"/>
      <c r="EXL45" s="12"/>
      <c r="EYC45" s="12"/>
      <c r="EYD45" s="12"/>
      <c r="EYU45" s="12"/>
      <c r="EYV45" s="12"/>
      <c r="EZM45" s="12"/>
      <c r="EZN45" s="12"/>
      <c r="FAE45" s="12"/>
      <c r="FAF45" s="12"/>
      <c r="FAW45" s="12"/>
      <c r="FAX45" s="12"/>
      <c r="FBO45" s="12"/>
      <c r="FBP45" s="12"/>
      <c r="FCG45" s="12"/>
      <c r="FCH45" s="12"/>
      <c r="FCY45" s="12"/>
      <c r="FCZ45" s="12"/>
      <c r="FDQ45" s="12"/>
      <c r="FDR45" s="12"/>
      <c r="FEI45" s="12"/>
      <c r="FEJ45" s="12"/>
      <c r="FFA45" s="12"/>
      <c r="FFB45" s="12"/>
      <c r="FFS45" s="12"/>
      <c r="FFT45" s="12"/>
      <c r="FGK45" s="12"/>
      <c r="FGL45" s="12"/>
      <c r="FHC45" s="12"/>
      <c r="FHD45" s="12"/>
      <c r="FHU45" s="12"/>
      <c r="FHV45" s="12"/>
      <c r="FIM45" s="12"/>
      <c r="FIN45" s="12"/>
      <c r="FJE45" s="12"/>
      <c r="FJF45" s="12"/>
      <c r="FJW45" s="12"/>
      <c r="FJX45" s="12"/>
      <c r="FKO45" s="12"/>
      <c r="FKP45" s="12"/>
      <c r="FLG45" s="12"/>
      <c r="FLH45" s="12"/>
      <c r="FLY45" s="12"/>
      <c r="FLZ45" s="12"/>
      <c r="FMQ45" s="12"/>
      <c r="FMR45" s="12"/>
      <c r="FNI45" s="12"/>
      <c r="FNJ45" s="12"/>
      <c r="FOA45" s="12"/>
      <c r="FOB45" s="12"/>
      <c r="FOS45" s="12"/>
      <c r="FOT45" s="12"/>
      <c r="FPK45" s="12"/>
      <c r="FPL45" s="12"/>
      <c r="FQC45" s="12"/>
      <c r="FQD45" s="12"/>
      <c r="FQU45" s="12"/>
      <c r="FQV45" s="12"/>
      <c r="FRM45" s="12"/>
      <c r="FRN45" s="12"/>
      <c r="FSE45" s="12"/>
      <c r="FSF45" s="12"/>
      <c r="FSW45" s="12"/>
      <c r="FSX45" s="12"/>
      <c r="FTO45" s="12"/>
      <c r="FTP45" s="12"/>
      <c r="FUG45" s="12"/>
      <c r="FUH45" s="12"/>
      <c r="FUY45" s="12"/>
      <c r="FUZ45" s="12"/>
      <c r="FVQ45" s="12"/>
      <c r="FVR45" s="12"/>
      <c r="FWI45" s="12"/>
      <c r="FWJ45" s="12"/>
      <c r="FXA45" s="12"/>
      <c r="FXB45" s="12"/>
      <c r="FXS45" s="12"/>
      <c r="FXT45" s="12"/>
      <c r="FYK45" s="12"/>
      <c r="FYL45" s="12"/>
      <c r="FZC45" s="12"/>
      <c r="FZD45" s="12"/>
      <c r="FZU45" s="12"/>
      <c r="FZV45" s="12"/>
      <c r="GAM45" s="12"/>
      <c r="GAN45" s="12"/>
      <c r="GBE45" s="12"/>
      <c r="GBF45" s="12"/>
      <c r="GBW45" s="12"/>
      <c r="GBX45" s="12"/>
      <c r="GCO45" s="12"/>
      <c r="GCP45" s="12"/>
      <c r="GDG45" s="12"/>
      <c r="GDH45" s="12"/>
      <c r="GDY45" s="12"/>
      <c r="GDZ45" s="12"/>
      <c r="GEQ45" s="12"/>
      <c r="GER45" s="12"/>
      <c r="GFI45" s="12"/>
      <c r="GFJ45" s="12"/>
      <c r="GGA45" s="12"/>
      <c r="GGB45" s="12"/>
      <c r="GGS45" s="12"/>
      <c r="GGT45" s="12"/>
      <c r="GHK45" s="12"/>
      <c r="GHL45" s="12"/>
      <c r="GIC45" s="12"/>
      <c r="GID45" s="12"/>
      <c r="GIU45" s="12"/>
      <c r="GIV45" s="12"/>
      <c r="GJM45" s="12"/>
      <c r="GJN45" s="12"/>
      <c r="GKE45" s="12"/>
      <c r="GKF45" s="12"/>
      <c r="GKW45" s="12"/>
      <c r="GKX45" s="12"/>
      <c r="GLO45" s="12"/>
      <c r="GLP45" s="12"/>
      <c r="GMG45" s="12"/>
      <c r="GMH45" s="12"/>
      <c r="GMY45" s="12"/>
      <c r="GMZ45" s="12"/>
      <c r="GNQ45" s="12"/>
      <c r="GNR45" s="12"/>
      <c r="GOI45" s="12"/>
      <c r="GOJ45" s="12"/>
      <c r="GPA45" s="12"/>
      <c r="GPB45" s="12"/>
      <c r="GPS45" s="12"/>
      <c r="GPT45" s="12"/>
      <c r="GQK45" s="12"/>
      <c r="GQL45" s="12"/>
      <c r="GRC45" s="12"/>
      <c r="GRD45" s="12"/>
      <c r="GRU45" s="12"/>
      <c r="GRV45" s="12"/>
      <c r="GSM45" s="12"/>
      <c r="GSN45" s="12"/>
      <c r="GTE45" s="12"/>
      <c r="GTF45" s="12"/>
      <c r="GTW45" s="12"/>
      <c r="GTX45" s="12"/>
      <c r="GUO45" s="12"/>
      <c r="GUP45" s="12"/>
      <c r="GVG45" s="12"/>
      <c r="GVH45" s="12"/>
      <c r="GVY45" s="12"/>
      <c r="GVZ45" s="12"/>
      <c r="GWQ45" s="12"/>
      <c r="GWR45" s="12"/>
      <c r="GXI45" s="12"/>
      <c r="GXJ45" s="12"/>
      <c r="GYA45" s="12"/>
      <c r="GYB45" s="12"/>
      <c r="GYS45" s="12"/>
      <c r="GYT45" s="12"/>
      <c r="GZK45" s="12"/>
      <c r="GZL45" s="12"/>
      <c r="HAC45" s="12"/>
      <c r="HAD45" s="12"/>
      <c r="HAU45" s="12"/>
      <c r="HAV45" s="12"/>
      <c r="HBM45" s="12"/>
      <c r="HBN45" s="12"/>
      <c r="HCE45" s="12"/>
      <c r="HCF45" s="12"/>
      <c r="HCW45" s="12"/>
      <c r="HCX45" s="12"/>
      <c r="HDO45" s="12"/>
      <c r="HDP45" s="12"/>
      <c r="HEG45" s="12"/>
      <c r="HEH45" s="12"/>
      <c r="HEY45" s="12"/>
      <c r="HEZ45" s="12"/>
      <c r="HFQ45" s="12"/>
      <c r="HFR45" s="12"/>
      <c r="HGI45" s="12"/>
      <c r="HGJ45" s="12"/>
      <c r="HHA45" s="12"/>
      <c r="HHB45" s="12"/>
      <c r="HHS45" s="12"/>
      <c r="HHT45" s="12"/>
      <c r="HIK45" s="12"/>
      <c r="HIL45" s="12"/>
      <c r="HJC45" s="12"/>
      <c r="HJD45" s="12"/>
      <c r="HJU45" s="12"/>
      <c r="HJV45" s="12"/>
      <c r="HKM45" s="12"/>
      <c r="HKN45" s="12"/>
      <c r="HLE45" s="12"/>
      <c r="HLF45" s="12"/>
      <c r="HLW45" s="12"/>
      <c r="HLX45" s="12"/>
      <c r="HMO45" s="12"/>
      <c r="HMP45" s="12"/>
      <c r="HNG45" s="12"/>
      <c r="HNH45" s="12"/>
      <c r="HNY45" s="12"/>
      <c r="HNZ45" s="12"/>
      <c r="HOQ45" s="12"/>
      <c r="HOR45" s="12"/>
      <c r="HPI45" s="12"/>
      <c r="HPJ45" s="12"/>
      <c r="HQA45" s="12"/>
      <c r="HQB45" s="12"/>
      <c r="HQS45" s="12"/>
      <c r="HQT45" s="12"/>
      <c r="HRK45" s="12"/>
      <c r="HRL45" s="12"/>
      <c r="HSC45" s="12"/>
      <c r="HSD45" s="12"/>
      <c r="HSU45" s="12"/>
      <c r="HSV45" s="12"/>
      <c r="HTM45" s="12"/>
      <c r="HTN45" s="12"/>
      <c r="HUE45" s="12"/>
      <c r="HUF45" s="12"/>
      <c r="HUW45" s="12"/>
      <c r="HUX45" s="12"/>
      <c r="HVO45" s="12"/>
      <c r="HVP45" s="12"/>
      <c r="HWG45" s="12"/>
      <c r="HWH45" s="12"/>
      <c r="HWY45" s="12"/>
      <c r="HWZ45" s="12"/>
      <c r="HXQ45" s="12"/>
      <c r="HXR45" s="12"/>
      <c r="HYI45" s="12"/>
      <c r="HYJ45" s="12"/>
      <c r="HZA45" s="12"/>
      <c r="HZB45" s="12"/>
      <c r="HZS45" s="12"/>
      <c r="HZT45" s="12"/>
      <c r="IAK45" s="12"/>
      <c r="IAL45" s="12"/>
      <c r="IBC45" s="12"/>
      <c r="IBD45" s="12"/>
      <c r="IBU45" s="12"/>
      <c r="IBV45" s="12"/>
      <c r="ICM45" s="12"/>
      <c r="ICN45" s="12"/>
      <c r="IDE45" s="12"/>
      <c r="IDF45" s="12"/>
      <c r="IDW45" s="12"/>
      <c r="IDX45" s="12"/>
      <c r="IEO45" s="12"/>
      <c r="IEP45" s="12"/>
      <c r="IFG45" s="12"/>
      <c r="IFH45" s="12"/>
      <c r="IFY45" s="12"/>
      <c r="IFZ45" s="12"/>
      <c r="IGQ45" s="12"/>
      <c r="IGR45" s="12"/>
      <c r="IHI45" s="12"/>
      <c r="IHJ45" s="12"/>
      <c r="IIA45" s="12"/>
      <c r="IIB45" s="12"/>
      <c r="IIS45" s="12"/>
      <c r="IIT45" s="12"/>
      <c r="IJK45" s="12"/>
      <c r="IJL45" s="12"/>
      <c r="IKC45" s="12"/>
      <c r="IKD45" s="12"/>
      <c r="IKU45" s="12"/>
      <c r="IKV45" s="12"/>
      <c r="ILM45" s="12"/>
      <c r="ILN45" s="12"/>
      <c r="IME45" s="12"/>
      <c r="IMF45" s="12"/>
      <c r="IMW45" s="12"/>
      <c r="IMX45" s="12"/>
      <c r="INO45" s="12"/>
      <c r="INP45" s="12"/>
      <c r="IOG45" s="12"/>
      <c r="IOH45" s="12"/>
      <c r="IOY45" s="12"/>
      <c r="IOZ45" s="12"/>
      <c r="IPQ45" s="12"/>
      <c r="IPR45" s="12"/>
      <c r="IQI45" s="12"/>
      <c r="IQJ45" s="12"/>
      <c r="IRA45" s="12"/>
      <c r="IRB45" s="12"/>
      <c r="IRS45" s="12"/>
      <c r="IRT45" s="12"/>
      <c r="ISK45" s="12"/>
      <c r="ISL45" s="12"/>
      <c r="ITC45" s="12"/>
      <c r="ITD45" s="12"/>
      <c r="ITU45" s="12"/>
      <c r="ITV45" s="12"/>
      <c r="IUM45" s="12"/>
      <c r="IUN45" s="12"/>
      <c r="IVE45" s="12"/>
      <c r="IVF45" s="12"/>
      <c r="IVW45" s="12"/>
      <c r="IVX45" s="12"/>
      <c r="IWO45" s="12"/>
      <c r="IWP45" s="12"/>
      <c r="IXG45" s="12"/>
      <c r="IXH45" s="12"/>
      <c r="IXY45" s="12"/>
      <c r="IXZ45" s="12"/>
      <c r="IYQ45" s="12"/>
      <c r="IYR45" s="12"/>
      <c r="IZI45" s="12"/>
      <c r="IZJ45" s="12"/>
      <c r="JAA45" s="12"/>
      <c r="JAB45" s="12"/>
      <c r="JAS45" s="12"/>
      <c r="JAT45" s="12"/>
      <c r="JBK45" s="12"/>
      <c r="JBL45" s="12"/>
      <c r="JCC45" s="12"/>
      <c r="JCD45" s="12"/>
      <c r="JCU45" s="12"/>
      <c r="JCV45" s="12"/>
      <c r="JDM45" s="12"/>
      <c r="JDN45" s="12"/>
      <c r="JEE45" s="12"/>
      <c r="JEF45" s="12"/>
      <c r="JEW45" s="12"/>
      <c r="JEX45" s="12"/>
      <c r="JFO45" s="12"/>
      <c r="JFP45" s="12"/>
      <c r="JGG45" s="12"/>
      <c r="JGH45" s="12"/>
      <c r="JGY45" s="12"/>
      <c r="JGZ45" s="12"/>
      <c r="JHQ45" s="12"/>
      <c r="JHR45" s="12"/>
      <c r="JII45" s="12"/>
      <c r="JIJ45" s="12"/>
      <c r="JJA45" s="12"/>
      <c r="JJB45" s="12"/>
      <c r="JJS45" s="12"/>
      <c r="JJT45" s="12"/>
      <c r="JKK45" s="12"/>
      <c r="JKL45" s="12"/>
      <c r="JLC45" s="12"/>
      <c r="JLD45" s="12"/>
      <c r="JLU45" s="12"/>
      <c r="JLV45" s="12"/>
      <c r="JMM45" s="12"/>
      <c r="JMN45" s="12"/>
      <c r="JNE45" s="12"/>
      <c r="JNF45" s="12"/>
      <c r="JNW45" s="12"/>
      <c r="JNX45" s="12"/>
      <c r="JOO45" s="12"/>
      <c r="JOP45" s="12"/>
      <c r="JPG45" s="12"/>
      <c r="JPH45" s="12"/>
      <c r="JPY45" s="12"/>
      <c r="JPZ45" s="12"/>
      <c r="JQQ45" s="12"/>
      <c r="JQR45" s="12"/>
      <c r="JRI45" s="12"/>
      <c r="JRJ45" s="12"/>
      <c r="JSA45" s="12"/>
      <c r="JSB45" s="12"/>
      <c r="JSS45" s="12"/>
      <c r="JST45" s="12"/>
      <c r="JTK45" s="12"/>
      <c r="JTL45" s="12"/>
      <c r="JUC45" s="12"/>
      <c r="JUD45" s="12"/>
      <c r="JUU45" s="12"/>
      <c r="JUV45" s="12"/>
      <c r="JVM45" s="12"/>
      <c r="JVN45" s="12"/>
      <c r="JWE45" s="12"/>
      <c r="JWF45" s="12"/>
      <c r="JWW45" s="12"/>
      <c r="JWX45" s="12"/>
      <c r="JXO45" s="12"/>
      <c r="JXP45" s="12"/>
      <c r="JYG45" s="12"/>
      <c r="JYH45" s="12"/>
      <c r="JYY45" s="12"/>
      <c r="JYZ45" s="12"/>
      <c r="JZQ45" s="12"/>
      <c r="JZR45" s="12"/>
      <c r="KAI45" s="12"/>
      <c r="KAJ45" s="12"/>
      <c r="KBA45" s="12"/>
      <c r="KBB45" s="12"/>
      <c r="KBS45" s="12"/>
      <c r="KBT45" s="12"/>
      <c r="KCK45" s="12"/>
      <c r="KCL45" s="12"/>
      <c r="KDC45" s="12"/>
      <c r="KDD45" s="12"/>
      <c r="KDU45" s="12"/>
      <c r="KDV45" s="12"/>
      <c r="KEM45" s="12"/>
      <c r="KEN45" s="12"/>
      <c r="KFE45" s="12"/>
      <c r="KFF45" s="12"/>
      <c r="KFW45" s="12"/>
      <c r="KFX45" s="12"/>
      <c r="KGO45" s="12"/>
      <c r="KGP45" s="12"/>
      <c r="KHG45" s="12"/>
      <c r="KHH45" s="12"/>
      <c r="KHY45" s="12"/>
      <c r="KHZ45" s="12"/>
      <c r="KIQ45" s="12"/>
      <c r="KIR45" s="12"/>
      <c r="KJI45" s="12"/>
      <c r="KJJ45" s="12"/>
      <c r="KKA45" s="12"/>
      <c r="KKB45" s="12"/>
      <c r="KKS45" s="12"/>
      <c r="KKT45" s="12"/>
      <c r="KLK45" s="12"/>
      <c r="KLL45" s="12"/>
      <c r="KMC45" s="12"/>
      <c r="KMD45" s="12"/>
      <c r="KMU45" s="12"/>
      <c r="KMV45" s="12"/>
      <c r="KNM45" s="12"/>
      <c r="KNN45" s="12"/>
      <c r="KOE45" s="12"/>
      <c r="KOF45" s="12"/>
      <c r="KOW45" s="12"/>
      <c r="KOX45" s="12"/>
      <c r="KPO45" s="12"/>
      <c r="KPP45" s="12"/>
      <c r="KQG45" s="12"/>
      <c r="KQH45" s="12"/>
      <c r="KQY45" s="12"/>
      <c r="KQZ45" s="12"/>
      <c r="KRQ45" s="12"/>
      <c r="KRR45" s="12"/>
      <c r="KSI45" s="12"/>
      <c r="KSJ45" s="12"/>
      <c r="KTA45" s="12"/>
      <c r="KTB45" s="12"/>
      <c r="KTS45" s="12"/>
      <c r="KTT45" s="12"/>
      <c r="KUK45" s="12"/>
      <c r="KUL45" s="12"/>
      <c r="KVC45" s="12"/>
      <c r="KVD45" s="12"/>
      <c r="KVU45" s="12"/>
      <c r="KVV45" s="12"/>
      <c r="KWM45" s="12"/>
      <c r="KWN45" s="12"/>
      <c r="KXE45" s="12"/>
      <c r="KXF45" s="12"/>
      <c r="KXW45" s="12"/>
      <c r="KXX45" s="12"/>
      <c r="KYO45" s="12"/>
      <c r="KYP45" s="12"/>
      <c r="KZG45" s="12"/>
      <c r="KZH45" s="12"/>
      <c r="KZY45" s="12"/>
      <c r="KZZ45" s="12"/>
      <c r="LAQ45" s="12"/>
      <c r="LAR45" s="12"/>
      <c r="LBI45" s="12"/>
      <c r="LBJ45" s="12"/>
      <c r="LCA45" s="12"/>
      <c r="LCB45" s="12"/>
      <c r="LCS45" s="12"/>
      <c r="LCT45" s="12"/>
      <c r="LDK45" s="12"/>
      <c r="LDL45" s="12"/>
      <c r="LEC45" s="12"/>
      <c r="LED45" s="12"/>
      <c r="LEU45" s="12"/>
      <c r="LEV45" s="12"/>
      <c r="LFM45" s="12"/>
      <c r="LFN45" s="12"/>
      <c r="LGE45" s="12"/>
      <c r="LGF45" s="12"/>
      <c r="LGW45" s="12"/>
      <c r="LGX45" s="12"/>
      <c r="LHO45" s="12"/>
      <c r="LHP45" s="12"/>
      <c r="LIG45" s="12"/>
      <c r="LIH45" s="12"/>
      <c r="LIY45" s="12"/>
      <c r="LIZ45" s="12"/>
      <c r="LJQ45" s="12"/>
      <c r="LJR45" s="12"/>
      <c r="LKI45" s="12"/>
      <c r="LKJ45" s="12"/>
      <c r="LLA45" s="12"/>
      <c r="LLB45" s="12"/>
      <c r="LLS45" s="12"/>
      <c r="LLT45" s="12"/>
      <c r="LMK45" s="12"/>
      <c r="LML45" s="12"/>
      <c r="LNC45" s="12"/>
      <c r="LND45" s="12"/>
      <c r="LNU45" s="12"/>
      <c r="LNV45" s="12"/>
      <c r="LOM45" s="12"/>
      <c r="LON45" s="12"/>
      <c r="LPE45" s="12"/>
      <c r="LPF45" s="12"/>
      <c r="LPW45" s="12"/>
      <c r="LPX45" s="12"/>
      <c r="LQO45" s="12"/>
      <c r="LQP45" s="12"/>
      <c r="LRG45" s="12"/>
      <c r="LRH45" s="12"/>
      <c r="LRY45" s="12"/>
      <c r="LRZ45" s="12"/>
      <c r="LSQ45" s="12"/>
      <c r="LSR45" s="12"/>
      <c r="LTI45" s="12"/>
      <c r="LTJ45" s="12"/>
      <c r="LUA45" s="12"/>
      <c r="LUB45" s="12"/>
      <c r="LUS45" s="12"/>
      <c r="LUT45" s="12"/>
      <c r="LVK45" s="12"/>
      <c r="LVL45" s="12"/>
      <c r="LWC45" s="12"/>
      <c r="LWD45" s="12"/>
      <c r="LWU45" s="12"/>
      <c r="LWV45" s="12"/>
      <c r="LXM45" s="12"/>
      <c r="LXN45" s="12"/>
      <c r="LYE45" s="12"/>
      <c r="LYF45" s="12"/>
      <c r="LYW45" s="12"/>
      <c r="LYX45" s="12"/>
      <c r="LZO45" s="12"/>
      <c r="LZP45" s="12"/>
      <c r="MAG45" s="12"/>
      <c r="MAH45" s="12"/>
      <c r="MAY45" s="12"/>
      <c r="MAZ45" s="12"/>
      <c r="MBQ45" s="12"/>
      <c r="MBR45" s="12"/>
      <c r="MCI45" s="12"/>
      <c r="MCJ45" s="12"/>
      <c r="MDA45" s="12"/>
      <c r="MDB45" s="12"/>
      <c r="MDS45" s="12"/>
      <c r="MDT45" s="12"/>
      <c r="MEK45" s="12"/>
      <c r="MEL45" s="12"/>
      <c r="MFC45" s="12"/>
      <c r="MFD45" s="12"/>
      <c r="MFU45" s="12"/>
      <c r="MFV45" s="12"/>
      <c r="MGM45" s="12"/>
      <c r="MGN45" s="12"/>
      <c r="MHE45" s="12"/>
      <c r="MHF45" s="12"/>
      <c r="MHW45" s="12"/>
      <c r="MHX45" s="12"/>
      <c r="MIO45" s="12"/>
      <c r="MIP45" s="12"/>
      <c r="MJG45" s="12"/>
      <c r="MJH45" s="12"/>
      <c r="MJY45" s="12"/>
      <c r="MJZ45" s="12"/>
      <c r="MKQ45" s="12"/>
      <c r="MKR45" s="12"/>
      <c r="MLI45" s="12"/>
      <c r="MLJ45" s="12"/>
      <c r="MMA45" s="12"/>
      <c r="MMB45" s="12"/>
      <c r="MMS45" s="12"/>
      <c r="MMT45" s="12"/>
      <c r="MNK45" s="12"/>
      <c r="MNL45" s="12"/>
      <c r="MOC45" s="12"/>
      <c r="MOD45" s="12"/>
      <c r="MOU45" s="12"/>
      <c r="MOV45" s="12"/>
      <c r="MPM45" s="12"/>
      <c r="MPN45" s="12"/>
      <c r="MQE45" s="12"/>
      <c r="MQF45" s="12"/>
      <c r="MQW45" s="12"/>
      <c r="MQX45" s="12"/>
      <c r="MRO45" s="12"/>
      <c r="MRP45" s="12"/>
      <c r="MSG45" s="12"/>
      <c r="MSH45" s="12"/>
      <c r="MSY45" s="12"/>
      <c r="MSZ45" s="12"/>
      <c r="MTQ45" s="12"/>
      <c r="MTR45" s="12"/>
      <c r="MUI45" s="12"/>
      <c r="MUJ45" s="12"/>
      <c r="MVA45" s="12"/>
      <c r="MVB45" s="12"/>
      <c r="MVS45" s="12"/>
      <c r="MVT45" s="12"/>
      <c r="MWK45" s="12"/>
      <c r="MWL45" s="12"/>
      <c r="MXC45" s="12"/>
      <c r="MXD45" s="12"/>
      <c r="MXU45" s="12"/>
      <c r="MXV45" s="12"/>
      <c r="MYM45" s="12"/>
      <c r="MYN45" s="12"/>
      <c r="MZE45" s="12"/>
      <c r="MZF45" s="12"/>
      <c r="MZW45" s="12"/>
      <c r="MZX45" s="12"/>
      <c r="NAO45" s="12"/>
      <c r="NAP45" s="12"/>
      <c r="NBG45" s="12"/>
      <c r="NBH45" s="12"/>
      <c r="NBY45" s="12"/>
      <c r="NBZ45" s="12"/>
      <c r="NCQ45" s="12"/>
      <c r="NCR45" s="12"/>
      <c r="NDI45" s="12"/>
      <c r="NDJ45" s="12"/>
      <c r="NEA45" s="12"/>
      <c r="NEB45" s="12"/>
      <c r="NES45" s="12"/>
      <c r="NET45" s="12"/>
      <c r="NFK45" s="12"/>
      <c r="NFL45" s="12"/>
      <c r="NGC45" s="12"/>
      <c r="NGD45" s="12"/>
      <c r="NGU45" s="12"/>
      <c r="NGV45" s="12"/>
      <c r="NHM45" s="12"/>
      <c r="NHN45" s="12"/>
      <c r="NIE45" s="12"/>
      <c r="NIF45" s="12"/>
      <c r="NIW45" s="12"/>
      <c r="NIX45" s="12"/>
      <c r="NJO45" s="12"/>
      <c r="NJP45" s="12"/>
      <c r="NKG45" s="12"/>
      <c r="NKH45" s="12"/>
      <c r="NKY45" s="12"/>
      <c r="NKZ45" s="12"/>
      <c r="NLQ45" s="12"/>
      <c r="NLR45" s="12"/>
      <c r="NMI45" s="12"/>
      <c r="NMJ45" s="12"/>
      <c r="NNA45" s="12"/>
      <c r="NNB45" s="12"/>
      <c r="NNS45" s="12"/>
      <c r="NNT45" s="12"/>
      <c r="NOK45" s="12"/>
      <c r="NOL45" s="12"/>
      <c r="NPC45" s="12"/>
      <c r="NPD45" s="12"/>
      <c r="NPU45" s="12"/>
      <c r="NPV45" s="12"/>
      <c r="NQM45" s="12"/>
      <c r="NQN45" s="12"/>
      <c r="NRE45" s="12"/>
      <c r="NRF45" s="12"/>
      <c r="NRW45" s="12"/>
      <c r="NRX45" s="12"/>
      <c r="NSO45" s="12"/>
      <c r="NSP45" s="12"/>
      <c r="NTG45" s="12"/>
      <c r="NTH45" s="12"/>
      <c r="NTY45" s="12"/>
      <c r="NTZ45" s="12"/>
      <c r="NUQ45" s="12"/>
      <c r="NUR45" s="12"/>
      <c r="NVI45" s="12"/>
      <c r="NVJ45" s="12"/>
      <c r="NWA45" s="12"/>
      <c r="NWB45" s="12"/>
      <c r="NWS45" s="12"/>
      <c r="NWT45" s="12"/>
      <c r="NXK45" s="12"/>
      <c r="NXL45" s="12"/>
      <c r="NYC45" s="12"/>
      <c r="NYD45" s="12"/>
      <c r="NYU45" s="12"/>
      <c r="NYV45" s="12"/>
      <c r="NZM45" s="12"/>
      <c r="NZN45" s="12"/>
      <c r="OAE45" s="12"/>
      <c r="OAF45" s="12"/>
      <c r="OAW45" s="12"/>
      <c r="OAX45" s="12"/>
      <c r="OBO45" s="12"/>
      <c r="OBP45" s="12"/>
      <c r="OCG45" s="12"/>
      <c r="OCH45" s="12"/>
      <c r="OCY45" s="12"/>
      <c r="OCZ45" s="12"/>
      <c r="ODQ45" s="12"/>
      <c r="ODR45" s="12"/>
      <c r="OEI45" s="12"/>
      <c r="OEJ45" s="12"/>
      <c r="OFA45" s="12"/>
      <c r="OFB45" s="12"/>
      <c r="OFS45" s="12"/>
      <c r="OFT45" s="12"/>
      <c r="OGK45" s="12"/>
      <c r="OGL45" s="12"/>
      <c r="OHC45" s="12"/>
      <c r="OHD45" s="12"/>
      <c r="OHU45" s="12"/>
      <c r="OHV45" s="12"/>
      <c r="OIM45" s="12"/>
      <c r="OIN45" s="12"/>
      <c r="OJE45" s="12"/>
      <c r="OJF45" s="12"/>
      <c r="OJW45" s="12"/>
      <c r="OJX45" s="12"/>
      <c r="OKO45" s="12"/>
      <c r="OKP45" s="12"/>
      <c r="OLG45" s="12"/>
      <c r="OLH45" s="12"/>
      <c r="OLY45" s="12"/>
      <c r="OLZ45" s="12"/>
      <c r="OMQ45" s="12"/>
      <c r="OMR45" s="12"/>
      <c r="ONI45" s="12"/>
      <c r="ONJ45" s="12"/>
      <c r="OOA45" s="12"/>
      <c r="OOB45" s="12"/>
      <c r="OOS45" s="12"/>
      <c r="OOT45" s="12"/>
      <c r="OPK45" s="12"/>
      <c r="OPL45" s="12"/>
      <c r="OQC45" s="12"/>
      <c r="OQD45" s="12"/>
      <c r="OQU45" s="12"/>
      <c r="OQV45" s="12"/>
      <c r="ORM45" s="12"/>
      <c r="ORN45" s="12"/>
      <c r="OSE45" s="12"/>
      <c r="OSF45" s="12"/>
      <c r="OSW45" s="12"/>
      <c r="OSX45" s="12"/>
      <c r="OTO45" s="12"/>
      <c r="OTP45" s="12"/>
      <c r="OUG45" s="12"/>
      <c r="OUH45" s="12"/>
      <c r="OUY45" s="12"/>
      <c r="OUZ45" s="12"/>
      <c r="OVQ45" s="12"/>
      <c r="OVR45" s="12"/>
      <c r="OWI45" s="12"/>
      <c r="OWJ45" s="12"/>
      <c r="OXA45" s="12"/>
      <c r="OXB45" s="12"/>
      <c r="OXS45" s="12"/>
      <c r="OXT45" s="12"/>
      <c r="OYK45" s="12"/>
      <c r="OYL45" s="12"/>
      <c r="OZC45" s="12"/>
      <c r="OZD45" s="12"/>
      <c r="OZU45" s="12"/>
      <c r="OZV45" s="12"/>
      <c r="PAM45" s="12"/>
      <c r="PAN45" s="12"/>
      <c r="PBE45" s="12"/>
      <c r="PBF45" s="12"/>
      <c r="PBW45" s="12"/>
      <c r="PBX45" s="12"/>
      <c r="PCO45" s="12"/>
      <c r="PCP45" s="12"/>
      <c r="PDG45" s="12"/>
      <c r="PDH45" s="12"/>
      <c r="PDY45" s="12"/>
      <c r="PDZ45" s="12"/>
      <c r="PEQ45" s="12"/>
      <c r="PER45" s="12"/>
      <c r="PFI45" s="12"/>
      <c r="PFJ45" s="12"/>
      <c r="PGA45" s="12"/>
      <c r="PGB45" s="12"/>
      <c r="PGS45" s="12"/>
      <c r="PGT45" s="12"/>
      <c r="PHK45" s="12"/>
      <c r="PHL45" s="12"/>
      <c r="PIC45" s="12"/>
      <c r="PID45" s="12"/>
      <c r="PIU45" s="12"/>
      <c r="PIV45" s="12"/>
      <c r="PJM45" s="12"/>
      <c r="PJN45" s="12"/>
      <c r="PKE45" s="12"/>
      <c r="PKF45" s="12"/>
      <c r="PKW45" s="12"/>
      <c r="PKX45" s="12"/>
      <c r="PLO45" s="12"/>
      <c r="PLP45" s="12"/>
      <c r="PMG45" s="12"/>
      <c r="PMH45" s="12"/>
      <c r="PMY45" s="12"/>
      <c r="PMZ45" s="12"/>
      <c r="PNQ45" s="12"/>
      <c r="PNR45" s="12"/>
      <c r="POI45" s="12"/>
      <c r="POJ45" s="12"/>
      <c r="PPA45" s="12"/>
      <c r="PPB45" s="12"/>
      <c r="PPS45" s="12"/>
      <c r="PPT45" s="12"/>
      <c r="PQK45" s="12"/>
      <c r="PQL45" s="12"/>
      <c r="PRC45" s="12"/>
      <c r="PRD45" s="12"/>
      <c r="PRU45" s="12"/>
      <c r="PRV45" s="12"/>
      <c r="PSM45" s="12"/>
      <c r="PSN45" s="12"/>
      <c r="PTE45" s="12"/>
      <c r="PTF45" s="12"/>
      <c r="PTW45" s="12"/>
      <c r="PTX45" s="12"/>
      <c r="PUO45" s="12"/>
      <c r="PUP45" s="12"/>
      <c r="PVG45" s="12"/>
      <c r="PVH45" s="12"/>
      <c r="PVY45" s="12"/>
      <c r="PVZ45" s="12"/>
      <c r="PWQ45" s="12"/>
      <c r="PWR45" s="12"/>
      <c r="PXI45" s="12"/>
      <c r="PXJ45" s="12"/>
      <c r="PYA45" s="12"/>
      <c r="PYB45" s="12"/>
      <c r="PYS45" s="12"/>
      <c r="PYT45" s="12"/>
      <c r="PZK45" s="12"/>
      <c r="PZL45" s="12"/>
      <c r="QAC45" s="12"/>
      <c r="QAD45" s="12"/>
      <c r="QAU45" s="12"/>
      <c r="QAV45" s="12"/>
      <c r="QBM45" s="12"/>
      <c r="QBN45" s="12"/>
      <c r="QCE45" s="12"/>
      <c r="QCF45" s="12"/>
      <c r="QCW45" s="12"/>
      <c r="QCX45" s="12"/>
      <c r="QDO45" s="12"/>
      <c r="QDP45" s="12"/>
      <c r="QEG45" s="12"/>
      <c r="QEH45" s="12"/>
      <c r="QEY45" s="12"/>
      <c r="QEZ45" s="12"/>
      <c r="QFQ45" s="12"/>
      <c r="QFR45" s="12"/>
      <c r="QGI45" s="12"/>
      <c r="QGJ45" s="12"/>
      <c r="QHA45" s="12"/>
      <c r="QHB45" s="12"/>
      <c r="QHS45" s="12"/>
      <c r="QHT45" s="12"/>
      <c r="QIK45" s="12"/>
      <c r="QIL45" s="12"/>
      <c r="QJC45" s="12"/>
      <c r="QJD45" s="12"/>
      <c r="QJU45" s="12"/>
      <c r="QJV45" s="12"/>
      <c r="QKM45" s="12"/>
      <c r="QKN45" s="12"/>
      <c r="QLE45" s="12"/>
      <c r="QLF45" s="12"/>
      <c r="QLW45" s="12"/>
      <c r="QLX45" s="12"/>
      <c r="QMO45" s="12"/>
      <c r="QMP45" s="12"/>
      <c r="QNG45" s="12"/>
      <c r="QNH45" s="12"/>
      <c r="QNY45" s="12"/>
      <c r="QNZ45" s="12"/>
      <c r="QOQ45" s="12"/>
      <c r="QOR45" s="12"/>
      <c r="QPI45" s="12"/>
      <c r="QPJ45" s="12"/>
      <c r="QQA45" s="12"/>
      <c r="QQB45" s="12"/>
      <c r="QQS45" s="12"/>
      <c r="QQT45" s="12"/>
      <c r="QRK45" s="12"/>
      <c r="QRL45" s="12"/>
      <c r="QSC45" s="12"/>
      <c r="QSD45" s="12"/>
      <c r="QSU45" s="12"/>
      <c r="QSV45" s="12"/>
      <c r="QTM45" s="12"/>
      <c r="QTN45" s="12"/>
      <c r="QUE45" s="12"/>
      <c r="QUF45" s="12"/>
      <c r="QUW45" s="12"/>
      <c r="QUX45" s="12"/>
      <c r="QVO45" s="12"/>
      <c r="QVP45" s="12"/>
      <c r="QWG45" s="12"/>
      <c r="QWH45" s="12"/>
      <c r="QWY45" s="12"/>
      <c r="QWZ45" s="12"/>
      <c r="QXQ45" s="12"/>
      <c r="QXR45" s="12"/>
      <c r="QYI45" s="12"/>
      <c r="QYJ45" s="12"/>
      <c r="QZA45" s="12"/>
      <c r="QZB45" s="12"/>
      <c r="QZS45" s="12"/>
      <c r="QZT45" s="12"/>
      <c r="RAK45" s="12"/>
      <c r="RAL45" s="12"/>
      <c r="RBC45" s="12"/>
      <c r="RBD45" s="12"/>
      <c r="RBU45" s="12"/>
      <c r="RBV45" s="12"/>
      <c r="RCM45" s="12"/>
      <c r="RCN45" s="12"/>
      <c r="RDE45" s="12"/>
      <c r="RDF45" s="12"/>
      <c r="RDW45" s="12"/>
      <c r="RDX45" s="12"/>
      <c r="REO45" s="12"/>
      <c r="REP45" s="12"/>
      <c r="RFG45" s="12"/>
      <c r="RFH45" s="12"/>
      <c r="RFY45" s="12"/>
      <c r="RFZ45" s="12"/>
      <c r="RGQ45" s="12"/>
      <c r="RGR45" s="12"/>
      <c r="RHI45" s="12"/>
      <c r="RHJ45" s="12"/>
      <c r="RIA45" s="12"/>
      <c r="RIB45" s="12"/>
      <c r="RIS45" s="12"/>
      <c r="RIT45" s="12"/>
      <c r="RJK45" s="12"/>
      <c r="RJL45" s="12"/>
      <c r="RKC45" s="12"/>
      <c r="RKD45" s="12"/>
      <c r="RKU45" s="12"/>
      <c r="RKV45" s="12"/>
      <c r="RLM45" s="12"/>
      <c r="RLN45" s="12"/>
      <c r="RME45" s="12"/>
      <c r="RMF45" s="12"/>
      <c r="RMW45" s="12"/>
      <c r="RMX45" s="12"/>
      <c r="RNO45" s="12"/>
      <c r="RNP45" s="12"/>
      <c r="ROG45" s="12"/>
      <c r="ROH45" s="12"/>
      <c r="ROY45" s="12"/>
      <c r="ROZ45" s="12"/>
      <c r="RPQ45" s="12"/>
      <c r="RPR45" s="12"/>
      <c r="RQI45" s="12"/>
      <c r="RQJ45" s="12"/>
      <c r="RRA45" s="12"/>
      <c r="RRB45" s="12"/>
      <c r="RRS45" s="12"/>
      <c r="RRT45" s="12"/>
      <c r="RSK45" s="12"/>
      <c r="RSL45" s="12"/>
      <c r="RTC45" s="12"/>
      <c r="RTD45" s="12"/>
      <c r="RTU45" s="12"/>
      <c r="RTV45" s="12"/>
      <c r="RUM45" s="12"/>
      <c r="RUN45" s="12"/>
      <c r="RVE45" s="12"/>
      <c r="RVF45" s="12"/>
      <c r="RVW45" s="12"/>
      <c r="RVX45" s="12"/>
      <c r="RWO45" s="12"/>
      <c r="RWP45" s="12"/>
      <c r="RXG45" s="12"/>
      <c r="RXH45" s="12"/>
      <c r="RXY45" s="12"/>
      <c r="RXZ45" s="12"/>
      <c r="RYQ45" s="12"/>
      <c r="RYR45" s="12"/>
      <c r="RZI45" s="12"/>
      <c r="RZJ45" s="12"/>
      <c r="SAA45" s="12"/>
      <c r="SAB45" s="12"/>
      <c r="SAS45" s="12"/>
      <c r="SAT45" s="12"/>
      <c r="SBK45" s="12"/>
      <c r="SBL45" s="12"/>
      <c r="SCC45" s="12"/>
      <c r="SCD45" s="12"/>
      <c r="SCU45" s="12"/>
      <c r="SCV45" s="12"/>
      <c r="SDM45" s="12"/>
      <c r="SDN45" s="12"/>
      <c r="SEE45" s="12"/>
      <c r="SEF45" s="12"/>
      <c r="SEW45" s="12"/>
      <c r="SEX45" s="12"/>
      <c r="SFO45" s="12"/>
      <c r="SFP45" s="12"/>
      <c r="SGG45" s="12"/>
      <c r="SGH45" s="12"/>
      <c r="SGY45" s="12"/>
      <c r="SGZ45" s="12"/>
      <c r="SHQ45" s="12"/>
      <c r="SHR45" s="12"/>
      <c r="SII45" s="12"/>
      <c r="SIJ45" s="12"/>
      <c r="SJA45" s="12"/>
      <c r="SJB45" s="12"/>
      <c r="SJS45" s="12"/>
      <c r="SJT45" s="12"/>
      <c r="SKK45" s="12"/>
      <c r="SKL45" s="12"/>
      <c r="SLC45" s="12"/>
      <c r="SLD45" s="12"/>
      <c r="SLU45" s="12"/>
      <c r="SLV45" s="12"/>
      <c r="SMM45" s="12"/>
      <c r="SMN45" s="12"/>
      <c r="SNE45" s="12"/>
      <c r="SNF45" s="12"/>
      <c r="SNW45" s="12"/>
      <c r="SNX45" s="12"/>
      <c r="SOO45" s="12"/>
      <c r="SOP45" s="12"/>
      <c r="SPG45" s="12"/>
      <c r="SPH45" s="12"/>
      <c r="SPY45" s="12"/>
      <c r="SPZ45" s="12"/>
      <c r="SQQ45" s="12"/>
      <c r="SQR45" s="12"/>
      <c r="SRI45" s="12"/>
      <c r="SRJ45" s="12"/>
      <c r="SSA45" s="12"/>
      <c r="SSB45" s="12"/>
      <c r="SSS45" s="12"/>
      <c r="SST45" s="12"/>
      <c r="STK45" s="12"/>
      <c r="STL45" s="12"/>
      <c r="SUC45" s="12"/>
      <c r="SUD45" s="12"/>
      <c r="SUU45" s="12"/>
      <c r="SUV45" s="12"/>
      <c r="SVM45" s="12"/>
      <c r="SVN45" s="12"/>
      <c r="SWE45" s="12"/>
      <c r="SWF45" s="12"/>
      <c r="SWW45" s="12"/>
      <c r="SWX45" s="12"/>
      <c r="SXO45" s="12"/>
      <c r="SXP45" s="12"/>
      <c r="SYG45" s="12"/>
      <c r="SYH45" s="12"/>
      <c r="SYY45" s="12"/>
      <c r="SYZ45" s="12"/>
      <c r="SZQ45" s="12"/>
      <c r="SZR45" s="12"/>
      <c r="TAI45" s="12"/>
      <c r="TAJ45" s="12"/>
      <c r="TBA45" s="12"/>
      <c r="TBB45" s="12"/>
      <c r="TBS45" s="12"/>
      <c r="TBT45" s="12"/>
      <c r="TCK45" s="12"/>
      <c r="TCL45" s="12"/>
      <c r="TDC45" s="12"/>
      <c r="TDD45" s="12"/>
      <c r="TDU45" s="12"/>
      <c r="TDV45" s="12"/>
      <c r="TEM45" s="12"/>
      <c r="TEN45" s="12"/>
      <c r="TFE45" s="12"/>
      <c r="TFF45" s="12"/>
      <c r="TFW45" s="12"/>
      <c r="TFX45" s="12"/>
      <c r="TGO45" s="12"/>
      <c r="TGP45" s="12"/>
      <c r="THG45" s="12"/>
      <c r="THH45" s="12"/>
      <c r="THY45" s="12"/>
      <c r="THZ45" s="12"/>
      <c r="TIQ45" s="12"/>
      <c r="TIR45" s="12"/>
      <c r="TJI45" s="12"/>
      <c r="TJJ45" s="12"/>
      <c r="TKA45" s="12"/>
      <c r="TKB45" s="12"/>
      <c r="TKS45" s="12"/>
      <c r="TKT45" s="12"/>
      <c r="TLK45" s="12"/>
      <c r="TLL45" s="12"/>
      <c r="TMC45" s="12"/>
      <c r="TMD45" s="12"/>
      <c r="TMU45" s="12"/>
      <c r="TMV45" s="12"/>
      <c r="TNM45" s="12"/>
      <c r="TNN45" s="12"/>
      <c r="TOE45" s="12"/>
      <c r="TOF45" s="12"/>
      <c r="TOW45" s="12"/>
      <c r="TOX45" s="12"/>
      <c r="TPO45" s="12"/>
      <c r="TPP45" s="12"/>
      <c r="TQG45" s="12"/>
      <c r="TQH45" s="12"/>
      <c r="TQY45" s="12"/>
      <c r="TQZ45" s="12"/>
      <c r="TRQ45" s="12"/>
      <c r="TRR45" s="12"/>
      <c r="TSI45" s="12"/>
      <c r="TSJ45" s="12"/>
      <c r="TTA45" s="12"/>
      <c r="TTB45" s="12"/>
      <c r="TTS45" s="12"/>
      <c r="TTT45" s="12"/>
      <c r="TUK45" s="12"/>
      <c r="TUL45" s="12"/>
      <c r="TVC45" s="12"/>
      <c r="TVD45" s="12"/>
      <c r="TVU45" s="12"/>
      <c r="TVV45" s="12"/>
      <c r="TWM45" s="12"/>
      <c r="TWN45" s="12"/>
      <c r="TXE45" s="12"/>
      <c r="TXF45" s="12"/>
      <c r="TXW45" s="12"/>
      <c r="TXX45" s="12"/>
      <c r="TYO45" s="12"/>
      <c r="TYP45" s="12"/>
      <c r="TZG45" s="12"/>
      <c r="TZH45" s="12"/>
      <c r="TZY45" s="12"/>
      <c r="TZZ45" s="12"/>
      <c r="UAQ45" s="12"/>
      <c r="UAR45" s="12"/>
      <c r="UBI45" s="12"/>
      <c r="UBJ45" s="12"/>
      <c r="UCA45" s="12"/>
      <c r="UCB45" s="12"/>
      <c r="UCS45" s="12"/>
      <c r="UCT45" s="12"/>
      <c r="UDK45" s="12"/>
      <c r="UDL45" s="12"/>
      <c r="UEC45" s="12"/>
      <c r="UED45" s="12"/>
      <c r="UEU45" s="12"/>
      <c r="UEV45" s="12"/>
      <c r="UFM45" s="12"/>
      <c r="UFN45" s="12"/>
      <c r="UGE45" s="12"/>
      <c r="UGF45" s="12"/>
      <c r="UGW45" s="12"/>
      <c r="UGX45" s="12"/>
      <c r="UHO45" s="12"/>
      <c r="UHP45" s="12"/>
      <c r="UIG45" s="12"/>
      <c r="UIH45" s="12"/>
      <c r="UIY45" s="12"/>
      <c r="UIZ45" s="12"/>
      <c r="UJQ45" s="12"/>
      <c r="UJR45" s="12"/>
      <c r="UKI45" s="12"/>
      <c r="UKJ45" s="12"/>
      <c r="ULA45" s="12"/>
      <c r="ULB45" s="12"/>
      <c r="ULS45" s="12"/>
      <c r="ULT45" s="12"/>
      <c r="UMK45" s="12"/>
      <c r="UML45" s="12"/>
      <c r="UNC45" s="12"/>
      <c r="UND45" s="12"/>
      <c r="UNU45" s="12"/>
      <c r="UNV45" s="12"/>
      <c r="UOM45" s="12"/>
      <c r="UON45" s="12"/>
      <c r="UPE45" s="12"/>
      <c r="UPF45" s="12"/>
      <c r="UPW45" s="12"/>
      <c r="UPX45" s="12"/>
      <c r="UQO45" s="12"/>
      <c r="UQP45" s="12"/>
      <c r="URG45" s="12"/>
      <c r="URH45" s="12"/>
      <c r="URY45" s="12"/>
      <c r="URZ45" s="12"/>
      <c r="USQ45" s="12"/>
      <c r="USR45" s="12"/>
      <c r="UTI45" s="12"/>
      <c r="UTJ45" s="12"/>
      <c r="UUA45" s="12"/>
      <c r="UUB45" s="12"/>
      <c r="UUS45" s="12"/>
      <c r="UUT45" s="12"/>
      <c r="UVK45" s="12"/>
      <c r="UVL45" s="12"/>
      <c r="UWC45" s="12"/>
      <c r="UWD45" s="12"/>
      <c r="UWU45" s="12"/>
      <c r="UWV45" s="12"/>
      <c r="UXM45" s="12"/>
      <c r="UXN45" s="12"/>
      <c r="UYE45" s="12"/>
      <c r="UYF45" s="12"/>
      <c r="UYW45" s="12"/>
      <c r="UYX45" s="12"/>
      <c r="UZO45" s="12"/>
      <c r="UZP45" s="12"/>
      <c r="VAG45" s="12"/>
      <c r="VAH45" s="12"/>
      <c r="VAY45" s="12"/>
      <c r="VAZ45" s="12"/>
      <c r="VBQ45" s="12"/>
      <c r="VBR45" s="12"/>
      <c r="VCI45" s="12"/>
      <c r="VCJ45" s="12"/>
      <c r="VDA45" s="12"/>
      <c r="VDB45" s="12"/>
      <c r="VDS45" s="12"/>
      <c r="VDT45" s="12"/>
      <c r="VEK45" s="12"/>
      <c r="VEL45" s="12"/>
      <c r="VFC45" s="12"/>
      <c r="VFD45" s="12"/>
      <c r="VFU45" s="12"/>
      <c r="VFV45" s="12"/>
      <c r="VGM45" s="12"/>
      <c r="VGN45" s="12"/>
      <c r="VHE45" s="12"/>
      <c r="VHF45" s="12"/>
      <c r="VHW45" s="12"/>
      <c r="VHX45" s="12"/>
      <c r="VIO45" s="12"/>
      <c r="VIP45" s="12"/>
      <c r="VJG45" s="12"/>
      <c r="VJH45" s="12"/>
      <c r="VJY45" s="12"/>
      <c r="VJZ45" s="12"/>
      <c r="VKQ45" s="12"/>
      <c r="VKR45" s="12"/>
      <c r="VLI45" s="12"/>
      <c r="VLJ45" s="12"/>
      <c r="VMA45" s="12"/>
      <c r="VMB45" s="12"/>
      <c r="VMS45" s="12"/>
      <c r="VMT45" s="12"/>
      <c r="VNK45" s="12"/>
      <c r="VNL45" s="12"/>
      <c r="VOC45" s="12"/>
      <c r="VOD45" s="12"/>
      <c r="VOU45" s="12"/>
      <c r="VOV45" s="12"/>
      <c r="VPM45" s="12"/>
      <c r="VPN45" s="12"/>
      <c r="VQE45" s="12"/>
      <c r="VQF45" s="12"/>
      <c r="VQW45" s="12"/>
      <c r="VQX45" s="12"/>
      <c r="VRO45" s="12"/>
      <c r="VRP45" s="12"/>
      <c r="VSG45" s="12"/>
      <c r="VSH45" s="12"/>
      <c r="VSY45" s="12"/>
      <c r="VSZ45" s="12"/>
      <c r="VTQ45" s="12"/>
      <c r="VTR45" s="12"/>
      <c r="VUI45" s="12"/>
      <c r="VUJ45" s="12"/>
      <c r="VVA45" s="12"/>
      <c r="VVB45" s="12"/>
      <c r="VVS45" s="12"/>
      <c r="VVT45" s="12"/>
      <c r="VWK45" s="12"/>
      <c r="VWL45" s="12"/>
      <c r="VXC45" s="12"/>
      <c r="VXD45" s="12"/>
      <c r="VXU45" s="12"/>
      <c r="VXV45" s="12"/>
      <c r="VYM45" s="12"/>
      <c r="VYN45" s="12"/>
      <c r="VZE45" s="12"/>
      <c r="VZF45" s="12"/>
      <c r="VZW45" s="12"/>
      <c r="VZX45" s="12"/>
      <c r="WAO45" s="12"/>
      <c r="WAP45" s="12"/>
      <c r="WBG45" s="12"/>
      <c r="WBH45" s="12"/>
      <c r="WBY45" s="12"/>
      <c r="WBZ45" s="12"/>
      <c r="WCQ45" s="12"/>
      <c r="WCR45" s="12"/>
      <c r="WDI45" s="12"/>
      <c r="WDJ45" s="12"/>
      <c r="WEA45" s="12"/>
      <c r="WEB45" s="12"/>
      <c r="WES45" s="12"/>
      <c r="WET45" s="12"/>
      <c r="WFK45" s="12"/>
      <c r="WFL45" s="12"/>
      <c r="WGC45" s="12"/>
      <c r="WGD45" s="12"/>
      <c r="WGU45" s="12"/>
      <c r="WGV45" s="12"/>
      <c r="WHM45" s="12"/>
      <c r="WHN45" s="12"/>
      <c r="WIE45" s="12"/>
      <c r="WIF45" s="12"/>
      <c r="WIW45" s="12"/>
      <c r="WIX45" s="12"/>
      <c r="WJO45" s="12"/>
      <c r="WJP45" s="12"/>
      <c r="WKG45" s="12"/>
      <c r="WKH45" s="12"/>
      <c r="WKY45" s="12"/>
      <c r="WKZ45" s="12"/>
      <c r="WLQ45" s="12"/>
      <c r="WLR45" s="12"/>
      <c r="WMI45" s="12"/>
      <c r="WMJ45" s="12"/>
      <c r="WNA45" s="12"/>
      <c r="WNB45" s="12"/>
      <c r="WNS45" s="12"/>
      <c r="WNT45" s="12"/>
      <c r="WOK45" s="12"/>
      <c r="WOL45" s="12"/>
      <c r="WPC45" s="12"/>
      <c r="WPD45" s="12"/>
      <c r="WPU45" s="12"/>
      <c r="WPV45" s="12"/>
      <c r="WQM45" s="12"/>
      <c r="WQN45" s="12"/>
      <c r="WRE45" s="12"/>
      <c r="WRF45" s="12"/>
      <c r="WRW45" s="12"/>
      <c r="WRX45" s="12"/>
      <c r="WSO45" s="12"/>
      <c r="WSP45" s="12"/>
      <c r="WTG45" s="12"/>
      <c r="WTH45" s="12"/>
      <c r="WTY45" s="12"/>
      <c r="WTZ45" s="12"/>
      <c r="WUQ45" s="12"/>
      <c r="WUR45" s="12"/>
      <c r="WVI45" s="12"/>
      <c r="WVJ45" s="12"/>
      <c r="WWA45" s="12"/>
      <c r="WWB45" s="12"/>
      <c r="WWS45" s="12"/>
      <c r="WWT45" s="12"/>
      <c r="WXK45" s="12"/>
      <c r="WXL45" s="12"/>
      <c r="WYC45" s="12"/>
      <c r="WYD45" s="12"/>
      <c r="WYU45" s="12"/>
      <c r="WYV45" s="12"/>
      <c r="WZM45" s="12"/>
      <c r="WZN45" s="12"/>
      <c r="XAE45" s="12"/>
      <c r="XAF45" s="12"/>
      <c r="XAW45" s="12"/>
      <c r="XAX45" s="12"/>
      <c r="XBO45" s="12"/>
      <c r="XBP45" s="12"/>
      <c r="XCG45" s="12"/>
      <c r="XCH45" s="12"/>
      <c r="XCY45" s="12"/>
      <c r="XCZ45" s="12"/>
      <c r="XDQ45" s="12"/>
      <c r="XDR45" s="12"/>
      <c r="XEI45" s="12"/>
      <c r="XEJ45" s="12"/>
      <c r="XFA45" s="12"/>
      <c r="XFB45" s="12"/>
    </row>
    <row r="46" spans="1:1010 1027:2036 2053:3062 3079:4088 4105:5114 5131:6140 6157:7166 7183:8192 8209:9200 9217:10226 10243:11252 11269:12278 12295:13304 13321:14330 14347:15356 15373:16382" x14ac:dyDescent="0.35">
      <c r="A46" s="181" t="str">
        <f>'Balance Sheet - Standardized'!A48</f>
        <v xml:space="preserve">    + Total Intangible Assets</v>
      </c>
      <c r="B46" s="13" t="str">
        <f>'Balance Sheet - Standardized'!B48</f>
        <v>BS_DISCLOSED_INTANGIBLES</v>
      </c>
      <c r="C46" s="77">
        <f>IF('Balance Sheet - Standardized'!C48="",0,'Balance Sheet - Standardized'!C48)/'Balance Sheet - Standardized'!C$61</f>
        <v>0.25435730182661048</v>
      </c>
      <c r="D46" s="77">
        <f>IF('Balance Sheet - Standardized'!D48="",0,'Balance Sheet - Standardized'!D48)/'Balance Sheet - Standardized'!D$61</f>
        <v>0.23701860751889209</v>
      </c>
      <c r="E46" s="77">
        <f>IF('Balance Sheet - Standardized'!E48="",0,'Balance Sheet - Standardized'!E48)/'Balance Sheet - Standardized'!E$61</f>
        <v>0.18400179108296555</v>
      </c>
      <c r="F46" s="77">
        <f>IF('Balance Sheet - Standardized'!F48="",0,'Balance Sheet - Standardized'!F48)/'Balance Sheet - Standardized'!F$61</f>
        <v>0.17742657611020279</v>
      </c>
      <c r="G46" s="77">
        <f>IF('Balance Sheet - Standardized'!G48="",0,'Balance Sheet - Standardized'!G48)/'Balance Sheet - Standardized'!G$61</f>
        <v>0.16034501495111528</v>
      </c>
      <c r="H46" s="77">
        <f>IF('Balance Sheet - Standardized'!H48="",0,'Balance Sheet - Standardized'!H48)/'Balance Sheet - Standardized'!H$61</f>
        <v>0.13863320699639822</v>
      </c>
      <c r="I46" s="77">
        <f>IF('Balance Sheet - Standardized'!I48="",0,'Balance Sheet - Standardized'!I48)/'Balance Sheet - Standardized'!I$61</f>
        <v>0.12008392281465075</v>
      </c>
      <c r="J46" s="77">
        <f>IF('Balance Sheet - Standardized'!J48="",0,'Balance Sheet - Standardized'!J48)/'Balance Sheet - Standardized'!J$61</f>
        <v>0.14864683635973502</v>
      </c>
      <c r="K46" s="77">
        <f>IF('Balance Sheet - Standardized'!K48="",0,'Balance Sheet - Standardized'!K48)/'Balance Sheet - Standardized'!K$61</f>
        <v>0.14411390207199909</v>
      </c>
      <c r="L46" s="77">
        <f>IF('Balance Sheet - Standardized'!L48="",0,'Balance Sheet - Standardized'!L48)/'Balance Sheet - Standardized'!L$61</f>
        <v>0.12819384517313723</v>
      </c>
      <c r="M46" s="106"/>
      <c r="N46" s="106"/>
      <c r="O46" s="106"/>
      <c r="P46" s="106"/>
      <c r="Q46" s="106"/>
      <c r="R46" s="106"/>
      <c r="S46" s="74"/>
      <c r="T46" s="80"/>
      <c r="U46" s="80"/>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row>
    <row r="47" spans="1:1010 1027:2036 2053:3062 3079:4088 4105:5114 5131:6140 6157:7166 7183:8192 8209:9200 9217:10226 10243:11252 11269:12278 12295:13304 13321:14330 14347:15356 15373:16382" x14ac:dyDescent="0.35">
      <c r="A47" s="181" t="str">
        <f>'Balance Sheet - Standardized'!A49</f>
        <v xml:space="preserve">        + Goodwill</v>
      </c>
      <c r="B47" s="476" t="str">
        <f>'Balance Sheet - Standardized'!B49</f>
        <v>BS_GOODWILL</v>
      </c>
      <c r="C47" s="77">
        <f>IF('Balance Sheet - Standardized'!C49="",0,'Balance Sheet - Standardized'!C49)/'Balance Sheet - Standardized'!C$61</f>
        <v>0.15753976800713823</v>
      </c>
      <c r="D47" s="77">
        <f>IF('Balance Sheet - Standardized'!D49="",0,'Balance Sheet - Standardized'!D49)/'Balance Sheet - Standardized'!D$61</f>
        <v>0.15242316691434535</v>
      </c>
      <c r="E47" s="77">
        <f>IF('Balance Sheet - Standardized'!E49="",0,'Balance Sheet - Standardized'!E49)/'Balance Sheet - Standardized'!E$61</f>
        <v>0.12927581078487815</v>
      </c>
      <c r="F47" s="77">
        <f>IF('Balance Sheet - Standardized'!F49="",0,'Balance Sheet - Standardized'!F49)/'Balance Sheet - Standardized'!F$61</f>
        <v>0.12869318068253136</v>
      </c>
      <c r="G47" s="77">
        <f>IF('Balance Sheet - Standardized'!G49="",0,'Balance Sheet - Standardized'!G49)/'Balance Sheet - Standardized'!G$61</f>
        <v>0.11919526892727064</v>
      </c>
      <c r="H47" s="77">
        <f>IF('Balance Sheet - Standardized'!H49="",0,'Balance Sheet - Standardized'!H49)/'Balance Sheet - Standardized'!H$61</f>
        <v>0.10666917771133974</v>
      </c>
      <c r="I47" s="77">
        <f>IF('Balance Sheet - Standardized'!I49="",0,'Balance Sheet - Standardized'!I49)/'Balance Sheet - Standardized'!I$61</f>
        <v>9.4462416960176057E-2</v>
      </c>
      <c r="J47" s="77">
        <f>IF('Balance Sheet - Standardized'!J49="",0,'Balance Sheet - Standardized'!J49)/'Balance Sheet - Standardized'!J$61</f>
        <v>0.11147305742563635</v>
      </c>
      <c r="K47" s="77">
        <f>IF('Balance Sheet - Standardized'!K49="",0,'Balance Sheet - Standardized'!K49)/'Balance Sheet - Standardized'!K$61</f>
        <v>0.11074777173283945</v>
      </c>
      <c r="L47" s="77">
        <f>IF('Balance Sheet - Standardized'!L49="",0,'Balance Sheet - Standardized'!L49)/'Balance Sheet - Standardized'!L$61</f>
        <v>0.10044646042747932</v>
      </c>
      <c r="M47" s="106"/>
      <c r="N47" s="106"/>
      <c r="O47" s="106"/>
      <c r="P47" s="106"/>
      <c r="Q47" s="106"/>
      <c r="R47" s="106"/>
      <c r="S47" s="74"/>
      <c r="T47" s="84"/>
      <c r="U47" s="8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row>
    <row r="48" spans="1:1010 1027:2036 2053:3062 3079:4088 4105:5114 5131:6140 6157:7166 7183:8192 8209:9200 9217:10226 10243:11252 11269:12278 12295:13304 13321:14330 14347:15356 15373:16382" x14ac:dyDescent="0.35">
      <c r="A48" s="181" t="str">
        <f>'Balance Sheet - Standardized'!A50</f>
        <v xml:space="preserve">        + Other Intangible Assets</v>
      </c>
      <c r="B48" s="476" t="str">
        <f>'Balance Sheet - Standardized'!B50</f>
        <v>OTHER_INTANGIBLE_ASSETS_DETAILED</v>
      </c>
      <c r="C48" s="77">
        <f>IF('Balance Sheet - Standardized'!C50="",0,'Balance Sheet - Standardized'!C50)/'Balance Sheet - Standardized'!C$61</f>
        <v>9.6817533819472223E-2</v>
      </c>
      <c r="D48" s="77">
        <f>IF('Balance Sheet - Standardized'!D50="",0,'Balance Sheet - Standardized'!D50)/'Balance Sheet - Standardized'!D$61</f>
        <v>8.4595440604546754E-2</v>
      </c>
      <c r="E48" s="77">
        <f>IF('Balance Sheet - Standardized'!E50="",0,'Balance Sheet - Standardized'!E50)/'Balance Sheet - Standardized'!E$61</f>
        <v>5.4725980298087382E-2</v>
      </c>
      <c r="F48" s="77">
        <f>IF('Balance Sheet - Standardized'!F50="",0,'Balance Sheet - Standardized'!F50)/'Balance Sheet - Standardized'!F$61</f>
        <v>4.8733395427671425E-2</v>
      </c>
      <c r="G48" s="77">
        <f>IF('Balance Sheet - Standardized'!G50="",0,'Balance Sheet - Standardized'!G50)/'Balance Sheet - Standardized'!G$61</f>
        <v>4.1149746023844663E-2</v>
      </c>
      <c r="H48" s="77">
        <f>IF('Balance Sheet - Standardized'!H50="",0,'Balance Sheet - Standardized'!H50)/'Balance Sheet - Standardized'!H$61</f>
        <v>3.1964029285058503E-2</v>
      </c>
      <c r="I48" s="77">
        <f>IF('Balance Sheet - Standardized'!I50="",0,'Balance Sheet - Standardized'!I50)/'Balance Sheet - Standardized'!I$61</f>
        <v>2.5621505854474685E-2</v>
      </c>
      <c r="J48" s="77">
        <f>IF('Balance Sheet - Standardized'!J50="",0,'Balance Sheet - Standardized'!J50)/'Balance Sheet - Standardized'!J$61</f>
        <v>3.7173778934098657E-2</v>
      </c>
      <c r="K48" s="77">
        <f>IF('Balance Sheet - Standardized'!K50="",0,'Balance Sheet - Standardized'!K50)/'Balance Sheet - Standardized'!K$61</f>
        <v>3.3366130339159625E-2</v>
      </c>
      <c r="L48" s="77">
        <f>IF('Balance Sheet - Standardized'!L50="",0,'Balance Sheet - Standardized'!L50)/'Balance Sheet - Standardized'!L$61</f>
        <v>2.7747384745657893E-2</v>
      </c>
      <c r="M48" s="106"/>
      <c r="N48" s="106"/>
      <c r="O48" s="106"/>
      <c r="P48" s="106"/>
      <c r="Q48" s="106"/>
      <c r="R48" s="106"/>
      <c r="S48" s="74"/>
      <c r="T48" s="84"/>
      <c r="U48" s="8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row>
    <row r="49" spans="1:1010 1027:2036 2053:3062 3079:4088 4105:5114 5131:6140 6157:7166 7183:8192 8209:9200 9217:10226 10243:11252 11269:12278 12295:13304 13321:14330 14347:15356 15373:16382" x14ac:dyDescent="0.35">
      <c r="A49" s="181" t="str">
        <f>'Balance Sheet - Standardized'!A51</f>
        <v xml:space="preserve">    + Prepaid Expense</v>
      </c>
      <c r="B49" s="13" t="str">
        <f>'Balance Sheet - Standardized'!B51</f>
        <v>BS_PREPAID_EXPENSE_LT</v>
      </c>
      <c r="C49" s="77">
        <f>IF('Balance Sheet - Standardized'!C51="",0,'Balance Sheet - Standardized'!C51)/'Balance Sheet - Standardized'!C$61</f>
        <v>0</v>
      </c>
      <c r="D49" s="77">
        <f>IF('Balance Sheet - Standardized'!D51="",0,'Balance Sheet - Standardized'!D51)/'Balance Sheet - Standardized'!D$61</f>
        <v>0</v>
      </c>
      <c r="E49" s="77">
        <f>IF('Balance Sheet - Standardized'!E51="",0,'Balance Sheet - Standardized'!E51)/'Balance Sheet - Standardized'!E$61</f>
        <v>0</v>
      </c>
      <c r="F49" s="77">
        <f>IF('Balance Sheet - Standardized'!F51="",0,'Balance Sheet - Standardized'!F51)/'Balance Sheet - Standardized'!F$61</f>
        <v>0</v>
      </c>
      <c r="G49" s="77">
        <f>IF('Balance Sheet - Standardized'!G51="",0,'Balance Sheet - Standardized'!G51)/'Balance Sheet - Standardized'!G$61</f>
        <v>0</v>
      </c>
      <c r="H49" s="77">
        <f>IF('Balance Sheet - Standardized'!H51="",0,'Balance Sheet - Standardized'!H51)/'Balance Sheet - Standardized'!H$61</f>
        <v>0</v>
      </c>
      <c r="I49" s="77">
        <f>IF('Balance Sheet - Standardized'!I51="",0,'Balance Sheet - Standardized'!I51)/'Balance Sheet - Standardized'!I$61</f>
        <v>0</v>
      </c>
      <c r="J49" s="77">
        <f>IF('Balance Sheet - Standardized'!J51="",0,'Balance Sheet - Standardized'!J51)/'Balance Sheet - Standardized'!J$61</f>
        <v>0</v>
      </c>
      <c r="K49" s="77">
        <f>IF('Balance Sheet - Standardized'!K51="",0,'Balance Sheet - Standardized'!K51)/'Balance Sheet - Standardized'!K$61</f>
        <v>0</v>
      </c>
      <c r="L49" s="77">
        <f>IF('Balance Sheet - Standardized'!L51="",0,'Balance Sheet - Standardized'!L51)/'Balance Sheet - Standardized'!L$61</f>
        <v>0</v>
      </c>
      <c r="M49" s="106"/>
      <c r="N49" s="106"/>
      <c r="O49" s="106"/>
      <c r="P49" s="106"/>
      <c r="Q49" s="106"/>
      <c r="R49" s="106"/>
      <c r="S49" s="74"/>
      <c r="T49" s="80"/>
      <c r="U49" s="80"/>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row>
    <row r="50" spans="1:1010 1027:2036 2053:3062 3079:4088 4105:5114 5131:6140 6157:7166 7183:8192 8209:9200 9217:10226 10243:11252 11269:12278 12295:13304 13321:14330 14347:15356 15373:16382" x14ac:dyDescent="0.35">
      <c r="A50" s="181" t="str">
        <f>'Balance Sheet - Standardized'!A52</f>
        <v xml:space="preserve">    + LT Deferred Tax Assets</v>
      </c>
      <c r="B50" s="4" t="str">
        <f>'Balance Sheet - Standardized'!B52</f>
        <v>BS_DEFERRED_TAX_ASSETS_LT</v>
      </c>
      <c r="C50" s="77">
        <f>IF('Balance Sheet - Standardized'!C52="",0,'Balance Sheet - Standardized'!C52)/'Balance Sheet - Standardized'!C$61</f>
        <v>8.6664000082048755E-3</v>
      </c>
      <c r="D50" s="77">
        <f>IF('Balance Sheet - Standardized'!D52="",0,'Balance Sheet - Standardized'!D52)/'Balance Sheet - Standardized'!D$61</f>
        <v>1.0495383691149968E-2</v>
      </c>
      <c r="E50" s="77">
        <f>IF('Balance Sheet - Standardized'!E52="",0,'Balance Sheet - Standardized'!E52)/'Balance Sheet - Standardized'!E$61</f>
        <v>1.328319900211092E-2</v>
      </c>
      <c r="F50" s="77">
        <f>IF('Balance Sheet - Standardized'!F52="",0,'Balance Sheet - Standardized'!F52)/'Balance Sheet - Standardized'!F$61</f>
        <v>2.3501241220513516E-2</v>
      </c>
      <c r="G50" s="77">
        <f>IF('Balance Sheet - Standardized'!G52="",0,'Balance Sheet - Standardized'!G52)/'Balance Sheet - Standardized'!G$61</f>
        <v>1.7413755026063672E-2</v>
      </c>
      <c r="H50" s="77">
        <f>IF('Balance Sheet - Standardized'!H52="",0,'Balance Sheet - Standardized'!H52)/'Balance Sheet - Standardized'!H$61</f>
        <v>1.2732565895305132E-2</v>
      </c>
      <c r="I50" s="77">
        <f>IF('Balance Sheet - Standardized'!I52="",0,'Balance Sheet - Standardized'!I52)/'Balance Sheet - Standardized'!I$61</f>
        <v>1.3104848639209292E-2</v>
      </c>
      <c r="J50" s="77">
        <f>IF('Balance Sheet - Standardized'!J52="",0,'Balance Sheet - Standardized'!J52)/'Balance Sheet - Standardized'!J$61</f>
        <v>1.459780597054958E-2</v>
      </c>
      <c r="K50" s="77">
        <f>IF('Balance Sheet - Standardized'!K52="",0,'Balance Sheet - Standardized'!K52)/'Balance Sheet - Standardized'!K$61</f>
        <v>1.8982363278578118E-2</v>
      </c>
      <c r="L50" s="77">
        <f>IF('Balance Sheet - Standardized'!L52="",0,'Balance Sheet - Standardized'!L52)/'Balance Sheet - Standardized'!L$61</f>
        <v>2.3220937257681637E-2</v>
      </c>
      <c r="M50" s="106"/>
      <c r="N50" s="106"/>
      <c r="O50" s="106"/>
      <c r="P50" s="106"/>
      <c r="Q50" s="106"/>
      <c r="R50" s="106"/>
      <c r="S50" s="74"/>
      <c r="T50" s="80"/>
      <c r="U50" s="80"/>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row>
    <row r="51" spans="1:1010 1027:2036 2053:3062 3079:4088 4105:5114 5131:6140 6157:7166 7183:8192 8209:9200 9217:10226 10243:11252 11269:12278 12295:13304 13321:14330 14347:15356 15373:16382" x14ac:dyDescent="0.35">
      <c r="A51" s="181" t="str">
        <f>'Balance Sheet - Standardized'!A53</f>
        <v xml:space="preserve">    + LT Derivative &amp; Hedging Assets</v>
      </c>
      <c r="B51" s="13" t="str">
        <f>'Balance Sheet - Standardized'!B53</f>
        <v>BS_DERIV_&amp;_HEDGING_ASSETS_LT</v>
      </c>
      <c r="C51" s="77">
        <f>IF('Balance Sheet - Standardized'!C53="",0,'Balance Sheet - Standardized'!C53)/'Balance Sheet - Standardized'!C$61</f>
        <v>0</v>
      </c>
      <c r="D51" s="77">
        <f>IF('Balance Sheet - Standardized'!D53="",0,'Balance Sheet - Standardized'!D53)/'Balance Sheet - Standardized'!D$61</f>
        <v>0</v>
      </c>
      <c r="E51" s="77">
        <f>IF('Balance Sheet - Standardized'!E53="",0,'Balance Sheet - Standardized'!E53)/'Balance Sheet - Standardized'!E$61</f>
        <v>0</v>
      </c>
      <c r="F51" s="77">
        <f>IF('Balance Sheet - Standardized'!F53="",0,'Balance Sheet - Standardized'!F53)/'Balance Sheet - Standardized'!F$61</f>
        <v>0</v>
      </c>
      <c r="G51" s="77">
        <f>IF('Balance Sheet - Standardized'!G53="",0,'Balance Sheet - Standardized'!G53)/'Balance Sheet - Standardized'!G$61</f>
        <v>0</v>
      </c>
      <c r="H51" s="77">
        <f>IF('Balance Sheet - Standardized'!H53="",0,'Balance Sheet - Standardized'!H53)/'Balance Sheet - Standardized'!H$61</f>
        <v>0</v>
      </c>
      <c r="I51" s="77">
        <f>IF('Balance Sheet - Standardized'!I53="",0,'Balance Sheet - Standardized'!I53)/'Balance Sheet - Standardized'!I$61</f>
        <v>0</v>
      </c>
      <c r="J51" s="77">
        <f>IF('Balance Sheet - Standardized'!J53="",0,'Balance Sheet - Standardized'!J53)/'Balance Sheet - Standardized'!J$61</f>
        <v>0</v>
      </c>
      <c r="K51" s="77">
        <f>IF('Balance Sheet - Standardized'!K53="",0,'Balance Sheet - Standardized'!K53)/'Balance Sheet - Standardized'!K$61</f>
        <v>0</v>
      </c>
      <c r="L51" s="77">
        <f>IF('Balance Sheet - Standardized'!L53="",0,'Balance Sheet - Standardized'!L53)/'Balance Sheet - Standardized'!L$61</f>
        <v>0</v>
      </c>
      <c r="M51" s="106"/>
      <c r="N51" s="106"/>
      <c r="O51" s="106"/>
      <c r="P51" s="106"/>
      <c r="Q51" s="106"/>
      <c r="R51" s="106"/>
      <c r="S51" s="74"/>
      <c r="T51" s="80"/>
      <c r="U51" s="80"/>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row>
    <row r="52" spans="1:1010 1027:2036 2053:3062 3079:4088 4105:5114 5131:6140 6157:7166 7183:8192 8209:9200 9217:10226 10243:11252 11269:12278 12295:13304 13321:14330 14347:15356 15373:16382" x14ac:dyDescent="0.35">
      <c r="A52" s="181" t="str">
        <f>'Balance Sheet - Standardized'!A54</f>
        <v xml:space="preserve">    + Prepaid Pension Costs</v>
      </c>
      <c r="B52" s="4" t="str">
        <f>'Balance Sheet - Standardized'!B54</f>
        <v>BS_PREPAID_PENSION_COSTS_LT</v>
      </c>
      <c r="C52" s="77">
        <f>IF('Balance Sheet - Standardized'!C54="",0,'Balance Sheet - Standardized'!C54)/'Balance Sheet - Standardized'!C$61</f>
        <v>0</v>
      </c>
      <c r="D52" s="77">
        <f>IF('Balance Sheet - Standardized'!D54="",0,'Balance Sheet - Standardized'!D54)/'Balance Sheet - Standardized'!D$61</f>
        <v>0</v>
      </c>
      <c r="E52" s="77">
        <f>IF('Balance Sheet - Standardized'!E54="",0,'Balance Sheet - Standardized'!E54)/'Balance Sheet - Standardized'!E$61</f>
        <v>0</v>
      </c>
      <c r="F52" s="77">
        <f>IF('Balance Sheet - Standardized'!F54="",0,'Balance Sheet - Standardized'!F54)/'Balance Sheet - Standardized'!F$61</f>
        <v>0</v>
      </c>
      <c r="G52" s="77">
        <f>IF('Balance Sheet - Standardized'!G54="",0,'Balance Sheet - Standardized'!G54)/'Balance Sheet - Standardized'!G$61</f>
        <v>0</v>
      </c>
      <c r="H52" s="77">
        <f>IF('Balance Sheet - Standardized'!H54="",0,'Balance Sheet - Standardized'!H54)/'Balance Sheet - Standardized'!H$61</f>
        <v>0</v>
      </c>
      <c r="I52" s="77">
        <f>IF('Balance Sheet - Standardized'!I54="",0,'Balance Sheet - Standardized'!I54)/'Balance Sheet - Standardized'!I$61</f>
        <v>0</v>
      </c>
      <c r="J52" s="77">
        <f>IF('Balance Sheet - Standardized'!J54="",0,'Balance Sheet - Standardized'!J54)/'Balance Sheet - Standardized'!J$61</f>
        <v>0</v>
      </c>
      <c r="K52" s="77">
        <f>IF('Balance Sheet - Standardized'!K54="",0,'Balance Sheet - Standardized'!K54)/'Balance Sheet - Standardized'!K$61</f>
        <v>0</v>
      </c>
      <c r="L52" s="77">
        <f>IF('Balance Sheet - Standardized'!L54="",0,'Balance Sheet - Standardized'!L54)/'Balance Sheet - Standardized'!L$61</f>
        <v>0</v>
      </c>
      <c r="M52" s="106"/>
      <c r="N52" s="106"/>
      <c r="O52" s="106"/>
      <c r="P52" s="106"/>
      <c r="Q52" s="106"/>
      <c r="R52" s="106"/>
      <c r="S52" s="74"/>
      <c r="T52" s="80"/>
      <c r="U52" s="80"/>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row>
    <row r="53" spans="1:1010 1027:2036 2053:3062 3079:4088 4105:5114 5131:6140 6157:7166 7183:8192 8209:9200 9217:10226 10243:11252 11269:12278 12295:13304 13321:14330 14347:15356 15373:16382" x14ac:dyDescent="0.35">
      <c r="A53" s="181" t="str">
        <f>'Balance Sheet - Standardized'!A55</f>
        <v xml:space="preserve">    + Investments in Affiliates</v>
      </c>
      <c r="B53" s="4" t="str">
        <f>'Balance Sheet - Standardized'!B55</f>
        <v>BS_INVEST_IN_ASSOC_CO</v>
      </c>
      <c r="C53" s="77">
        <f>IF('Balance Sheet - Standardized'!C55="",0,'Balance Sheet - Standardized'!C55)/'Balance Sheet - Standardized'!C$61</f>
        <v>0</v>
      </c>
      <c r="D53" s="77">
        <f>IF('Balance Sheet - Standardized'!D55="",0,'Balance Sheet - Standardized'!D55)/'Balance Sheet - Standardized'!D$61</f>
        <v>0</v>
      </c>
      <c r="E53" s="77">
        <f>IF('Balance Sheet - Standardized'!E55="",0,'Balance Sheet - Standardized'!E55)/'Balance Sheet - Standardized'!E$61</f>
        <v>0</v>
      </c>
      <c r="F53" s="77">
        <f>IF('Balance Sheet - Standardized'!F55="",0,'Balance Sheet - Standardized'!F55)/'Balance Sheet - Standardized'!F$61</f>
        <v>0</v>
      </c>
      <c r="G53" s="77">
        <f>IF('Balance Sheet - Standardized'!G55="",0,'Balance Sheet - Standardized'!G55)/'Balance Sheet - Standardized'!G$61</f>
        <v>0</v>
      </c>
      <c r="H53" s="77">
        <f>IF('Balance Sheet - Standardized'!H55="",0,'Balance Sheet - Standardized'!H55)/'Balance Sheet - Standardized'!H$61</f>
        <v>0</v>
      </c>
      <c r="I53" s="77">
        <f>IF('Balance Sheet - Standardized'!I55="",0,'Balance Sheet - Standardized'!I55)/'Balance Sheet - Standardized'!I$61</f>
        <v>0</v>
      </c>
      <c r="J53" s="77">
        <f>IF('Balance Sheet - Standardized'!J55="",0,'Balance Sheet - Standardized'!J55)/'Balance Sheet - Standardized'!J$61</f>
        <v>0</v>
      </c>
      <c r="K53" s="77">
        <f>IF('Balance Sheet - Standardized'!K55="",0,'Balance Sheet - Standardized'!K55)/'Balance Sheet - Standardized'!K$61</f>
        <v>0</v>
      </c>
      <c r="L53" s="77">
        <f>IF('Balance Sheet - Standardized'!L55="",0,'Balance Sheet - Standardized'!L55)/'Balance Sheet - Standardized'!L$61</f>
        <v>0</v>
      </c>
      <c r="M53" s="106"/>
      <c r="N53" s="106"/>
      <c r="O53" s="106"/>
      <c r="P53" s="106"/>
      <c r="Q53" s="106"/>
      <c r="R53" s="106"/>
      <c r="S53" s="74"/>
      <c r="T53" s="80"/>
      <c r="U53" s="80"/>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row>
    <row r="54" spans="1:1010 1027:2036 2053:3062 3079:4088 4105:5114 5131:6140 6157:7166 7183:8192 8209:9200 9217:10226 10243:11252 11269:12278 12295:13304 13321:14330 14347:15356 15373:16382" x14ac:dyDescent="0.35">
      <c r="A54" s="181" t="str">
        <f>'Balance Sheet - Standardized'!A56</f>
        <v xml:space="preserve">    + Assets of Discontinued Operations LT</v>
      </c>
      <c r="B54" s="4" t="str">
        <f>'Balance Sheet - Standardized'!B56</f>
        <v>BS_ASSETS_OF_DISCONTINUED_OPS_LT</v>
      </c>
      <c r="C54" s="77">
        <f>IF('Balance Sheet - Standardized'!C56="",0,'Balance Sheet - Standardized'!C56)/'Balance Sheet - Standardized'!C$61</f>
        <v>0</v>
      </c>
      <c r="D54" s="77">
        <f>IF('Balance Sheet - Standardized'!D56="",0,'Balance Sheet - Standardized'!D56)/'Balance Sheet - Standardized'!D$61</f>
        <v>0</v>
      </c>
      <c r="E54" s="77">
        <f>IF('Balance Sheet - Standardized'!E56="",0,'Balance Sheet - Standardized'!E56)/'Balance Sheet - Standardized'!E$61</f>
        <v>0</v>
      </c>
      <c r="F54" s="77">
        <f>IF('Balance Sheet - Standardized'!F56="",0,'Balance Sheet - Standardized'!F56)/'Balance Sheet - Standardized'!F$61</f>
        <v>0</v>
      </c>
      <c r="G54" s="77">
        <f>IF('Balance Sheet - Standardized'!G56="",0,'Balance Sheet - Standardized'!G56)/'Balance Sheet - Standardized'!G$61</f>
        <v>0</v>
      </c>
      <c r="H54" s="77">
        <f>IF('Balance Sheet - Standardized'!H56="",0,'Balance Sheet - Standardized'!H56)/'Balance Sheet - Standardized'!H$61</f>
        <v>0</v>
      </c>
      <c r="I54" s="77">
        <f>IF('Balance Sheet - Standardized'!I56="",0,'Balance Sheet - Standardized'!I56)/'Balance Sheet - Standardized'!I$61</f>
        <v>0</v>
      </c>
      <c r="J54" s="77">
        <f>IF('Balance Sheet - Standardized'!J56="",0,'Balance Sheet - Standardized'!J56)/'Balance Sheet - Standardized'!J$61</f>
        <v>0</v>
      </c>
      <c r="K54" s="77">
        <f>IF('Balance Sheet - Standardized'!K56="",0,'Balance Sheet - Standardized'!K56)/'Balance Sheet - Standardized'!K$61</f>
        <v>0</v>
      </c>
      <c r="L54" s="77">
        <f>IF('Balance Sheet - Standardized'!L56="",0,'Balance Sheet - Standardized'!L56)/'Balance Sheet - Standardized'!L$61</f>
        <v>0</v>
      </c>
      <c r="M54" s="106"/>
      <c r="N54" s="106"/>
      <c r="O54" s="106"/>
      <c r="P54" s="106"/>
      <c r="Q54" s="106"/>
      <c r="R54" s="106"/>
      <c r="S54" s="74"/>
      <c r="T54" s="80"/>
      <c r="U54" s="80"/>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row>
    <row r="55" spans="1:1010 1027:2036 2053:3062 3079:4088 4105:5114 5131:6140 6157:7166 7183:8192 8209:9200 9217:10226 10243:11252 11269:12278 12295:13304 13321:14330 14347:15356 15373:16382" x14ac:dyDescent="0.35">
      <c r="A55" s="181" t="str">
        <f>'Balance Sheet - Standardized'!A57</f>
        <v xml:space="preserve">    + Misc LT Assets</v>
      </c>
      <c r="B55" s="13" t="str">
        <f>'Balance Sheet - Standardized'!B57</f>
        <v>OTHER_NONCURRENT_ASSETS_DETAILED</v>
      </c>
      <c r="C55" s="77">
        <f>IF('Balance Sheet - Standardized'!C57="",0,'Balance Sheet - Standardized'!C57)/'Balance Sheet - Standardized'!C$61</f>
        <v>1.0020204506528005E-2</v>
      </c>
      <c r="D55" s="77">
        <f>IF('Balance Sheet - Standardized'!D57="",0,'Balance Sheet - Standardized'!D57)/'Balance Sheet - Standardized'!D$61</f>
        <v>2.6381730799633223E-2</v>
      </c>
      <c r="E55" s="77">
        <f>IF('Balance Sheet - Standardized'!E57="",0,'Balance Sheet - Standardized'!E57)/'Balance Sheet - Standardized'!E$61</f>
        <v>2.6514424614597326E-2</v>
      </c>
      <c r="F55" s="77">
        <f>IF('Balance Sheet - Standardized'!F57="",0,'Balance Sheet - Standardized'!F57)/'Balance Sheet - Standardized'!F$61</f>
        <v>3.4636248435982203E-2</v>
      </c>
      <c r="G55" s="77">
        <f>IF('Balance Sheet - Standardized'!G57="",0,'Balance Sheet - Standardized'!G57)/'Balance Sheet - Standardized'!G$61</f>
        <v>2.477888825399719E-2</v>
      </c>
      <c r="H55" s="77">
        <f>IF('Balance Sheet - Standardized'!H57="",0,'Balance Sheet - Standardized'!H57)/'Balance Sheet - Standardized'!H$61</f>
        <v>2.2530348328978243E-2</v>
      </c>
      <c r="I55" s="77">
        <f>IF('Balance Sheet - Standardized'!I57="",0,'Balance Sheet - Standardized'!I57)/'Balance Sheet - Standardized'!I$61</f>
        <v>3.5527887731424478E-2</v>
      </c>
      <c r="J55" s="77">
        <f>IF('Balance Sheet - Standardized'!J57="",0,'Balance Sheet - Standardized'!J57)/'Balance Sheet - Standardized'!J$61</f>
        <v>2.6465144972239361E-2</v>
      </c>
      <c r="K55" s="77">
        <f>IF('Balance Sheet - Standardized'!K57="",0,'Balance Sheet - Standardized'!K57)/'Balance Sheet - Standardized'!K$61</f>
        <v>1.9100748192656981E-2</v>
      </c>
      <c r="L55" s="77">
        <f>IF('Balance Sheet - Standardized'!L57="",0,'Balance Sheet - Standardized'!L57)/'Balance Sheet - Standardized'!L$61</f>
        <v>2.4206860790927123E-2</v>
      </c>
      <c r="M55" s="106"/>
      <c r="N55" s="106"/>
      <c r="O55" s="106"/>
      <c r="P55" s="106"/>
      <c r="Q55" s="106"/>
      <c r="R55" s="106"/>
      <c r="S55" s="74"/>
      <c r="T55" s="80"/>
      <c r="U55" s="80"/>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row>
    <row r="56" spans="1:1010 1027:2036 2053:3062 3079:4088 4105:5114 5131:6140 6157:7166 7183:8192 8209:9200 9217:10226 10243:11252 11269:12278 12295:13304 13321:14330 14347:15356 15373:16382" x14ac:dyDescent="0.35">
      <c r="A56" s="23" t="str">
        <f>'Balance Sheet - Standardized'!A58</f>
        <v>check</v>
      </c>
      <c r="B56" s="23"/>
      <c r="C56" s="79"/>
      <c r="D56" s="79"/>
      <c r="E56" s="79"/>
      <c r="F56" s="79"/>
      <c r="G56" s="79"/>
      <c r="H56" s="79"/>
      <c r="I56" s="79"/>
      <c r="J56" s="79"/>
      <c r="K56" s="79"/>
      <c r="L56" s="79"/>
      <c r="M56" s="144"/>
      <c r="N56" s="144"/>
      <c r="O56" s="144"/>
      <c r="P56" s="144"/>
      <c r="Q56" s="144"/>
      <c r="R56" s="144"/>
      <c r="S56" s="74"/>
      <c r="T56" s="80"/>
      <c r="U56" s="80"/>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row>
    <row r="57" spans="1:1010 1027:2036 2053:3062 3079:4088 4105:5114 5131:6140 6157:7166 7183:8192 8209:9200 9217:10226 10243:11252 11269:12278 12295:13304 13321:14330 14347:15356 15373:16382" x14ac:dyDescent="0.35">
      <c r="A57" s="51" t="str">
        <f>'Balance Sheet - Standardized'!A59</f>
        <v>Total Noncurrent Assets</v>
      </c>
      <c r="B57" s="51" t="str">
        <f>'Balance Sheet - Standardized'!B59</f>
        <v>BS_TOT_NON_CUR_ASSET</v>
      </c>
      <c r="C57" s="81">
        <f>IF('Balance Sheet - Standardized'!C59="",0,'Balance Sheet - Standardized'!C59)/'Balance Sheet - Standardized'!C$61</f>
        <v>0.43227387875244866</v>
      </c>
      <c r="D57" s="81">
        <f>IF('Balance Sheet - Standardized'!D59="",0,'Balance Sheet - Standardized'!D59)/'Balance Sheet - Standardized'!D$61</f>
        <v>0.42111566066968104</v>
      </c>
      <c r="E57" s="81">
        <f>IF('Balance Sheet - Standardized'!E59="",0,'Balance Sheet - Standardized'!E59)/'Balance Sheet - Standardized'!E$61</f>
        <v>0.33823682274675371</v>
      </c>
      <c r="F57" s="81">
        <f>IF('Balance Sheet - Standardized'!F59="",0,'Balance Sheet - Standardized'!F59)/'Balance Sheet - Standardized'!F$61</f>
        <v>0.37341349632430837</v>
      </c>
      <c r="G57" s="81">
        <f>IF('Balance Sheet - Standardized'!G59="",0,'Balance Sheet - Standardized'!G59)/'Balance Sheet - Standardized'!G$61</f>
        <v>0.39015049270322477</v>
      </c>
      <c r="H57" s="81">
        <f>IF('Balance Sheet - Standardized'!H59="",0,'Balance Sheet - Standardized'!H59)/'Balance Sheet - Standardized'!H$61</f>
        <v>0.34696673650509663</v>
      </c>
      <c r="I57" s="81">
        <f>IF('Balance Sheet - Standardized'!I59="",0,'Balance Sheet - Standardized'!I59)/'Balance Sheet - Standardized'!I$61</f>
        <v>0.3286442187678093</v>
      </c>
      <c r="J57" s="81">
        <f>IF('Balance Sheet - Standardized'!J59="",0,'Balance Sheet - Standardized'!J59)/'Balance Sheet - Standardized'!J$61</f>
        <v>0.3462382319019392</v>
      </c>
      <c r="K57" s="81">
        <f>IF('Balance Sheet - Standardized'!K59="",0,'Balance Sheet - Standardized'!K59)/'Balance Sheet - Standardized'!K$61</f>
        <v>0.35123488619263593</v>
      </c>
      <c r="L57" s="81">
        <f>IF('Balance Sheet - Standardized'!L59="",0,'Balance Sheet - Standardized'!L59)/'Balance Sheet - Standardized'!L$61</f>
        <v>0.36638773791797685</v>
      </c>
      <c r="M57" s="145"/>
      <c r="N57" s="145"/>
      <c r="O57" s="145"/>
      <c r="P57" s="145"/>
      <c r="Q57" s="145"/>
      <c r="R57" s="145"/>
      <c r="S57" s="74"/>
      <c r="T57" s="82"/>
      <c r="U57" s="82"/>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row>
    <row r="58" spans="1:1010 1027:2036 2053:3062 3079:4088 4105:5114 5131:6140 6157:7166 7183:8192 8209:9200 9217:10226 10243:11252 11269:12278 12295:13304 13321:14330 14347:15356 15373:16382" x14ac:dyDescent="0.35">
      <c r="A58" s="24" t="str">
        <f>'Balance Sheet - Standardized'!A60</f>
        <v>check</v>
      </c>
      <c r="B58" s="24"/>
      <c r="C58" s="83"/>
      <c r="D58" s="83"/>
      <c r="E58" s="83"/>
      <c r="F58" s="83"/>
      <c r="G58" s="83"/>
      <c r="H58" s="83"/>
      <c r="I58" s="83"/>
      <c r="J58" s="83"/>
      <c r="K58" s="83"/>
      <c r="L58" s="83"/>
      <c r="M58" s="146"/>
      <c r="N58" s="146"/>
      <c r="O58" s="146"/>
      <c r="P58" s="146"/>
      <c r="Q58" s="146"/>
      <c r="R58" s="146"/>
      <c r="S58" s="74"/>
      <c r="T58" s="82"/>
      <c r="U58" s="82"/>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row>
    <row r="59" spans="1:1010 1027:2036 2053:3062 3079:4088 4105:5114 5131:6140 6157:7166 7183:8192 8209:9200 9217:10226 10243:11252 11269:12278 12295:13304 13321:14330 14347:15356 15373:16382" x14ac:dyDescent="0.35">
      <c r="A59" s="51" t="str">
        <f>'Balance Sheet - Standardized'!A61</f>
        <v>Total Assets</v>
      </c>
      <c r="B59" s="51" t="str">
        <f>'Balance Sheet - Standardized'!B61</f>
        <v>BS_TOT_ASSET</v>
      </c>
      <c r="C59" s="81">
        <f>IF('Balance Sheet - Standardized'!C61="",0,'Balance Sheet - Standardized'!C61)/'Balance Sheet - Standardized'!C$61</f>
        <v>1</v>
      </c>
      <c r="D59" s="81">
        <f>IF('Balance Sheet - Standardized'!D61="",0,'Balance Sheet - Standardized'!D61)/'Balance Sheet - Standardized'!D$61</f>
        <v>1</v>
      </c>
      <c r="E59" s="81">
        <f>IF('Balance Sheet - Standardized'!E61="",0,'Balance Sheet - Standardized'!E61)/'Balance Sheet - Standardized'!E$61</f>
        <v>1</v>
      </c>
      <c r="F59" s="81">
        <f>IF('Balance Sheet - Standardized'!F61="",0,'Balance Sheet - Standardized'!F61)/'Balance Sheet - Standardized'!F$61</f>
        <v>1</v>
      </c>
      <c r="G59" s="81">
        <f>IF('Balance Sheet - Standardized'!G61="",0,'Balance Sheet - Standardized'!G61)/'Balance Sheet - Standardized'!G$61</f>
        <v>1</v>
      </c>
      <c r="H59" s="81">
        <f>IF('Balance Sheet - Standardized'!H61="",0,'Balance Sheet - Standardized'!H61)/'Balance Sheet - Standardized'!H$61</f>
        <v>1</v>
      </c>
      <c r="I59" s="81">
        <f>IF('Balance Sheet - Standardized'!I61="",0,'Balance Sheet - Standardized'!I61)/'Balance Sheet - Standardized'!I$61</f>
        <v>1</v>
      </c>
      <c r="J59" s="81">
        <f>IF('Balance Sheet - Standardized'!J61="",0,'Balance Sheet - Standardized'!J61)/'Balance Sheet - Standardized'!J$61</f>
        <v>1</v>
      </c>
      <c r="K59" s="81">
        <f>IF('Balance Sheet - Standardized'!K61="",0,'Balance Sheet - Standardized'!K61)/'Balance Sheet - Standardized'!K$61</f>
        <v>1</v>
      </c>
      <c r="L59" s="81">
        <f>IF('Balance Sheet - Standardized'!L61="",0,'Balance Sheet - Standardized'!L61)/'Balance Sheet - Standardized'!L$61</f>
        <v>1</v>
      </c>
      <c r="M59" s="145"/>
      <c r="N59" s="145"/>
      <c r="O59" s="145"/>
      <c r="P59" s="145"/>
      <c r="Q59" s="145"/>
      <c r="R59" s="145"/>
      <c r="S59" s="74"/>
      <c r="T59" s="82"/>
      <c r="U59" s="82"/>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row>
    <row r="60" spans="1:1010 1027:2036 2053:3062 3079:4088 4105:5114 5131:6140 6157:7166 7183:8192 8209:9200 9217:10226 10243:11252 11269:12278 12295:13304 13321:14330 14347:15356 15373:16382" x14ac:dyDescent="0.35">
      <c r="A60" s="24" t="str">
        <f>'Balance Sheet - Standardized'!A62</f>
        <v>check</v>
      </c>
      <c r="B60" s="21"/>
      <c r="C60" s="83"/>
      <c r="D60" s="83"/>
      <c r="E60" s="83"/>
      <c r="F60" s="83"/>
      <c r="G60" s="83"/>
      <c r="H60" s="83"/>
      <c r="I60" s="83"/>
      <c r="J60" s="83"/>
      <c r="K60" s="83"/>
      <c r="L60" s="83"/>
      <c r="M60" s="146"/>
      <c r="N60" s="146"/>
      <c r="O60" s="146"/>
      <c r="P60" s="146"/>
      <c r="Q60" s="146"/>
      <c r="R60" s="146"/>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row>
    <row r="61" spans="1:1010 1027:2036 2053:3062 3079:4088 4105:5114 5131:6140 6157:7166 7183:8192 8209:9200 9217:10226 10243:11252 11269:12278 12295:13304 13321:14330 14347:15356 15373:16382" x14ac:dyDescent="0.35">
      <c r="A61" s="15" t="str">
        <f>'Balance Sheet - Standardized'!A63</f>
        <v>Liabilities &amp; Shareholders' Equity</v>
      </c>
      <c r="B61" s="14"/>
      <c r="C61" s="85"/>
      <c r="D61" s="85"/>
      <c r="E61" s="85"/>
      <c r="F61" s="85"/>
      <c r="G61" s="85"/>
      <c r="H61" s="85"/>
      <c r="I61" s="85"/>
      <c r="J61" s="85"/>
      <c r="K61" s="85"/>
      <c r="L61" s="85"/>
      <c r="M61" s="145"/>
      <c r="N61" s="145"/>
      <c r="O61" s="145"/>
      <c r="P61" s="145"/>
      <c r="Q61" s="145"/>
      <c r="R61" s="145"/>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row>
    <row r="62" spans="1:1010 1027:2036 2053:3062 3079:4088 4105:5114 5131:6140 6157:7166 7183:8192 8209:9200 9217:10226 10243:11252 11269:12278 12295:13304 13321:14330 14347:15356 15373:16382" s="11" customFormat="1" x14ac:dyDescent="0.35">
      <c r="A62" s="183" t="str">
        <f>'Balance Sheet - Standardized'!A64</f>
        <v xml:space="preserve">  + Payables &amp; Accruals</v>
      </c>
      <c r="B62" s="75" t="str">
        <f>'Balance Sheet - Standardized'!B64</f>
        <v>ACCT_PAYABLE_&amp;_ACCRUALS_DETAILED</v>
      </c>
      <c r="C62" s="76">
        <f>IF('Balance Sheet - Standardized'!C64="",0,'Balance Sheet - Standardized'!C64)/'Balance Sheet - Standardized'!C$106</f>
        <v>0.15455947920728297</v>
      </c>
      <c r="D62" s="76">
        <f>IF('Balance Sheet - Standardized'!D64="",0,'Balance Sheet - Standardized'!D64)/'Balance Sheet - Standardized'!D$106</f>
        <v>0.16751632574361061</v>
      </c>
      <c r="E62" s="76">
        <f>IF('Balance Sheet - Standardized'!E64="",0,'Balance Sheet - Standardized'!E64)/'Balance Sheet - Standardized'!E$106</f>
        <v>0.14245489950311116</v>
      </c>
      <c r="F62" s="76">
        <f>IF('Balance Sheet - Standardized'!F64="",0,'Balance Sheet - Standardized'!F64)/'Balance Sheet - Standardized'!F$106</f>
        <v>0.14079834557635554</v>
      </c>
      <c r="G62" s="76">
        <f>IF('Balance Sheet - Standardized'!G64="",0,'Balance Sheet - Standardized'!G64)/'Balance Sheet - Standardized'!G$106</f>
        <v>0.12234934266639218</v>
      </c>
      <c r="H62" s="76">
        <f>IF('Balance Sheet - Standardized'!H64="",0,'Balance Sheet - Standardized'!H64)/'Balance Sheet - Standardized'!H$106</f>
        <v>0.15492066680056235</v>
      </c>
      <c r="I62" s="76">
        <f>IF('Balance Sheet - Standardized'!I64="",0,'Balance Sheet - Standardized'!I64)/'Balance Sheet - Standardized'!I$106</f>
        <v>0.21385776643186938</v>
      </c>
      <c r="J62" s="76">
        <f>IF('Balance Sheet - Standardized'!J64="",0,'Balance Sheet - Standardized'!J64)/'Balance Sheet - Standardized'!J$106</f>
        <v>0.18435634756162739</v>
      </c>
      <c r="K62" s="76">
        <f>IF('Balance Sheet - Standardized'!K64="",0,'Balance Sheet - Standardized'!K64)/'Balance Sheet - Standardized'!K$106</f>
        <v>0.15737508904950614</v>
      </c>
      <c r="L62" s="76">
        <f>IF('Balance Sheet - Standardized'!L64="",0,'Balance Sheet - Standardized'!L64)/'Balance Sheet - Standardized'!L$106</f>
        <v>0.18275830719578162</v>
      </c>
      <c r="M62" s="106"/>
      <c r="N62" s="106"/>
      <c r="O62" s="106"/>
      <c r="P62" s="106"/>
      <c r="Q62" s="106"/>
      <c r="R62" s="106"/>
      <c r="S62" s="78"/>
      <c r="T62" s="78"/>
      <c r="U62" s="106"/>
      <c r="V62" s="106"/>
      <c r="W62" s="106"/>
      <c r="X62" s="106"/>
      <c r="Y62" s="106"/>
      <c r="Z62" s="106"/>
      <c r="AA62" s="106"/>
      <c r="AB62" s="106"/>
      <c r="AC62" s="106"/>
      <c r="AD62" s="106"/>
      <c r="AE62" s="106"/>
      <c r="AF62" s="106"/>
      <c r="AG62" s="106"/>
      <c r="AH62" s="106"/>
      <c r="AI62" s="106"/>
      <c r="AJ62" s="106"/>
      <c r="AK62" s="78"/>
      <c r="AL62" s="78"/>
      <c r="AM62" s="106"/>
      <c r="AN62" s="106"/>
      <c r="AO62" s="106"/>
      <c r="AP62" s="106"/>
      <c r="AQ62" s="106"/>
      <c r="AR62" s="106"/>
      <c r="AS62" s="106"/>
      <c r="AT62" s="106"/>
      <c r="AU62" s="106"/>
      <c r="AV62" s="106"/>
      <c r="AW62" s="106"/>
      <c r="AX62" s="106"/>
      <c r="AY62" s="106"/>
      <c r="AZ62" s="106"/>
      <c r="BA62" s="106"/>
      <c r="BB62" s="106"/>
      <c r="BC62" s="78"/>
      <c r="BD62" s="78"/>
      <c r="BE62" s="106"/>
      <c r="BF62" s="106"/>
      <c r="BG62" s="106"/>
      <c r="BH62" s="106"/>
      <c r="BI62" s="106"/>
      <c r="BJ62" s="106"/>
      <c r="BU62" s="12"/>
      <c r="BV62" s="12"/>
      <c r="CM62" s="12"/>
      <c r="CN62" s="12"/>
      <c r="DE62" s="12"/>
      <c r="DF62" s="12"/>
      <c r="DW62" s="12"/>
      <c r="DX62" s="12"/>
      <c r="EO62" s="12"/>
      <c r="EP62" s="12"/>
      <c r="FG62" s="12"/>
      <c r="FH62" s="12"/>
      <c r="FY62" s="12"/>
      <c r="FZ62" s="12"/>
      <c r="GQ62" s="12"/>
      <c r="GR62" s="12"/>
      <c r="HI62" s="12"/>
      <c r="HJ62" s="12"/>
      <c r="IA62" s="12"/>
      <c r="IB62" s="12"/>
      <c r="IS62" s="12"/>
      <c r="IT62" s="12"/>
      <c r="JK62" s="12"/>
      <c r="JL62" s="12"/>
      <c r="KC62" s="12"/>
      <c r="KD62" s="12"/>
      <c r="KU62" s="12"/>
      <c r="KV62" s="12"/>
      <c r="LM62" s="12"/>
      <c r="LN62" s="12"/>
      <c r="ME62" s="12"/>
      <c r="MF62" s="12"/>
      <c r="MW62" s="12"/>
      <c r="MX62" s="12"/>
      <c r="NO62" s="12"/>
      <c r="NP62" s="12"/>
      <c r="OG62" s="12"/>
      <c r="OH62" s="12"/>
      <c r="OY62" s="12"/>
      <c r="OZ62" s="12"/>
      <c r="PQ62" s="12"/>
      <c r="PR62" s="12"/>
      <c r="QI62" s="12"/>
      <c r="QJ62" s="12"/>
      <c r="RA62" s="12"/>
      <c r="RB62" s="12"/>
      <c r="RS62" s="12"/>
      <c r="RT62" s="12"/>
      <c r="SK62" s="12"/>
      <c r="SL62" s="12"/>
      <c r="TC62" s="12"/>
      <c r="TD62" s="12"/>
      <c r="TU62" s="12"/>
      <c r="TV62" s="12"/>
      <c r="UM62" s="12"/>
      <c r="UN62" s="12"/>
      <c r="VE62" s="12"/>
      <c r="VF62" s="12"/>
      <c r="VW62" s="12"/>
      <c r="VX62" s="12"/>
      <c r="WO62" s="12"/>
      <c r="WP62" s="12"/>
      <c r="XG62" s="12"/>
      <c r="XH62" s="12"/>
      <c r="XY62" s="12"/>
      <c r="XZ62" s="12"/>
      <c r="YQ62" s="12"/>
      <c r="YR62" s="12"/>
      <c r="ZI62" s="12"/>
      <c r="ZJ62" s="12"/>
      <c r="AAA62" s="12"/>
      <c r="AAB62" s="12"/>
      <c r="AAS62" s="12"/>
      <c r="AAT62" s="12"/>
      <c r="ABK62" s="12"/>
      <c r="ABL62" s="12"/>
      <c r="ACC62" s="12"/>
      <c r="ACD62" s="12"/>
      <c r="ACU62" s="12"/>
      <c r="ACV62" s="12"/>
      <c r="ADM62" s="12"/>
      <c r="ADN62" s="12"/>
      <c r="AEE62" s="12"/>
      <c r="AEF62" s="12"/>
      <c r="AEW62" s="12"/>
      <c r="AEX62" s="12"/>
      <c r="AFO62" s="12"/>
      <c r="AFP62" s="12"/>
      <c r="AGG62" s="12"/>
      <c r="AGH62" s="12"/>
      <c r="AGY62" s="12"/>
      <c r="AGZ62" s="12"/>
      <c r="AHQ62" s="12"/>
      <c r="AHR62" s="12"/>
      <c r="AII62" s="12"/>
      <c r="AIJ62" s="12"/>
      <c r="AJA62" s="12"/>
      <c r="AJB62" s="12"/>
      <c r="AJS62" s="12"/>
      <c r="AJT62" s="12"/>
      <c r="AKK62" s="12"/>
      <c r="AKL62" s="12"/>
      <c r="ALC62" s="12"/>
      <c r="ALD62" s="12"/>
      <c r="ALU62" s="12"/>
      <c r="ALV62" s="12"/>
      <c r="AMM62" s="12"/>
      <c r="AMN62" s="12"/>
      <c r="ANE62" s="12"/>
      <c r="ANF62" s="12"/>
      <c r="ANW62" s="12"/>
      <c r="ANX62" s="12"/>
      <c r="AOO62" s="12"/>
      <c r="AOP62" s="12"/>
      <c r="APG62" s="12"/>
      <c r="APH62" s="12"/>
      <c r="APY62" s="12"/>
      <c r="APZ62" s="12"/>
      <c r="AQQ62" s="12"/>
      <c r="AQR62" s="12"/>
      <c r="ARI62" s="12"/>
      <c r="ARJ62" s="12"/>
      <c r="ASA62" s="12"/>
      <c r="ASB62" s="12"/>
      <c r="ASS62" s="12"/>
      <c r="AST62" s="12"/>
      <c r="ATK62" s="12"/>
      <c r="ATL62" s="12"/>
      <c r="AUC62" s="12"/>
      <c r="AUD62" s="12"/>
      <c r="AUU62" s="12"/>
      <c r="AUV62" s="12"/>
      <c r="AVM62" s="12"/>
      <c r="AVN62" s="12"/>
      <c r="AWE62" s="12"/>
      <c r="AWF62" s="12"/>
      <c r="AWW62" s="12"/>
      <c r="AWX62" s="12"/>
      <c r="AXO62" s="12"/>
      <c r="AXP62" s="12"/>
      <c r="AYG62" s="12"/>
      <c r="AYH62" s="12"/>
      <c r="AYY62" s="12"/>
      <c r="AYZ62" s="12"/>
      <c r="AZQ62" s="12"/>
      <c r="AZR62" s="12"/>
      <c r="BAI62" s="12"/>
      <c r="BAJ62" s="12"/>
      <c r="BBA62" s="12"/>
      <c r="BBB62" s="12"/>
      <c r="BBS62" s="12"/>
      <c r="BBT62" s="12"/>
      <c r="BCK62" s="12"/>
      <c r="BCL62" s="12"/>
      <c r="BDC62" s="12"/>
      <c r="BDD62" s="12"/>
      <c r="BDU62" s="12"/>
      <c r="BDV62" s="12"/>
      <c r="BEM62" s="12"/>
      <c r="BEN62" s="12"/>
      <c r="BFE62" s="12"/>
      <c r="BFF62" s="12"/>
      <c r="BFW62" s="12"/>
      <c r="BFX62" s="12"/>
      <c r="BGO62" s="12"/>
      <c r="BGP62" s="12"/>
      <c r="BHG62" s="12"/>
      <c r="BHH62" s="12"/>
      <c r="BHY62" s="12"/>
      <c r="BHZ62" s="12"/>
      <c r="BIQ62" s="12"/>
      <c r="BIR62" s="12"/>
      <c r="BJI62" s="12"/>
      <c r="BJJ62" s="12"/>
      <c r="BKA62" s="12"/>
      <c r="BKB62" s="12"/>
      <c r="BKS62" s="12"/>
      <c r="BKT62" s="12"/>
      <c r="BLK62" s="12"/>
      <c r="BLL62" s="12"/>
      <c r="BMC62" s="12"/>
      <c r="BMD62" s="12"/>
      <c r="BMU62" s="12"/>
      <c r="BMV62" s="12"/>
      <c r="BNM62" s="12"/>
      <c r="BNN62" s="12"/>
      <c r="BOE62" s="12"/>
      <c r="BOF62" s="12"/>
      <c r="BOW62" s="12"/>
      <c r="BOX62" s="12"/>
      <c r="BPO62" s="12"/>
      <c r="BPP62" s="12"/>
      <c r="BQG62" s="12"/>
      <c r="BQH62" s="12"/>
      <c r="BQY62" s="12"/>
      <c r="BQZ62" s="12"/>
      <c r="BRQ62" s="12"/>
      <c r="BRR62" s="12"/>
      <c r="BSI62" s="12"/>
      <c r="BSJ62" s="12"/>
      <c r="BTA62" s="12"/>
      <c r="BTB62" s="12"/>
      <c r="BTS62" s="12"/>
      <c r="BTT62" s="12"/>
      <c r="BUK62" s="12"/>
      <c r="BUL62" s="12"/>
      <c r="BVC62" s="12"/>
      <c r="BVD62" s="12"/>
      <c r="BVU62" s="12"/>
      <c r="BVV62" s="12"/>
      <c r="BWM62" s="12"/>
      <c r="BWN62" s="12"/>
      <c r="BXE62" s="12"/>
      <c r="BXF62" s="12"/>
      <c r="BXW62" s="12"/>
      <c r="BXX62" s="12"/>
      <c r="BYO62" s="12"/>
      <c r="BYP62" s="12"/>
      <c r="BZG62" s="12"/>
      <c r="BZH62" s="12"/>
      <c r="BZY62" s="12"/>
      <c r="BZZ62" s="12"/>
      <c r="CAQ62" s="12"/>
      <c r="CAR62" s="12"/>
      <c r="CBI62" s="12"/>
      <c r="CBJ62" s="12"/>
      <c r="CCA62" s="12"/>
      <c r="CCB62" s="12"/>
      <c r="CCS62" s="12"/>
      <c r="CCT62" s="12"/>
      <c r="CDK62" s="12"/>
      <c r="CDL62" s="12"/>
      <c r="CEC62" s="12"/>
      <c r="CED62" s="12"/>
      <c r="CEU62" s="12"/>
      <c r="CEV62" s="12"/>
      <c r="CFM62" s="12"/>
      <c r="CFN62" s="12"/>
      <c r="CGE62" s="12"/>
      <c r="CGF62" s="12"/>
      <c r="CGW62" s="12"/>
      <c r="CGX62" s="12"/>
      <c r="CHO62" s="12"/>
      <c r="CHP62" s="12"/>
      <c r="CIG62" s="12"/>
      <c r="CIH62" s="12"/>
      <c r="CIY62" s="12"/>
      <c r="CIZ62" s="12"/>
      <c r="CJQ62" s="12"/>
      <c r="CJR62" s="12"/>
      <c r="CKI62" s="12"/>
      <c r="CKJ62" s="12"/>
      <c r="CLA62" s="12"/>
      <c r="CLB62" s="12"/>
      <c r="CLS62" s="12"/>
      <c r="CLT62" s="12"/>
      <c r="CMK62" s="12"/>
      <c r="CML62" s="12"/>
      <c r="CNC62" s="12"/>
      <c r="CND62" s="12"/>
      <c r="CNU62" s="12"/>
      <c r="CNV62" s="12"/>
      <c r="COM62" s="12"/>
      <c r="CON62" s="12"/>
      <c r="CPE62" s="12"/>
      <c r="CPF62" s="12"/>
      <c r="CPW62" s="12"/>
      <c r="CPX62" s="12"/>
      <c r="CQO62" s="12"/>
      <c r="CQP62" s="12"/>
      <c r="CRG62" s="12"/>
      <c r="CRH62" s="12"/>
      <c r="CRY62" s="12"/>
      <c r="CRZ62" s="12"/>
      <c r="CSQ62" s="12"/>
      <c r="CSR62" s="12"/>
      <c r="CTI62" s="12"/>
      <c r="CTJ62" s="12"/>
      <c r="CUA62" s="12"/>
      <c r="CUB62" s="12"/>
      <c r="CUS62" s="12"/>
      <c r="CUT62" s="12"/>
      <c r="CVK62" s="12"/>
      <c r="CVL62" s="12"/>
      <c r="CWC62" s="12"/>
      <c r="CWD62" s="12"/>
      <c r="CWU62" s="12"/>
      <c r="CWV62" s="12"/>
      <c r="CXM62" s="12"/>
      <c r="CXN62" s="12"/>
      <c r="CYE62" s="12"/>
      <c r="CYF62" s="12"/>
      <c r="CYW62" s="12"/>
      <c r="CYX62" s="12"/>
      <c r="CZO62" s="12"/>
      <c r="CZP62" s="12"/>
      <c r="DAG62" s="12"/>
      <c r="DAH62" s="12"/>
      <c r="DAY62" s="12"/>
      <c r="DAZ62" s="12"/>
      <c r="DBQ62" s="12"/>
      <c r="DBR62" s="12"/>
      <c r="DCI62" s="12"/>
      <c r="DCJ62" s="12"/>
      <c r="DDA62" s="12"/>
      <c r="DDB62" s="12"/>
      <c r="DDS62" s="12"/>
      <c r="DDT62" s="12"/>
      <c r="DEK62" s="12"/>
      <c r="DEL62" s="12"/>
      <c r="DFC62" s="12"/>
      <c r="DFD62" s="12"/>
      <c r="DFU62" s="12"/>
      <c r="DFV62" s="12"/>
      <c r="DGM62" s="12"/>
      <c r="DGN62" s="12"/>
      <c r="DHE62" s="12"/>
      <c r="DHF62" s="12"/>
      <c r="DHW62" s="12"/>
      <c r="DHX62" s="12"/>
      <c r="DIO62" s="12"/>
      <c r="DIP62" s="12"/>
      <c r="DJG62" s="12"/>
      <c r="DJH62" s="12"/>
      <c r="DJY62" s="12"/>
      <c r="DJZ62" s="12"/>
      <c r="DKQ62" s="12"/>
      <c r="DKR62" s="12"/>
      <c r="DLI62" s="12"/>
      <c r="DLJ62" s="12"/>
      <c r="DMA62" s="12"/>
      <c r="DMB62" s="12"/>
      <c r="DMS62" s="12"/>
      <c r="DMT62" s="12"/>
      <c r="DNK62" s="12"/>
      <c r="DNL62" s="12"/>
      <c r="DOC62" s="12"/>
      <c r="DOD62" s="12"/>
      <c r="DOU62" s="12"/>
      <c r="DOV62" s="12"/>
      <c r="DPM62" s="12"/>
      <c r="DPN62" s="12"/>
      <c r="DQE62" s="12"/>
      <c r="DQF62" s="12"/>
      <c r="DQW62" s="12"/>
      <c r="DQX62" s="12"/>
      <c r="DRO62" s="12"/>
      <c r="DRP62" s="12"/>
      <c r="DSG62" s="12"/>
      <c r="DSH62" s="12"/>
      <c r="DSY62" s="12"/>
      <c r="DSZ62" s="12"/>
      <c r="DTQ62" s="12"/>
      <c r="DTR62" s="12"/>
      <c r="DUI62" s="12"/>
      <c r="DUJ62" s="12"/>
      <c r="DVA62" s="12"/>
      <c r="DVB62" s="12"/>
      <c r="DVS62" s="12"/>
      <c r="DVT62" s="12"/>
      <c r="DWK62" s="12"/>
      <c r="DWL62" s="12"/>
      <c r="DXC62" s="12"/>
      <c r="DXD62" s="12"/>
      <c r="DXU62" s="12"/>
      <c r="DXV62" s="12"/>
      <c r="DYM62" s="12"/>
      <c r="DYN62" s="12"/>
      <c r="DZE62" s="12"/>
      <c r="DZF62" s="12"/>
      <c r="DZW62" s="12"/>
      <c r="DZX62" s="12"/>
      <c r="EAO62" s="12"/>
      <c r="EAP62" s="12"/>
      <c r="EBG62" s="12"/>
      <c r="EBH62" s="12"/>
      <c r="EBY62" s="12"/>
      <c r="EBZ62" s="12"/>
      <c r="ECQ62" s="12"/>
      <c r="ECR62" s="12"/>
      <c r="EDI62" s="12"/>
      <c r="EDJ62" s="12"/>
      <c r="EEA62" s="12"/>
      <c r="EEB62" s="12"/>
      <c r="EES62" s="12"/>
      <c r="EET62" s="12"/>
      <c r="EFK62" s="12"/>
      <c r="EFL62" s="12"/>
      <c r="EGC62" s="12"/>
      <c r="EGD62" s="12"/>
      <c r="EGU62" s="12"/>
      <c r="EGV62" s="12"/>
      <c r="EHM62" s="12"/>
      <c r="EHN62" s="12"/>
      <c r="EIE62" s="12"/>
      <c r="EIF62" s="12"/>
      <c r="EIW62" s="12"/>
      <c r="EIX62" s="12"/>
      <c r="EJO62" s="12"/>
      <c r="EJP62" s="12"/>
      <c r="EKG62" s="12"/>
      <c r="EKH62" s="12"/>
      <c r="EKY62" s="12"/>
      <c r="EKZ62" s="12"/>
      <c r="ELQ62" s="12"/>
      <c r="ELR62" s="12"/>
      <c r="EMI62" s="12"/>
      <c r="EMJ62" s="12"/>
      <c r="ENA62" s="12"/>
      <c r="ENB62" s="12"/>
      <c r="ENS62" s="12"/>
      <c r="ENT62" s="12"/>
      <c r="EOK62" s="12"/>
      <c r="EOL62" s="12"/>
      <c r="EPC62" s="12"/>
      <c r="EPD62" s="12"/>
      <c r="EPU62" s="12"/>
      <c r="EPV62" s="12"/>
      <c r="EQM62" s="12"/>
      <c r="EQN62" s="12"/>
      <c r="ERE62" s="12"/>
      <c r="ERF62" s="12"/>
      <c r="ERW62" s="12"/>
      <c r="ERX62" s="12"/>
      <c r="ESO62" s="12"/>
      <c r="ESP62" s="12"/>
      <c r="ETG62" s="12"/>
      <c r="ETH62" s="12"/>
      <c r="ETY62" s="12"/>
      <c r="ETZ62" s="12"/>
      <c r="EUQ62" s="12"/>
      <c r="EUR62" s="12"/>
      <c r="EVI62" s="12"/>
      <c r="EVJ62" s="12"/>
      <c r="EWA62" s="12"/>
      <c r="EWB62" s="12"/>
      <c r="EWS62" s="12"/>
      <c r="EWT62" s="12"/>
      <c r="EXK62" s="12"/>
      <c r="EXL62" s="12"/>
      <c r="EYC62" s="12"/>
      <c r="EYD62" s="12"/>
      <c r="EYU62" s="12"/>
      <c r="EYV62" s="12"/>
      <c r="EZM62" s="12"/>
      <c r="EZN62" s="12"/>
      <c r="FAE62" s="12"/>
      <c r="FAF62" s="12"/>
      <c r="FAW62" s="12"/>
      <c r="FAX62" s="12"/>
      <c r="FBO62" s="12"/>
      <c r="FBP62" s="12"/>
      <c r="FCG62" s="12"/>
      <c r="FCH62" s="12"/>
      <c r="FCY62" s="12"/>
      <c r="FCZ62" s="12"/>
      <c r="FDQ62" s="12"/>
      <c r="FDR62" s="12"/>
      <c r="FEI62" s="12"/>
      <c r="FEJ62" s="12"/>
      <c r="FFA62" s="12"/>
      <c r="FFB62" s="12"/>
      <c r="FFS62" s="12"/>
      <c r="FFT62" s="12"/>
      <c r="FGK62" s="12"/>
      <c r="FGL62" s="12"/>
      <c r="FHC62" s="12"/>
      <c r="FHD62" s="12"/>
      <c r="FHU62" s="12"/>
      <c r="FHV62" s="12"/>
      <c r="FIM62" s="12"/>
      <c r="FIN62" s="12"/>
      <c r="FJE62" s="12"/>
      <c r="FJF62" s="12"/>
      <c r="FJW62" s="12"/>
      <c r="FJX62" s="12"/>
      <c r="FKO62" s="12"/>
      <c r="FKP62" s="12"/>
      <c r="FLG62" s="12"/>
      <c r="FLH62" s="12"/>
      <c r="FLY62" s="12"/>
      <c r="FLZ62" s="12"/>
      <c r="FMQ62" s="12"/>
      <c r="FMR62" s="12"/>
      <c r="FNI62" s="12"/>
      <c r="FNJ62" s="12"/>
      <c r="FOA62" s="12"/>
      <c r="FOB62" s="12"/>
      <c r="FOS62" s="12"/>
      <c r="FOT62" s="12"/>
      <c r="FPK62" s="12"/>
      <c r="FPL62" s="12"/>
      <c r="FQC62" s="12"/>
      <c r="FQD62" s="12"/>
      <c r="FQU62" s="12"/>
      <c r="FQV62" s="12"/>
      <c r="FRM62" s="12"/>
      <c r="FRN62" s="12"/>
      <c r="FSE62" s="12"/>
      <c r="FSF62" s="12"/>
      <c r="FSW62" s="12"/>
      <c r="FSX62" s="12"/>
      <c r="FTO62" s="12"/>
      <c r="FTP62" s="12"/>
      <c r="FUG62" s="12"/>
      <c r="FUH62" s="12"/>
      <c r="FUY62" s="12"/>
      <c r="FUZ62" s="12"/>
      <c r="FVQ62" s="12"/>
      <c r="FVR62" s="12"/>
      <c r="FWI62" s="12"/>
      <c r="FWJ62" s="12"/>
      <c r="FXA62" s="12"/>
      <c r="FXB62" s="12"/>
      <c r="FXS62" s="12"/>
      <c r="FXT62" s="12"/>
      <c r="FYK62" s="12"/>
      <c r="FYL62" s="12"/>
      <c r="FZC62" s="12"/>
      <c r="FZD62" s="12"/>
      <c r="FZU62" s="12"/>
      <c r="FZV62" s="12"/>
      <c r="GAM62" s="12"/>
      <c r="GAN62" s="12"/>
      <c r="GBE62" s="12"/>
      <c r="GBF62" s="12"/>
      <c r="GBW62" s="12"/>
      <c r="GBX62" s="12"/>
      <c r="GCO62" s="12"/>
      <c r="GCP62" s="12"/>
      <c r="GDG62" s="12"/>
      <c r="GDH62" s="12"/>
      <c r="GDY62" s="12"/>
      <c r="GDZ62" s="12"/>
      <c r="GEQ62" s="12"/>
      <c r="GER62" s="12"/>
      <c r="GFI62" s="12"/>
      <c r="GFJ62" s="12"/>
      <c r="GGA62" s="12"/>
      <c r="GGB62" s="12"/>
      <c r="GGS62" s="12"/>
      <c r="GGT62" s="12"/>
      <c r="GHK62" s="12"/>
      <c r="GHL62" s="12"/>
      <c r="GIC62" s="12"/>
      <c r="GID62" s="12"/>
      <c r="GIU62" s="12"/>
      <c r="GIV62" s="12"/>
      <c r="GJM62" s="12"/>
      <c r="GJN62" s="12"/>
      <c r="GKE62" s="12"/>
      <c r="GKF62" s="12"/>
      <c r="GKW62" s="12"/>
      <c r="GKX62" s="12"/>
      <c r="GLO62" s="12"/>
      <c r="GLP62" s="12"/>
      <c r="GMG62" s="12"/>
      <c r="GMH62" s="12"/>
      <c r="GMY62" s="12"/>
      <c r="GMZ62" s="12"/>
      <c r="GNQ62" s="12"/>
      <c r="GNR62" s="12"/>
      <c r="GOI62" s="12"/>
      <c r="GOJ62" s="12"/>
      <c r="GPA62" s="12"/>
      <c r="GPB62" s="12"/>
      <c r="GPS62" s="12"/>
      <c r="GPT62" s="12"/>
      <c r="GQK62" s="12"/>
      <c r="GQL62" s="12"/>
      <c r="GRC62" s="12"/>
      <c r="GRD62" s="12"/>
      <c r="GRU62" s="12"/>
      <c r="GRV62" s="12"/>
      <c r="GSM62" s="12"/>
      <c r="GSN62" s="12"/>
      <c r="GTE62" s="12"/>
      <c r="GTF62" s="12"/>
      <c r="GTW62" s="12"/>
      <c r="GTX62" s="12"/>
      <c r="GUO62" s="12"/>
      <c r="GUP62" s="12"/>
      <c r="GVG62" s="12"/>
      <c r="GVH62" s="12"/>
      <c r="GVY62" s="12"/>
      <c r="GVZ62" s="12"/>
      <c r="GWQ62" s="12"/>
      <c r="GWR62" s="12"/>
      <c r="GXI62" s="12"/>
      <c r="GXJ62" s="12"/>
      <c r="GYA62" s="12"/>
      <c r="GYB62" s="12"/>
      <c r="GYS62" s="12"/>
      <c r="GYT62" s="12"/>
      <c r="GZK62" s="12"/>
      <c r="GZL62" s="12"/>
      <c r="HAC62" s="12"/>
      <c r="HAD62" s="12"/>
      <c r="HAU62" s="12"/>
      <c r="HAV62" s="12"/>
      <c r="HBM62" s="12"/>
      <c r="HBN62" s="12"/>
      <c r="HCE62" s="12"/>
      <c r="HCF62" s="12"/>
      <c r="HCW62" s="12"/>
      <c r="HCX62" s="12"/>
      <c r="HDO62" s="12"/>
      <c r="HDP62" s="12"/>
      <c r="HEG62" s="12"/>
      <c r="HEH62" s="12"/>
      <c r="HEY62" s="12"/>
      <c r="HEZ62" s="12"/>
      <c r="HFQ62" s="12"/>
      <c r="HFR62" s="12"/>
      <c r="HGI62" s="12"/>
      <c r="HGJ62" s="12"/>
      <c r="HHA62" s="12"/>
      <c r="HHB62" s="12"/>
      <c r="HHS62" s="12"/>
      <c r="HHT62" s="12"/>
      <c r="HIK62" s="12"/>
      <c r="HIL62" s="12"/>
      <c r="HJC62" s="12"/>
      <c r="HJD62" s="12"/>
      <c r="HJU62" s="12"/>
      <c r="HJV62" s="12"/>
      <c r="HKM62" s="12"/>
      <c r="HKN62" s="12"/>
      <c r="HLE62" s="12"/>
      <c r="HLF62" s="12"/>
      <c r="HLW62" s="12"/>
      <c r="HLX62" s="12"/>
      <c r="HMO62" s="12"/>
      <c r="HMP62" s="12"/>
      <c r="HNG62" s="12"/>
      <c r="HNH62" s="12"/>
      <c r="HNY62" s="12"/>
      <c r="HNZ62" s="12"/>
      <c r="HOQ62" s="12"/>
      <c r="HOR62" s="12"/>
      <c r="HPI62" s="12"/>
      <c r="HPJ62" s="12"/>
      <c r="HQA62" s="12"/>
      <c r="HQB62" s="12"/>
      <c r="HQS62" s="12"/>
      <c r="HQT62" s="12"/>
      <c r="HRK62" s="12"/>
      <c r="HRL62" s="12"/>
      <c r="HSC62" s="12"/>
      <c r="HSD62" s="12"/>
      <c r="HSU62" s="12"/>
      <c r="HSV62" s="12"/>
      <c r="HTM62" s="12"/>
      <c r="HTN62" s="12"/>
      <c r="HUE62" s="12"/>
      <c r="HUF62" s="12"/>
      <c r="HUW62" s="12"/>
      <c r="HUX62" s="12"/>
      <c r="HVO62" s="12"/>
      <c r="HVP62" s="12"/>
      <c r="HWG62" s="12"/>
      <c r="HWH62" s="12"/>
      <c r="HWY62" s="12"/>
      <c r="HWZ62" s="12"/>
      <c r="HXQ62" s="12"/>
      <c r="HXR62" s="12"/>
      <c r="HYI62" s="12"/>
      <c r="HYJ62" s="12"/>
      <c r="HZA62" s="12"/>
      <c r="HZB62" s="12"/>
      <c r="HZS62" s="12"/>
      <c r="HZT62" s="12"/>
      <c r="IAK62" s="12"/>
      <c r="IAL62" s="12"/>
      <c r="IBC62" s="12"/>
      <c r="IBD62" s="12"/>
      <c r="IBU62" s="12"/>
      <c r="IBV62" s="12"/>
      <c r="ICM62" s="12"/>
      <c r="ICN62" s="12"/>
      <c r="IDE62" s="12"/>
      <c r="IDF62" s="12"/>
      <c r="IDW62" s="12"/>
      <c r="IDX62" s="12"/>
      <c r="IEO62" s="12"/>
      <c r="IEP62" s="12"/>
      <c r="IFG62" s="12"/>
      <c r="IFH62" s="12"/>
      <c r="IFY62" s="12"/>
      <c r="IFZ62" s="12"/>
      <c r="IGQ62" s="12"/>
      <c r="IGR62" s="12"/>
      <c r="IHI62" s="12"/>
      <c r="IHJ62" s="12"/>
      <c r="IIA62" s="12"/>
      <c r="IIB62" s="12"/>
      <c r="IIS62" s="12"/>
      <c r="IIT62" s="12"/>
      <c r="IJK62" s="12"/>
      <c r="IJL62" s="12"/>
      <c r="IKC62" s="12"/>
      <c r="IKD62" s="12"/>
      <c r="IKU62" s="12"/>
      <c r="IKV62" s="12"/>
      <c r="ILM62" s="12"/>
      <c r="ILN62" s="12"/>
      <c r="IME62" s="12"/>
      <c r="IMF62" s="12"/>
      <c r="IMW62" s="12"/>
      <c r="IMX62" s="12"/>
      <c r="INO62" s="12"/>
      <c r="INP62" s="12"/>
      <c r="IOG62" s="12"/>
      <c r="IOH62" s="12"/>
      <c r="IOY62" s="12"/>
      <c r="IOZ62" s="12"/>
      <c r="IPQ62" s="12"/>
      <c r="IPR62" s="12"/>
      <c r="IQI62" s="12"/>
      <c r="IQJ62" s="12"/>
      <c r="IRA62" s="12"/>
      <c r="IRB62" s="12"/>
      <c r="IRS62" s="12"/>
      <c r="IRT62" s="12"/>
      <c r="ISK62" s="12"/>
      <c r="ISL62" s="12"/>
      <c r="ITC62" s="12"/>
      <c r="ITD62" s="12"/>
      <c r="ITU62" s="12"/>
      <c r="ITV62" s="12"/>
      <c r="IUM62" s="12"/>
      <c r="IUN62" s="12"/>
      <c r="IVE62" s="12"/>
      <c r="IVF62" s="12"/>
      <c r="IVW62" s="12"/>
      <c r="IVX62" s="12"/>
      <c r="IWO62" s="12"/>
      <c r="IWP62" s="12"/>
      <c r="IXG62" s="12"/>
      <c r="IXH62" s="12"/>
      <c r="IXY62" s="12"/>
      <c r="IXZ62" s="12"/>
      <c r="IYQ62" s="12"/>
      <c r="IYR62" s="12"/>
      <c r="IZI62" s="12"/>
      <c r="IZJ62" s="12"/>
      <c r="JAA62" s="12"/>
      <c r="JAB62" s="12"/>
      <c r="JAS62" s="12"/>
      <c r="JAT62" s="12"/>
      <c r="JBK62" s="12"/>
      <c r="JBL62" s="12"/>
      <c r="JCC62" s="12"/>
      <c r="JCD62" s="12"/>
      <c r="JCU62" s="12"/>
      <c r="JCV62" s="12"/>
      <c r="JDM62" s="12"/>
      <c r="JDN62" s="12"/>
      <c r="JEE62" s="12"/>
      <c r="JEF62" s="12"/>
      <c r="JEW62" s="12"/>
      <c r="JEX62" s="12"/>
      <c r="JFO62" s="12"/>
      <c r="JFP62" s="12"/>
      <c r="JGG62" s="12"/>
      <c r="JGH62" s="12"/>
      <c r="JGY62" s="12"/>
      <c r="JGZ62" s="12"/>
      <c r="JHQ62" s="12"/>
      <c r="JHR62" s="12"/>
      <c r="JII62" s="12"/>
      <c r="JIJ62" s="12"/>
      <c r="JJA62" s="12"/>
      <c r="JJB62" s="12"/>
      <c r="JJS62" s="12"/>
      <c r="JJT62" s="12"/>
      <c r="JKK62" s="12"/>
      <c r="JKL62" s="12"/>
      <c r="JLC62" s="12"/>
      <c r="JLD62" s="12"/>
      <c r="JLU62" s="12"/>
      <c r="JLV62" s="12"/>
      <c r="JMM62" s="12"/>
      <c r="JMN62" s="12"/>
      <c r="JNE62" s="12"/>
      <c r="JNF62" s="12"/>
      <c r="JNW62" s="12"/>
      <c r="JNX62" s="12"/>
      <c r="JOO62" s="12"/>
      <c r="JOP62" s="12"/>
      <c r="JPG62" s="12"/>
      <c r="JPH62" s="12"/>
      <c r="JPY62" s="12"/>
      <c r="JPZ62" s="12"/>
      <c r="JQQ62" s="12"/>
      <c r="JQR62" s="12"/>
      <c r="JRI62" s="12"/>
      <c r="JRJ62" s="12"/>
      <c r="JSA62" s="12"/>
      <c r="JSB62" s="12"/>
      <c r="JSS62" s="12"/>
      <c r="JST62" s="12"/>
      <c r="JTK62" s="12"/>
      <c r="JTL62" s="12"/>
      <c r="JUC62" s="12"/>
      <c r="JUD62" s="12"/>
      <c r="JUU62" s="12"/>
      <c r="JUV62" s="12"/>
      <c r="JVM62" s="12"/>
      <c r="JVN62" s="12"/>
      <c r="JWE62" s="12"/>
      <c r="JWF62" s="12"/>
      <c r="JWW62" s="12"/>
      <c r="JWX62" s="12"/>
      <c r="JXO62" s="12"/>
      <c r="JXP62" s="12"/>
      <c r="JYG62" s="12"/>
      <c r="JYH62" s="12"/>
      <c r="JYY62" s="12"/>
      <c r="JYZ62" s="12"/>
      <c r="JZQ62" s="12"/>
      <c r="JZR62" s="12"/>
      <c r="KAI62" s="12"/>
      <c r="KAJ62" s="12"/>
      <c r="KBA62" s="12"/>
      <c r="KBB62" s="12"/>
      <c r="KBS62" s="12"/>
      <c r="KBT62" s="12"/>
      <c r="KCK62" s="12"/>
      <c r="KCL62" s="12"/>
      <c r="KDC62" s="12"/>
      <c r="KDD62" s="12"/>
      <c r="KDU62" s="12"/>
      <c r="KDV62" s="12"/>
      <c r="KEM62" s="12"/>
      <c r="KEN62" s="12"/>
      <c r="KFE62" s="12"/>
      <c r="KFF62" s="12"/>
      <c r="KFW62" s="12"/>
      <c r="KFX62" s="12"/>
      <c r="KGO62" s="12"/>
      <c r="KGP62" s="12"/>
      <c r="KHG62" s="12"/>
      <c r="KHH62" s="12"/>
      <c r="KHY62" s="12"/>
      <c r="KHZ62" s="12"/>
      <c r="KIQ62" s="12"/>
      <c r="KIR62" s="12"/>
      <c r="KJI62" s="12"/>
      <c r="KJJ62" s="12"/>
      <c r="KKA62" s="12"/>
      <c r="KKB62" s="12"/>
      <c r="KKS62" s="12"/>
      <c r="KKT62" s="12"/>
      <c r="KLK62" s="12"/>
      <c r="KLL62" s="12"/>
      <c r="KMC62" s="12"/>
      <c r="KMD62" s="12"/>
      <c r="KMU62" s="12"/>
      <c r="KMV62" s="12"/>
      <c r="KNM62" s="12"/>
      <c r="KNN62" s="12"/>
      <c r="KOE62" s="12"/>
      <c r="KOF62" s="12"/>
      <c r="KOW62" s="12"/>
      <c r="KOX62" s="12"/>
      <c r="KPO62" s="12"/>
      <c r="KPP62" s="12"/>
      <c r="KQG62" s="12"/>
      <c r="KQH62" s="12"/>
      <c r="KQY62" s="12"/>
      <c r="KQZ62" s="12"/>
      <c r="KRQ62" s="12"/>
      <c r="KRR62" s="12"/>
      <c r="KSI62" s="12"/>
      <c r="KSJ62" s="12"/>
      <c r="KTA62" s="12"/>
      <c r="KTB62" s="12"/>
      <c r="KTS62" s="12"/>
      <c r="KTT62" s="12"/>
      <c r="KUK62" s="12"/>
      <c r="KUL62" s="12"/>
      <c r="KVC62" s="12"/>
      <c r="KVD62" s="12"/>
      <c r="KVU62" s="12"/>
      <c r="KVV62" s="12"/>
      <c r="KWM62" s="12"/>
      <c r="KWN62" s="12"/>
      <c r="KXE62" s="12"/>
      <c r="KXF62" s="12"/>
      <c r="KXW62" s="12"/>
      <c r="KXX62" s="12"/>
      <c r="KYO62" s="12"/>
      <c r="KYP62" s="12"/>
      <c r="KZG62" s="12"/>
      <c r="KZH62" s="12"/>
      <c r="KZY62" s="12"/>
      <c r="KZZ62" s="12"/>
      <c r="LAQ62" s="12"/>
      <c r="LAR62" s="12"/>
      <c r="LBI62" s="12"/>
      <c r="LBJ62" s="12"/>
      <c r="LCA62" s="12"/>
      <c r="LCB62" s="12"/>
      <c r="LCS62" s="12"/>
      <c r="LCT62" s="12"/>
      <c r="LDK62" s="12"/>
      <c r="LDL62" s="12"/>
      <c r="LEC62" s="12"/>
      <c r="LED62" s="12"/>
      <c r="LEU62" s="12"/>
      <c r="LEV62" s="12"/>
      <c r="LFM62" s="12"/>
      <c r="LFN62" s="12"/>
      <c r="LGE62" s="12"/>
      <c r="LGF62" s="12"/>
      <c r="LGW62" s="12"/>
      <c r="LGX62" s="12"/>
      <c r="LHO62" s="12"/>
      <c r="LHP62" s="12"/>
      <c r="LIG62" s="12"/>
      <c r="LIH62" s="12"/>
      <c r="LIY62" s="12"/>
      <c r="LIZ62" s="12"/>
      <c r="LJQ62" s="12"/>
      <c r="LJR62" s="12"/>
      <c r="LKI62" s="12"/>
      <c r="LKJ62" s="12"/>
      <c r="LLA62" s="12"/>
      <c r="LLB62" s="12"/>
      <c r="LLS62" s="12"/>
      <c r="LLT62" s="12"/>
      <c r="LMK62" s="12"/>
      <c r="LML62" s="12"/>
      <c r="LNC62" s="12"/>
      <c r="LND62" s="12"/>
      <c r="LNU62" s="12"/>
      <c r="LNV62" s="12"/>
      <c r="LOM62" s="12"/>
      <c r="LON62" s="12"/>
      <c r="LPE62" s="12"/>
      <c r="LPF62" s="12"/>
      <c r="LPW62" s="12"/>
      <c r="LPX62" s="12"/>
      <c r="LQO62" s="12"/>
      <c r="LQP62" s="12"/>
      <c r="LRG62" s="12"/>
      <c r="LRH62" s="12"/>
      <c r="LRY62" s="12"/>
      <c r="LRZ62" s="12"/>
      <c r="LSQ62" s="12"/>
      <c r="LSR62" s="12"/>
      <c r="LTI62" s="12"/>
      <c r="LTJ62" s="12"/>
      <c r="LUA62" s="12"/>
      <c r="LUB62" s="12"/>
      <c r="LUS62" s="12"/>
      <c r="LUT62" s="12"/>
      <c r="LVK62" s="12"/>
      <c r="LVL62" s="12"/>
      <c r="LWC62" s="12"/>
      <c r="LWD62" s="12"/>
      <c r="LWU62" s="12"/>
      <c r="LWV62" s="12"/>
      <c r="LXM62" s="12"/>
      <c r="LXN62" s="12"/>
      <c r="LYE62" s="12"/>
      <c r="LYF62" s="12"/>
      <c r="LYW62" s="12"/>
      <c r="LYX62" s="12"/>
      <c r="LZO62" s="12"/>
      <c r="LZP62" s="12"/>
      <c r="MAG62" s="12"/>
      <c r="MAH62" s="12"/>
      <c r="MAY62" s="12"/>
      <c r="MAZ62" s="12"/>
      <c r="MBQ62" s="12"/>
      <c r="MBR62" s="12"/>
      <c r="MCI62" s="12"/>
      <c r="MCJ62" s="12"/>
      <c r="MDA62" s="12"/>
      <c r="MDB62" s="12"/>
      <c r="MDS62" s="12"/>
      <c r="MDT62" s="12"/>
      <c r="MEK62" s="12"/>
      <c r="MEL62" s="12"/>
      <c r="MFC62" s="12"/>
      <c r="MFD62" s="12"/>
      <c r="MFU62" s="12"/>
      <c r="MFV62" s="12"/>
      <c r="MGM62" s="12"/>
      <c r="MGN62" s="12"/>
      <c r="MHE62" s="12"/>
      <c r="MHF62" s="12"/>
      <c r="MHW62" s="12"/>
      <c r="MHX62" s="12"/>
      <c r="MIO62" s="12"/>
      <c r="MIP62" s="12"/>
      <c r="MJG62" s="12"/>
      <c r="MJH62" s="12"/>
      <c r="MJY62" s="12"/>
      <c r="MJZ62" s="12"/>
      <c r="MKQ62" s="12"/>
      <c r="MKR62" s="12"/>
      <c r="MLI62" s="12"/>
      <c r="MLJ62" s="12"/>
      <c r="MMA62" s="12"/>
      <c r="MMB62" s="12"/>
      <c r="MMS62" s="12"/>
      <c r="MMT62" s="12"/>
      <c r="MNK62" s="12"/>
      <c r="MNL62" s="12"/>
      <c r="MOC62" s="12"/>
      <c r="MOD62" s="12"/>
      <c r="MOU62" s="12"/>
      <c r="MOV62" s="12"/>
      <c r="MPM62" s="12"/>
      <c r="MPN62" s="12"/>
      <c r="MQE62" s="12"/>
      <c r="MQF62" s="12"/>
      <c r="MQW62" s="12"/>
      <c r="MQX62" s="12"/>
      <c r="MRO62" s="12"/>
      <c r="MRP62" s="12"/>
      <c r="MSG62" s="12"/>
      <c r="MSH62" s="12"/>
      <c r="MSY62" s="12"/>
      <c r="MSZ62" s="12"/>
      <c r="MTQ62" s="12"/>
      <c r="MTR62" s="12"/>
      <c r="MUI62" s="12"/>
      <c r="MUJ62" s="12"/>
      <c r="MVA62" s="12"/>
      <c r="MVB62" s="12"/>
      <c r="MVS62" s="12"/>
      <c r="MVT62" s="12"/>
      <c r="MWK62" s="12"/>
      <c r="MWL62" s="12"/>
      <c r="MXC62" s="12"/>
      <c r="MXD62" s="12"/>
      <c r="MXU62" s="12"/>
      <c r="MXV62" s="12"/>
      <c r="MYM62" s="12"/>
      <c r="MYN62" s="12"/>
      <c r="MZE62" s="12"/>
      <c r="MZF62" s="12"/>
      <c r="MZW62" s="12"/>
      <c r="MZX62" s="12"/>
      <c r="NAO62" s="12"/>
      <c r="NAP62" s="12"/>
      <c r="NBG62" s="12"/>
      <c r="NBH62" s="12"/>
      <c r="NBY62" s="12"/>
      <c r="NBZ62" s="12"/>
      <c r="NCQ62" s="12"/>
      <c r="NCR62" s="12"/>
      <c r="NDI62" s="12"/>
      <c r="NDJ62" s="12"/>
      <c r="NEA62" s="12"/>
      <c r="NEB62" s="12"/>
      <c r="NES62" s="12"/>
      <c r="NET62" s="12"/>
      <c r="NFK62" s="12"/>
      <c r="NFL62" s="12"/>
      <c r="NGC62" s="12"/>
      <c r="NGD62" s="12"/>
      <c r="NGU62" s="12"/>
      <c r="NGV62" s="12"/>
      <c r="NHM62" s="12"/>
      <c r="NHN62" s="12"/>
      <c r="NIE62" s="12"/>
      <c r="NIF62" s="12"/>
      <c r="NIW62" s="12"/>
      <c r="NIX62" s="12"/>
      <c r="NJO62" s="12"/>
      <c r="NJP62" s="12"/>
      <c r="NKG62" s="12"/>
      <c r="NKH62" s="12"/>
      <c r="NKY62" s="12"/>
      <c r="NKZ62" s="12"/>
      <c r="NLQ62" s="12"/>
      <c r="NLR62" s="12"/>
      <c r="NMI62" s="12"/>
      <c r="NMJ62" s="12"/>
      <c r="NNA62" s="12"/>
      <c r="NNB62" s="12"/>
      <c r="NNS62" s="12"/>
      <c r="NNT62" s="12"/>
      <c r="NOK62" s="12"/>
      <c r="NOL62" s="12"/>
      <c r="NPC62" s="12"/>
      <c r="NPD62" s="12"/>
      <c r="NPU62" s="12"/>
      <c r="NPV62" s="12"/>
      <c r="NQM62" s="12"/>
      <c r="NQN62" s="12"/>
      <c r="NRE62" s="12"/>
      <c r="NRF62" s="12"/>
      <c r="NRW62" s="12"/>
      <c r="NRX62" s="12"/>
      <c r="NSO62" s="12"/>
      <c r="NSP62" s="12"/>
      <c r="NTG62" s="12"/>
      <c r="NTH62" s="12"/>
      <c r="NTY62" s="12"/>
      <c r="NTZ62" s="12"/>
      <c r="NUQ62" s="12"/>
      <c r="NUR62" s="12"/>
      <c r="NVI62" s="12"/>
      <c r="NVJ62" s="12"/>
      <c r="NWA62" s="12"/>
      <c r="NWB62" s="12"/>
      <c r="NWS62" s="12"/>
      <c r="NWT62" s="12"/>
      <c r="NXK62" s="12"/>
      <c r="NXL62" s="12"/>
      <c r="NYC62" s="12"/>
      <c r="NYD62" s="12"/>
      <c r="NYU62" s="12"/>
      <c r="NYV62" s="12"/>
      <c r="NZM62" s="12"/>
      <c r="NZN62" s="12"/>
      <c r="OAE62" s="12"/>
      <c r="OAF62" s="12"/>
      <c r="OAW62" s="12"/>
      <c r="OAX62" s="12"/>
      <c r="OBO62" s="12"/>
      <c r="OBP62" s="12"/>
      <c r="OCG62" s="12"/>
      <c r="OCH62" s="12"/>
      <c r="OCY62" s="12"/>
      <c r="OCZ62" s="12"/>
      <c r="ODQ62" s="12"/>
      <c r="ODR62" s="12"/>
      <c r="OEI62" s="12"/>
      <c r="OEJ62" s="12"/>
      <c r="OFA62" s="12"/>
      <c r="OFB62" s="12"/>
      <c r="OFS62" s="12"/>
      <c r="OFT62" s="12"/>
      <c r="OGK62" s="12"/>
      <c r="OGL62" s="12"/>
      <c r="OHC62" s="12"/>
      <c r="OHD62" s="12"/>
      <c r="OHU62" s="12"/>
      <c r="OHV62" s="12"/>
      <c r="OIM62" s="12"/>
      <c r="OIN62" s="12"/>
      <c r="OJE62" s="12"/>
      <c r="OJF62" s="12"/>
      <c r="OJW62" s="12"/>
      <c r="OJX62" s="12"/>
      <c r="OKO62" s="12"/>
      <c r="OKP62" s="12"/>
      <c r="OLG62" s="12"/>
      <c r="OLH62" s="12"/>
      <c r="OLY62" s="12"/>
      <c r="OLZ62" s="12"/>
      <c r="OMQ62" s="12"/>
      <c r="OMR62" s="12"/>
      <c r="ONI62" s="12"/>
      <c r="ONJ62" s="12"/>
      <c r="OOA62" s="12"/>
      <c r="OOB62" s="12"/>
      <c r="OOS62" s="12"/>
      <c r="OOT62" s="12"/>
      <c r="OPK62" s="12"/>
      <c r="OPL62" s="12"/>
      <c r="OQC62" s="12"/>
      <c r="OQD62" s="12"/>
      <c r="OQU62" s="12"/>
      <c r="OQV62" s="12"/>
      <c r="ORM62" s="12"/>
      <c r="ORN62" s="12"/>
      <c r="OSE62" s="12"/>
      <c r="OSF62" s="12"/>
      <c r="OSW62" s="12"/>
      <c r="OSX62" s="12"/>
      <c r="OTO62" s="12"/>
      <c r="OTP62" s="12"/>
      <c r="OUG62" s="12"/>
      <c r="OUH62" s="12"/>
      <c r="OUY62" s="12"/>
      <c r="OUZ62" s="12"/>
      <c r="OVQ62" s="12"/>
      <c r="OVR62" s="12"/>
      <c r="OWI62" s="12"/>
      <c r="OWJ62" s="12"/>
      <c r="OXA62" s="12"/>
      <c r="OXB62" s="12"/>
      <c r="OXS62" s="12"/>
      <c r="OXT62" s="12"/>
      <c r="OYK62" s="12"/>
      <c r="OYL62" s="12"/>
      <c r="OZC62" s="12"/>
      <c r="OZD62" s="12"/>
      <c r="OZU62" s="12"/>
      <c r="OZV62" s="12"/>
      <c r="PAM62" s="12"/>
      <c r="PAN62" s="12"/>
      <c r="PBE62" s="12"/>
      <c r="PBF62" s="12"/>
      <c r="PBW62" s="12"/>
      <c r="PBX62" s="12"/>
      <c r="PCO62" s="12"/>
      <c r="PCP62" s="12"/>
      <c r="PDG62" s="12"/>
      <c r="PDH62" s="12"/>
      <c r="PDY62" s="12"/>
      <c r="PDZ62" s="12"/>
      <c r="PEQ62" s="12"/>
      <c r="PER62" s="12"/>
      <c r="PFI62" s="12"/>
      <c r="PFJ62" s="12"/>
      <c r="PGA62" s="12"/>
      <c r="PGB62" s="12"/>
      <c r="PGS62" s="12"/>
      <c r="PGT62" s="12"/>
      <c r="PHK62" s="12"/>
      <c r="PHL62" s="12"/>
      <c r="PIC62" s="12"/>
      <c r="PID62" s="12"/>
      <c r="PIU62" s="12"/>
      <c r="PIV62" s="12"/>
      <c r="PJM62" s="12"/>
      <c r="PJN62" s="12"/>
      <c r="PKE62" s="12"/>
      <c r="PKF62" s="12"/>
      <c r="PKW62" s="12"/>
      <c r="PKX62" s="12"/>
      <c r="PLO62" s="12"/>
      <c r="PLP62" s="12"/>
      <c r="PMG62" s="12"/>
      <c r="PMH62" s="12"/>
      <c r="PMY62" s="12"/>
      <c r="PMZ62" s="12"/>
      <c r="PNQ62" s="12"/>
      <c r="PNR62" s="12"/>
      <c r="POI62" s="12"/>
      <c r="POJ62" s="12"/>
      <c r="PPA62" s="12"/>
      <c r="PPB62" s="12"/>
      <c r="PPS62" s="12"/>
      <c r="PPT62" s="12"/>
      <c r="PQK62" s="12"/>
      <c r="PQL62" s="12"/>
      <c r="PRC62" s="12"/>
      <c r="PRD62" s="12"/>
      <c r="PRU62" s="12"/>
      <c r="PRV62" s="12"/>
      <c r="PSM62" s="12"/>
      <c r="PSN62" s="12"/>
      <c r="PTE62" s="12"/>
      <c r="PTF62" s="12"/>
      <c r="PTW62" s="12"/>
      <c r="PTX62" s="12"/>
      <c r="PUO62" s="12"/>
      <c r="PUP62" s="12"/>
      <c r="PVG62" s="12"/>
      <c r="PVH62" s="12"/>
      <c r="PVY62" s="12"/>
      <c r="PVZ62" s="12"/>
      <c r="PWQ62" s="12"/>
      <c r="PWR62" s="12"/>
      <c r="PXI62" s="12"/>
      <c r="PXJ62" s="12"/>
      <c r="PYA62" s="12"/>
      <c r="PYB62" s="12"/>
      <c r="PYS62" s="12"/>
      <c r="PYT62" s="12"/>
      <c r="PZK62" s="12"/>
      <c r="PZL62" s="12"/>
      <c r="QAC62" s="12"/>
      <c r="QAD62" s="12"/>
      <c r="QAU62" s="12"/>
      <c r="QAV62" s="12"/>
      <c r="QBM62" s="12"/>
      <c r="QBN62" s="12"/>
      <c r="QCE62" s="12"/>
      <c r="QCF62" s="12"/>
      <c r="QCW62" s="12"/>
      <c r="QCX62" s="12"/>
      <c r="QDO62" s="12"/>
      <c r="QDP62" s="12"/>
      <c r="QEG62" s="12"/>
      <c r="QEH62" s="12"/>
      <c r="QEY62" s="12"/>
      <c r="QEZ62" s="12"/>
      <c r="QFQ62" s="12"/>
      <c r="QFR62" s="12"/>
      <c r="QGI62" s="12"/>
      <c r="QGJ62" s="12"/>
      <c r="QHA62" s="12"/>
      <c r="QHB62" s="12"/>
      <c r="QHS62" s="12"/>
      <c r="QHT62" s="12"/>
      <c r="QIK62" s="12"/>
      <c r="QIL62" s="12"/>
      <c r="QJC62" s="12"/>
      <c r="QJD62" s="12"/>
      <c r="QJU62" s="12"/>
      <c r="QJV62" s="12"/>
      <c r="QKM62" s="12"/>
      <c r="QKN62" s="12"/>
      <c r="QLE62" s="12"/>
      <c r="QLF62" s="12"/>
      <c r="QLW62" s="12"/>
      <c r="QLX62" s="12"/>
      <c r="QMO62" s="12"/>
      <c r="QMP62" s="12"/>
      <c r="QNG62" s="12"/>
      <c r="QNH62" s="12"/>
      <c r="QNY62" s="12"/>
      <c r="QNZ62" s="12"/>
      <c r="QOQ62" s="12"/>
      <c r="QOR62" s="12"/>
      <c r="QPI62" s="12"/>
      <c r="QPJ62" s="12"/>
      <c r="QQA62" s="12"/>
      <c r="QQB62" s="12"/>
      <c r="QQS62" s="12"/>
      <c r="QQT62" s="12"/>
      <c r="QRK62" s="12"/>
      <c r="QRL62" s="12"/>
      <c r="QSC62" s="12"/>
      <c r="QSD62" s="12"/>
      <c r="QSU62" s="12"/>
      <c r="QSV62" s="12"/>
      <c r="QTM62" s="12"/>
      <c r="QTN62" s="12"/>
      <c r="QUE62" s="12"/>
      <c r="QUF62" s="12"/>
      <c r="QUW62" s="12"/>
      <c r="QUX62" s="12"/>
      <c r="QVO62" s="12"/>
      <c r="QVP62" s="12"/>
      <c r="QWG62" s="12"/>
      <c r="QWH62" s="12"/>
      <c r="QWY62" s="12"/>
      <c r="QWZ62" s="12"/>
      <c r="QXQ62" s="12"/>
      <c r="QXR62" s="12"/>
      <c r="QYI62" s="12"/>
      <c r="QYJ62" s="12"/>
      <c r="QZA62" s="12"/>
      <c r="QZB62" s="12"/>
      <c r="QZS62" s="12"/>
      <c r="QZT62" s="12"/>
      <c r="RAK62" s="12"/>
      <c r="RAL62" s="12"/>
      <c r="RBC62" s="12"/>
      <c r="RBD62" s="12"/>
      <c r="RBU62" s="12"/>
      <c r="RBV62" s="12"/>
      <c r="RCM62" s="12"/>
      <c r="RCN62" s="12"/>
      <c r="RDE62" s="12"/>
      <c r="RDF62" s="12"/>
      <c r="RDW62" s="12"/>
      <c r="RDX62" s="12"/>
      <c r="REO62" s="12"/>
      <c r="REP62" s="12"/>
      <c r="RFG62" s="12"/>
      <c r="RFH62" s="12"/>
      <c r="RFY62" s="12"/>
      <c r="RFZ62" s="12"/>
      <c r="RGQ62" s="12"/>
      <c r="RGR62" s="12"/>
      <c r="RHI62" s="12"/>
      <c r="RHJ62" s="12"/>
      <c r="RIA62" s="12"/>
      <c r="RIB62" s="12"/>
      <c r="RIS62" s="12"/>
      <c r="RIT62" s="12"/>
      <c r="RJK62" s="12"/>
      <c r="RJL62" s="12"/>
      <c r="RKC62" s="12"/>
      <c r="RKD62" s="12"/>
      <c r="RKU62" s="12"/>
      <c r="RKV62" s="12"/>
      <c r="RLM62" s="12"/>
      <c r="RLN62" s="12"/>
      <c r="RME62" s="12"/>
      <c r="RMF62" s="12"/>
      <c r="RMW62" s="12"/>
      <c r="RMX62" s="12"/>
      <c r="RNO62" s="12"/>
      <c r="RNP62" s="12"/>
      <c r="ROG62" s="12"/>
      <c r="ROH62" s="12"/>
      <c r="ROY62" s="12"/>
      <c r="ROZ62" s="12"/>
      <c r="RPQ62" s="12"/>
      <c r="RPR62" s="12"/>
      <c r="RQI62" s="12"/>
      <c r="RQJ62" s="12"/>
      <c r="RRA62" s="12"/>
      <c r="RRB62" s="12"/>
      <c r="RRS62" s="12"/>
      <c r="RRT62" s="12"/>
      <c r="RSK62" s="12"/>
      <c r="RSL62" s="12"/>
      <c r="RTC62" s="12"/>
      <c r="RTD62" s="12"/>
      <c r="RTU62" s="12"/>
      <c r="RTV62" s="12"/>
      <c r="RUM62" s="12"/>
      <c r="RUN62" s="12"/>
      <c r="RVE62" s="12"/>
      <c r="RVF62" s="12"/>
      <c r="RVW62" s="12"/>
      <c r="RVX62" s="12"/>
      <c r="RWO62" s="12"/>
      <c r="RWP62" s="12"/>
      <c r="RXG62" s="12"/>
      <c r="RXH62" s="12"/>
      <c r="RXY62" s="12"/>
      <c r="RXZ62" s="12"/>
      <c r="RYQ62" s="12"/>
      <c r="RYR62" s="12"/>
      <c r="RZI62" s="12"/>
      <c r="RZJ62" s="12"/>
      <c r="SAA62" s="12"/>
      <c r="SAB62" s="12"/>
      <c r="SAS62" s="12"/>
      <c r="SAT62" s="12"/>
      <c r="SBK62" s="12"/>
      <c r="SBL62" s="12"/>
      <c r="SCC62" s="12"/>
      <c r="SCD62" s="12"/>
      <c r="SCU62" s="12"/>
      <c r="SCV62" s="12"/>
      <c r="SDM62" s="12"/>
      <c r="SDN62" s="12"/>
      <c r="SEE62" s="12"/>
      <c r="SEF62" s="12"/>
      <c r="SEW62" s="12"/>
      <c r="SEX62" s="12"/>
      <c r="SFO62" s="12"/>
      <c r="SFP62" s="12"/>
      <c r="SGG62" s="12"/>
      <c r="SGH62" s="12"/>
      <c r="SGY62" s="12"/>
      <c r="SGZ62" s="12"/>
      <c r="SHQ62" s="12"/>
      <c r="SHR62" s="12"/>
      <c r="SII62" s="12"/>
      <c r="SIJ62" s="12"/>
      <c r="SJA62" s="12"/>
      <c r="SJB62" s="12"/>
      <c r="SJS62" s="12"/>
      <c r="SJT62" s="12"/>
      <c r="SKK62" s="12"/>
      <c r="SKL62" s="12"/>
      <c r="SLC62" s="12"/>
      <c r="SLD62" s="12"/>
      <c r="SLU62" s="12"/>
      <c r="SLV62" s="12"/>
      <c r="SMM62" s="12"/>
      <c r="SMN62" s="12"/>
      <c r="SNE62" s="12"/>
      <c r="SNF62" s="12"/>
      <c r="SNW62" s="12"/>
      <c r="SNX62" s="12"/>
      <c r="SOO62" s="12"/>
      <c r="SOP62" s="12"/>
      <c r="SPG62" s="12"/>
      <c r="SPH62" s="12"/>
      <c r="SPY62" s="12"/>
      <c r="SPZ62" s="12"/>
      <c r="SQQ62" s="12"/>
      <c r="SQR62" s="12"/>
      <c r="SRI62" s="12"/>
      <c r="SRJ62" s="12"/>
      <c r="SSA62" s="12"/>
      <c r="SSB62" s="12"/>
      <c r="SSS62" s="12"/>
      <c r="SST62" s="12"/>
      <c r="STK62" s="12"/>
      <c r="STL62" s="12"/>
      <c r="SUC62" s="12"/>
      <c r="SUD62" s="12"/>
      <c r="SUU62" s="12"/>
      <c r="SUV62" s="12"/>
      <c r="SVM62" s="12"/>
      <c r="SVN62" s="12"/>
      <c r="SWE62" s="12"/>
      <c r="SWF62" s="12"/>
      <c r="SWW62" s="12"/>
      <c r="SWX62" s="12"/>
      <c r="SXO62" s="12"/>
      <c r="SXP62" s="12"/>
      <c r="SYG62" s="12"/>
      <c r="SYH62" s="12"/>
      <c r="SYY62" s="12"/>
      <c r="SYZ62" s="12"/>
      <c r="SZQ62" s="12"/>
      <c r="SZR62" s="12"/>
      <c r="TAI62" s="12"/>
      <c r="TAJ62" s="12"/>
      <c r="TBA62" s="12"/>
      <c r="TBB62" s="12"/>
      <c r="TBS62" s="12"/>
      <c r="TBT62" s="12"/>
      <c r="TCK62" s="12"/>
      <c r="TCL62" s="12"/>
      <c r="TDC62" s="12"/>
      <c r="TDD62" s="12"/>
      <c r="TDU62" s="12"/>
      <c r="TDV62" s="12"/>
      <c r="TEM62" s="12"/>
      <c r="TEN62" s="12"/>
      <c r="TFE62" s="12"/>
      <c r="TFF62" s="12"/>
      <c r="TFW62" s="12"/>
      <c r="TFX62" s="12"/>
      <c r="TGO62" s="12"/>
      <c r="TGP62" s="12"/>
      <c r="THG62" s="12"/>
      <c r="THH62" s="12"/>
      <c r="THY62" s="12"/>
      <c r="THZ62" s="12"/>
      <c r="TIQ62" s="12"/>
      <c r="TIR62" s="12"/>
      <c r="TJI62" s="12"/>
      <c r="TJJ62" s="12"/>
      <c r="TKA62" s="12"/>
      <c r="TKB62" s="12"/>
      <c r="TKS62" s="12"/>
      <c r="TKT62" s="12"/>
      <c r="TLK62" s="12"/>
      <c r="TLL62" s="12"/>
      <c r="TMC62" s="12"/>
      <c r="TMD62" s="12"/>
      <c r="TMU62" s="12"/>
      <c r="TMV62" s="12"/>
      <c r="TNM62" s="12"/>
      <c r="TNN62" s="12"/>
      <c r="TOE62" s="12"/>
      <c r="TOF62" s="12"/>
      <c r="TOW62" s="12"/>
      <c r="TOX62" s="12"/>
      <c r="TPO62" s="12"/>
      <c r="TPP62" s="12"/>
      <c r="TQG62" s="12"/>
      <c r="TQH62" s="12"/>
      <c r="TQY62" s="12"/>
      <c r="TQZ62" s="12"/>
      <c r="TRQ62" s="12"/>
      <c r="TRR62" s="12"/>
      <c r="TSI62" s="12"/>
      <c r="TSJ62" s="12"/>
      <c r="TTA62" s="12"/>
      <c r="TTB62" s="12"/>
      <c r="TTS62" s="12"/>
      <c r="TTT62" s="12"/>
      <c r="TUK62" s="12"/>
      <c r="TUL62" s="12"/>
      <c r="TVC62" s="12"/>
      <c r="TVD62" s="12"/>
      <c r="TVU62" s="12"/>
      <c r="TVV62" s="12"/>
      <c r="TWM62" s="12"/>
      <c r="TWN62" s="12"/>
      <c r="TXE62" s="12"/>
      <c r="TXF62" s="12"/>
      <c r="TXW62" s="12"/>
      <c r="TXX62" s="12"/>
      <c r="TYO62" s="12"/>
      <c r="TYP62" s="12"/>
      <c r="TZG62" s="12"/>
      <c r="TZH62" s="12"/>
      <c r="TZY62" s="12"/>
      <c r="TZZ62" s="12"/>
      <c r="UAQ62" s="12"/>
      <c r="UAR62" s="12"/>
      <c r="UBI62" s="12"/>
      <c r="UBJ62" s="12"/>
      <c r="UCA62" s="12"/>
      <c r="UCB62" s="12"/>
      <c r="UCS62" s="12"/>
      <c r="UCT62" s="12"/>
      <c r="UDK62" s="12"/>
      <c r="UDL62" s="12"/>
      <c r="UEC62" s="12"/>
      <c r="UED62" s="12"/>
      <c r="UEU62" s="12"/>
      <c r="UEV62" s="12"/>
      <c r="UFM62" s="12"/>
      <c r="UFN62" s="12"/>
      <c r="UGE62" s="12"/>
      <c r="UGF62" s="12"/>
      <c r="UGW62" s="12"/>
      <c r="UGX62" s="12"/>
      <c r="UHO62" s="12"/>
      <c r="UHP62" s="12"/>
      <c r="UIG62" s="12"/>
      <c r="UIH62" s="12"/>
      <c r="UIY62" s="12"/>
      <c r="UIZ62" s="12"/>
      <c r="UJQ62" s="12"/>
      <c r="UJR62" s="12"/>
      <c r="UKI62" s="12"/>
      <c r="UKJ62" s="12"/>
      <c r="ULA62" s="12"/>
      <c r="ULB62" s="12"/>
      <c r="ULS62" s="12"/>
      <c r="ULT62" s="12"/>
      <c r="UMK62" s="12"/>
      <c r="UML62" s="12"/>
      <c r="UNC62" s="12"/>
      <c r="UND62" s="12"/>
      <c r="UNU62" s="12"/>
      <c r="UNV62" s="12"/>
      <c r="UOM62" s="12"/>
      <c r="UON62" s="12"/>
      <c r="UPE62" s="12"/>
      <c r="UPF62" s="12"/>
      <c r="UPW62" s="12"/>
      <c r="UPX62" s="12"/>
      <c r="UQO62" s="12"/>
      <c r="UQP62" s="12"/>
      <c r="URG62" s="12"/>
      <c r="URH62" s="12"/>
      <c r="URY62" s="12"/>
      <c r="URZ62" s="12"/>
      <c r="USQ62" s="12"/>
      <c r="USR62" s="12"/>
      <c r="UTI62" s="12"/>
      <c r="UTJ62" s="12"/>
      <c r="UUA62" s="12"/>
      <c r="UUB62" s="12"/>
      <c r="UUS62" s="12"/>
      <c r="UUT62" s="12"/>
      <c r="UVK62" s="12"/>
      <c r="UVL62" s="12"/>
      <c r="UWC62" s="12"/>
      <c r="UWD62" s="12"/>
      <c r="UWU62" s="12"/>
      <c r="UWV62" s="12"/>
      <c r="UXM62" s="12"/>
      <c r="UXN62" s="12"/>
      <c r="UYE62" s="12"/>
      <c r="UYF62" s="12"/>
      <c r="UYW62" s="12"/>
      <c r="UYX62" s="12"/>
      <c r="UZO62" s="12"/>
      <c r="UZP62" s="12"/>
      <c r="VAG62" s="12"/>
      <c r="VAH62" s="12"/>
      <c r="VAY62" s="12"/>
      <c r="VAZ62" s="12"/>
      <c r="VBQ62" s="12"/>
      <c r="VBR62" s="12"/>
      <c r="VCI62" s="12"/>
      <c r="VCJ62" s="12"/>
      <c r="VDA62" s="12"/>
      <c r="VDB62" s="12"/>
      <c r="VDS62" s="12"/>
      <c r="VDT62" s="12"/>
      <c r="VEK62" s="12"/>
      <c r="VEL62" s="12"/>
      <c r="VFC62" s="12"/>
      <c r="VFD62" s="12"/>
      <c r="VFU62" s="12"/>
      <c r="VFV62" s="12"/>
      <c r="VGM62" s="12"/>
      <c r="VGN62" s="12"/>
      <c r="VHE62" s="12"/>
      <c r="VHF62" s="12"/>
      <c r="VHW62" s="12"/>
      <c r="VHX62" s="12"/>
      <c r="VIO62" s="12"/>
      <c r="VIP62" s="12"/>
      <c r="VJG62" s="12"/>
      <c r="VJH62" s="12"/>
      <c r="VJY62" s="12"/>
      <c r="VJZ62" s="12"/>
      <c r="VKQ62" s="12"/>
      <c r="VKR62" s="12"/>
      <c r="VLI62" s="12"/>
      <c r="VLJ62" s="12"/>
      <c r="VMA62" s="12"/>
      <c r="VMB62" s="12"/>
      <c r="VMS62" s="12"/>
      <c r="VMT62" s="12"/>
      <c r="VNK62" s="12"/>
      <c r="VNL62" s="12"/>
      <c r="VOC62" s="12"/>
      <c r="VOD62" s="12"/>
      <c r="VOU62" s="12"/>
      <c r="VOV62" s="12"/>
      <c r="VPM62" s="12"/>
      <c r="VPN62" s="12"/>
      <c r="VQE62" s="12"/>
      <c r="VQF62" s="12"/>
      <c r="VQW62" s="12"/>
      <c r="VQX62" s="12"/>
      <c r="VRO62" s="12"/>
      <c r="VRP62" s="12"/>
      <c r="VSG62" s="12"/>
      <c r="VSH62" s="12"/>
      <c r="VSY62" s="12"/>
      <c r="VSZ62" s="12"/>
      <c r="VTQ62" s="12"/>
      <c r="VTR62" s="12"/>
      <c r="VUI62" s="12"/>
      <c r="VUJ62" s="12"/>
      <c r="VVA62" s="12"/>
      <c r="VVB62" s="12"/>
      <c r="VVS62" s="12"/>
      <c r="VVT62" s="12"/>
      <c r="VWK62" s="12"/>
      <c r="VWL62" s="12"/>
      <c r="VXC62" s="12"/>
      <c r="VXD62" s="12"/>
      <c r="VXU62" s="12"/>
      <c r="VXV62" s="12"/>
      <c r="VYM62" s="12"/>
      <c r="VYN62" s="12"/>
      <c r="VZE62" s="12"/>
      <c r="VZF62" s="12"/>
      <c r="VZW62" s="12"/>
      <c r="VZX62" s="12"/>
      <c r="WAO62" s="12"/>
      <c r="WAP62" s="12"/>
      <c r="WBG62" s="12"/>
      <c r="WBH62" s="12"/>
      <c r="WBY62" s="12"/>
      <c r="WBZ62" s="12"/>
      <c r="WCQ62" s="12"/>
      <c r="WCR62" s="12"/>
      <c r="WDI62" s="12"/>
      <c r="WDJ62" s="12"/>
      <c r="WEA62" s="12"/>
      <c r="WEB62" s="12"/>
      <c r="WES62" s="12"/>
      <c r="WET62" s="12"/>
      <c r="WFK62" s="12"/>
      <c r="WFL62" s="12"/>
      <c r="WGC62" s="12"/>
      <c r="WGD62" s="12"/>
      <c r="WGU62" s="12"/>
      <c r="WGV62" s="12"/>
      <c r="WHM62" s="12"/>
      <c r="WHN62" s="12"/>
      <c r="WIE62" s="12"/>
      <c r="WIF62" s="12"/>
      <c r="WIW62" s="12"/>
      <c r="WIX62" s="12"/>
      <c r="WJO62" s="12"/>
      <c r="WJP62" s="12"/>
      <c r="WKG62" s="12"/>
      <c r="WKH62" s="12"/>
      <c r="WKY62" s="12"/>
      <c r="WKZ62" s="12"/>
      <c r="WLQ62" s="12"/>
      <c r="WLR62" s="12"/>
      <c r="WMI62" s="12"/>
      <c r="WMJ62" s="12"/>
      <c r="WNA62" s="12"/>
      <c r="WNB62" s="12"/>
      <c r="WNS62" s="12"/>
      <c r="WNT62" s="12"/>
      <c r="WOK62" s="12"/>
      <c r="WOL62" s="12"/>
      <c r="WPC62" s="12"/>
      <c r="WPD62" s="12"/>
      <c r="WPU62" s="12"/>
      <c r="WPV62" s="12"/>
      <c r="WQM62" s="12"/>
      <c r="WQN62" s="12"/>
      <c r="WRE62" s="12"/>
      <c r="WRF62" s="12"/>
      <c r="WRW62" s="12"/>
      <c r="WRX62" s="12"/>
      <c r="WSO62" s="12"/>
      <c r="WSP62" s="12"/>
      <c r="WTG62" s="12"/>
      <c r="WTH62" s="12"/>
      <c r="WTY62" s="12"/>
      <c r="WTZ62" s="12"/>
      <c r="WUQ62" s="12"/>
      <c r="WUR62" s="12"/>
      <c r="WVI62" s="12"/>
      <c r="WVJ62" s="12"/>
      <c r="WWA62" s="12"/>
      <c r="WWB62" s="12"/>
      <c r="WWS62" s="12"/>
      <c r="WWT62" s="12"/>
      <c r="WXK62" s="12"/>
      <c r="WXL62" s="12"/>
      <c r="WYC62" s="12"/>
      <c r="WYD62" s="12"/>
      <c r="WYU62" s="12"/>
      <c r="WYV62" s="12"/>
      <c r="WZM62" s="12"/>
      <c r="WZN62" s="12"/>
      <c r="XAE62" s="12"/>
      <c r="XAF62" s="12"/>
      <c r="XAW62" s="12"/>
      <c r="XAX62" s="12"/>
      <c r="XBO62" s="12"/>
      <c r="XBP62" s="12"/>
      <c r="XCG62" s="12"/>
      <c r="XCH62" s="12"/>
      <c r="XCY62" s="12"/>
      <c r="XCZ62" s="12"/>
      <c r="XDQ62" s="12"/>
      <c r="XDR62" s="12"/>
      <c r="XEI62" s="12"/>
      <c r="XEJ62" s="12"/>
      <c r="XFA62" s="12"/>
      <c r="XFB62" s="12"/>
    </row>
    <row r="63" spans="1:1010 1027:2036 2053:3062 3079:4088 4105:5114 5131:6140 6157:7166 7183:8192 8209:9200 9217:10226 10243:11252 11269:12278 12295:13304 13321:14330 14347:15356 15373:16382" x14ac:dyDescent="0.35">
      <c r="A63" s="181" t="str">
        <f>'Balance Sheet - Standardized'!A65</f>
        <v xml:space="preserve">    + Accounts Payable</v>
      </c>
      <c r="B63" s="13" t="str">
        <f>'Balance Sheet - Standardized'!B65</f>
        <v>BS_ACCT_PAYABLE</v>
      </c>
      <c r="C63" s="77">
        <f>IF('Balance Sheet - Standardized'!C65="",0,'Balance Sheet - Standardized'!C65)/'Balance Sheet - Standardized'!C$106</f>
        <v>0.13675894688660212</v>
      </c>
      <c r="D63" s="77">
        <f>IF('Balance Sheet - Standardized'!D65="",0,'Balance Sheet - Standardized'!D65)/'Balance Sheet - Standardized'!D$106</f>
        <v>0.1555956724596041</v>
      </c>
      <c r="E63" s="77">
        <f>IF('Balance Sheet - Standardized'!E65="",0,'Balance Sheet - Standardized'!E65)/'Balance Sheet - Standardized'!E$106</f>
        <v>0.13666681588253729</v>
      </c>
      <c r="F63" s="77">
        <f>IF('Balance Sheet - Standardized'!F65="",0,'Balance Sheet - Standardized'!F65)/'Balance Sheet - Standardized'!F$106</f>
        <v>0.12681329570668448</v>
      </c>
      <c r="G63" s="77">
        <f>IF('Balance Sheet - Standardized'!G65="",0,'Balance Sheet - Standardized'!G65)/'Balance Sheet - Standardized'!G$106</f>
        <v>0.10865121614070175</v>
      </c>
      <c r="H63" s="77">
        <f>IF('Balance Sheet - Standardized'!H65="",0,'Balance Sheet - Standardized'!H65)/'Balance Sheet - Standardized'!H$106</f>
        <v>0.15133226216777132</v>
      </c>
      <c r="I63" s="77">
        <f>IF('Balance Sheet - Standardized'!I65="",0,'Balance Sheet - Standardized'!I65)/'Balance Sheet - Standardized'!I$106</f>
        <v>0.18921193211364817</v>
      </c>
      <c r="J63" s="77">
        <f>IF('Balance Sheet - Standardized'!J65="",0,'Balance Sheet - Standardized'!J65)/'Balance Sheet - Standardized'!J$106</f>
        <v>0.15267802033729985</v>
      </c>
      <c r="K63" s="77">
        <f>IF('Balance Sheet - Standardized'!K65="",0,'Balance Sheet - Standardized'!K65)/'Balance Sheet - Standardized'!K$106</f>
        <v>0.13394835665624921</v>
      </c>
      <c r="L63" s="77">
        <f>IF('Balance Sheet - Standardized'!L65="",0,'Balance Sheet - Standardized'!L65)/'Balance Sheet - Standardized'!L$106</f>
        <v>0.15802666354964187</v>
      </c>
      <c r="M63" s="106"/>
      <c r="N63" s="106"/>
      <c r="O63" s="106"/>
      <c r="P63" s="106"/>
      <c r="Q63" s="106"/>
      <c r="R63" s="106"/>
      <c r="S63" s="74"/>
      <c r="T63" s="78"/>
      <c r="U63" s="78"/>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row>
    <row r="64" spans="1:1010 1027:2036 2053:3062 3079:4088 4105:5114 5131:6140 6157:7166 7183:8192 8209:9200 9217:10226 10243:11252 11269:12278 12295:13304 13321:14330 14347:15356 15373:16382" x14ac:dyDescent="0.35">
      <c r="A64" s="181" t="str">
        <f>'Balance Sheet - Standardized'!A66</f>
        <v xml:space="preserve">    + Accrued Taxes</v>
      </c>
      <c r="B64" s="13" t="str">
        <f>'Balance Sheet - Standardized'!B66</f>
        <v>BS_TAXES_PAYABLE</v>
      </c>
      <c r="C64" s="77">
        <f>IF('Balance Sheet - Standardized'!C66="",0,'Balance Sheet - Standardized'!C66)/'Balance Sheet - Standardized'!C$106</f>
        <v>1.7800532320680826E-2</v>
      </c>
      <c r="D64" s="77">
        <f>IF('Balance Sheet - Standardized'!D66="",0,'Balance Sheet - Standardized'!D66)/'Balance Sheet - Standardized'!D$106</f>
        <v>1.1920653284006493E-2</v>
      </c>
      <c r="E64" s="77">
        <f>IF('Balance Sheet - Standardized'!E66="",0,'Balance Sheet - Standardized'!E66)/'Balance Sheet - Standardized'!E$106</f>
        <v>5.7880836205738842E-3</v>
      </c>
      <c r="F64" s="77">
        <f>IF('Balance Sheet - Standardized'!F66="",0,'Balance Sheet - Standardized'!F66)/'Balance Sheet - Standardized'!F$106</f>
        <v>1.3985049869671055E-2</v>
      </c>
      <c r="G64" s="77">
        <f>IF('Balance Sheet - Standardized'!G66="",0,'Balance Sheet - Standardized'!G66)/'Balance Sheet - Standardized'!G$106</f>
        <v>1.3698126525690421E-2</v>
      </c>
      <c r="H64" s="77">
        <f>IF('Balance Sheet - Standardized'!H66="",0,'Balance Sheet - Standardized'!H66)/'Balance Sheet - Standardized'!H$106</f>
        <v>3.588404632791056E-3</v>
      </c>
      <c r="I64" s="77">
        <f>IF('Balance Sheet - Standardized'!I66="",0,'Balance Sheet - Standardized'!I66)/'Balance Sheet - Standardized'!I$106</f>
        <v>2.4645834318221212E-2</v>
      </c>
      <c r="J64" s="77">
        <f>IF('Balance Sheet - Standardized'!J66="",0,'Balance Sheet - Standardized'!J66)/'Balance Sheet - Standardized'!J$106</f>
        <v>3.1678327224327514E-2</v>
      </c>
      <c r="K64" s="77">
        <f>IF('Balance Sheet - Standardized'!K66="",0,'Balance Sheet - Standardized'!K66)/'Balance Sheet - Standardized'!K$106</f>
        <v>2.3426732393256936E-2</v>
      </c>
      <c r="L64" s="77">
        <f>IF('Balance Sheet - Standardized'!L66="",0,'Balance Sheet - Standardized'!L66)/'Balance Sheet - Standardized'!L$106</f>
        <v>2.4731643646139761E-2</v>
      </c>
      <c r="M64" s="106"/>
      <c r="N64" s="106"/>
      <c r="O64" s="106"/>
      <c r="P64" s="106"/>
      <c r="Q64" s="106"/>
      <c r="R64" s="106"/>
      <c r="S64" s="74"/>
      <c r="T64" s="78"/>
      <c r="U64" s="78"/>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row>
    <row r="65" spans="1:1010 1027:2036 2053:3062 3079:4088 4105:5114 5131:6140 6157:7166 7183:8192 8209:9200 9217:10226 10243:11252 11269:12278 12295:13304 13321:14330 14347:15356 15373:16382" x14ac:dyDescent="0.35">
      <c r="A65" s="181" t="str">
        <f>'Balance Sheet - Standardized'!A67</f>
        <v xml:space="preserve">    + Interest &amp; Dividends Payable</v>
      </c>
      <c r="B65" s="13" t="str">
        <f>'Balance Sheet - Standardized'!B67</f>
        <v>BS_INTEREST_&amp;_DIVIDENDS_PAYABLE</v>
      </c>
      <c r="C65" s="77">
        <f>IF('Balance Sheet - Standardized'!C67="",0,'Balance Sheet - Standardized'!C67)/'Balance Sheet - Standardized'!C$106</f>
        <v>0</v>
      </c>
      <c r="D65" s="77">
        <f>IF('Balance Sheet - Standardized'!D67="",0,'Balance Sheet - Standardized'!D67)/'Balance Sheet - Standardized'!D$106</f>
        <v>0</v>
      </c>
      <c r="E65" s="77">
        <f>IF('Balance Sheet - Standardized'!E67="",0,'Balance Sheet - Standardized'!E67)/'Balance Sheet - Standardized'!E$106</f>
        <v>0</v>
      </c>
      <c r="F65" s="77">
        <f>IF('Balance Sheet - Standardized'!F67="",0,'Balance Sheet - Standardized'!F67)/'Balance Sheet - Standardized'!F$106</f>
        <v>0</v>
      </c>
      <c r="G65" s="77">
        <f>IF('Balance Sheet - Standardized'!G67="",0,'Balance Sheet - Standardized'!G67)/'Balance Sheet - Standardized'!G$106</f>
        <v>0</v>
      </c>
      <c r="H65" s="77">
        <f>IF('Balance Sheet - Standardized'!H67="",0,'Balance Sheet - Standardized'!H67)/'Balance Sheet - Standardized'!H$106</f>
        <v>0</v>
      </c>
      <c r="I65" s="77">
        <f>IF('Balance Sheet - Standardized'!I67="",0,'Balance Sheet - Standardized'!I67)/'Balance Sheet - Standardized'!I$106</f>
        <v>0</v>
      </c>
      <c r="J65" s="77">
        <f>IF('Balance Sheet - Standardized'!J67="",0,'Balance Sheet - Standardized'!J67)/'Balance Sheet - Standardized'!J$106</f>
        <v>0</v>
      </c>
      <c r="K65" s="77">
        <f>IF('Balance Sheet - Standardized'!K67="",0,'Balance Sheet - Standardized'!K67)/'Balance Sheet - Standardized'!K$106</f>
        <v>0</v>
      </c>
      <c r="L65" s="77">
        <f>IF('Balance Sheet - Standardized'!L67="",0,'Balance Sheet - Standardized'!L67)/'Balance Sheet - Standardized'!L$106</f>
        <v>0</v>
      </c>
      <c r="M65" s="106"/>
      <c r="N65" s="106"/>
      <c r="O65" s="106"/>
      <c r="P65" s="106"/>
      <c r="Q65" s="106"/>
      <c r="R65" s="106"/>
      <c r="S65" s="74"/>
      <c r="T65" s="78"/>
      <c r="U65" s="78"/>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row>
    <row r="66" spans="1:1010 1027:2036 2053:3062 3079:4088 4105:5114 5131:6140 6157:7166 7183:8192 8209:9200 9217:10226 10243:11252 11269:12278 12295:13304 13321:14330 14347:15356 15373:16382" x14ac:dyDescent="0.35">
      <c r="A66" s="181" t="str">
        <f>'Balance Sheet - Standardized'!A68</f>
        <v xml:space="preserve">    + Other Payables &amp; Accruals</v>
      </c>
      <c r="B66" s="13" t="str">
        <f>'Balance Sheet - Standardized'!B68</f>
        <v>BS_ACCRUAL</v>
      </c>
      <c r="C66" s="77">
        <f>IF('Balance Sheet - Standardized'!C68="",0,'Balance Sheet - Standardized'!C68)/'Balance Sheet - Standardized'!C$106</f>
        <v>0</v>
      </c>
      <c r="D66" s="77">
        <f>IF('Balance Sheet - Standardized'!D68="",0,'Balance Sheet - Standardized'!D68)/'Balance Sheet - Standardized'!D$106</f>
        <v>0</v>
      </c>
      <c r="E66" s="77">
        <f>IF('Balance Sheet - Standardized'!E68="",0,'Balance Sheet - Standardized'!E68)/'Balance Sheet - Standardized'!E$106</f>
        <v>0</v>
      </c>
      <c r="F66" s="77">
        <f>IF('Balance Sheet - Standardized'!F68="",0,'Balance Sheet - Standardized'!F68)/'Balance Sheet - Standardized'!F$106</f>
        <v>0</v>
      </c>
      <c r="G66" s="77">
        <f>IF('Balance Sheet - Standardized'!G68="",0,'Balance Sheet - Standardized'!G68)/'Balance Sheet - Standardized'!G$106</f>
        <v>0</v>
      </c>
      <c r="H66" s="77">
        <f>IF('Balance Sheet - Standardized'!H68="",0,'Balance Sheet - Standardized'!H68)/'Balance Sheet - Standardized'!H$106</f>
        <v>0</v>
      </c>
      <c r="I66" s="77">
        <f>IF('Balance Sheet - Standardized'!I68="",0,'Balance Sheet - Standardized'!I68)/'Balance Sheet - Standardized'!I$106</f>
        <v>0</v>
      </c>
      <c r="J66" s="77">
        <f>IF('Balance Sheet - Standardized'!J68="",0,'Balance Sheet - Standardized'!J68)/'Balance Sheet - Standardized'!J$106</f>
        <v>0</v>
      </c>
      <c r="K66" s="77">
        <f>IF('Balance Sheet - Standardized'!K68="",0,'Balance Sheet - Standardized'!K68)/'Balance Sheet - Standardized'!K$106</f>
        <v>0</v>
      </c>
      <c r="L66" s="77">
        <f>IF('Balance Sheet - Standardized'!L68="",0,'Balance Sheet - Standardized'!L68)/'Balance Sheet - Standardized'!L$106</f>
        <v>0</v>
      </c>
      <c r="M66" s="106"/>
      <c r="N66" s="106"/>
      <c r="O66" s="106"/>
      <c r="P66" s="106"/>
      <c r="Q66" s="106"/>
      <c r="R66" s="106"/>
      <c r="S66" s="74"/>
      <c r="T66" s="78"/>
      <c r="U66" s="78"/>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row>
    <row r="67" spans="1:1010 1027:2036 2053:3062 3079:4088 4105:5114 5131:6140 6157:7166 7183:8192 8209:9200 9217:10226 10243:11252 11269:12278 12295:13304 13321:14330 14347:15356 15373:16382" x14ac:dyDescent="0.35">
      <c r="A67" s="23" t="str">
        <f>'Balance Sheet - Standardized'!A69</f>
        <v>check</v>
      </c>
      <c r="B67" s="23"/>
      <c r="C67" s="79"/>
      <c r="D67" s="79"/>
      <c r="E67" s="79"/>
      <c r="F67" s="79"/>
      <c r="G67" s="79"/>
      <c r="H67" s="79"/>
      <c r="I67" s="79"/>
      <c r="J67" s="79"/>
      <c r="K67" s="79"/>
      <c r="L67" s="79"/>
      <c r="M67" s="144"/>
      <c r="N67" s="144"/>
      <c r="O67" s="144"/>
      <c r="P67" s="144"/>
      <c r="Q67" s="144"/>
      <c r="R67" s="144"/>
      <c r="S67" s="74"/>
      <c r="T67" s="78"/>
      <c r="U67" s="78"/>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row>
    <row r="68" spans="1:1010 1027:2036 2053:3062 3079:4088 4105:5114 5131:6140 6157:7166 7183:8192 8209:9200 9217:10226 10243:11252 11269:12278 12295:13304 13321:14330 14347:15356 15373:16382" s="11" customFormat="1" x14ac:dyDescent="0.35">
      <c r="A68" s="183" t="str">
        <f>'Balance Sheet - Standardized'!A70</f>
        <v xml:space="preserve">  + ST Debt</v>
      </c>
      <c r="B68" s="75" t="str">
        <f>'Balance Sheet - Standardized'!B70</f>
        <v>BS_ST_BORROW</v>
      </c>
      <c r="C68" s="76">
        <f>IF('Balance Sheet - Standardized'!C70="",0,'Balance Sheet - Standardized'!C70)/'Balance Sheet - Standardized'!C$106</f>
        <v>8.3492973027955318E-4</v>
      </c>
      <c r="D68" s="76">
        <f>IF('Balance Sheet - Standardized'!D70="",0,'Balance Sheet - Standardized'!D70)/'Balance Sheet - Standardized'!D$106</f>
        <v>8.517779275098845E-4</v>
      </c>
      <c r="E68" s="76">
        <f>IF('Balance Sheet - Standardized'!E70="",0,'Balance Sheet - Standardized'!E70)/'Balance Sheet - Standardized'!E$106</f>
        <v>9.1767760418998167E-4</v>
      </c>
      <c r="F68" s="76">
        <f>IF('Balance Sheet - Standardized'!F70="",0,'Balance Sheet - Standardized'!F70)/'Balance Sheet - Standardized'!F$106</f>
        <v>9.0045453566273885E-4</v>
      </c>
      <c r="G68" s="76">
        <f>IF('Balance Sheet - Standardized'!G70="",0,'Balance Sheet - Standardized'!G70)/'Balance Sheet - Standardized'!G$106</f>
        <v>1.9550895561895237E-2</v>
      </c>
      <c r="H68" s="76">
        <f>IF('Balance Sheet - Standardized'!H70="",0,'Balance Sheet - Standardized'!H70)/'Balance Sheet - Standardized'!H$106</f>
        <v>1.4085827140657429E-2</v>
      </c>
      <c r="I68" s="76">
        <f>IF('Balance Sheet - Standardized'!I70="",0,'Balance Sheet - Standardized'!I70)/'Balance Sheet - Standardized'!I$106</f>
        <v>1.0655698955230936E-2</v>
      </c>
      <c r="J68" s="76">
        <f>IF('Balance Sheet - Standardized'!J70="",0,'Balance Sheet - Standardized'!J70)/'Balance Sheet - Standardized'!J$106</f>
        <v>1.1220341437679519E-2</v>
      </c>
      <c r="K68" s="76">
        <f>IF('Balance Sheet - Standardized'!K70="",0,'Balance Sheet - Standardized'!K70)/'Balance Sheet - Standardized'!K$106</f>
        <v>1.3786116510762909E-2</v>
      </c>
      <c r="L68" s="76">
        <f>IF('Balance Sheet - Standardized'!L70="",0,'Balance Sheet - Standardized'!L70)/'Balance Sheet - Standardized'!L$106</f>
        <v>1.4111031020890561E-2</v>
      </c>
      <c r="M68" s="106"/>
      <c r="N68" s="106"/>
      <c r="O68" s="106"/>
      <c r="P68" s="106"/>
      <c r="Q68" s="106"/>
      <c r="R68" s="106"/>
      <c r="S68" s="78"/>
      <c r="T68" s="78"/>
      <c r="U68" s="106"/>
      <c r="V68" s="106"/>
      <c r="W68" s="106"/>
      <c r="X68" s="106"/>
      <c r="Y68" s="106"/>
      <c r="Z68" s="106"/>
      <c r="AA68" s="106"/>
      <c r="AB68" s="106"/>
      <c r="AC68" s="106"/>
      <c r="AD68" s="106"/>
      <c r="AE68" s="106"/>
      <c r="AF68" s="106"/>
      <c r="AG68" s="106"/>
      <c r="AH68" s="106"/>
      <c r="AI68" s="106"/>
      <c r="AJ68" s="106"/>
      <c r="AK68" s="78"/>
      <c r="AL68" s="78"/>
      <c r="AM68" s="106"/>
      <c r="AN68" s="106"/>
      <c r="AO68" s="106"/>
      <c r="AP68" s="106"/>
      <c r="AQ68" s="106"/>
      <c r="AR68" s="106"/>
      <c r="AS68" s="106"/>
      <c r="AT68" s="106"/>
      <c r="AU68" s="106"/>
      <c r="AV68" s="106"/>
      <c r="AW68" s="106"/>
      <c r="AX68" s="106"/>
      <c r="AY68" s="106"/>
      <c r="AZ68" s="106"/>
      <c r="BA68" s="106"/>
      <c r="BB68" s="106"/>
      <c r="BC68" s="78"/>
      <c r="BD68" s="78"/>
      <c r="BE68" s="106"/>
      <c r="BF68" s="106"/>
      <c r="BG68" s="106"/>
      <c r="BH68" s="106"/>
      <c r="BI68" s="106"/>
      <c r="BJ68" s="106"/>
      <c r="BU68" s="12"/>
      <c r="BV68" s="12"/>
      <c r="CM68" s="12"/>
      <c r="CN68" s="12"/>
      <c r="DE68" s="12"/>
      <c r="DF68" s="12"/>
      <c r="DW68" s="12"/>
      <c r="DX68" s="12"/>
      <c r="EO68" s="12"/>
      <c r="EP68" s="12"/>
      <c r="FG68" s="12"/>
      <c r="FH68" s="12"/>
      <c r="FY68" s="12"/>
      <c r="FZ68" s="12"/>
      <c r="GQ68" s="12"/>
      <c r="GR68" s="12"/>
      <c r="HI68" s="12"/>
      <c r="HJ68" s="12"/>
      <c r="IA68" s="12"/>
      <c r="IB68" s="12"/>
      <c r="IS68" s="12"/>
      <c r="IT68" s="12"/>
      <c r="JK68" s="12"/>
      <c r="JL68" s="12"/>
      <c r="KC68" s="12"/>
      <c r="KD68" s="12"/>
      <c r="KU68" s="12"/>
      <c r="KV68" s="12"/>
      <c r="LM68" s="12"/>
      <c r="LN68" s="12"/>
      <c r="ME68" s="12"/>
      <c r="MF68" s="12"/>
      <c r="MW68" s="12"/>
      <c r="MX68" s="12"/>
      <c r="NO68" s="12"/>
      <c r="NP68" s="12"/>
      <c r="OG68" s="12"/>
      <c r="OH68" s="12"/>
      <c r="OY68" s="12"/>
      <c r="OZ68" s="12"/>
      <c r="PQ68" s="12"/>
      <c r="PR68" s="12"/>
      <c r="QI68" s="12"/>
      <c r="QJ68" s="12"/>
      <c r="RA68" s="12"/>
      <c r="RB68" s="12"/>
      <c r="RS68" s="12"/>
      <c r="RT68" s="12"/>
      <c r="SK68" s="12"/>
      <c r="SL68" s="12"/>
      <c r="TC68" s="12"/>
      <c r="TD68" s="12"/>
      <c r="TU68" s="12"/>
      <c r="TV68" s="12"/>
      <c r="UM68" s="12"/>
      <c r="UN68" s="12"/>
      <c r="VE68" s="12"/>
      <c r="VF68" s="12"/>
      <c r="VW68" s="12"/>
      <c r="VX68" s="12"/>
      <c r="WO68" s="12"/>
      <c r="WP68" s="12"/>
      <c r="XG68" s="12"/>
      <c r="XH68" s="12"/>
      <c r="XY68" s="12"/>
      <c r="XZ68" s="12"/>
      <c r="YQ68" s="12"/>
      <c r="YR68" s="12"/>
      <c r="ZI68" s="12"/>
      <c r="ZJ68" s="12"/>
      <c r="AAA68" s="12"/>
      <c r="AAB68" s="12"/>
      <c r="AAS68" s="12"/>
      <c r="AAT68" s="12"/>
      <c r="ABK68" s="12"/>
      <c r="ABL68" s="12"/>
      <c r="ACC68" s="12"/>
      <c r="ACD68" s="12"/>
      <c r="ACU68" s="12"/>
      <c r="ACV68" s="12"/>
      <c r="ADM68" s="12"/>
      <c r="ADN68" s="12"/>
      <c r="AEE68" s="12"/>
      <c r="AEF68" s="12"/>
      <c r="AEW68" s="12"/>
      <c r="AEX68" s="12"/>
      <c r="AFO68" s="12"/>
      <c r="AFP68" s="12"/>
      <c r="AGG68" s="12"/>
      <c r="AGH68" s="12"/>
      <c r="AGY68" s="12"/>
      <c r="AGZ68" s="12"/>
      <c r="AHQ68" s="12"/>
      <c r="AHR68" s="12"/>
      <c r="AII68" s="12"/>
      <c r="AIJ68" s="12"/>
      <c r="AJA68" s="12"/>
      <c r="AJB68" s="12"/>
      <c r="AJS68" s="12"/>
      <c r="AJT68" s="12"/>
      <c r="AKK68" s="12"/>
      <c r="AKL68" s="12"/>
      <c r="ALC68" s="12"/>
      <c r="ALD68" s="12"/>
      <c r="ALU68" s="12"/>
      <c r="ALV68" s="12"/>
      <c r="AMM68" s="12"/>
      <c r="AMN68" s="12"/>
      <c r="ANE68" s="12"/>
      <c r="ANF68" s="12"/>
      <c r="ANW68" s="12"/>
      <c r="ANX68" s="12"/>
      <c r="AOO68" s="12"/>
      <c r="AOP68" s="12"/>
      <c r="APG68" s="12"/>
      <c r="APH68" s="12"/>
      <c r="APY68" s="12"/>
      <c r="APZ68" s="12"/>
      <c r="AQQ68" s="12"/>
      <c r="AQR68" s="12"/>
      <c r="ARI68" s="12"/>
      <c r="ARJ68" s="12"/>
      <c r="ASA68" s="12"/>
      <c r="ASB68" s="12"/>
      <c r="ASS68" s="12"/>
      <c r="AST68" s="12"/>
      <c r="ATK68" s="12"/>
      <c r="ATL68" s="12"/>
      <c r="AUC68" s="12"/>
      <c r="AUD68" s="12"/>
      <c r="AUU68" s="12"/>
      <c r="AUV68" s="12"/>
      <c r="AVM68" s="12"/>
      <c r="AVN68" s="12"/>
      <c r="AWE68" s="12"/>
      <c r="AWF68" s="12"/>
      <c r="AWW68" s="12"/>
      <c r="AWX68" s="12"/>
      <c r="AXO68" s="12"/>
      <c r="AXP68" s="12"/>
      <c r="AYG68" s="12"/>
      <c r="AYH68" s="12"/>
      <c r="AYY68" s="12"/>
      <c r="AYZ68" s="12"/>
      <c r="AZQ68" s="12"/>
      <c r="AZR68" s="12"/>
      <c r="BAI68" s="12"/>
      <c r="BAJ68" s="12"/>
      <c r="BBA68" s="12"/>
      <c r="BBB68" s="12"/>
      <c r="BBS68" s="12"/>
      <c r="BBT68" s="12"/>
      <c r="BCK68" s="12"/>
      <c r="BCL68" s="12"/>
      <c r="BDC68" s="12"/>
      <c r="BDD68" s="12"/>
      <c r="BDU68" s="12"/>
      <c r="BDV68" s="12"/>
      <c r="BEM68" s="12"/>
      <c r="BEN68" s="12"/>
      <c r="BFE68" s="12"/>
      <c r="BFF68" s="12"/>
      <c r="BFW68" s="12"/>
      <c r="BFX68" s="12"/>
      <c r="BGO68" s="12"/>
      <c r="BGP68" s="12"/>
      <c r="BHG68" s="12"/>
      <c r="BHH68" s="12"/>
      <c r="BHY68" s="12"/>
      <c r="BHZ68" s="12"/>
      <c r="BIQ68" s="12"/>
      <c r="BIR68" s="12"/>
      <c r="BJI68" s="12"/>
      <c r="BJJ68" s="12"/>
      <c r="BKA68" s="12"/>
      <c r="BKB68" s="12"/>
      <c r="BKS68" s="12"/>
      <c r="BKT68" s="12"/>
      <c r="BLK68" s="12"/>
      <c r="BLL68" s="12"/>
      <c r="BMC68" s="12"/>
      <c r="BMD68" s="12"/>
      <c r="BMU68" s="12"/>
      <c r="BMV68" s="12"/>
      <c r="BNM68" s="12"/>
      <c r="BNN68" s="12"/>
      <c r="BOE68" s="12"/>
      <c r="BOF68" s="12"/>
      <c r="BOW68" s="12"/>
      <c r="BOX68" s="12"/>
      <c r="BPO68" s="12"/>
      <c r="BPP68" s="12"/>
      <c r="BQG68" s="12"/>
      <c r="BQH68" s="12"/>
      <c r="BQY68" s="12"/>
      <c r="BQZ68" s="12"/>
      <c r="BRQ68" s="12"/>
      <c r="BRR68" s="12"/>
      <c r="BSI68" s="12"/>
      <c r="BSJ68" s="12"/>
      <c r="BTA68" s="12"/>
      <c r="BTB68" s="12"/>
      <c r="BTS68" s="12"/>
      <c r="BTT68" s="12"/>
      <c r="BUK68" s="12"/>
      <c r="BUL68" s="12"/>
      <c r="BVC68" s="12"/>
      <c r="BVD68" s="12"/>
      <c r="BVU68" s="12"/>
      <c r="BVV68" s="12"/>
      <c r="BWM68" s="12"/>
      <c r="BWN68" s="12"/>
      <c r="BXE68" s="12"/>
      <c r="BXF68" s="12"/>
      <c r="BXW68" s="12"/>
      <c r="BXX68" s="12"/>
      <c r="BYO68" s="12"/>
      <c r="BYP68" s="12"/>
      <c r="BZG68" s="12"/>
      <c r="BZH68" s="12"/>
      <c r="BZY68" s="12"/>
      <c r="BZZ68" s="12"/>
      <c r="CAQ68" s="12"/>
      <c r="CAR68" s="12"/>
      <c r="CBI68" s="12"/>
      <c r="CBJ68" s="12"/>
      <c r="CCA68" s="12"/>
      <c r="CCB68" s="12"/>
      <c r="CCS68" s="12"/>
      <c r="CCT68" s="12"/>
      <c r="CDK68" s="12"/>
      <c r="CDL68" s="12"/>
      <c r="CEC68" s="12"/>
      <c r="CED68" s="12"/>
      <c r="CEU68" s="12"/>
      <c r="CEV68" s="12"/>
      <c r="CFM68" s="12"/>
      <c r="CFN68" s="12"/>
      <c r="CGE68" s="12"/>
      <c r="CGF68" s="12"/>
      <c r="CGW68" s="12"/>
      <c r="CGX68" s="12"/>
      <c r="CHO68" s="12"/>
      <c r="CHP68" s="12"/>
      <c r="CIG68" s="12"/>
      <c r="CIH68" s="12"/>
      <c r="CIY68" s="12"/>
      <c r="CIZ68" s="12"/>
      <c r="CJQ68" s="12"/>
      <c r="CJR68" s="12"/>
      <c r="CKI68" s="12"/>
      <c r="CKJ68" s="12"/>
      <c r="CLA68" s="12"/>
      <c r="CLB68" s="12"/>
      <c r="CLS68" s="12"/>
      <c r="CLT68" s="12"/>
      <c r="CMK68" s="12"/>
      <c r="CML68" s="12"/>
      <c r="CNC68" s="12"/>
      <c r="CND68" s="12"/>
      <c r="CNU68" s="12"/>
      <c r="CNV68" s="12"/>
      <c r="COM68" s="12"/>
      <c r="CON68" s="12"/>
      <c r="CPE68" s="12"/>
      <c r="CPF68" s="12"/>
      <c r="CPW68" s="12"/>
      <c r="CPX68" s="12"/>
      <c r="CQO68" s="12"/>
      <c r="CQP68" s="12"/>
      <c r="CRG68" s="12"/>
      <c r="CRH68" s="12"/>
      <c r="CRY68" s="12"/>
      <c r="CRZ68" s="12"/>
      <c r="CSQ68" s="12"/>
      <c r="CSR68" s="12"/>
      <c r="CTI68" s="12"/>
      <c r="CTJ68" s="12"/>
      <c r="CUA68" s="12"/>
      <c r="CUB68" s="12"/>
      <c r="CUS68" s="12"/>
      <c r="CUT68" s="12"/>
      <c r="CVK68" s="12"/>
      <c r="CVL68" s="12"/>
      <c r="CWC68" s="12"/>
      <c r="CWD68" s="12"/>
      <c r="CWU68" s="12"/>
      <c r="CWV68" s="12"/>
      <c r="CXM68" s="12"/>
      <c r="CXN68" s="12"/>
      <c r="CYE68" s="12"/>
      <c r="CYF68" s="12"/>
      <c r="CYW68" s="12"/>
      <c r="CYX68" s="12"/>
      <c r="CZO68" s="12"/>
      <c r="CZP68" s="12"/>
      <c r="DAG68" s="12"/>
      <c r="DAH68" s="12"/>
      <c r="DAY68" s="12"/>
      <c r="DAZ68" s="12"/>
      <c r="DBQ68" s="12"/>
      <c r="DBR68" s="12"/>
      <c r="DCI68" s="12"/>
      <c r="DCJ68" s="12"/>
      <c r="DDA68" s="12"/>
      <c r="DDB68" s="12"/>
      <c r="DDS68" s="12"/>
      <c r="DDT68" s="12"/>
      <c r="DEK68" s="12"/>
      <c r="DEL68" s="12"/>
      <c r="DFC68" s="12"/>
      <c r="DFD68" s="12"/>
      <c r="DFU68" s="12"/>
      <c r="DFV68" s="12"/>
      <c r="DGM68" s="12"/>
      <c r="DGN68" s="12"/>
      <c r="DHE68" s="12"/>
      <c r="DHF68" s="12"/>
      <c r="DHW68" s="12"/>
      <c r="DHX68" s="12"/>
      <c r="DIO68" s="12"/>
      <c r="DIP68" s="12"/>
      <c r="DJG68" s="12"/>
      <c r="DJH68" s="12"/>
      <c r="DJY68" s="12"/>
      <c r="DJZ68" s="12"/>
      <c r="DKQ68" s="12"/>
      <c r="DKR68" s="12"/>
      <c r="DLI68" s="12"/>
      <c r="DLJ68" s="12"/>
      <c r="DMA68" s="12"/>
      <c r="DMB68" s="12"/>
      <c r="DMS68" s="12"/>
      <c r="DMT68" s="12"/>
      <c r="DNK68" s="12"/>
      <c r="DNL68" s="12"/>
      <c r="DOC68" s="12"/>
      <c r="DOD68" s="12"/>
      <c r="DOU68" s="12"/>
      <c r="DOV68" s="12"/>
      <c r="DPM68" s="12"/>
      <c r="DPN68" s="12"/>
      <c r="DQE68" s="12"/>
      <c r="DQF68" s="12"/>
      <c r="DQW68" s="12"/>
      <c r="DQX68" s="12"/>
      <c r="DRO68" s="12"/>
      <c r="DRP68" s="12"/>
      <c r="DSG68" s="12"/>
      <c r="DSH68" s="12"/>
      <c r="DSY68" s="12"/>
      <c r="DSZ68" s="12"/>
      <c r="DTQ68" s="12"/>
      <c r="DTR68" s="12"/>
      <c r="DUI68" s="12"/>
      <c r="DUJ68" s="12"/>
      <c r="DVA68" s="12"/>
      <c r="DVB68" s="12"/>
      <c r="DVS68" s="12"/>
      <c r="DVT68" s="12"/>
      <c r="DWK68" s="12"/>
      <c r="DWL68" s="12"/>
      <c r="DXC68" s="12"/>
      <c r="DXD68" s="12"/>
      <c r="DXU68" s="12"/>
      <c r="DXV68" s="12"/>
      <c r="DYM68" s="12"/>
      <c r="DYN68" s="12"/>
      <c r="DZE68" s="12"/>
      <c r="DZF68" s="12"/>
      <c r="DZW68" s="12"/>
      <c r="DZX68" s="12"/>
      <c r="EAO68" s="12"/>
      <c r="EAP68" s="12"/>
      <c r="EBG68" s="12"/>
      <c r="EBH68" s="12"/>
      <c r="EBY68" s="12"/>
      <c r="EBZ68" s="12"/>
      <c r="ECQ68" s="12"/>
      <c r="ECR68" s="12"/>
      <c r="EDI68" s="12"/>
      <c r="EDJ68" s="12"/>
      <c r="EEA68" s="12"/>
      <c r="EEB68" s="12"/>
      <c r="EES68" s="12"/>
      <c r="EET68" s="12"/>
      <c r="EFK68" s="12"/>
      <c r="EFL68" s="12"/>
      <c r="EGC68" s="12"/>
      <c r="EGD68" s="12"/>
      <c r="EGU68" s="12"/>
      <c r="EGV68" s="12"/>
      <c r="EHM68" s="12"/>
      <c r="EHN68" s="12"/>
      <c r="EIE68" s="12"/>
      <c r="EIF68" s="12"/>
      <c r="EIW68" s="12"/>
      <c r="EIX68" s="12"/>
      <c r="EJO68" s="12"/>
      <c r="EJP68" s="12"/>
      <c r="EKG68" s="12"/>
      <c r="EKH68" s="12"/>
      <c r="EKY68" s="12"/>
      <c r="EKZ68" s="12"/>
      <c r="ELQ68" s="12"/>
      <c r="ELR68" s="12"/>
      <c r="EMI68" s="12"/>
      <c r="EMJ68" s="12"/>
      <c r="ENA68" s="12"/>
      <c r="ENB68" s="12"/>
      <c r="ENS68" s="12"/>
      <c r="ENT68" s="12"/>
      <c r="EOK68" s="12"/>
      <c r="EOL68" s="12"/>
      <c r="EPC68" s="12"/>
      <c r="EPD68" s="12"/>
      <c r="EPU68" s="12"/>
      <c r="EPV68" s="12"/>
      <c r="EQM68" s="12"/>
      <c r="EQN68" s="12"/>
      <c r="ERE68" s="12"/>
      <c r="ERF68" s="12"/>
      <c r="ERW68" s="12"/>
      <c r="ERX68" s="12"/>
      <c r="ESO68" s="12"/>
      <c r="ESP68" s="12"/>
      <c r="ETG68" s="12"/>
      <c r="ETH68" s="12"/>
      <c r="ETY68" s="12"/>
      <c r="ETZ68" s="12"/>
      <c r="EUQ68" s="12"/>
      <c r="EUR68" s="12"/>
      <c r="EVI68" s="12"/>
      <c r="EVJ68" s="12"/>
      <c r="EWA68" s="12"/>
      <c r="EWB68" s="12"/>
      <c r="EWS68" s="12"/>
      <c r="EWT68" s="12"/>
      <c r="EXK68" s="12"/>
      <c r="EXL68" s="12"/>
      <c r="EYC68" s="12"/>
      <c r="EYD68" s="12"/>
      <c r="EYU68" s="12"/>
      <c r="EYV68" s="12"/>
      <c r="EZM68" s="12"/>
      <c r="EZN68" s="12"/>
      <c r="FAE68" s="12"/>
      <c r="FAF68" s="12"/>
      <c r="FAW68" s="12"/>
      <c r="FAX68" s="12"/>
      <c r="FBO68" s="12"/>
      <c r="FBP68" s="12"/>
      <c r="FCG68" s="12"/>
      <c r="FCH68" s="12"/>
      <c r="FCY68" s="12"/>
      <c r="FCZ68" s="12"/>
      <c r="FDQ68" s="12"/>
      <c r="FDR68" s="12"/>
      <c r="FEI68" s="12"/>
      <c r="FEJ68" s="12"/>
      <c r="FFA68" s="12"/>
      <c r="FFB68" s="12"/>
      <c r="FFS68" s="12"/>
      <c r="FFT68" s="12"/>
      <c r="FGK68" s="12"/>
      <c r="FGL68" s="12"/>
      <c r="FHC68" s="12"/>
      <c r="FHD68" s="12"/>
      <c r="FHU68" s="12"/>
      <c r="FHV68" s="12"/>
      <c r="FIM68" s="12"/>
      <c r="FIN68" s="12"/>
      <c r="FJE68" s="12"/>
      <c r="FJF68" s="12"/>
      <c r="FJW68" s="12"/>
      <c r="FJX68" s="12"/>
      <c r="FKO68" s="12"/>
      <c r="FKP68" s="12"/>
      <c r="FLG68" s="12"/>
      <c r="FLH68" s="12"/>
      <c r="FLY68" s="12"/>
      <c r="FLZ68" s="12"/>
      <c r="FMQ68" s="12"/>
      <c r="FMR68" s="12"/>
      <c r="FNI68" s="12"/>
      <c r="FNJ68" s="12"/>
      <c r="FOA68" s="12"/>
      <c r="FOB68" s="12"/>
      <c r="FOS68" s="12"/>
      <c r="FOT68" s="12"/>
      <c r="FPK68" s="12"/>
      <c r="FPL68" s="12"/>
      <c r="FQC68" s="12"/>
      <c r="FQD68" s="12"/>
      <c r="FQU68" s="12"/>
      <c r="FQV68" s="12"/>
      <c r="FRM68" s="12"/>
      <c r="FRN68" s="12"/>
      <c r="FSE68" s="12"/>
      <c r="FSF68" s="12"/>
      <c r="FSW68" s="12"/>
      <c r="FSX68" s="12"/>
      <c r="FTO68" s="12"/>
      <c r="FTP68" s="12"/>
      <c r="FUG68" s="12"/>
      <c r="FUH68" s="12"/>
      <c r="FUY68" s="12"/>
      <c r="FUZ68" s="12"/>
      <c r="FVQ68" s="12"/>
      <c r="FVR68" s="12"/>
      <c r="FWI68" s="12"/>
      <c r="FWJ68" s="12"/>
      <c r="FXA68" s="12"/>
      <c r="FXB68" s="12"/>
      <c r="FXS68" s="12"/>
      <c r="FXT68" s="12"/>
      <c r="FYK68" s="12"/>
      <c r="FYL68" s="12"/>
      <c r="FZC68" s="12"/>
      <c r="FZD68" s="12"/>
      <c r="FZU68" s="12"/>
      <c r="FZV68" s="12"/>
      <c r="GAM68" s="12"/>
      <c r="GAN68" s="12"/>
      <c r="GBE68" s="12"/>
      <c r="GBF68" s="12"/>
      <c r="GBW68" s="12"/>
      <c r="GBX68" s="12"/>
      <c r="GCO68" s="12"/>
      <c r="GCP68" s="12"/>
      <c r="GDG68" s="12"/>
      <c r="GDH68" s="12"/>
      <c r="GDY68" s="12"/>
      <c r="GDZ68" s="12"/>
      <c r="GEQ68" s="12"/>
      <c r="GER68" s="12"/>
      <c r="GFI68" s="12"/>
      <c r="GFJ68" s="12"/>
      <c r="GGA68" s="12"/>
      <c r="GGB68" s="12"/>
      <c r="GGS68" s="12"/>
      <c r="GGT68" s="12"/>
      <c r="GHK68" s="12"/>
      <c r="GHL68" s="12"/>
      <c r="GIC68" s="12"/>
      <c r="GID68" s="12"/>
      <c r="GIU68" s="12"/>
      <c r="GIV68" s="12"/>
      <c r="GJM68" s="12"/>
      <c r="GJN68" s="12"/>
      <c r="GKE68" s="12"/>
      <c r="GKF68" s="12"/>
      <c r="GKW68" s="12"/>
      <c r="GKX68" s="12"/>
      <c r="GLO68" s="12"/>
      <c r="GLP68" s="12"/>
      <c r="GMG68" s="12"/>
      <c r="GMH68" s="12"/>
      <c r="GMY68" s="12"/>
      <c r="GMZ68" s="12"/>
      <c r="GNQ68" s="12"/>
      <c r="GNR68" s="12"/>
      <c r="GOI68" s="12"/>
      <c r="GOJ68" s="12"/>
      <c r="GPA68" s="12"/>
      <c r="GPB68" s="12"/>
      <c r="GPS68" s="12"/>
      <c r="GPT68" s="12"/>
      <c r="GQK68" s="12"/>
      <c r="GQL68" s="12"/>
      <c r="GRC68" s="12"/>
      <c r="GRD68" s="12"/>
      <c r="GRU68" s="12"/>
      <c r="GRV68" s="12"/>
      <c r="GSM68" s="12"/>
      <c r="GSN68" s="12"/>
      <c r="GTE68" s="12"/>
      <c r="GTF68" s="12"/>
      <c r="GTW68" s="12"/>
      <c r="GTX68" s="12"/>
      <c r="GUO68" s="12"/>
      <c r="GUP68" s="12"/>
      <c r="GVG68" s="12"/>
      <c r="GVH68" s="12"/>
      <c r="GVY68" s="12"/>
      <c r="GVZ68" s="12"/>
      <c r="GWQ68" s="12"/>
      <c r="GWR68" s="12"/>
      <c r="GXI68" s="12"/>
      <c r="GXJ68" s="12"/>
      <c r="GYA68" s="12"/>
      <c r="GYB68" s="12"/>
      <c r="GYS68" s="12"/>
      <c r="GYT68" s="12"/>
      <c r="GZK68" s="12"/>
      <c r="GZL68" s="12"/>
      <c r="HAC68" s="12"/>
      <c r="HAD68" s="12"/>
      <c r="HAU68" s="12"/>
      <c r="HAV68" s="12"/>
      <c r="HBM68" s="12"/>
      <c r="HBN68" s="12"/>
      <c r="HCE68" s="12"/>
      <c r="HCF68" s="12"/>
      <c r="HCW68" s="12"/>
      <c r="HCX68" s="12"/>
      <c r="HDO68" s="12"/>
      <c r="HDP68" s="12"/>
      <c r="HEG68" s="12"/>
      <c r="HEH68" s="12"/>
      <c r="HEY68" s="12"/>
      <c r="HEZ68" s="12"/>
      <c r="HFQ68" s="12"/>
      <c r="HFR68" s="12"/>
      <c r="HGI68" s="12"/>
      <c r="HGJ68" s="12"/>
      <c r="HHA68" s="12"/>
      <c r="HHB68" s="12"/>
      <c r="HHS68" s="12"/>
      <c r="HHT68" s="12"/>
      <c r="HIK68" s="12"/>
      <c r="HIL68" s="12"/>
      <c r="HJC68" s="12"/>
      <c r="HJD68" s="12"/>
      <c r="HJU68" s="12"/>
      <c r="HJV68" s="12"/>
      <c r="HKM68" s="12"/>
      <c r="HKN68" s="12"/>
      <c r="HLE68" s="12"/>
      <c r="HLF68" s="12"/>
      <c r="HLW68" s="12"/>
      <c r="HLX68" s="12"/>
      <c r="HMO68" s="12"/>
      <c r="HMP68" s="12"/>
      <c r="HNG68" s="12"/>
      <c r="HNH68" s="12"/>
      <c r="HNY68" s="12"/>
      <c r="HNZ68" s="12"/>
      <c r="HOQ68" s="12"/>
      <c r="HOR68" s="12"/>
      <c r="HPI68" s="12"/>
      <c r="HPJ68" s="12"/>
      <c r="HQA68" s="12"/>
      <c r="HQB68" s="12"/>
      <c r="HQS68" s="12"/>
      <c r="HQT68" s="12"/>
      <c r="HRK68" s="12"/>
      <c r="HRL68" s="12"/>
      <c r="HSC68" s="12"/>
      <c r="HSD68" s="12"/>
      <c r="HSU68" s="12"/>
      <c r="HSV68" s="12"/>
      <c r="HTM68" s="12"/>
      <c r="HTN68" s="12"/>
      <c r="HUE68" s="12"/>
      <c r="HUF68" s="12"/>
      <c r="HUW68" s="12"/>
      <c r="HUX68" s="12"/>
      <c r="HVO68" s="12"/>
      <c r="HVP68" s="12"/>
      <c r="HWG68" s="12"/>
      <c r="HWH68" s="12"/>
      <c r="HWY68" s="12"/>
      <c r="HWZ68" s="12"/>
      <c r="HXQ68" s="12"/>
      <c r="HXR68" s="12"/>
      <c r="HYI68" s="12"/>
      <c r="HYJ68" s="12"/>
      <c r="HZA68" s="12"/>
      <c r="HZB68" s="12"/>
      <c r="HZS68" s="12"/>
      <c r="HZT68" s="12"/>
      <c r="IAK68" s="12"/>
      <c r="IAL68" s="12"/>
      <c r="IBC68" s="12"/>
      <c r="IBD68" s="12"/>
      <c r="IBU68" s="12"/>
      <c r="IBV68" s="12"/>
      <c r="ICM68" s="12"/>
      <c r="ICN68" s="12"/>
      <c r="IDE68" s="12"/>
      <c r="IDF68" s="12"/>
      <c r="IDW68" s="12"/>
      <c r="IDX68" s="12"/>
      <c r="IEO68" s="12"/>
      <c r="IEP68" s="12"/>
      <c r="IFG68" s="12"/>
      <c r="IFH68" s="12"/>
      <c r="IFY68" s="12"/>
      <c r="IFZ68" s="12"/>
      <c r="IGQ68" s="12"/>
      <c r="IGR68" s="12"/>
      <c r="IHI68" s="12"/>
      <c r="IHJ68" s="12"/>
      <c r="IIA68" s="12"/>
      <c r="IIB68" s="12"/>
      <c r="IIS68" s="12"/>
      <c r="IIT68" s="12"/>
      <c r="IJK68" s="12"/>
      <c r="IJL68" s="12"/>
      <c r="IKC68" s="12"/>
      <c r="IKD68" s="12"/>
      <c r="IKU68" s="12"/>
      <c r="IKV68" s="12"/>
      <c r="ILM68" s="12"/>
      <c r="ILN68" s="12"/>
      <c r="IME68" s="12"/>
      <c r="IMF68" s="12"/>
      <c r="IMW68" s="12"/>
      <c r="IMX68" s="12"/>
      <c r="INO68" s="12"/>
      <c r="INP68" s="12"/>
      <c r="IOG68" s="12"/>
      <c r="IOH68" s="12"/>
      <c r="IOY68" s="12"/>
      <c r="IOZ68" s="12"/>
      <c r="IPQ68" s="12"/>
      <c r="IPR68" s="12"/>
      <c r="IQI68" s="12"/>
      <c r="IQJ68" s="12"/>
      <c r="IRA68" s="12"/>
      <c r="IRB68" s="12"/>
      <c r="IRS68" s="12"/>
      <c r="IRT68" s="12"/>
      <c r="ISK68" s="12"/>
      <c r="ISL68" s="12"/>
      <c r="ITC68" s="12"/>
      <c r="ITD68" s="12"/>
      <c r="ITU68" s="12"/>
      <c r="ITV68" s="12"/>
      <c r="IUM68" s="12"/>
      <c r="IUN68" s="12"/>
      <c r="IVE68" s="12"/>
      <c r="IVF68" s="12"/>
      <c r="IVW68" s="12"/>
      <c r="IVX68" s="12"/>
      <c r="IWO68" s="12"/>
      <c r="IWP68" s="12"/>
      <c r="IXG68" s="12"/>
      <c r="IXH68" s="12"/>
      <c r="IXY68" s="12"/>
      <c r="IXZ68" s="12"/>
      <c r="IYQ68" s="12"/>
      <c r="IYR68" s="12"/>
      <c r="IZI68" s="12"/>
      <c r="IZJ68" s="12"/>
      <c r="JAA68" s="12"/>
      <c r="JAB68" s="12"/>
      <c r="JAS68" s="12"/>
      <c r="JAT68" s="12"/>
      <c r="JBK68" s="12"/>
      <c r="JBL68" s="12"/>
      <c r="JCC68" s="12"/>
      <c r="JCD68" s="12"/>
      <c r="JCU68" s="12"/>
      <c r="JCV68" s="12"/>
      <c r="JDM68" s="12"/>
      <c r="JDN68" s="12"/>
      <c r="JEE68" s="12"/>
      <c r="JEF68" s="12"/>
      <c r="JEW68" s="12"/>
      <c r="JEX68" s="12"/>
      <c r="JFO68" s="12"/>
      <c r="JFP68" s="12"/>
      <c r="JGG68" s="12"/>
      <c r="JGH68" s="12"/>
      <c r="JGY68" s="12"/>
      <c r="JGZ68" s="12"/>
      <c r="JHQ68" s="12"/>
      <c r="JHR68" s="12"/>
      <c r="JII68" s="12"/>
      <c r="JIJ68" s="12"/>
      <c r="JJA68" s="12"/>
      <c r="JJB68" s="12"/>
      <c r="JJS68" s="12"/>
      <c r="JJT68" s="12"/>
      <c r="JKK68" s="12"/>
      <c r="JKL68" s="12"/>
      <c r="JLC68" s="12"/>
      <c r="JLD68" s="12"/>
      <c r="JLU68" s="12"/>
      <c r="JLV68" s="12"/>
      <c r="JMM68" s="12"/>
      <c r="JMN68" s="12"/>
      <c r="JNE68" s="12"/>
      <c r="JNF68" s="12"/>
      <c r="JNW68" s="12"/>
      <c r="JNX68" s="12"/>
      <c r="JOO68" s="12"/>
      <c r="JOP68" s="12"/>
      <c r="JPG68" s="12"/>
      <c r="JPH68" s="12"/>
      <c r="JPY68" s="12"/>
      <c r="JPZ68" s="12"/>
      <c r="JQQ68" s="12"/>
      <c r="JQR68" s="12"/>
      <c r="JRI68" s="12"/>
      <c r="JRJ68" s="12"/>
      <c r="JSA68" s="12"/>
      <c r="JSB68" s="12"/>
      <c r="JSS68" s="12"/>
      <c r="JST68" s="12"/>
      <c r="JTK68" s="12"/>
      <c r="JTL68" s="12"/>
      <c r="JUC68" s="12"/>
      <c r="JUD68" s="12"/>
      <c r="JUU68" s="12"/>
      <c r="JUV68" s="12"/>
      <c r="JVM68" s="12"/>
      <c r="JVN68" s="12"/>
      <c r="JWE68" s="12"/>
      <c r="JWF68" s="12"/>
      <c r="JWW68" s="12"/>
      <c r="JWX68" s="12"/>
      <c r="JXO68" s="12"/>
      <c r="JXP68" s="12"/>
      <c r="JYG68" s="12"/>
      <c r="JYH68" s="12"/>
      <c r="JYY68" s="12"/>
      <c r="JYZ68" s="12"/>
      <c r="JZQ68" s="12"/>
      <c r="JZR68" s="12"/>
      <c r="KAI68" s="12"/>
      <c r="KAJ68" s="12"/>
      <c r="KBA68" s="12"/>
      <c r="KBB68" s="12"/>
      <c r="KBS68" s="12"/>
      <c r="KBT68" s="12"/>
      <c r="KCK68" s="12"/>
      <c r="KCL68" s="12"/>
      <c r="KDC68" s="12"/>
      <c r="KDD68" s="12"/>
      <c r="KDU68" s="12"/>
      <c r="KDV68" s="12"/>
      <c r="KEM68" s="12"/>
      <c r="KEN68" s="12"/>
      <c r="KFE68" s="12"/>
      <c r="KFF68" s="12"/>
      <c r="KFW68" s="12"/>
      <c r="KFX68" s="12"/>
      <c r="KGO68" s="12"/>
      <c r="KGP68" s="12"/>
      <c r="KHG68" s="12"/>
      <c r="KHH68" s="12"/>
      <c r="KHY68" s="12"/>
      <c r="KHZ68" s="12"/>
      <c r="KIQ68" s="12"/>
      <c r="KIR68" s="12"/>
      <c r="KJI68" s="12"/>
      <c r="KJJ68" s="12"/>
      <c r="KKA68" s="12"/>
      <c r="KKB68" s="12"/>
      <c r="KKS68" s="12"/>
      <c r="KKT68" s="12"/>
      <c r="KLK68" s="12"/>
      <c r="KLL68" s="12"/>
      <c r="KMC68" s="12"/>
      <c r="KMD68" s="12"/>
      <c r="KMU68" s="12"/>
      <c r="KMV68" s="12"/>
      <c r="KNM68" s="12"/>
      <c r="KNN68" s="12"/>
      <c r="KOE68" s="12"/>
      <c r="KOF68" s="12"/>
      <c r="KOW68" s="12"/>
      <c r="KOX68" s="12"/>
      <c r="KPO68" s="12"/>
      <c r="KPP68" s="12"/>
      <c r="KQG68" s="12"/>
      <c r="KQH68" s="12"/>
      <c r="KQY68" s="12"/>
      <c r="KQZ68" s="12"/>
      <c r="KRQ68" s="12"/>
      <c r="KRR68" s="12"/>
      <c r="KSI68" s="12"/>
      <c r="KSJ68" s="12"/>
      <c r="KTA68" s="12"/>
      <c r="KTB68" s="12"/>
      <c r="KTS68" s="12"/>
      <c r="KTT68" s="12"/>
      <c r="KUK68" s="12"/>
      <c r="KUL68" s="12"/>
      <c r="KVC68" s="12"/>
      <c r="KVD68" s="12"/>
      <c r="KVU68" s="12"/>
      <c r="KVV68" s="12"/>
      <c r="KWM68" s="12"/>
      <c r="KWN68" s="12"/>
      <c r="KXE68" s="12"/>
      <c r="KXF68" s="12"/>
      <c r="KXW68" s="12"/>
      <c r="KXX68" s="12"/>
      <c r="KYO68" s="12"/>
      <c r="KYP68" s="12"/>
      <c r="KZG68" s="12"/>
      <c r="KZH68" s="12"/>
      <c r="KZY68" s="12"/>
      <c r="KZZ68" s="12"/>
      <c r="LAQ68" s="12"/>
      <c r="LAR68" s="12"/>
      <c r="LBI68" s="12"/>
      <c r="LBJ68" s="12"/>
      <c r="LCA68" s="12"/>
      <c r="LCB68" s="12"/>
      <c r="LCS68" s="12"/>
      <c r="LCT68" s="12"/>
      <c r="LDK68" s="12"/>
      <c r="LDL68" s="12"/>
      <c r="LEC68" s="12"/>
      <c r="LED68" s="12"/>
      <c r="LEU68" s="12"/>
      <c r="LEV68" s="12"/>
      <c r="LFM68" s="12"/>
      <c r="LFN68" s="12"/>
      <c r="LGE68" s="12"/>
      <c r="LGF68" s="12"/>
      <c r="LGW68" s="12"/>
      <c r="LGX68" s="12"/>
      <c r="LHO68" s="12"/>
      <c r="LHP68" s="12"/>
      <c r="LIG68" s="12"/>
      <c r="LIH68" s="12"/>
      <c r="LIY68" s="12"/>
      <c r="LIZ68" s="12"/>
      <c r="LJQ68" s="12"/>
      <c r="LJR68" s="12"/>
      <c r="LKI68" s="12"/>
      <c r="LKJ68" s="12"/>
      <c r="LLA68" s="12"/>
      <c r="LLB68" s="12"/>
      <c r="LLS68" s="12"/>
      <c r="LLT68" s="12"/>
      <c r="LMK68" s="12"/>
      <c r="LML68" s="12"/>
      <c r="LNC68" s="12"/>
      <c r="LND68" s="12"/>
      <c r="LNU68" s="12"/>
      <c r="LNV68" s="12"/>
      <c r="LOM68" s="12"/>
      <c r="LON68" s="12"/>
      <c r="LPE68" s="12"/>
      <c r="LPF68" s="12"/>
      <c r="LPW68" s="12"/>
      <c r="LPX68" s="12"/>
      <c r="LQO68" s="12"/>
      <c r="LQP68" s="12"/>
      <c r="LRG68" s="12"/>
      <c r="LRH68" s="12"/>
      <c r="LRY68" s="12"/>
      <c r="LRZ68" s="12"/>
      <c r="LSQ68" s="12"/>
      <c r="LSR68" s="12"/>
      <c r="LTI68" s="12"/>
      <c r="LTJ68" s="12"/>
      <c r="LUA68" s="12"/>
      <c r="LUB68" s="12"/>
      <c r="LUS68" s="12"/>
      <c r="LUT68" s="12"/>
      <c r="LVK68" s="12"/>
      <c r="LVL68" s="12"/>
      <c r="LWC68" s="12"/>
      <c r="LWD68" s="12"/>
      <c r="LWU68" s="12"/>
      <c r="LWV68" s="12"/>
      <c r="LXM68" s="12"/>
      <c r="LXN68" s="12"/>
      <c r="LYE68" s="12"/>
      <c r="LYF68" s="12"/>
      <c r="LYW68" s="12"/>
      <c r="LYX68" s="12"/>
      <c r="LZO68" s="12"/>
      <c r="LZP68" s="12"/>
      <c r="MAG68" s="12"/>
      <c r="MAH68" s="12"/>
      <c r="MAY68" s="12"/>
      <c r="MAZ68" s="12"/>
      <c r="MBQ68" s="12"/>
      <c r="MBR68" s="12"/>
      <c r="MCI68" s="12"/>
      <c r="MCJ68" s="12"/>
      <c r="MDA68" s="12"/>
      <c r="MDB68" s="12"/>
      <c r="MDS68" s="12"/>
      <c r="MDT68" s="12"/>
      <c r="MEK68" s="12"/>
      <c r="MEL68" s="12"/>
      <c r="MFC68" s="12"/>
      <c r="MFD68" s="12"/>
      <c r="MFU68" s="12"/>
      <c r="MFV68" s="12"/>
      <c r="MGM68" s="12"/>
      <c r="MGN68" s="12"/>
      <c r="MHE68" s="12"/>
      <c r="MHF68" s="12"/>
      <c r="MHW68" s="12"/>
      <c r="MHX68" s="12"/>
      <c r="MIO68" s="12"/>
      <c r="MIP68" s="12"/>
      <c r="MJG68" s="12"/>
      <c r="MJH68" s="12"/>
      <c r="MJY68" s="12"/>
      <c r="MJZ68" s="12"/>
      <c r="MKQ68" s="12"/>
      <c r="MKR68" s="12"/>
      <c r="MLI68" s="12"/>
      <c r="MLJ68" s="12"/>
      <c r="MMA68" s="12"/>
      <c r="MMB68" s="12"/>
      <c r="MMS68" s="12"/>
      <c r="MMT68" s="12"/>
      <c r="MNK68" s="12"/>
      <c r="MNL68" s="12"/>
      <c r="MOC68" s="12"/>
      <c r="MOD68" s="12"/>
      <c r="MOU68" s="12"/>
      <c r="MOV68" s="12"/>
      <c r="MPM68" s="12"/>
      <c r="MPN68" s="12"/>
      <c r="MQE68" s="12"/>
      <c r="MQF68" s="12"/>
      <c r="MQW68" s="12"/>
      <c r="MQX68" s="12"/>
      <c r="MRO68" s="12"/>
      <c r="MRP68" s="12"/>
      <c r="MSG68" s="12"/>
      <c r="MSH68" s="12"/>
      <c r="MSY68" s="12"/>
      <c r="MSZ68" s="12"/>
      <c r="MTQ68" s="12"/>
      <c r="MTR68" s="12"/>
      <c r="MUI68" s="12"/>
      <c r="MUJ68" s="12"/>
      <c r="MVA68" s="12"/>
      <c r="MVB68" s="12"/>
      <c r="MVS68" s="12"/>
      <c r="MVT68" s="12"/>
      <c r="MWK68" s="12"/>
      <c r="MWL68" s="12"/>
      <c r="MXC68" s="12"/>
      <c r="MXD68" s="12"/>
      <c r="MXU68" s="12"/>
      <c r="MXV68" s="12"/>
      <c r="MYM68" s="12"/>
      <c r="MYN68" s="12"/>
      <c r="MZE68" s="12"/>
      <c r="MZF68" s="12"/>
      <c r="MZW68" s="12"/>
      <c r="MZX68" s="12"/>
      <c r="NAO68" s="12"/>
      <c r="NAP68" s="12"/>
      <c r="NBG68" s="12"/>
      <c r="NBH68" s="12"/>
      <c r="NBY68" s="12"/>
      <c r="NBZ68" s="12"/>
      <c r="NCQ68" s="12"/>
      <c r="NCR68" s="12"/>
      <c r="NDI68" s="12"/>
      <c r="NDJ68" s="12"/>
      <c r="NEA68" s="12"/>
      <c r="NEB68" s="12"/>
      <c r="NES68" s="12"/>
      <c r="NET68" s="12"/>
      <c r="NFK68" s="12"/>
      <c r="NFL68" s="12"/>
      <c r="NGC68" s="12"/>
      <c r="NGD68" s="12"/>
      <c r="NGU68" s="12"/>
      <c r="NGV68" s="12"/>
      <c r="NHM68" s="12"/>
      <c r="NHN68" s="12"/>
      <c r="NIE68" s="12"/>
      <c r="NIF68" s="12"/>
      <c r="NIW68" s="12"/>
      <c r="NIX68" s="12"/>
      <c r="NJO68" s="12"/>
      <c r="NJP68" s="12"/>
      <c r="NKG68" s="12"/>
      <c r="NKH68" s="12"/>
      <c r="NKY68" s="12"/>
      <c r="NKZ68" s="12"/>
      <c r="NLQ68" s="12"/>
      <c r="NLR68" s="12"/>
      <c r="NMI68" s="12"/>
      <c r="NMJ68" s="12"/>
      <c r="NNA68" s="12"/>
      <c r="NNB68" s="12"/>
      <c r="NNS68" s="12"/>
      <c r="NNT68" s="12"/>
      <c r="NOK68" s="12"/>
      <c r="NOL68" s="12"/>
      <c r="NPC68" s="12"/>
      <c r="NPD68" s="12"/>
      <c r="NPU68" s="12"/>
      <c r="NPV68" s="12"/>
      <c r="NQM68" s="12"/>
      <c r="NQN68" s="12"/>
      <c r="NRE68" s="12"/>
      <c r="NRF68" s="12"/>
      <c r="NRW68" s="12"/>
      <c r="NRX68" s="12"/>
      <c r="NSO68" s="12"/>
      <c r="NSP68" s="12"/>
      <c r="NTG68" s="12"/>
      <c r="NTH68" s="12"/>
      <c r="NTY68" s="12"/>
      <c r="NTZ68" s="12"/>
      <c r="NUQ68" s="12"/>
      <c r="NUR68" s="12"/>
      <c r="NVI68" s="12"/>
      <c r="NVJ68" s="12"/>
      <c r="NWA68" s="12"/>
      <c r="NWB68" s="12"/>
      <c r="NWS68" s="12"/>
      <c r="NWT68" s="12"/>
      <c r="NXK68" s="12"/>
      <c r="NXL68" s="12"/>
      <c r="NYC68" s="12"/>
      <c r="NYD68" s="12"/>
      <c r="NYU68" s="12"/>
      <c r="NYV68" s="12"/>
      <c r="NZM68" s="12"/>
      <c r="NZN68" s="12"/>
      <c r="OAE68" s="12"/>
      <c r="OAF68" s="12"/>
      <c r="OAW68" s="12"/>
      <c r="OAX68" s="12"/>
      <c r="OBO68" s="12"/>
      <c r="OBP68" s="12"/>
      <c r="OCG68" s="12"/>
      <c r="OCH68" s="12"/>
      <c r="OCY68" s="12"/>
      <c r="OCZ68" s="12"/>
      <c r="ODQ68" s="12"/>
      <c r="ODR68" s="12"/>
      <c r="OEI68" s="12"/>
      <c r="OEJ68" s="12"/>
      <c r="OFA68" s="12"/>
      <c r="OFB68" s="12"/>
      <c r="OFS68" s="12"/>
      <c r="OFT68" s="12"/>
      <c r="OGK68" s="12"/>
      <c r="OGL68" s="12"/>
      <c r="OHC68" s="12"/>
      <c r="OHD68" s="12"/>
      <c r="OHU68" s="12"/>
      <c r="OHV68" s="12"/>
      <c r="OIM68" s="12"/>
      <c r="OIN68" s="12"/>
      <c r="OJE68" s="12"/>
      <c r="OJF68" s="12"/>
      <c r="OJW68" s="12"/>
      <c r="OJX68" s="12"/>
      <c r="OKO68" s="12"/>
      <c r="OKP68" s="12"/>
      <c r="OLG68" s="12"/>
      <c r="OLH68" s="12"/>
      <c r="OLY68" s="12"/>
      <c r="OLZ68" s="12"/>
      <c r="OMQ68" s="12"/>
      <c r="OMR68" s="12"/>
      <c r="ONI68" s="12"/>
      <c r="ONJ68" s="12"/>
      <c r="OOA68" s="12"/>
      <c r="OOB68" s="12"/>
      <c r="OOS68" s="12"/>
      <c r="OOT68" s="12"/>
      <c r="OPK68" s="12"/>
      <c r="OPL68" s="12"/>
      <c r="OQC68" s="12"/>
      <c r="OQD68" s="12"/>
      <c r="OQU68" s="12"/>
      <c r="OQV68" s="12"/>
      <c r="ORM68" s="12"/>
      <c r="ORN68" s="12"/>
      <c r="OSE68" s="12"/>
      <c r="OSF68" s="12"/>
      <c r="OSW68" s="12"/>
      <c r="OSX68" s="12"/>
      <c r="OTO68" s="12"/>
      <c r="OTP68" s="12"/>
      <c r="OUG68" s="12"/>
      <c r="OUH68" s="12"/>
      <c r="OUY68" s="12"/>
      <c r="OUZ68" s="12"/>
      <c r="OVQ68" s="12"/>
      <c r="OVR68" s="12"/>
      <c r="OWI68" s="12"/>
      <c r="OWJ68" s="12"/>
      <c r="OXA68" s="12"/>
      <c r="OXB68" s="12"/>
      <c r="OXS68" s="12"/>
      <c r="OXT68" s="12"/>
      <c r="OYK68" s="12"/>
      <c r="OYL68" s="12"/>
      <c r="OZC68" s="12"/>
      <c r="OZD68" s="12"/>
      <c r="OZU68" s="12"/>
      <c r="OZV68" s="12"/>
      <c r="PAM68" s="12"/>
      <c r="PAN68" s="12"/>
      <c r="PBE68" s="12"/>
      <c r="PBF68" s="12"/>
      <c r="PBW68" s="12"/>
      <c r="PBX68" s="12"/>
      <c r="PCO68" s="12"/>
      <c r="PCP68" s="12"/>
      <c r="PDG68" s="12"/>
      <c r="PDH68" s="12"/>
      <c r="PDY68" s="12"/>
      <c r="PDZ68" s="12"/>
      <c r="PEQ68" s="12"/>
      <c r="PER68" s="12"/>
      <c r="PFI68" s="12"/>
      <c r="PFJ68" s="12"/>
      <c r="PGA68" s="12"/>
      <c r="PGB68" s="12"/>
      <c r="PGS68" s="12"/>
      <c r="PGT68" s="12"/>
      <c r="PHK68" s="12"/>
      <c r="PHL68" s="12"/>
      <c r="PIC68" s="12"/>
      <c r="PID68" s="12"/>
      <c r="PIU68" s="12"/>
      <c r="PIV68" s="12"/>
      <c r="PJM68" s="12"/>
      <c r="PJN68" s="12"/>
      <c r="PKE68" s="12"/>
      <c r="PKF68" s="12"/>
      <c r="PKW68" s="12"/>
      <c r="PKX68" s="12"/>
      <c r="PLO68" s="12"/>
      <c r="PLP68" s="12"/>
      <c r="PMG68" s="12"/>
      <c r="PMH68" s="12"/>
      <c r="PMY68" s="12"/>
      <c r="PMZ68" s="12"/>
      <c r="PNQ68" s="12"/>
      <c r="PNR68" s="12"/>
      <c r="POI68" s="12"/>
      <c r="POJ68" s="12"/>
      <c r="PPA68" s="12"/>
      <c r="PPB68" s="12"/>
      <c r="PPS68" s="12"/>
      <c r="PPT68" s="12"/>
      <c r="PQK68" s="12"/>
      <c r="PQL68" s="12"/>
      <c r="PRC68" s="12"/>
      <c r="PRD68" s="12"/>
      <c r="PRU68" s="12"/>
      <c r="PRV68" s="12"/>
      <c r="PSM68" s="12"/>
      <c r="PSN68" s="12"/>
      <c r="PTE68" s="12"/>
      <c r="PTF68" s="12"/>
      <c r="PTW68" s="12"/>
      <c r="PTX68" s="12"/>
      <c r="PUO68" s="12"/>
      <c r="PUP68" s="12"/>
      <c r="PVG68" s="12"/>
      <c r="PVH68" s="12"/>
      <c r="PVY68" s="12"/>
      <c r="PVZ68" s="12"/>
      <c r="PWQ68" s="12"/>
      <c r="PWR68" s="12"/>
      <c r="PXI68" s="12"/>
      <c r="PXJ68" s="12"/>
      <c r="PYA68" s="12"/>
      <c r="PYB68" s="12"/>
      <c r="PYS68" s="12"/>
      <c r="PYT68" s="12"/>
      <c r="PZK68" s="12"/>
      <c r="PZL68" s="12"/>
      <c r="QAC68" s="12"/>
      <c r="QAD68" s="12"/>
      <c r="QAU68" s="12"/>
      <c r="QAV68" s="12"/>
      <c r="QBM68" s="12"/>
      <c r="QBN68" s="12"/>
      <c r="QCE68" s="12"/>
      <c r="QCF68" s="12"/>
      <c r="QCW68" s="12"/>
      <c r="QCX68" s="12"/>
      <c r="QDO68" s="12"/>
      <c r="QDP68" s="12"/>
      <c r="QEG68" s="12"/>
      <c r="QEH68" s="12"/>
      <c r="QEY68" s="12"/>
      <c r="QEZ68" s="12"/>
      <c r="QFQ68" s="12"/>
      <c r="QFR68" s="12"/>
      <c r="QGI68" s="12"/>
      <c r="QGJ68" s="12"/>
      <c r="QHA68" s="12"/>
      <c r="QHB68" s="12"/>
      <c r="QHS68" s="12"/>
      <c r="QHT68" s="12"/>
      <c r="QIK68" s="12"/>
      <c r="QIL68" s="12"/>
      <c r="QJC68" s="12"/>
      <c r="QJD68" s="12"/>
      <c r="QJU68" s="12"/>
      <c r="QJV68" s="12"/>
      <c r="QKM68" s="12"/>
      <c r="QKN68" s="12"/>
      <c r="QLE68" s="12"/>
      <c r="QLF68" s="12"/>
      <c r="QLW68" s="12"/>
      <c r="QLX68" s="12"/>
      <c r="QMO68" s="12"/>
      <c r="QMP68" s="12"/>
      <c r="QNG68" s="12"/>
      <c r="QNH68" s="12"/>
      <c r="QNY68" s="12"/>
      <c r="QNZ68" s="12"/>
      <c r="QOQ68" s="12"/>
      <c r="QOR68" s="12"/>
      <c r="QPI68" s="12"/>
      <c r="QPJ68" s="12"/>
      <c r="QQA68" s="12"/>
      <c r="QQB68" s="12"/>
      <c r="QQS68" s="12"/>
      <c r="QQT68" s="12"/>
      <c r="QRK68" s="12"/>
      <c r="QRL68" s="12"/>
      <c r="QSC68" s="12"/>
      <c r="QSD68" s="12"/>
      <c r="QSU68" s="12"/>
      <c r="QSV68" s="12"/>
      <c r="QTM68" s="12"/>
      <c r="QTN68" s="12"/>
      <c r="QUE68" s="12"/>
      <c r="QUF68" s="12"/>
      <c r="QUW68" s="12"/>
      <c r="QUX68" s="12"/>
      <c r="QVO68" s="12"/>
      <c r="QVP68" s="12"/>
      <c r="QWG68" s="12"/>
      <c r="QWH68" s="12"/>
      <c r="QWY68" s="12"/>
      <c r="QWZ68" s="12"/>
      <c r="QXQ68" s="12"/>
      <c r="QXR68" s="12"/>
      <c r="QYI68" s="12"/>
      <c r="QYJ68" s="12"/>
      <c r="QZA68" s="12"/>
      <c r="QZB68" s="12"/>
      <c r="QZS68" s="12"/>
      <c r="QZT68" s="12"/>
      <c r="RAK68" s="12"/>
      <c r="RAL68" s="12"/>
      <c r="RBC68" s="12"/>
      <c r="RBD68" s="12"/>
      <c r="RBU68" s="12"/>
      <c r="RBV68" s="12"/>
      <c r="RCM68" s="12"/>
      <c r="RCN68" s="12"/>
      <c r="RDE68" s="12"/>
      <c r="RDF68" s="12"/>
      <c r="RDW68" s="12"/>
      <c r="RDX68" s="12"/>
      <c r="REO68" s="12"/>
      <c r="REP68" s="12"/>
      <c r="RFG68" s="12"/>
      <c r="RFH68" s="12"/>
      <c r="RFY68" s="12"/>
      <c r="RFZ68" s="12"/>
      <c r="RGQ68" s="12"/>
      <c r="RGR68" s="12"/>
      <c r="RHI68" s="12"/>
      <c r="RHJ68" s="12"/>
      <c r="RIA68" s="12"/>
      <c r="RIB68" s="12"/>
      <c r="RIS68" s="12"/>
      <c r="RIT68" s="12"/>
      <c r="RJK68" s="12"/>
      <c r="RJL68" s="12"/>
      <c r="RKC68" s="12"/>
      <c r="RKD68" s="12"/>
      <c r="RKU68" s="12"/>
      <c r="RKV68" s="12"/>
      <c r="RLM68" s="12"/>
      <c r="RLN68" s="12"/>
      <c r="RME68" s="12"/>
      <c r="RMF68" s="12"/>
      <c r="RMW68" s="12"/>
      <c r="RMX68" s="12"/>
      <c r="RNO68" s="12"/>
      <c r="RNP68" s="12"/>
      <c r="ROG68" s="12"/>
      <c r="ROH68" s="12"/>
      <c r="ROY68" s="12"/>
      <c r="ROZ68" s="12"/>
      <c r="RPQ68" s="12"/>
      <c r="RPR68" s="12"/>
      <c r="RQI68" s="12"/>
      <c r="RQJ68" s="12"/>
      <c r="RRA68" s="12"/>
      <c r="RRB68" s="12"/>
      <c r="RRS68" s="12"/>
      <c r="RRT68" s="12"/>
      <c r="RSK68" s="12"/>
      <c r="RSL68" s="12"/>
      <c r="RTC68" s="12"/>
      <c r="RTD68" s="12"/>
      <c r="RTU68" s="12"/>
      <c r="RTV68" s="12"/>
      <c r="RUM68" s="12"/>
      <c r="RUN68" s="12"/>
      <c r="RVE68" s="12"/>
      <c r="RVF68" s="12"/>
      <c r="RVW68" s="12"/>
      <c r="RVX68" s="12"/>
      <c r="RWO68" s="12"/>
      <c r="RWP68" s="12"/>
      <c r="RXG68" s="12"/>
      <c r="RXH68" s="12"/>
      <c r="RXY68" s="12"/>
      <c r="RXZ68" s="12"/>
      <c r="RYQ68" s="12"/>
      <c r="RYR68" s="12"/>
      <c r="RZI68" s="12"/>
      <c r="RZJ68" s="12"/>
      <c r="SAA68" s="12"/>
      <c r="SAB68" s="12"/>
      <c r="SAS68" s="12"/>
      <c r="SAT68" s="12"/>
      <c r="SBK68" s="12"/>
      <c r="SBL68" s="12"/>
      <c r="SCC68" s="12"/>
      <c r="SCD68" s="12"/>
      <c r="SCU68" s="12"/>
      <c r="SCV68" s="12"/>
      <c r="SDM68" s="12"/>
      <c r="SDN68" s="12"/>
      <c r="SEE68" s="12"/>
      <c r="SEF68" s="12"/>
      <c r="SEW68" s="12"/>
      <c r="SEX68" s="12"/>
      <c r="SFO68" s="12"/>
      <c r="SFP68" s="12"/>
      <c r="SGG68" s="12"/>
      <c r="SGH68" s="12"/>
      <c r="SGY68" s="12"/>
      <c r="SGZ68" s="12"/>
      <c r="SHQ68" s="12"/>
      <c r="SHR68" s="12"/>
      <c r="SII68" s="12"/>
      <c r="SIJ68" s="12"/>
      <c r="SJA68" s="12"/>
      <c r="SJB68" s="12"/>
      <c r="SJS68" s="12"/>
      <c r="SJT68" s="12"/>
      <c r="SKK68" s="12"/>
      <c r="SKL68" s="12"/>
      <c r="SLC68" s="12"/>
      <c r="SLD68" s="12"/>
      <c r="SLU68" s="12"/>
      <c r="SLV68" s="12"/>
      <c r="SMM68" s="12"/>
      <c r="SMN68" s="12"/>
      <c r="SNE68" s="12"/>
      <c r="SNF68" s="12"/>
      <c r="SNW68" s="12"/>
      <c r="SNX68" s="12"/>
      <c r="SOO68" s="12"/>
      <c r="SOP68" s="12"/>
      <c r="SPG68" s="12"/>
      <c r="SPH68" s="12"/>
      <c r="SPY68" s="12"/>
      <c r="SPZ68" s="12"/>
      <c r="SQQ68" s="12"/>
      <c r="SQR68" s="12"/>
      <c r="SRI68" s="12"/>
      <c r="SRJ68" s="12"/>
      <c r="SSA68" s="12"/>
      <c r="SSB68" s="12"/>
      <c r="SSS68" s="12"/>
      <c r="SST68" s="12"/>
      <c r="STK68" s="12"/>
      <c r="STL68" s="12"/>
      <c r="SUC68" s="12"/>
      <c r="SUD68" s="12"/>
      <c r="SUU68" s="12"/>
      <c r="SUV68" s="12"/>
      <c r="SVM68" s="12"/>
      <c r="SVN68" s="12"/>
      <c r="SWE68" s="12"/>
      <c r="SWF68" s="12"/>
      <c r="SWW68" s="12"/>
      <c r="SWX68" s="12"/>
      <c r="SXO68" s="12"/>
      <c r="SXP68" s="12"/>
      <c r="SYG68" s="12"/>
      <c r="SYH68" s="12"/>
      <c r="SYY68" s="12"/>
      <c r="SYZ68" s="12"/>
      <c r="SZQ68" s="12"/>
      <c r="SZR68" s="12"/>
      <c r="TAI68" s="12"/>
      <c r="TAJ68" s="12"/>
      <c r="TBA68" s="12"/>
      <c r="TBB68" s="12"/>
      <c r="TBS68" s="12"/>
      <c r="TBT68" s="12"/>
      <c r="TCK68" s="12"/>
      <c r="TCL68" s="12"/>
      <c r="TDC68" s="12"/>
      <c r="TDD68" s="12"/>
      <c r="TDU68" s="12"/>
      <c r="TDV68" s="12"/>
      <c r="TEM68" s="12"/>
      <c r="TEN68" s="12"/>
      <c r="TFE68" s="12"/>
      <c r="TFF68" s="12"/>
      <c r="TFW68" s="12"/>
      <c r="TFX68" s="12"/>
      <c r="TGO68" s="12"/>
      <c r="TGP68" s="12"/>
      <c r="THG68" s="12"/>
      <c r="THH68" s="12"/>
      <c r="THY68" s="12"/>
      <c r="THZ68" s="12"/>
      <c r="TIQ68" s="12"/>
      <c r="TIR68" s="12"/>
      <c r="TJI68" s="12"/>
      <c r="TJJ68" s="12"/>
      <c r="TKA68" s="12"/>
      <c r="TKB68" s="12"/>
      <c r="TKS68" s="12"/>
      <c r="TKT68" s="12"/>
      <c r="TLK68" s="12"/>
      <c r="TLL68" s="12"/>
      <c r="TMC68" s="12"/>
      <c r="TMD68" s="12"/>
      <c r="TMU68" s="12"/>
      <c r="TMV68" s="12"/>
      <c r="TNM68" s="12"/>
      <c r="TNN68" s="12"/>
      <c r="TOE68" s="12"/>
      <c r="TOF68" s="12"/>
      <c r="TOW68" s="12"/>
      <c r="TOX68" s="12"/>
      <c r="TPO68" s="12"/>
      <c r="TPP68" s="12"/>
      <c r="TQG68" s="12"/>
      <c r="TQH68" s="12"/>
      <c r="TQY68" s="12"/>
      <c r="TQZ68" s="12"/>
      <c r="TRQ68" s="12"/>
      <c r="TRR68" s="12"/>
      <c r="TSI68" s="12"/>
      <c r="TSJ68" s="12"/>
      <c r="TTA68" s="12"/>
      <c r="TTB68" s="12"/>
      <c r="TTS68" s="12"/>
      <c r="TTT68" s="12"/>
      <c r="TUK68" s="12"/>
      <c r="TUL68" s="12"/>
      <c r="TVC68" s="12"/>
      <c r="TVD68" s="12"/>
      <c r="TVU68" s="12"/>
      <c r="TVV68" s="12"/>
      <c r="TWM68" s="12"/>
      <c r="TWN68" s="12"/>
      <c r="TXE68" s="12"/>
      <c r="TXF68" s="12"/>
      <c r="TXW68" s="12"/>
      <c r="TXX68" s="12"/>
      <c r="TYO68" s="12"/>
      <c r="TYP68" s="12"/>
      <c r="TZG68" s="12"/>
      <c r="TZH68" s="12"/>
      <c r="TZY68" s="12"/>
      <c r="TZZ68" s="12"/>
      <c r="UAQ68" s="12"/>
      <c r="UAR68" s="12"/>
      <c r="UBI68" s="12"/>
      <c r="UBJ68" s="12"/>
      <c r="UCA68" s="12"/>
      <c r="UCB68" s="12"/>
      <c r="UCS68" s="12"/>
      <c r="UCT68" s="12"/>
      <c r="UDK68" s="12"/>
      <c r="UDL68" s="12"/>
      <c r="UEC68" s="12"/>
      <c r="UED68" s="12"/>
      <c r="UEU68" s="12"/>
      <c r="UEV68" s="12"/>
      <c r="UFM68" s="12"/>
      <c r="UFN68" s="12"/>
      <c r="UGE68" s="12"/>
      <c r="UGF68" s="12"/>
      <c r="UGW68" s="12"/>
      <c r="UGX68" s="12"/>
      <c r="UHO68" s="12"/>
      <c r="UHP68" s="12"/>
      <c r="UIG68" s="12"/>
      <c r="UIH68" s="12"/>
      <c r="UIY68" s="12"/>
      <c r="UIZ68" s="12"/>
      <c r="UJQ68" s="12"/>
      <c r="UJR68" s="12"/>
      <c r="UKI68" s="12"/>
      <c r="UKJ68" s="12"/>
      <c r="ULA68" s="12"/>
      <c r="ULB68" s="12"/>
      <c r="ULS68" s="12"/>
      <c r="ULT68" s="12"/>
      <c r="UMK68" s="12"/>
      <c r="UML68" s="12"/>
      <c r="UNC68" s="12"/>
      <c r="UND68" s="12"/>
      <c r="UNU68" s="12"/>
      <c r="UNV68" s="12"/>
      <c r="UOM68" s="12"/>
      <c r="UON68" s="12"/>
      <c r="UPE68" s="12"/>
      <c r="UPF68" s="12"/>
      <c r="UPW68" s="12"/>
      <c r="UPX68" s="12"/>
      <c r="UQO68" s="12"/>
      <c r="UQP68" s="12"/>
      <c r="URG68" s="12"/>
      <c r="URH68" s="12"/>
      <c r="URY68" s="12"/>
      <c r="URZ68" s="12"/>
      <c r="USQ68" s="12"/>
      <c r="USR68" s="12"/>
      <c r="UTI68" s="12"/>
      <c r="UTJ68" s="12"/>
      <c r="UUA68" s="12"/>
      <c r="UUB68" s="12"/>
      <c r="UUS68" s="12"/>
      <c r="UUT68" s="12"/>
      <c r="UVK68" s="12"/>
      <c r="UVL68" s="12"/>
      <c r="UWC68" s="12"/>
      <c r="UWD68" s="12"/>
      <c r="UWU68" s="12"/>
      <c r="UWV68" s="12"/>
      <c r="UXM68" s="12"/>
      <c r="UXN68" s="12"/>
      <c r="UYE68" s="12"/>
      <c r="UYF68" s="12"/>
      <c r="UYW68" s="12"/>
      <c r="UYX68" s="12"/>
      <c r="UZO68" s="12"/>
      <c r="UZP68" s="12"/>
      <c r="VAG68" s="12"/>
      <c r="VAH68" s="12"/>
      <c r="VAY68" s="12"/>
      <c r="VAZ68" s="12"/>
      <c r="VBQ68" s="12"/>
      <c r="VBR68" s="12"/>
      <c r="VCI68" s="12"/>
      <c r="VCJ68" s="12"/>
      <c r="VDA68" s="12"/>
      <c r="VDB68" s="12"/>
      <c r="VDS68" s="12"/>
      <c r="VDT68" s="12"/>
      <c r="VEK68" s="12"/>
      <c r="VEL68" s="12"/>
      <c r="VFC68" s="12"/>
      <c r="VFD68" s="12"/>
      <c r="VFU68" s="12"/>
      <c r="VFV68" s="12"/>
      <c r="VGM68" s="12"/>
      <c r="VGN68" s="12"/>
      <c r="VHE68" s="12"/>
      <c r="VHF68" s="12"/>
      <c r="VHW68" s="12"/>
      <c r="VHX68" s="12"/>
      <c r="VIO68" s="12"/>
      <c r="VIP68" s="12"/>
      <c r="VJG68" s="12"/>
      <c r="VJH68" s="12"/>
      <c r="VJY68" s="12"/>
      <c r="VJZ68" s="12"/>
      <c r="VKQ68" s="12"/>
      <c r="VKR68" s="12"/>
      <c r="VLI68" s="12"/>
      <c r="VLJ68" s="12"/>
      <c r="VMA68" s="12"/>
      <c r="VMB68" s="12"/>
      <c r="VMS68" s="12"/>
      <c r="VMT68" s="12"/>
      <c r="VNK68" s="12"/>
      <c r="VNL68" s="12"/>
      <c r="VOC68" s="12"/>
      <c r="VOD68" s="12"/>
      <c r="VOU68" s="12"/>
      <c r="VOV68" s="12"/>
      <c r="VPM68" s="12"/>
      <c r="VPN68" s="12"/>
      <c r="VQE68" s="12"/>
      <c r="VQF68" s="12"/>
      <c r="VQW68" s="12"/>
      <c r="VQX68" s="12"/>
      <c r="VRO68" s="12"/>
      <c r="VRP68" s="12"/>
      <c r="VSG68" s="12"/>
      <c r="VSH68" s="12"/>
      <c r="VSY68" s="12"/>
      <c r="VSZ68" s="12"/>
      <c r="VTQ68" s="12"/>
      <c r="VTR68" s="12"/>
      <c r="VUI68" s="12"/>
      <c r="VUJ68" s="12"/>
      <c r="VVA68" s="12"/>
      <c r="VVB68" s="12"/>
      <c r="VVS68" s="12"/>
      <c r="VVT68" s="12"/>
      <c r="VWK68" s="12"/>
      <c r="VWL68" s="12"/>
      <c r="VXC68" s="12"/>
      <c r="VXD68" s="12"/>
      <c r="VXU68" s="12"/>
      <c r="VXV68" s="12"/>
      <c r="VYM68" s="12"/>
      <c r="VYN68" s="12"/>
      <c r="VZE68" s="12"/>
      <c r="VZF68" s="12"/>
      <c r="VZW68" s="12"/>
      <c r="VZX68" s="12"/>
      <c r="WAO68" s="12"/>
      <c r="WAP68" s="12"/>
      <c r="WBG68" s="12"/>
      <c r="WBH68" s="12"/>
      <c r="WBY68" s="12"/>
      <c r="WBZ68" s="12"/>
      <c r="WCQ68" s="12"/>
      <c r="WCR68" s="12"/>
      <c r="WDI68" s="12"/>
      <c r="WDJ68" s="12"/>
      <c r="WEA68" s="12"/>
      <c r="WEB68" s="12"/>
      <c r="WES68" s="12"/>
      <c r="WET68" s="12"/>
      <c r="WFK68" s="12"/>
      <c r="WFL68" s="12"/>
      <c r="WGC68" s="12"/>
      <c r="WGD68" s="12"/>
      <c r="WGU68" s="12"/>
      <c r="WGV68" s="12"/>
      <c r="WHM68" s="12"/>
      <c r="WHN68" s="12"/>
      <c r="WIE68" s="12"/>
      <c r="WIF68" s="12"/>
      <c r="WIW68" s="12"/>
      <c r="WIX68" s="12"/>
      <c r="WJO68" s="12"/>
      <c r="WJP68" s="12"/>
      <c r="WKG68" s="12"/>
      <c r="WKH68" s="12"/>
      <c r="WKY68" s="12"/>
      <c r="WKZ68" s="12"/>
      <c r="WLQ68" s="12"/>
      <c r="WLR68" s="12"/>
      <c r="WMI68" s="12"/>
      <c r="WMJ68" s="12"/>
      <c r="WNA68" s="12"/>
      <c r="WNB68" s="12"/>
      <c r="WNS68" s="12"/>
      <c r="WNT68" s="12"/>
      <c r="WOK68" s="12"/>
      <c r="WOL68" s="12"/>
      <c r="WPC68" s="12"/>
      <c r="WPD68" s="12"/>
      <c r="WPU68" s="12"/>
      <c r="WPV68" s="12"/>
      <c r="WQM68" s="12"/>
      <c r="WQN68" s="12"/>
      <c r="WRE68" s="12"/>
      <c r="WRF68" s="12"/>
      <c r="WRW68" s="12"/>
      <c r="WRX68" s="12"/>
      <c r="WSO68" s="12"/>
      <c r="WSP68" s="12"/>
      <c r="WTG68" s="12"/>
      <c r="WTH68" s="12"/>
      <c r="WTY68" s="12"/>
      <c r="WTZ68" s="12"/>
      <c r="WUQ68" s="12"/>
      <c r="WUR68" s="12"/>
      <c r="WVI68" s="12"/>
      <c r="WVJ68" s="12"/>
      <c r="WWA68" s="12"/>
      <c r="WWB68" s="12"/>
      <c r="WWS68" s="12"/>
      <c r="WWT68" s="12"/>
      <c r="WXK68" s="12"/>
      <c r="WXL68" s="12"/>
      <c r="WYC68" s="12"/>
      <c r="WYD68" s="12"/>
      <c r="WYU68" s="12"/>
      <c r="WYV68" s="12"/>
      <c r="WZM68" s="12"/>
      <c r="WZN68" s="12"/>
      <c r="XAE68" s="12"/>
      <c r="XAF68" s="12"/>
      <c r="XAW68" s="12"/>
      <c r="XAX68" s="12"/>
      <c r="XBO68" s="12"/>
      <c r="XBP68" s="12"/>
      <c r="XCG68" s="12"/>
      <c r="XCH68" s="12"/>
      <c r="XCY68" s="12"/>
      <c r="XCZ68" s="12"/>
      <c r="XDQ68" s="12"/>
      <c r="XDR68" s="12"/>
      <c r="XEI68" s="12"/>
      <c r="XEJ68" s="12"/>
      <c r="XFA68" s="12"/>
      <c r="XFB68" s="12"/>
    </row>
    <row r="69" spans="1:1010 1027:2036 2053:3062 3079:4088 4105:5114 5131:6140 6157:7166 7183:8192 8209:9200 9217:10226 10243:11252 11269:12278 12295:13304 13321:14330 14347:15356 15373:16382" s="11" customFormat="1" x14ac:dyDescent="0.35">
      <c r="A69" s="181" t="str">
        <f>'Balance Sheet - Standardized'!A71</f>
        <v xml:space="preserve">    + ST Lease Liabilities</v>
      </c>
      <c r="B69" s="13" t="str">
        <f>'Balance Sheet - Standardized'!B71</f>
        <v>ST_CAPITALIZED_LEASE_LIABILITIES</v>
      </c>
      <c r="C69" s="77">
        <f>IF('Balance Sheet - Standardized'!C71="",0,'Balance Sheet - Standardized'!C71)/'Balance Sheet - Standardized'!C$106</f>
        <v>0</v>
      </c>
      <c r="D69" s="77">
        <f>IF('Balance Sheet - Standardized'!D71="",0,'Balance Sheet - Standardized'!D71)/'Balance Sheet - Standardized'!D$106</f>
        <v>0</v>
      </c>
      <c r="E69" s="77">
        <f>IF('Balance Sheet - Standardized'!E71="",0,'Balance Sheet - Standardized'!E71)/'Balance Sheet - Standardized'!E$106</f>
        <v>0</v>
      </c>
      <c r="F69" s="77">
        <f>IF('Balance Sheet - Standardized'!F71="",0,'Balance Sheet - Standardized'!F71)/'Balance Sheet - Standardized'!F$106</f>
        <v>0</v>
      </c>
      <c r="G69" s="77">
        <f>IF('Balance Sheet - Standardized'!G71="",0,'Balance Sheet - Standardized'!G71)/'Balance Sheet - Standardized'!G$106</f>
        <v>1.8834004882209349E-2</v>
      </c>
      <c r="H69" s="77">
        <f>IF('Balance Sheet - Standardized'!H71="",0,'Balance Sheet - Standardized'!H71)/'Balance Sheet - Standardized'!H$106</f>
        <v>1.3359442993907745E-2</v>
      </c>
      <c r="I69" s="77">
        <f>IF('Balance Sheet - Standardized'!I71="",0,'Balance Sheet - Standardized'!I71)/'Balance Sheet - Standardized'!I$106</f>
        <v>9.9560346050205639E-3</v>
      </c>
      <c r="J69" s="77">
        <f>IF('Balance Sheet - Standardized'!J71="",0,'Balance Sheet - Standardized'!J71)/'Balance Sheet - Standardized'!J$106</f>
        <v>1.0441055277594832E-2</v>
      </c>
      <c r="K69" s="77">
        <f>IF('Balance Sheet - Standardized'!K71="",0,'Balance Sheet - Standardized'!K71)/'Balance Sheet - Standardized'!K$106</f>
        <v>1.2969903951829141E-2</v>
      </c>
      <c r="L69" s="77">
        <f>IF('Balance Sheet - Standardized'!L71="",0,'Balance Sheet - Standardized'!L71)/'Balance Sheet - Standardized'!L$106</f>
        <v>1.3354503126765505E-2</v>
      </c>
      <c r="M69" s="106"/>
      <c r="N69" s="106"/>
      <c r="O69" s="106"/>
      <c r="P69" s="106"/>
      <c r="Q69" s="106"/>
      <c r="R69" s="106"/>
      <c r="S69" s="78"/>
      <c r="T69" s="78"/>
      <c r="U69" s="106"/>
      <c r="V69" s="106"/>
      <c r="W69" s="106"/>
      <c r="X69" s="106"/>
      <c r="Y69" s="106"/>
      <c r="Z69" s="106"/>
      <c r="AA69" s="106"/>
      <c r="AB69" s="106"/>
      <c r="AC69" s="106"/>
      <c r="AD69" s="106"/>
      <c r="AE69" s="106"/>
      <c r="AF69" s="106"/>
      <c r="AG69" s="106"/>
      <c r="AH69" s="106"/>
      <c r="AI69" s="106"/>
      <c r="AJ69" s="106"/>
      <c r="AK69" s="78"/>
      <c r="AL69" s="78"/>
      <c r="AM69" s="106"/>
      <c r="AN69" s="106"/>
      <c r="AO69" s="106"/>
      <c r="AP69" s="106"/>
      <c r="AQ69" s="106"/>
      <c r="AR69" s="106"/>
      <c r="AS69" s="106"/>
      <c r="AT69" s="106"/>
      <c r="AU69" s="106"/>
      <c r="AV69" s="106"/>
      <c r="AW69" s="106"/>
      <c r="AX69" s="106"/>
      <c r="AY69" s="106"/>
      <c r="AZ69" s="106"/>
      <c r="BA69" s="106"/>
      <c r="BB69" s="106"/>
      <c r="BC69" s="78"/>
      <c r="BD69" s="78"/>
      <c r="BE69" s="106"/>
      <c r="BF69" s="106"/>
      <c r="BG69" s="106"/>
      <c r="BH69" s="106"/>
      <c r="BI69" s="106"/>
      <c r="BJ69" s="106"/>
      <c r="BU69" s="12"/>
      <c r="BV69" s="12"/>
      <c r="CM69" s="12"/>
      <c r="CN69" s="12"/>
      <c r="DE69" s="12"/>
      <c r="DF69" s="12"/>
      <c r="DW69" s="12"/>
      <c r="DX69" s="12"/>
      <c r="EO69" s="12"/>
      <c r="EP69" s="12"/>
      <c r="FG69" s="12"/>
      <c r="FH69" s="12"/>
      <c r="FY69" s="12"/>
      <c r="FZ69" s="12"/>
      <c r="GQ69" s="12"/>
      <c r="GR69" s="12"/>
      <c r="HI69" s="12"/>
      <c r="HJ69" s="12"/>
      <c r="IA69" s="12"/>
      <c r="IB69" s="12"/>
      <c r="IS69" s="12"/>
      <c r="IT69" s="12"/>
      <c r="JK69" s="12"/>
      <c r="JL69" s="12"/>
      <c r="KC69" s="12"/>
      <c r="KD69" s="12"/>
      <c r="KU69" s="12"/>
      <c r="KV69" s="12"/>
      <c r="LM69" s="12"/>
      <c r="LN69" s="12"/>
      <c r="ME69" s="12"/>
      <c r="MF69" s="12"/>
      <c r="MW69" s="12"/>
      <c r="MX69" s="12"/>
      <c r="NO69" s="12"/>
      <c r="NP69" s="12"/>
      <c r="OG69" s="12"/>
      <c r="OH69" s="12"/>
      <c r="OY69" s="12"/>
      <c r="OZ69" s="12"/>
      <c r="PQ69" s="12"/>
      <c r="PR69" s="12"/>
      <c r="QI69" s="12"/>
      <c r="QJ69" s="12"/>
      <c r="RA69" s="12"/>
      <c r="RB69" s="12"/>
      <c r="RS69" s="12"/>
      <c r="RT69" s="12"/>
      <c r="SK69" s="12"/>
      <c r="SL69" s="12"/>
      <c r="TC69" s="12"/>
      <c r="TD69" s="12"/>
      <c r="TU69" s="12"/>
      <c r="TV69" s="12"/>
      <c r="UM69" s="12"/>
      <c r="UN69" s="12"/>
      <c r="VE69" s="12"/>
      <c r="VF69" s="12"/>
      <c r="VW69" s="12"/>
      <c r="VX69" s="12"/>
      <c r="WO69" s="12"/>
      <c r="WP69" s="12"/>
      <c r="XG69" s="12"/>
      <c r="XH69" s="12"/>
      <c r="XY69" s="12"/>
      <c r="XZ69" s="12"/>
      <c r="YQ69" s="12"/>
      <c r="YR69" s="12"/>
      <c r="ZI69" s="12"/>
      <c r="ZJ69" s="12"/>
      <c r="AAA69" s="12"/>
      <c r="AAB69" s="12"/>
      <c r="AAS69" s="12"/>
      <c r="AAT69" s="12"/>
      <c r="ABK69" s="12"/>
      <c r="ABL69" s="12"/>
      <c r="ACC69" s="12"/>
      <c r="ACD69" s="12"/>
      <c r="ACU69" s="12"/>
      <c r="ACV69" s="12"/>
      <c r="ADM69" s="12"/>
      <c r="ADN69" s="12"/>
      <c r="AEE69" s="12"/>
      <c r="AEF69" s="12"/>
      <c r="AEW69" s="12"/>
      <c r="AEX69" s="12"/>
      <c r="AFO69" s="12"/>
      <c r="AFP69" s="12"/>
      <c r="AGG69" s="12"/>
      <c r="AGH69" s="12"/>
      <c r="AGY69" s="12"/>
      <c r="AGZ69" s="12"/>
      <c r="AHQ69" s="12"/>
      <c r="AHR69" s="12"/>
      <c r="AII69" s="12"/>
      <c r="AIJ69" s="12"/>
      <c r="AJA69" s="12"/>
      <c r="AJB69" s="12"/>
      <c r="AJS69" s="12"/>
      <c r="AJT69" s="12"/>
      <c r="AKK69" s="12"/>
      <c r="AKL69" s="12"/>
      <c r="ALC69" s="12"/>
      <c r="ALD69" s="12"/>
      <c r="ALU69" s="12"/>
      <c r="ALV69" s="12"/>
      <c r="AMM69" s="12"/>
      <c r="AMN69" s="12"/>
      <c r="ANE69" s="12"/>
      <c r="ANF69" s="12"/>
      <c r="ANW69" s="12"/>
      <c r="ANX69" s="12"/>
      <c r="AOO69" s="12"/>
      <c r="AOP69" s="12"/>
      <c r="APG69" s="12"/>
      <c r="APH69" s="12"/>
      <c r="APY69" s="12"/>
      <c r="APZ69" s="12"/>
      <c r="AQQ69" s="12"/>
      <c r="AQR69" s="12"/>
      <c r="ARI69" s="12"/>
      <c r="ARJ69" s="12"/>
      <c r="ASA69" s="12"/>
      <c r="ASB69" s="12"/>
      <c r="ASS69" s="12"/>
      <c r="AST69" s="12"/>
      <c r="ATK69" s="12"/>
      <c r="ATL69" s="12"/>
      <c r="AUC69" s="12"/>
      <c r="AUD69" s="12"/>
      <c r="AUU69" s="12"/>
      <c r="AUV69" s="12"/>
      <c r="AVM69" s="12"/>
      <c r="AVN69" s="12"/>
      <c r="AWE69" s="12"/>
      <c r="AWF69" s="12"/>
      <c r="AWW69" s="12"/>
      <c r="AWX69" s="12"/>
      <c r="AXO69" s="12"/>
      <c r="AXP69" s="12"/>
      <c r="AYG69" s="12"/>
      <c r="AYH69" s="12"/>
      <c r="AYY69" s="12"/>
      <c r="AYZ69" s="12"/>
      <c r="AZQ69" s="12"/>
      <c r="AZR69" s="12"/>
      <c r="BAI69" s="12"/>
      <c r="BAJ69" s="12"/>
      <c r="BBA69" s="12"/>
      <c r="BBB69" s="12"/>
      <c r="BBS69" s="12"/>
      <c r="BBT69" s="12"/>
      <c r="BCK69" s="12"/>
      <c r="BCL69" s="12"/>
      <c r="BDC69" s="12"/>
      <c r="BDD69" s="12"/>
      <c r="BDU69" s="12"/>
      <c r="BDV69" s="12"/>
      <c r="BEM69" s="12"/>
      <c r="BEN69" s="12"/>
      <c r="BFE69" s="12"/>
      <c r="BFF69" s="12"/>
      <c r="BFW69" s="12"/>
      <c r="BFX69" s="12"/>
      <c r="BGO69" s="12"/>
      <c r="BGP69" s="12"/>
      <c r="BHG69" s="12"/>
      <c r="BHH69" s="12"/>
      <c r="BHY69" s="12"/>
      <c r="BHZ69" s="12"/>
      <c r="BIQ69" s="12"/>
      <c r="BIR69" s="12"/>
      <c r="BJI69" s="12"/>
      <c r="BJJ69" s="12"/>
      <c r="BKA69" s="12"/>
      <c r="BKB69" s="12"/>
      <c r="BKS69" s="12"/>
      <c r="BKT69" s="12"/>
      <c r="BLK69" s="12"/>
      <c r="BLL69" s="12"/>
      <c r="BMC69" s="12"/>
      <c r="BMD69" s="12"/>
      <c r="BMU69" s="12"/>
      <c r="BMV69" s="12"/>
      <c r="BNM69" s="12"/>
      <c r="BNN69" s="12"/>
      <c r="BOE69" s="12"/>
      <c r="BOF69" s="12"/>
      <c r="BOW69" s="12"/>
      <c r="BOX69" s="12"/>
      <c r="BPO69" s="12"/>
      <c r="BPP69" s="12"/>
      <c r="BQG69" s="12"/>
      <c r="BQH69" s="12"/>
      <c r="BQY69" s="12"/>
      <c r="BQZ69" s="12"/>
      <c r="BRQ69" s="12"/>
      <c r="BRR69" s="12"/>
      <c r="BSI69" s="12"/>
      <c r="BSJ69" s="12"/>
      <c r="BTA69" s="12"/>
      <c r="BTB69" s="12"/>
      <c r="BTS69" s="12"/>
      <c r="BTT69" s="12"/>
      <c r="BUK69" s="12"/>
      <c r="BUL69" s="12"/>
      <c r="BVC69" s="12"/>
      <c r="BVD69" s="12"/>
      <c r="BVU69" s="12"/>
      <c r="BVV69" s="12"/>
      <c r="BWM69" s="12"/>
      <c r="BWN69" s="12"/>
      <c r="BXE69" s="12"/>
      <c r="BXF69" s="12"/>
      <c r="BXW69" s="12"/>
      <c r="BXX69" s="12"/>
      <c r="BYO69" s="12"/>
      <c r="BYP69" s="12"/>
      <c r="BZG69" s="12"/>
      <c r="BZH69" s="12"/>
      <c r="BZY69" s="12"/>
      <c r="BZZ69" s="12"/>
      <c r="CAQ69" s="12"/>
      <c r="CAR69" s="12"/>
      <c r="CBI69" s="12"/>
      <c r="CBJ69" s="12"/>
      <c r="CCA69" s="12"/>
      <c r="CCB69" s="12"/>
      <c r="CCS69" s="12"/>
      <c r="CCT69" s="12"/>
      <c r="CDK69" s="12"/>
      <c r="CDL69" s="12"/>
      <c r="CEC69" s="12"/>
      <c r="CED69" s="12"/>
      <c r="CEU69" s="12"/>
      <c r="CEV69" s="12"/>
      <c r="CFM69" s="12"/>
      <c r="CFN69" s="12"/>
      <c r="CGE69" s="12"/>
      <c r="CGF69" s="12"/>
      <c r="CGW69" s="12"/>
      <c r="CGX69" s="12"/>
      <c r="CHO69" s="12"/>
      <c r="CHP69" s="12"/>
      <c r="CIG69" s="12"/>
      <c r="CIH69" s="12"/>
      <c r="CIY69" s="12"/>
      <c r="CIZ69" s="12"/>
      <c r="CJQ69" s="12"/>
      <c r="CJR69" s="12"/>
      <c r="CKI69" s="12"/>
      <c r="CKJ69" s="12"/>
      <c r="CLA69" s="12"/>
      <c r="CLB69" s="12"/>
      <c r="CLS69" s="12"/>
      <c r="CLT69" s="12"/>
      <c r="CMK69" s="12"/>
      <c r="CML69" s="12"/>
      <c r="CNC69" s="12"/>
      <c r="CND69" s="12"/>
      <c r="CNU69" s="12"/>
      <c r="CNV69" s="12"/>
      <c r="COM69" s="12"/>
      <c r="CON69" s="12"/>
      <c r="CPE69" s="12"/>
      <c r="CPF69" s="12"/>
      <c r="CPW69" s="12"/>
      <c r="CPX69" s="12"/>
      <c r="CQO69" s="12"/>
      <c r="CQP69" s="12"/>
      <c r="CRG69" s="12"/>
      <c r="CRH69" s="12"/>
      <c r="CRY69" s="12"/>
      <c r="CRZ69" s="12"/>
      <c r="CSQ69" s="12"/>
      <c r="CSR69" s="12"/>
      <c r="CTI69" s="12"/>
      <c r="CTJ69" s="12"/>
      <c r="CUA69" s="12"/>
      <c r="CUB69" s="12"/>
      <c r="CUS69" s="12"/>
      <c r="CUT69" s="12"/>
      <c r="CVK69" s="12"/>
      <c r="CVL69" s="12"/>
      <c r="CWC69" s="12"/>
      <c r="CWD69" s="12"/>
      <c r="CWU69" s="12"/>
      <c r="CWV69" s="12"/>
      <c r="CXM69" s="12"/>
      <c r="CXN69" s="12"/>
      <c r="CYE69" s="12"/>
      <c r="CYF69" s="12"/>
      <c r="CYW69" s="12"/>
      <c r="CYX69" s="12"/>
      <c r="CZO69" s="12"/>
      <c r="CZP69" s="12"/>
      <c r="DAG69" s="12"/>
      <c r="DAH69" s="12"/>
      <c r="DAY69" s="12"/>
      <c r="DAZ69" s="12"/>
      <c r="DBQ69" s="12"/>
      <c r="DBR69" s="12"/>
      <c r="DCI69" s="12"/>
      <c r="DCJ69" s="12"/>
      <c r="DDA69" s="12"/>
      <c r="DDB69" s="12"/>
      <c r="DDS69" s="12"/>
      <c r="DDT69" s="12"/>
      <c r="DEK69" s="12"/>
      <c r="DEL69" s="12"/>
      <c r="DFC69" s="12"/>
      <c r="DFD69" s="12"/>
      <c r="DFU69" s="12"/>
      <c r="DFV69" s="12"/>
      <c r="DGM69" s="12"/>
      <c r="DGN69" s="12"/>
      <c r="DHE69" s="12"/>
      <c r="DHF69" s="12"/>
      <c r="DHW69" s="12"/>
      <c r="DHX69" s="12"/>
      <c r="DIO69" s="12"/>
      <c r="DIP69" s="12"/>
      <c r="DJG69" s="12"/>
      <c r="DJH69" s="12"/>
      <c r="DJY69" s="12"/>
      <c r="DJZ69" s="12"/>
      <c r="DKQ69" s="12"/>
      <c r="DKR69" s="12"/>
      <c r="DLI69" s="12"/>
      <c r="DLJ69" s="12"/>
      <c r="DMA69" s="12"/>
      <c r="DMB69" s="12"/>
      <c r="DMS69" s="12"/>
      <c r="DMT69" s="12"/>
      <c r="DNK69" s="12"/>
      <c r="DNL69" s="12"/>
      <c r="DOC69" s="12"/>
      <c r="DOD69" s="12"/>
      <c r="DOU69" s="12"/>
      <c r="DOV69" s="12"/>
      <c r="DPM69" s="12"/>
      <c r="DPN69" s="12"/>
      <c r="DQE69" s="12"/>
      <c r="DQF69" s="12"/>
      <c r="DQW69" s="12"/>
      <c r="DQX69" s="12"/>
      <c r="DRO69" s="12"/>
      <c r="DRP69" s="12"/>
      <c r="DSG69" s="12"/>
      <c r="DSH69" s="12"/>
      <c r="DSY69" s="12"/>
      <c r="DSZ69" s="12"/>
      <c r="DTQ69" s="12"/>
      <c r="DTR69" s="12"/>
      <c r="DUI69" s="12"/>
      <c r="DUJ69" s="12"/>
      <c r="DVA69" s="12"/>
      <c r="DVB69" s="12"/>
      <c r="DVS69" s="12"/>
      <c r="DVT69" s="12"/>
      <c r="DWK69" s="12"/>
      <c r="DWL69" s="12"/>
      <c r="DXC69" s="12"/>
      <c r="DXD69" s="12"/>
      <c r="DXU69" s="12"/>
      <c r="DXV69" s="12"/>
      <c r="DYM69" s="12"/>
      <c r="DYN69" s="12"/>
      <c r="DZE69" s="12"/>
      <c r="DZF69" s="12"/>
      <c r="DZW69" s="12"/>
      <c r="DZX69" s="12"/>
      <c r="EAO69" s="12"/>
      <c r="EAP69" s="12"/>
      <c r="EBG69" s="12"/>
      <c r="EBH69" s="12"/>
      <c r="EBY69" s="12"/>
      <c r="EBZ69" s="12"/>
      <c r="ECQ69" s="12"/>
      <c r="ECR69" s="12"/>
      <c r="EDI69" s="12"/>
      <c r="EDJ69" s="12"/>
      <c r="EEA69" s="12"/>
      <c r="EEB69" s="12"/>
      <c r="EES69" s="12"/>
      <c r="EET69" s="12"/>
      <c r="EFK69" s="12"/>
      <c r="EFL69" s="12"/>
      <c r="EGC69" s="12"/>
      <c r="EGD69" s="12"/>
      <c r="EGU69" s="12"/>
      <c r="EGV69" s="12"/>
      <c r="EHM69" s="12"/>
      <c r="EHN69" s="12"/>
      <c r="EIE69" s="12"/>
      <c r="EIF69" s="12"/>
      <c r="EIW69" s="12"/>
      <c r="EIX69" s="12"/>
      <c r="EJO69" s="12"/>
      <c r="EJP69" s="12"/>
      <c r="EKG69" s="12"/>
      <c r="EKH69" s="12"/>
      <c r="EKY69" s="12"/>
      <c r="EKZ69" s="12"/>
      <c r="ELQ69" s="12"/>
      <c r="ELR69" s="12"/>
      <c r="EMI69" s="12"/>
      <c r="EMJ69" s="12"/>
      <c r="ENA69" s="12"/>
      <c r="ENB69" s="12"/>
      <c r="ENS69" s="12"/>
      <c r="ENT69" s="12"/>
      <c r="EOK69" s="12"/>
      <c r="EOL69" s="12"/>
      <c r="EPC69" s="12"/>
      <c r="EPD69" s="12"/>
      <c r="EPU69" s="12"/>
      <c r="EPV69" s="12"/>
      <c r="EQM69" s="12"/>
      <c r="EQN69" s="12"/>
      <c r="ERE69" s="12"/>
      <c r="ERF69" s="12"/>
      <c r="ERW69" s="12"/>
      <c r="ERX69" s="12"/>
      <c r="ESO69" s="12"/>
      <c r="ESP69" s="12"/>
      <c r="ETG69" s="12"/>
      <c r="ETH69" s="12"/>
      <c r="ETY69" s="12"/>
      <c r="ETZ69" s="12"/>
      <c r="EUQ69" s="12"/>
      <c r="EUR69" s="12"/>
      <c r="EVI69" s="12"/>
      <c r="EVJ69" s="12"/>
      <c r="EWA69" s="12"/>
      <c r="EWB69" s="12"/>
      <c r="EWS69" s="12"/>
      <c r="EWT69" s="12"/>
      <c r="EXK69" s="12"/>
      <c r="EXL69" s="12"/>
      <c r="EYC69" s="12"/>
      <c r="EYD69" s="12"/>
      <c r="EYU69" s="12"/>
      <c r="EYV69" s="12"/>
      <c r="EZM69" s="12"/>
      <c r="EZN69" s="12"/>
      <c r="FAE69" s="12"/>
      <c r="FAF69" s="12"/>
      <c r="FAW69" s="12"/>
      <c r="FAX69" s="12"/>
      <c r="FBO69" s="12"/>
      <c r="FBP69" s="12"/>
      <c r="FCG69" s="12"/>
      <c r="FCH69" s="12"/>
      <c r="FCY69" s="12"/>
      <c r="FCZ69" s="12"/>
      <c r="FDQ69" s="12"/>
      <c r="FDR69" s="12"/>
      <c r="FEI69" s="12"/>
      <c r="FEJ69" s="12"/>
      <c r="FFA69" s="12"/>
      <c r="FFB69" s="12"/>
      <c r="FFS69" s="12"/>
      <c r="FFT69" s="12"/>
      <c r="FGK69" s="12"/>
      <c r="FGL69" s="12"/>
      <c r="FHC69" s="12"/>
      <c r="FHD69" s="12"/>
      <c r="FHU69" s="12"/>
      <c r="FHV69" s="12"/>
      <c r="FIM69" s="12"/>
      <c r="FIN69" s="12"/>
      <c r="FJE69" s="12"/>
      <c r="FJF69" s="12"/>
      <c r="FJW69" s="12"/>
      <c r="FJX69" s="12"/>
      <c r="FKO69" s="12"/>
      <c r="FKP69" s="12"/>
      <c r="FLG69" s="12"/>
      <c r="FLH69" s="12"/>
      <c r="FLY69" s="12"/>
      <c r="FLZ69" s="12"/>
      <c r="FMQ69" s="12"/>
      <c r="FMR69" s="12"/>
      <c r="FNI69" s="12"/>
      <c r="FNJ69" s="12"/>
      <c r="FOA69" s="12"/>
      <c r="FOB69" s="12"/>
      <c r="FOS69" s="12"/>
      <c r="FOT69" s="12"/>
      <c r="FPK69" s="12"/>
      <c r="FPL69" s="12"/>
      <c r="FQC69" s="12"/>
      <c r="FQD69" s="12"/>
      <c r="FQU69" s="12"/>
      <c r="FQV69" s="12"/>
      <c r="FRM69" s="12"/>
      <c r="FRN69" s="12"/>
      <c r="FSE69" s="12"/>
      <c r="FSF69" s="12"/>
      <c r="FSW69" s="12"/>
      <c r="FSX69" s="12"/>
      <c r="FTO69" s="12"/>
      <c r="FTP69" s="12"/>
      <c r="FUG69" s="12"/>
      <c r="FUH69" s="12"/>
      <c r="FUY69" s="12"/>
      <c r="FUZ69" s="12"/>
      <c r="FVQ69" s="12"/>
      <c r="FVR69" s="12"/>
      <c r="FWI69" s="12"/>
      <c r="FWJ69" s="12"/>
      <c r="FXA69" s="12"/>
      <c r="FXB69" s="12"/>
      <c r="FXS69" s="12"/>
      <c r="FXT69" s="12"/>
      <c r="FYK69" s="12"/>
      <c r="FYL69" s="12"/>
      <c r="FZC69" s="12"/>
      <c r="FZD69" s="12"/>
      <c r="FZU69" s="12"/>
      <c r="FZV69" s="12"/>
      <c r="GAM69" s="12"/>
      <c r="GAN69" s="12"/>
      <c r="GBE69" s="12"/>
      <c r="GBF69" s="12"/>
      <c r="GBW69" s="12"/>
      <c r="GBX69" s="12"/>
      <c r="GCO69" s="12"/>
      <c r="GCP69" s="12"/>
      <c r="GDG69" s="12"/>
      <c r="GDH69" s="12"/>
      <c r="GDY69" s="12"/>
      <c r="GDZ69" s="12"/>
      <c r="GEQ69" s="12"/>
      <c r="GER69" s="12"/>
      <c r="GFI69" s="12"/>
      <c r="GFJ69" s="12"/>
      <c r="GGA69" s="12"/>
      <c r="GGB69" s="12"/>
      <c r="GGS69" s="12"/>
      <c r="GGT69" s="12"/>
      <c r="GHK69" s="12"/>
      <c r="GHL69" s="12"/>
      <c r="GIC69" s="12"/>
      <c r="GID69" s="12"/>
      <c r="GIU69" s="12"/>
      <c r="GIV69" s="12"/>
      <c r="GJM69" s="12"/>
      <c r="GJN69" s="12"/>
      <c r="GKE69" s="12"/>
      <c r="GKF69" s="12"/>
      <c r="GKW69" s="12"/>
      <c r="GKX69" s="12"/>
      <c r="GLO69" s="12"/>
      <c r="GLP69" s="12"/>
      <c r="GMG69" s="12"/>
      <c r="GMH69" s="12"/>
      <c r="GMY69" s="12"/>
      <c r="GMZ69" s="12"/>
      <c r="GNQ69" s="12"/>
      <c r="GNR69" s="12"/>
      <c r="GOI69" s="12"/>
      <c r="GOJ69" s="12"/>
      <c r="GPA69" s="12"/>
      <c r="GPB69" s="12"/>
      <c r="GPS69" s="12"/>
      <c r="GPT69" s="12"/>
      <c r="GQK69" s="12"/>
      <c r="GQL69" s="12"/>
      <c r="GRC69" s="12"/>
      <c r="GRD69" s="12"/>
      <c r="GRU69" s="12"/>
      <c r="GRV69" s="12"/>
      <c r="GSM69" s="12"/>
      <c r="GSN69" s="12"/>
      <c r="GTE69" s="12"/>
      <c r="GTF69" s="12"/>
      <c r="GTW69" s="12"/>
      <c r="GTX69" s="12"/>
      <c r="GUO69" s="12"/>
      <c r="GUP69" s="12"/>
      <c r="GVG69" s="12"/>
      <c r="GVH69" s="12"/>
      <c r="GVY69" s="12"/>
      <c r="GVZ69" s="12"/>
      <c r="GWQ69" s="12"/>
      <c r="GWR69" s="12"/>
      <c r="GXI69" s="12"/>
      <c r="GXJ69" s="12"/>
      <c r="GYA69" s="12"/>
      <c r="GYB69" s="12"/>
      <c r="GYS69" s="12"/>
      <c r="GYT69" s="12"/>
      <c r="GZK69" s="12"/>
      <c r="GZL69" s="12"/>
      <c r="HAC69" s="12"/>
      <c r="HAD69" s="12"/>
      <c r="HAU69" s="12"/>
      <c r="HAV69" s="12"/>
      <c r="HBM69" s="12"/>
      <c r="HBN69" s="12"/>
      <c r="HCE69" s="12"/>
      <c r="HCF69" s="12"/>
      <c r="HCW69" s="12"/>
      <c r="HCX69" s="12"/>
      <c r="HDO69" s="12"/>
      <c r="HDP69" s="12"/>
      <c r="HEG69" s="12"/>
      <c r="HEH69" s="12"/>
      <c r="HEY69" s="12"/>
      <c r="HEZ69" s="12"/>
      <c r="HFQ69" s="12"/>
      <c r="HFR69" s="12"/>
      <c r="HGI69" s="12"/>
      <c r="HGJ69" s="12"/>
      <c r="HHA69" s="12"/>
      <c r="HHB69" s="12"/>
      <c r="HHS69" s="12"/>
      <c r="HHT69" s="12"/>
      <c r="HIK69" s="12"/>
      <c r="HIL69" s="12"/>
      <c r="HJC69" s="12"/>
      <c r="HJD69" s="12"/>
      <c r="HJU69" s="12"/>
      <c r="HJV69" s="12"/>
      <c r="HKM69" s="12"/>
      <c r="HKN69" s="12"/>
      <c r="HLE69" s="12"/>
      <c r="HLF69" s="12"/>
      <c r="HLW69" s="12"/>
      <c r="HLX69" s="12"/>
      <c r="HMO69" s="12"/>
      <c r="HMP69" s="12"/>
      <c r="HNG69" s="12"/>
      <c r="HNH69" s="12"/>
      <c r="HNY69" s="12"/>
      <c r="HNZ69" s="12"/>
      <c r="HOQ69" s="12"/>
      <c r="HOR69" s="12"/>
      <c r="HPI69" s="12"/>
      <c r="HPJ69" s="12"/>
      <c r="HQA69" s="12"/>
      <c r="HQB69" s="12"/>
      <c r="HQS69" s="12"/>
      <c r="HQT69" s="12"/>
      <c r="HRK69" s="12"/>
      <c r="HRL69" s="12"/>
      <c r="HSC69" s="12"/>
      <c r="HSD69" s="12"/>
      <c r="HSU69" s="12"/>
      <c r="HSV69" s="12"/>
      <c r="HTM69" s="12"/>
      <c r="HTN69" s="12"/>
      <c r="HUE69" s="12"/>
      <c r="HUF69" s="12"/>
      <c r="HUW69" s="12"/>
      <c r="HUX69" s="12"/>
      <c r="HVO69" s="12"/>
      <c r="HVP69" s="12"/>
      <c r="HWG69" s="12"/>
      <c r="HWH69" s="12"/>
      <c r="HWY69" s="12"/>
      <c r="HWZ69" s="12"/>
      <c r="HXQ69" s="12"/>
      <c r="HXR69" s="12"/>
      <c r="HYI69" s="12"/>
      <c r="HYJ69" s="12"/>
      <c r="HZA69" s="12"/>
      <c r="HZB69" s="12"/>
      <c r="HZS69" s="12"/>
      <c r="HZT69" s="12"/>
      <c r="IAK69" s="12"/>
      <c r="IAL69" s="12"/>
      <c r="IBC69" s="12"/>
      <c r="IBD69" s="12"/>
      <c r="IBU69" s="12"/>
      <c r="IBV69" s="12"/>
      <c r="ICM69" s="12"/>
      <c r="ICN69" s="12"/>
      <c r="IDE69" s="12"/>
      <c r="IDF69" s="12"/>
      <c r="IDW69" s="12"/>
      <c r="IDX69" s="12"/>
      <c r="IEO69" s="12"/>
      <c r="IEP69" s="12"/>
      <c r="IFG69" s="12"/>
      <c r="IFH69" s="12"/>
      <c r="IFY69" s="12"/>
      <c r="IFZ69" s="12"/>
      <c r="IGQ69" s="12"/>
      <c r="IGR69" s="12"/>
      <c r="IHI69" s="12"/>
      <c r="IHJ69" s="12"/>
      <c r="IIA69" s="12"/>
      <c r="IIB69" s="12"/>
      <c r="IIS69" s="12"/>
      <c r="IIT69" s="12"/>
      <c r="IJK69" s="12"/>
      <c r="IJL69" s="12"/>
      <c r="IKC69" s="12"/>
      <c r="IKD69" s="12"/>
      <c r="IKU69" s="12"/>
      <c r="IKV69" s="12"/>
      <c r="ILM69" s="12"/>
      <c r="ILN69" s="12"/>
      <c r="IME69" s="12"/>
      <c r="IMF69" s="12"/>
      <c r="IMW69" s="12"/>
      <c r="IMX69" s="12"/>
      <c r="INO69" s="12"/>
      <c r="INP69" s="12"/>
      <c r="IOG69" s="12"/>
      <c r="IOH69" s="12"/>
      <c r="IOY69" s="12"/>
      <c r="IOZ69" s="12"/>
      <c r="IPQ69" s="12"/>
      <c r="IPR69" s="12"/>
      <c r="IQI69" s="12"/>
      <c r="IQJ69" s="12"/>
      <c r="IRA69" s="12"/>
      <c r="IRB69" s="12"/>
      <c r="IRS69" s="12"/>
      <c r="IRT69" s="12"/>
      <c r="ISK69" s="12"/>
      <c r="ISL69" s="12"/>
      <c r="ITC69" s="12"/>
      <c r="ITD69" s="12"/>
      <c r="ITU69" s="12"/>
      <c r="ITV69" s="12"/>
      <c r="IUM69" s="12"/>
      <c r="IUN69" s="12"/>
      <c r="IVE69" s="12"/>
      <c r="IVF69" s="12"/>
      <c r="IVW69" s="12"/>
      <c r="IVX69" s="12"/>
      <c r="IWO69" s="12"/>
      <c r="IWP69" s="12"/>
      <c r="IXG69" s="12"/>
      <c r="IXH69" s="12"/>
      <c r="IXY69" s="12"/>
      <c r="IXZ69" s="12"/>
      <c r="IYQ69" s="12"/>
      <c r="IYR69" s="12"/>
      <c r="IZI69" s="12"/>
      <c r="IZJ69" s="12"/>
      <c r="JAA69" s="12"/>
      <c r="JAB69" s="12"/>
      <c r="JAS69" s="12"/>
      <c r="JAT69" s="12"/>
      <c r="JBK69" s="12"/>
      <c r="JBL69" s="12"/>
      <c r="JCC69" s="12"/>
      <c r="JCD69" s="12"/>
      <c r="JCU69" s="12"/>
      <c r="JCV69" s="12"/>
      <c r="JDM69" s="12"/>
      <c r="JDN69" s="12"/>
      <c r="JEE69" s="12"/>
      <c r="JEF69" s="12"/>
      <c r="JEW69" s="12"/>
      <c r="JEX69" s="12"/>
      <c r="JFO69" s="12"/>
      <c r="JFP69" s="12"/>
      <c r="JGG69" s="12"/>
      <c r="JGH69" s="12"/>
      <c r="JGY69" s="12"/>
      <c r="JGZ69" s="12"/>
      <c r="JHQ69" s="12"/>
      <c r="JHR69" s="12"/>
      <c r="JII69" s="12"/>
      <c r="JIJ69" s="12"/>
      <c r="JJA69" s="12"/>
      <c r="JJB69" s="12"/>
      <c r="JJS69" s="12"/>
      <c r="JJT69" s="12"/>
      <c r="JKK69" s="12"/>
      <c r="JKL69" s="12"/>
      <c r="JLC69" s="12"/>
      <c r="JLD69" s="12"/>
      <c r="JLU69" s="12"/>
      <c r="JLV69" s="12"/>
      <c r="JMM69" s="12"/>
      <c r="JMN69" s="12"/>
      <c r="JNE69" s="12"/>
      <c r="JNF69" s="12"/>
      <c r="JNW69" s="12"/>
      <c r="JNX69" s="12"/>
      <c r="JOO69" s="12"/>
      <c r="JOP69" s="12"/>
      <c r="JPG69" s="12"/>
      <c r="JPH69" s="12"/>
      <c r="JPY69" s="12"/>
      <c r="JPZ69" s="12"/>
      <c r="JQQ69" s="12"/>
      <c r="JQR69" s="12"/>
      <c r="JRI69" s="12"/>
      <c r="JRJ69" s="12"/>
      <c r="JSA69" s="12"/>
      <c r="JSB69" s="12"/>
      <c r="JSS69" s="12"/>
      <c r="JST69" s="12"/>
      <c r="JTK69" s="12"/>
      <c r="JTL69" s="12"/>
      <c r="JUC69" s="12"/>
      <c r="JUD69" s="12"/>
      <c r="JUU69" s="12"/>
      <c r="JUV69" s="12"/>
      <c r="JVM69" s="12"/>
      <c r="JVN69" s="12"/>
      <c r="JWE69" s="12"/>
      <c r="JWF69" s="12"/>
      <c r="JWW69" s="12"/>
      <c r="JWX69" s="12"/>
      <c r="JXO69" s="12"/>
      <c r="JXP69" s="12"/>
      <c r="JYG69" s="12"/>
      <c r="JYH69" s="12"/>
      <c r="JYY69" s="12"/>
      <c r="JYZ69" s="12"/>
      <c r="JZQ69" s="12"/>
      <c r="JZR69" s="12"/>
      <c r="KAI69" s="12"/>
      <c r="KAJ69" s="12"/>
      <c r="KBA69" s="12"/>
      <c r="KBB69" s="12"/>
      <c r="KBS69" s="12"/>
      <c r="KBT69" s="12"/>
      <c r="KCK69" s="12"/>
      <c r="KCL69" s="12"/>
      <c r="KDC69" s="12"/>
      <c r="KDD69" s="12"/>
      <c r="KDU69" s="12"/>
      <c r="KDV69" s="12"/>
      <c r="KEM69" s="12"/>
      <c r="KEN69" s="12"/>
      <c r="KFE69" s="12"/>
      <c r="KFF69" s="12"/>
      <c r="KFW69" s="12"/>
      <c r="KFX69" s="12"/>
      <c r="KGO69" s="12"/>
      <c r="KGP69" s="12"/>
      <c r="KHG69" s="12"/>
      <c r="KHH69" s="12"/>
      <c r="KHY69" s="12"/>
      <c r="KHZ69" s="12"/>
      <c r="KIQ69" s="12"/>
      <c r="KIR69" s="12"/>
      <c r="KJI69" s="12"/>
      <c r="KJJ69" s="12"/>
      <c r="KKA69" s="12"/>
      <c r="KKB69" s="12"/>
      <c r="KKS69" s="12"/>
      <c r="KKT69" s="12"/>
      <c r="KLK69" s="12"/>
      <c r="KLL69" s="12"/>
      <c r="KMC69" s="12"/>
      <c r="KMD69" s="12"/>
      <c r="KMU69" s="12"/>
      <c r="KMV69" s="12"/>
      <c r="KNM69" s="12"/>
      <c r="KNN69" s="12"/>
      <c r="KOE69" s="12"/>
      <c r="KOF69" s="12"/>
      <c r="KOW69" s="12"/>
      <c r="KOX69" s="12"/>
      <c r="KPO69" s="12"/>
      <c r="KPP69" s="12"/>
      <c r="KQG69" s="12"/>
      <c r="KQH69" s="12"/>
      <c r="KQY69" s="12"/>
      <c r="KQZ69" s="12"/>
      <c r="KRQ69" s="12"/>
      <c r="KRR69" s="12"/>
      <c r="KSI69" s="12"/>
      <c r="KSJ69" s="12"/>
      <c r="KTA69" s="12"/>
      <c r="KTB69" s="12"/>
      <c r="KTS69" s="12"/>
      <c r="KTT69" s="12"/>
      <c r="KUK69" s="12"/>
      <c r="KUL69" s="12"/>
      <c r="KVC69" s="12"/>
      <c r="KVD69" s="12"/>
      <c r="KVU69" s="12"/>
      <c r="KVV69" s="12"/>
      <c r="KWM69" s="12"/>
      <c r="KWN69" s="12"/>
      <c r="KXE69" s="12"/>
      <c r="KXF69" s="12"/>
      <c r="KXW69" s="12"/>
      <c r="KXX69" s="12"/>
      <c r="KYO69" s="12"/>
      <c r="KYP69" s="12"/>
      <c r="KZG69" s="12"/>
      <c r="KZH69" s="12"/>
      <c r="KZY69" s="12"/>
      <c r="KZZ69" s="12"/>
      <c r="LAQ69" s="12"/>
      <c r="LAR69" s="12"/>
      <c r="LBI69" s="12"/>
      <c r="LBJ69" s="12"/>
      <c r="LCA69" s="12"/>
      <c r="LCB69" s="12"/>
      <c r="LCS69" s="12"/>
      <c r="LCT69" s="12"/>
      <c r="LDK69" s="12"/>
      <c r="LDL69" s="12"/>
      <c r="LEC69" s="12"/>
      <c r="LED69" s="12"/>
      <c r="LEU69" s="12"/>
      <c r="LEV69" s="12"/>
      <c r="LFM69" s="12"/>
      <c r="LFN69" s="12"/>
      <c r="LGE69" s="12"/>
      <c r="LGF69" s="12"/>
      <c r="LGW69" s="12"/>
      <c r="LGX69" s="12"/>
      <c r="LHO69" s="12"/>
      <c r="LHP69" s="12"/>
      <c r="LIG69" s="12"/>
      <c r="LIH69" s="12"/>
      <c r="LIY69" s="12"/>
      <c r="LIZ69" s="12"/>
      <c r="LJQ69" s="12"/>
      <c r="LJR69" s="12"/>
      <c r="LKI69" s="12"/>
      <c r="LKJ69" s="12"/>
      <c r="LLA69" s="12"/>
      <c r="LLB69" s="12"/>
      <c r="LLS69" s="12"/>
      <c r="LLT69" s="12"/>
      <c r="LMK69" s="12"/>
      <c r="LML69" s="12"/>
      <c r="LNC69" s="12"/>
      <c r="LND69" s="12"/>
      <c r="LNU69" s="12"/>
      <c r="LNV69" s="12"/>
      <c r="LOM69" s="12"/>
      <c r="LON69" s="12"/>
      <c r="LPE69" s="12"/>
      <c r="LPF69" s="12"/>
      <c r="LPW69" s="12"/>
      <c r="LPX69" s="12"/>
      <c r="LQO69" s="12"/>
      <c r="LQP69" s="12"/>
      <c r="LRG69" s="12"/>
      <c r="LRH69" s="12"/>
      <c r="LRY69" s="12"/>
      <c r="LRZ69" s="12"/>
      <c r="LSQ69" s="12"/>
      <c r="LSR69" s="12"/>
      <c r="LTI69" s="12"/>
      <c r="LTJ69" s="12"/>
      <c r="LUA69" s="12"/>
      <c r="LUB69" s="12"/>
      <c r="LUS69" s="12"/>
      <c r="LUT69" s="12"/>
      <c r="LVK69" s="12"/>
      <c r="LVL69" s="12"/>
      <c r="LWC69" s="12"/>
      <c r="LWD69" s="12"/>
      <c r="LWU69" s="12"/>
      <c r="LWV69" s="12"/>
      <c r="LXM69" s="12"/>
      <c r="LXN69" s="12"/>
      <c r="LYE69" s="12"/>
      <c r="LYF69" s="12"/>
      <c r="LYW69" s="12"/>
      <c r="LYX69" s="12"/>
      <c r="LZO69" s="12"/>
      <c r="LZP69" s="12"/>
      <c r="MAG69" s="12"/>
      <c r="MAH69" s="12"/>
      <c r="MAY69" s="12"/>
      <c r="MAZ69" s="12"/>
      <c r="MBQ69" s="12"/>
      <c r="MBR69" s="12"/>
      <c r="MCI69" s="12"/>
      <c r="MCJ69" s="12"/>
      <c r="MDA69" s="12"/>
      <c r="MDB69" s="12"/>
      <c r="MDS69" s="12"/>
      <c r="MDT69" s="12"/>
      <c r="MEK69" s="12"/>
      <c r="MEL69" s="12"/>
      <c r="MFC69" s="12"/>
      <c r="MFD69" s="12"/>
      <c r="MFU69" s="12"/>
      <c r="MFV69" s="12"/>
      <c r="MGM69" s="12"/>
      <c r="MGN69" s="12"/>
      <c r="MHE69" s="12"/>
      <c r="MHF69" s="12"/>
      <c r="MHW69" s="12"/>
      <c r="MHX69" s="12"/>
      <c r="MIO69" s="12"/>
      <c r="MIP69" s="12"/>
      <c r="MJG69" s="12"/>
      <c r="MJH69" s="12"/>
      <c r="MJY69" s="12"/>
      <c r="MJZ69" s="12"/>
      <c r="MKQ69" s="12"/>
      <c r="MKR69" s="12"/>
      <c r="MLI69" s="12"/>
      <c r="MLJ69" s="12"/>
      <c r="MMA69" s="12"/>
      <c r="MMB69" s="12"/>
      <c r="MMS69" s="12"/>
      <c r="MMT69" s="12"/>
      <c r="MNK69" s="12"/>
      <c r="MNL69" s="12"/>
      <c r="MOC69" s="12"/>
      <c r="MOD69" s="12"/>
      <c r="MOU69" s="12"/>
      <c r="MOV69" s="12"/>
      <c r="MPM69" s="12"/>
      <c r="MPN69" s="12"/>
      <c r="MQE69" s="12"/>
      <c r="MQF69" s="12"/>
      <c r="MQW69" s="12"/>
      <c r="MQX69" s="12"/>
      <c r="MRO69" s="12"/>
      <c r="MRP69" s="12"/>
      <c r="MSG69" s="12"/>
      <c r="MSH69" s="12"/>
      <c r="MSY69" s="12"/>
      <c r="MSZ69" s="12"/>
      <c r="MTQ69" s="12"/>
      <c r="MTR69" s="12"/>
      <c r="MUI69" s="12"/>
      <c r="MUJ69" s="12"/>
      <c r="MVA69" s="12"/>
      <c r="MVB69" s="12"/>
      <c r="MVS69" s="12"/>
      <c r="MVT69" s="12"/>
      <c r="MWK69" s="12"/>
      <c r="MWL69" s="12"/>
      <c r="MXC69" s="12"/>
      <c r="MXD69" s="12"/>
      <c r="MXU69" s="12"/>
      <c r="MXV69" s="12"/>
      <c r="MYM69" s="12"/>
      <c r="MYN69" s="12"/>
      <c r="MZE69" s="12"/>
      <c r="MZF69" s="12"/>
      <c r="MZW69" s="12"/>
      <c r="MZX69" s="12"/>
      <c r="NAO69" s="12"/>
      <c r="NAP69" s="12"/>
      <c r="NBG69" s="12"/>
      <c r="NBH69" s="12"/>
      <c r="NBY69" s="12"/>
      <c r="NBZ69" s="12"/>
      <c r="NCQ69" s="12"/>
      <c r="NCR69" s="12"/>
      <c r="NDI69" s="12"/>
      <c r="NDJ69" s="12"/>
      <c r="NEA69" s="12"/>
      <c r="NEB69" s="12"/>
      <c r="NES69" s="12"/>
      <c r="NET69" s="12"/>
      <c r="NFK69" s="12"/>
      <c r="NFL69" s="12"/>
      <c r="NGC69" s="12"/>
      <c r="NGD69" s="12"/>
      <c r="NGU69" s="12"/>
      <c r="NGV69" s="12"/>
      <c r="NHM69" s="12"/>
      <c r="NHN69" s="12"/>
      <c r="NIE69" s="12"/>
      <c r="NIF69" s="12"/>
      <c r="NIW69" s="12"/>
      <c r="NIX69" s="12"/>
      <c r="NJO69" s="12"/>
      <c r="NJP69" s="12"/>
      <c r="NKG69" s="12"/>
      <c r="NKH69" s="12"/>
      <c r="NKY69" s="12"/>
      <c r="NKZ69" s="12"/>
      <c r="NLQ69" s="12"/>
      <c r="NLR69" s="12"/>
      <c r="NMI69" s="12"/>
      <c r="NMJ69" s="12"/>
      <c r="NNA69" s="12"/>
      <c r="NNB69" s="12"/>
      <c r="NNS69" s="12"/>
      <c r="NNT69" s="12"/>
      <c r="NOK69" s="12"/>
      <c r="NOL69" s="12"/>
      <c r="NPC69" s="12"/>
      <c r="NPD69" s="12"/>
      <c r="NPU69" s="12"/>
      <c r="NPV69" s="12"/>
      <c r="NQM69" s="12"/>
      <c r="NQN69" s="12"/>
      <c r="NRE69" s="12"/>
      <c r="NRF69" s="12"/>
      <c r="NRW69" s="12"/>
      <c r="NRX69" s="12"/>
      <c r="NSO69" s="12"/>
      <c r="NSP69" s="12"/>
      <c r="NTG69" s="12"/>
      <c r="NTH69" s="12"/>
      <c r="NTY69" s="12"/>
      <c r="NTZ69" s="12"/>
      <c r="NUQ69" s="12"/>
      <c r="NUR69" s="12"/>
      <c r="NVI69" s="12"/>
      <c r="NVJ69" s="12"/>
      <c r="NWA69" s="12"/>
      <c r="NWB69" s="12"/>
      <c r="NWS69" s="12"/>
      <c r="NWT69" s="12"/>
      <c r="NXK69" s="12"/>
      <c r="NXL69" s="12"/>
      <c r="NYC69" s="12"/>
      <c r="NYD69" s="12"/>
      <c r="NYU69" s="12"/>
      <c r="NYV69" s="12"/>
      <c r="NZM69" s="12"/>
      <c r="NZN69" s="12"/>
      <c r="OAE69" s="12"/>
      <c r="OAF69" s="12"/>
      <c r="OAW69" s="12"/>
      <c r="OAX69" s="12"/>
      <c r="OBO69" s="12"/>
      <c r="OBP69" s="12"/>
      <c r="OCG69" s="12"/>
      <c r="OCH69" s="12"/>
      <c r="OCY69" s="12"/>
      <c r="OCZ69" s="12"/>
      <c r="ODQ69" s="12"/>
      <c r="ODR69" s="12"/>
      <c r="OEI69" s="12"/>
      <c r="OEJ69" s="12"/>
      <c r="OFA69" s="12"/>
      <c r="OFB69" s="12"/>
      <c r="OFS69" s="12"/>
      <c r="OFT69" s="12"/>
      <c r="OGK69" s="12"/>
      <c r="OGL69" s="12"/>
      <c r="OHC69" s="12"/>
      <c r="OHD69" s="12"/>
      <c r="OHU69" s="12"/>
      <c r="OHV69" s="12"/>
      <c r="OIM69" s="12"/>
      <c r="OIN69" s="12"/>
      <c r="OJE69" s="12"/>
      <c r="OJF69" s="12"/>
      <c r="OJW69" s="12"/>
      <c r="OJX69" s="12"/>
      <c r="OKO69" s="12"/>
      <c r="OKP69" s="12"/>
      <c r="OLG69" s="12"/>
      <c r="OLH69" s="12"/>
      <c r="OLY69" s="12"/>
      <c r="OLZ69" s="12"/>
      <c r="OMQ69" s="12"/>
      <c r="OMR69" s="12"/>
      <c r="ONI69" s="12"/>
      <c r="ONJ69" s="12"/>
      <c r="OOA69" s="12"/>
      <c r="OOB69" s="12"/>
      <c r="OOS69" s="12"/>
      <c r="OOT69" s="12"/>
      <c r="OPK69" s="12"/>
      <c r="OPL69" s="12"/>
      <c r="OQC69" s="12"/>
      <c r="OQD69" s="12"/>
      <c r="OQU69" s="12"/>
      <c r="OQV69" s="12"/>
      <c r="ORM69" s="12"/>
      <c r="ORN69" s="12"/>
      <c r="OSE69" s="12"/>
      <c r="OSF69" s="12"/>
      <c r="OSW69" s="12"/>
      <c r="OSX69" s="12"/>
      <c r="OTO69" s="12"/>
      <c r="OTP69" s="12"/>
      <c r="OUG69" s="12"/>
      <c r="OUH69" s="12"/>
      <c r="OUY69" s="12"/>
      <c r="OUZ69" s="12"/>
      <c r="OVQ69" s="12"/>
      <c r="OVR69" s="12"/>
      <c r="OWI69" s="12"/>
      <c r="OWJ69" s="12"/>
      <c r="OXA69" s="12"/>
      <c r="OXB69" s="12"/>
      <c r="OXS69" s="12"/>
      <c r="OXT69" s="12"/>
      <c r="OYK69" s="12"/>
      <c r="OYL69" s="12"/>
      <c r="OZC69" s="12"/>
      <c r="OZD69" s="12"/>
      <c r="OZU69" s="12"/>
      <c r="OZV69" s="12"/>
      <c r="PAM69" s="12"/>
      <c r="PAN69" s="12"/>
      <c r="PBE69" s="12"/>
      <c r="PBF69" s="12"/>
      <c r="PBW69" s="12"/>
      <c r="PBX69" s="12"/>
      <c r="PCO69" s="12"/>
      <c r="PCP69" s="12"/>
      <c r="PDG69" s="12"/>
      <c r="PDH69" s="12"/>
      <c r="PDY69" s="12"/>
      <c r="PDZ69" s="12"/>
      <c r="PEQ69" s="12"/>
      <c r="PER69" s="12"/>
      <c r="PFI69" s="12"/>
      <c r="PFJ69" s="12"/>
      <c r="PGA69" s="12"/>
      <c r="PGB69" s="12"/>
      <c r="PGS69" s="12"/>
      <c r="PGT69" s="12"/>
      <c r="PHK69" s="12"/>
      <c r="PHL69" s="12"/>
      <c r="PIC69" s="12"/>
      <c r="PID69" s="12"/>
      <c r="PIU69" s="12"/>
      <c r="PIV69" s="12"/>
      <c r="PJM69" s="12"/>
      <c r="PJN69" s="12"/>
      <c r="PKE69" s="12"/>
      <c r="PKF69" s="12"/>
      <c r="PKW69" s="12"/>
      <c r="PKX69" s="12"/>
      <c r="PLO69" s="12"/>
      <c r="PLP69" s="12"/>
      <c r="PMG69" s="12"/>
      <c r="PMH69" s="12"/>
      <c r="PMY69" s="12"/>
      <c r="PMZ69" s="12"/>
      <c r="PNQ69" s="12"/>
      <c r="PNR69" s="12"/>
      <c r="POI69" s="12"/>
      <c r="POJ69" s="12"/>
      <c r="PPA69" s="12"/>
      <c r="PPB69" s="12"/>
      <c r="PPS69" s="12"/>
      <c r="PPT69" s="12"/>
      <c r="PQK69" s="12"/>
      <c r="PQL69" s="12"/>
      <c r="PRC69" s="12"/>
      <c r="PRD69" s="12"/>
      <c r="PRU69" s="12"/>
      <c r="PRV69" s="12"/>
      <c r="PSM69" s="12"/>
      <c r="PSN69" s="12"/>
      <c r="PTE69" s="12"/>
      <c r="PTF69" s="12"/>
      <c r="PTW69" s="12"/>
      <c r="PTX69" s="12"/>
      <c r="PUO69" s="12"/>
      <c r="PUP69" s="12"/>
      <c r="PVG69" s="12"/>
      <c r="PVH69" s="12"/>
      <c r="PVY69" s="12"/>
      <c r="PVZ69" s="12"/>
      <c r="PWQ69" s="12"/>
      <c r="PWR69" s="12"/>
      <c r="PXI69" s="12"/>
      <c r="PXJ69" s="12"/>
      <c r="PYA69" s="12"/>
      <c r="PYB69" s="12"/>
      <c r="PYS69" s="12"/>
      <c r="PYT69" s="12"/>
      <c r="PZK69" s="12"/>
      <c r="PZL69" s="12"/>
      <c r="QAC69" s="12"/>
      <c r="QAD69" s="12"/>
      <c r="QAU69" s="12"/>
      <c r="QAV69" s="12"/>
      <c r="QBM69" s="12"/>
      <c r="QBN69" s="12"/>
      <c r="QCE69" s="12"/>
      <c r="QCF69" s="12"/>
      <c r="QCW69" s="12"/>
      <c r="QCX69" s="12"/>
      <c r="QDO69" s="12"/>
      <c r="QDP69" s="12"/>
      <c r="QEG69" s="12"/>
      <c r="QEH69" s="12"/>
      <c r="QEY69" s="12"/>
      <c r="QEZ69" s="12"/>
      <c r="QFQ69" s="12"/>
      <c r="QFR69" s="12"/>
      <c r="QGI69" s="12"/>
      <c r="QGJ69" s="12"/>
      <c r="QHA69" s="12"/>
      <c r="QHB69" s="12"/>
      <c r="QHS69" s="12"/>
      <c r="QHT69" s="12"/>
      <c r="QIK69" s="12"/>
      <c r="QIL69" s="12"/>
      <c r="QJC69" s="12"/>
      <c r="QJD69" s="12"/>
      <c r="QJU69" s="12"/>
      <c r="QJV69" s="12"/>
      <c r="QKM69" s="12"/>
      <c r="QKN69" s="12"/>
      <c r="QLE69" s="12"/>
      <c r="QLF69" s="12"/>
      <c r="QLW69" s="12"/>
      <c r="QLX69" s="12"/>
      <c r="QMO69" s="12"/>
      <c r="QMP69" s="12"/>
      <c r="QNG69" s="12"/>
      <c r="QNH69" s="12"/>
      <c r="QNY69" s="12"/>
      <c r="QNZ69" s="12"/>
      <c r="QOQ69" s="12"/>
      <c r="QOR69" s="12"/>
      <c r="QPI69" s="12"/>
      <c r="QPJ69" s="12"/>
      <c r="QQA69" s="12"/>
      <c r="QQB69" s="12"/>
      <c r="QQS69" s="12"/>
      <c r="QQT69" s="12"/>
      <c r="QRK69" s="12"/>
      <c r="QRL69" s="12"/>
      <c r="QSC69" s="12"/>
      <c r="QSD69" s="12"/>
      <c r="QSU69" s="12"/>
      <c r="QSV69" s="12"/>
      <c r="QTM69" s="12"/>
      <c r="QTN69" s="12"/>
      <c r="QUE69" s="12"/>
      <c r="QUF69" s="12"/>
      <c r="QUW69" s="12"/>
      <c r="QUX69" s="12"/>
      <c r="QVO69" s="12"/>
      <c r="QVP69" s="12"/>
      <c r="QWG69" s="12"/>
      <c r="QWH69" s="12"/>
      <c r="QWY69" s="12"/>
      <c r="QWZ69" s="12"/>
      <c r="QXQ69" s="12"/>
      <c r="QXR69" s="12"/>
      <c r="QYI69" s="12"/>
      <c r="QYJ69" s="12"/>
      <c r="QZA69" s="12"/>
      <c r="QZB69" s="12"/>
      <c r="QZS69" s="12"/>
      <c r="QZT69" s="12"/>
      <c r="RAK69" s="12"/>
      <c r="RAL69" s="12"/>
      <c r="RBC69" s="12"/>
      <c r="RBD69" s="12"/>
      <c r="RBU69" s="12"/>
      <c r="RBV69" s="12"/>
      <c r="RCM69" s="12"/>
      <c r="RCN69" s="12"/>
      <c r="RDE69" s="12"/>
      <c r="RDF69" s="12"/>
      <c r="RDW69" s="12"/>
      <c r="RDX69" s="12"/>
      <c r="REO69" s="12"/>
      <c r="REP69" s="12"/>
      <c r="RFG69" s="12"/>
      <c r="RFH69" s="12"/>
      <c r="RFY69" s="12"/>
      <c r="RFZ69" s="12"/>
      <c r="RGQ69" s="12"/>
      <c r="RGR69" s="12"/>
      <c r="RHI69" s="12"/>
      <c r="RHJ69" s="12"/>
      <c r="RIA69" s="12"/>
      <c r="RIB69" s="12"/>
      <c r="RIS69" s="12"/>
      <c r="RIT69" s="12"/>
      <c r="RJK69" s="12"/>
      <c r="RJL69" s="12"/>
      <c r="RKC69" s="12"/>
      <c r="RKD69" s="12"/>
      <c r="RKU69" s="12"/>
      <c r="RKV69" s="12"/>
      <c r="RLM69" s="12"/>
      <c r="RLN69" s="12"/>
      <c r="RME69" s="12"/>
      <c r="RMF69" s="12"/>
      <c r="RMW69" s="12"/>
      <c r="RMX69" s="12"/>
      <c r="RNO69" s="12"/>
      <c r="RNP69" s="12"/>
      <c r="ROG69" s="12"/>
      <c r="ROH69" s="12"/>
      <c r="ROY69" s="12"/>
      <c r="ROZ69" s="12"/>
      <c r="RPQ69" s="12"/>
      <c r="RPR69" s="12"/>
      <c r="RQI69" s="12"/>
      <c r="RQJ69" s="12"/>
      <c r="RRA69" s="12"/>
      <c r="RRB69" s="12"/>
      <c r="RRS69" s="12"/>
      <c r="RRT69" s="12"/>
      <c r="RSK69" s="12"/>
      <c r="RSL69" s="12"/>
      <c r="RTC69" s="12"/>
      <c r="RTD69" s="12"/>
      <c r="RTU69" s="12"/>
      <c r="RTV69" s="12"/>
      <c r="RUM69" s="12"/>
      <c r="RUN69" s="12"/>
      <c r="RVE69" s="12"/>
      <c r="RVF69" s="12"/>
      <c r="RVW69" s="12"/>
      <c r="RVX69" s="12"/>
      <c r="RWO69" s="12"/>
      <c r="RWP69" s="12"/>
      <c r="RXG69" s="12"/>
      <c r="RXH69" s="12"/>
      <c r="RXY69" s="12"/>
      <c r="RXZ69" s="12"/>
      <c r="RYQ69" s="12"/>
      <c r="RYR69" s="12"/>
      <c r="RZI69" s="12"/>
      <c r="RZJ69" s="12"/>
      <c r="SAA69" s="12"/>
      <c r="SAB69" s="12"/>
      <c r="SAS69" s="12"/>
      <c r="SAT69" s="12"/>
      <c r="SBK69" s="12"/>
      <c r="SBL69" s="12"/>
      <c r="SCC69" s="12"/>
      <c r="SCD69" s="12"/>
      <c r="SCU69" s="12"/>
      <c r="SCV69" s="12"/>
      <c r="SDM69" s="12"/>
      <c r="SDN69" s="12"/>
      <c r="SEE69" s="12"/>
      <c r="SEF69" s="12"/>
      <c r="SEW69" s="12"/>
      <c r="SEX69" s="12"/>
      <c r="SFO69" s="12"/>
      <c r="SFP69" s="12"/>
      <c r="SGG69" s="12"/>
      <c r="SGH69" s="12"/>
      <c r="SGY69" s="12"/>
      <c r="SGZ69" s="12"/>
      <c r="SHQ69" s="12"/>
      <c r="SHR69" s="12"/>
      <c r="SII69" s="12"/>
      <c r="SIJ69" s="12"/>
      <c r="SJA69" s="12"/>
      <c r="SJB69" s="12"/>
      <c r="SJS69" s="12"/>
      <c r="SJT69" s="12"/>
      <c r="SKK69" s="12"/>
      <c r="SKL69" s="12"/>
      <c r="SLC69" s="12"/>
      <c r="SLD69" s="12"/>
      <c r="SLU69" s="12"/>
      <c r="SLV69" s="12"/>
      <c r="SMM69" s="12"/>
      <c r="SMN69" s="12"/>
      <c r="SNE69" s="12"/>
      <c r="SNF69" s="12"/>
      <c r="SNW69" s="12"/>
      <c r="SNX69" s="12"/>
      <c r="SOO69" s="12"/>
      <c r="SOP69" s="12"/>
      <c r="SPG69" s="12"/>
      <c r="SPH69" s="12"/>
      <c r="SPY69" s="12"/>
      <c r="SPZ69" s="12"/>
      <c r="SQQ69" s="12"/>
      <c r="SQR69" s="12"/>
      <c r="SRI69" s="12"/>
      <c r="SRJ69" s="12"/>
      <c r="SSA69" s="12"/>
      <c r="SSB69" s="12"/>
      <c r="SSS69" s="12"/>
      <c r="SST69" s="12"/>
      <c r="STK69" s="12"/>
      <c r="STL69" s="12"/>
      <c r="SUC69" s="12"/>
      <c r="SUD69" s="12"/>
      <c r="SUU69" s="12"/>
      <c r="SUV69" s="12"/>
      <c r="SVM69" s="12"/>
      <c r="SVN69" s="12"/>
      <c r="SWE69" s="12"/>
      <c r="SWF69" s="12"/>
      <c r="SWW69" s="12"/>
      <c r="SWX69" s="12"/>
      <c r="SXO69" s="12"/>
      <c r="SXP69" s="12"/>
      <c r="SYG69" s="12"/>
      <c r="SYH69" s="12"/>
      <c r="SYY69" s="12"/>
      <c r="SYZ69" s="12"/>
      <c r="SZQ69" s="12"/>
      <c r="SZR69" s="12"/>
      <c r="TAI69" s="12"/>
      <c r="TAJ69" s="12"/>
      <c r="TBA69" s="12"/>
      <c r="TBB69" s="12"/>
      <c r="TBS69" s="12"/>
      <c r="TBT69" s="12"/>
      <c r="TCK69" s="12"/>
      <c r="TCL69" s="12"/>
      <c r="TDC69" s="12"/>
      <c r="TDD69" s="12"/>
      <c r="TDU69" s="12"/>
      <c r="TDV69" s="12"/>
      <c r="TEM69" s="12"/>
      <c r="TEN69" s="12"/>
      <c r="TFE69" s="12"/>
      <c r="TFF69" s="12"/>
      <c r="TFW69" s="12"/>
      <c r="TFX69" s="12"/>
      <c r="TGO69" s="12"/>
      <c r="TGP69" s="12"/>
      <c r="THG69" s="12"/>
      <c r="THH69" s="12"/>
      <c r="THY69" s="12"/>
      <c r="THZ69" s="12"/>
      <c r="TIQ69" s="12"/>
      <c r="TIR69" s="12"/>
      <c r="TJI69" s="12"/>
      <c r="TJJ69" s="12"/>
      <c r="TKA69" s="12"/>
      <c r="TKB69" s="12"/>
      <c r="TKS69" s="12"/>
      <c r="TKT69" s="12"/>
      <c r="TLK69" s="12"/>
      <c r="TLL69" s="12"/>
      <c r="TMC69" s="12"/>
      <c r="TMD69" s="12"/>
      <c r="TMU69" s="12"/>
      <c r="TMV69" s="12"/>
      <c r="TNM69" s="12"/>
      <c r="TNN69" s="12"/>
      <c r="TOE69" s="12"/>
      <c r="TOF69" s="12"/>
      <c r="TOW69" s="12"/>
      <c r="TOX69" s="12"/>
      <c r="TPO69" s="12"/>
      <c r="TPP69" s="12"/>
      <c r="TQG69" s="12"/>
      <c r="TQH69" s="12"/>
      <c r="TQY69" s="12"/>
      <c r="TQZ69" s="12"/>
      <c r="TRQ69" s="12"/>
      <c r="TRR69" s="12"/>
      <c r="TSI69" s="12"/>
      <c r="TSJ69" s="12"/>
      <c r="TTA69" s="12"/>
      <c r="TTB69" s="12"/>
      <c r="TTS69" s="12"/>
      <c r="TTT69" s="12"/>
      <c r="TUK69" s="12"/>
      <c r="TUL69" s="12"/>
      <c r="TVC69" s="12"/>
      <c r="TVD69" s="12"/>
      <c r="TVU69" s="12"/>
      <c r="TVV69" s="12"/>
      <c r="TWM69" s="12"/>
      <c r="TWN69" s="12"/>
      <c r="TXE69" s="12"/>
      <c r="TXF69" s="12"/>
      <c r="TXW69" s="12"/>
      <c r="TXX69" s="12"/>
      <c r="TYO69" s="12"/>
      <c r="TYP69" s="12"/>
      <c r="TZG69" s="12"/>
      <c r="TZH69" s="12"/>
      <c r="TZY69" s="12"/>
      <c r="TZZ69" s="12"/>
      <c r="UAQ69" s="12"/>
      <c r="UAR69" s="12"/>
      <c r="UBI69" s="12"/>
      <c r="UBJ69" s="12"/>
      <c r="UCA69" s="12"/>
      <c r="UCB69" s="12"/>
      <c r="UCS69" s="12"/>
      <c r="UCT69" s="12"/>
      <c r="UDK69" s="12"/>
      <c r="UDL69" s="12"/>
      <c r="UEC69" s="12"/>
      <c r="UED69" s="12"/>
      <c r="UEU69" s="12"/>
      <c r="UEV69" s="12"/>
      <c r="UFM69" s="12"/>
      <c r="UFN69" s="12"/>
      <c r="UGE69" s="12"/>
      <c r="UGF69" s="12"/>
      <c r="UGW69" s="12"/>
      <c r="UGX69" s="12"/>
      <c r="UHO69" s="12"/>
      <c r="UHP69" s="12"/>
      <c r="UIG69" s="12"/>
      <c r="UIH69" s="12"/>
      <c r="UIY69" s="12"/>
      <c r="UIZ69" s="12"/>
      <c r="UJQ69" s="12"/>
      <c r="UJR69" s="12"/>
      <c r="UKI69" s="12"/>
      <c r="UKJ69" s="12"/>
      <c r="ULA69" s="12"/>
      <c r="ULB69" s="12"/>
      <c r="ULS69" s="12"/>
      <c r="ULT69" s="12"/>
      <c r="UMK69" s="12"/>
      <c r="UML69" s="12"/>
      <c r="UNC69" s="12"/>
      <c r="UND69" s="12"/>
      <c r="UNU69" s="12"/>
      <c r="UNV69" s="12"/>
      <c r="UOM69" s="12"/>
      <c r="UON69" s="12"/>
      <c r="UPE69" s="12"/>
      <c r="UPF69" s="12"/>
      <c r="UPW69" s="12"/>
      <c r="UPX69" s="12"/>
      <c r="UQO69" s="12"/>
      <c r="UQP69" s="12"/>
      <c r="URG69" s="12"/>
      <c r="URH69" s="12"/>
      <c r="URY69" s="12"/>
      <c r="URZ69" s="12"/>
      <c r="USQ69" s="12"/>
      <c r="USR69" s="12"/>
      <c r="UTI69" s="12"/>
      <c r="UTJ69" s="12"/>
      <c r="UUA69" s="12"/>
      <c r="UUB69" s="12"/>
      <c r="UUS69" s="12"/>
      <c r="UUT69" s="12"/>
      <c r="UVK69" s="12"/>
      <c r="UVL69" s="12"/>
      <c r="UWC69" s="12"/>
      <c r="UWD69" s="12"/>
      <c r="UWU69" s="12"/>
      <c r="UWV69" s="12"/>
      <c r="UXM69" s="12"/>
      <c r="UXN69" s="12"/>
      <c r="UYE69" s="12"/>
      <c r="UYF69" s="12"/>
      <c r="UYW69" s="12"/>
      <c r="UYX69" s="12"/>
      <c r="UZO69" s="12"/>
      <c r="UZP69" s="12"/>
      <c r="VAG69" s="12"/>
      <c r="VAH69" s="12"/>
      <c r="VAY69" s="12"/>
      <c r="VAZ69" s="12"/>
      <c r="VBQ69" s="12"/>
      <c r="VBR69" s="12"/>
      <c r="VCI69" s="12"/>
      <c r="VCJ69" s="12"/>
      <c r="VDA69" s="12"/>
      <c r="VDB69" s="12"/>
      <c r="VDS69" s="12"/>
      <c r="VDT69" s="12"/>
      <c r="VEK69" s="12"/>
      <c r="VEL69" s="12"/>
      <c r="VFC69" s="12"/>
      <c r="VFD69" s="12"/>
      <c r="VFU69" s="12"/>
      <c r="VFV69" s="12"/>
      <c r="VGM69" s="12"/>
      <c r="VGN69" s="12"/>
      <c r="VHE69" s="12"/>
      <c r="VHF69" s="12"/>
      <c r="VHW69" s="12"/>
      <c r="VHX69" s="12"/>
      <c r="VIO69" s="12"/>
      <c r="VIP69" s="12"/>
      <c r="VJG69" s="12"/>
      <c r="VJH69" s="12"/>
      <c r="VJY69" s="12"/>
      <c r="VJZ69" s="12"/>
      <c r="VKQ69" s="12"/>
      <c r="VKR69" s="12"/>
      <c r="VLI69" s="12"/>
      <c r="VLJ69" s="12"/>
      <c r="VMA69" s="12"/>
      <c r="VMB69" s="12"/>
      <c r="VMS69" s="12"/>
      <c r="VMT69" s="12"/>
      <c r="VNK69" s="12"/>
      <c r="VNL69" s="12"/>
      <c r="VOC69" s="12"/>
      <c r="VOD69" s="12"/>
      <c r="VOU69" s="12"/>
      <c r="VOV69" s="12"/>
      <c r="VPM69" s="12"/>
      <c r="VPN69" s="12"/>
      <c r="VQE69" s="12"/>
      <c r="VQF69" s="12"/>
      <c r="VQW69" s="12"/>
      <c r="VQX69" s="12"/>
      <c r="VRO69" s="12"/>
      <c r="VRP69" s="12"/>
      <c r="VSG69" s="12"/>
      <c r="VSH69" s="12"/>
      <c r="VSY69" s="12"/>
      <c r="VSZ69" s="12"/>
      <c r="VTQ69" s="12"/>
      <c r="VTR69" s="12"/>
      <c r="VUI69" s="12"/>
      <c r="VUJ69" s="12"/>
      <c r="VVA69" s="12"/>
      <c r="VVB69" s="12"/>
      <c r="VVS69" s="12"/>
      <c r="VVT69" s="12"/>
      <c r="VWK69" s="12"/>
      <c r="VWL69" s="12"/>
      <c r="VXC69" s="12"/>
      <c r="VXD69" s="12"/>
      <c r="VXU69" s="12"/>
      <c r="VXV69" s="12"/>
      <c r="VYM69" s="12"/>
      <c r="VYN69" s="12"/>
      <c r="VZE69" s="12"/>
      <c r="VZF69" s="12"/>
      <c r="VZW69" s="12"/>
      <c r="VZX69" s="12"/>
      <c r="WAO69" s="12"/>
      <c r="WAP69" s="12"/>
      <c r="WBG69" s="12"/>
      <c r="WBH69" s="12"/>
      <c r="WBY69" s="12"/>
      <c r="WBZ69" s="12"/>
      <c r="WCQ69" s="12"/>
      <c r="WCR69" s="12"/>
      <c r="WDI69" s="12"/>
      <c r="WDJ69" s="12"/>
      <c r="WEA69" s="12"/>
      <c r="WEB69" s="12"/>
      <c r="WES69" s="12"/>
      <c r="WET69" s="12"/>
      <c r="WFK69" s="12"/>
      <c r="WFL69" s="12"/>
      <c r="WGC69" s="12"/>
      <c r="WGD69" s="12"/>
      <c r="WGU69" s="12"/>
      <c r="WGV69" s="12"/>
      <c r="WHM69" s="12"/>
      <c r="WHN69" s="12"/>
      <c r="WIE69" s="12"/>
      <c r="WIF69" s="12"/>
      <c r="WIW69" s="12"/>
      <c r="WIX69" s="12"/>
      <c r="WJO69" s="12"/>
      <c r="WJP69" s="12"/>
      <c r="WKG69" s="12"/>
      <c r="WKH69" s="12"/>
      <c r="WKY69" s="12"/>
      <c r="WKZ69" s="12"/>
      <c r="WLQ69" s="12"/>
      <c r="WLR69" s="12"/>
      <c r="WMI69" s="12"/>
      <c r="WMJ69" s="12"/>
      <c r="WNA69" s="12"/>
      <c r="WNB69" s="12"/>
      <c r="WNS69" s="12"/>
      <c r="WNT69" s="12"/>
      <c r="WOK69" s="12"/>
      <c r="WOL69" s="12"/>
      <c r="WPC69" s="12"/>
      <c r="WPD69" s="12"/>
      <c r="WPU69" s="12"/>
      <c r="WPV69" s="12"/>
      <c r="WQM69" s="12"/>
      <c r="WQN69" s="12"/>
      <c r="WRE69" s="12"/>
      <c r="WRF69" s="12"/>
      <c r="WRW69" s="12"/>
      <c r="WRX69" s="12"/>
      <c r="WSO69" s="12"/>
      <c r="WSP69" s="12"/>
      <c r="WTG69" s="12"/>
      <c r="WTH69" s="12"/>
      <c r="WTY69" s="12"/>
      <c r="WTZ69" s="12"/>
      <c r="WUQ69" s="12"/>
      <c r="WUR69" s="12"/>
      <c r="WVI69" s="12"/>
      <c r="WVJ69" s="12"/>
      <c r="WWA69" s="12"/>
      <c r="WWB69" s="12"/>
      <c r="WWS69" s="12"/>
      <c r="WWT69" s="12"/>
      <c r="WXK69" s="12"/>
      <c r="WXL69" s="12"/>
      <c r="WYC69" s="12"/>
      <c r="WYD69" s="12"/>
      <c r="WYU69" s="12"/>
      <c r="WYV69" s="12"/>
      <c r="WZM69" s="12"/>
      <c r="WZN69" s="12"/>
      <c r="XAE69" s="12"/>
      <c r="XAF69" s="12"/>
      <c r="XAW69" s="12"/>
      <c r="XAX69" s="12"/>
      <c r="XBO69" s="12"/>
      <c r="XBP69" s="12"/>
      <c r="XCG69" s="12"/>
      <c r="XCH69" s="12"/>
      <c r="XCY69" s="12"/>
      <c r="XCZ69" s="12"/>
      <c r="XDQ69" s="12"/>
      <c r="XDR69" s="12"/>
      <c r="XEI69" s="12"/>
      <c r="XEJ69" s="12"/>
      <c r="XFA69" s="12"/>
      <c r="XFB69" s="12"/>
    </row>
    <row r="70" spans="1:1010 1027:2036 2053:3062 3079:4088 4105:5114 5131:6140 6157:7166 7183:8192 8209:9200 9217:10226 10243:11252 11269:12278 12295:13304 13321:14330 14347:15356 15373:16382" s="11" customFormat="1" x14ac:dyDescent="0.35">
      <c r="A70" s="181" t="str">
        <f>'Balance Sheet - Standardized'!A72</f>
        <v xml:space="preserve">        + ST Capital Leases</v>
      </c>
      <c r="B70" s="13" t="str">
        <f>'Balance Sheet - Standardized'!B72</f>
        <v>ST_CAPITAL_LEASE_OBLIGATIONS</v>
      </c>
      <c r="C70" s="77">
        <f>IF('Balance Sheet - Standardized'!C72="",0,'Balance Sheet - Standardized'!C72)/'Balance Sheet - Standardized'!C$106</f>
        <v>0</v>
      </c>
      <c r="D70" s="77">
        <f>IF('Balance Sheet - Standardized'!D72="",0,'Balance Sheet - Standardized'!D72)/'Balance Sheet - Standardized'!D$106</f>
        <v>0</v>
      </c>
      <c r="E70" s="77">
        <f>IF('Balance Sheet - Standardized'!E72="",0,'Balance Sheet - Standardized'!E72)/'Balance Sheet - Standardized'!E$106</f>
        <v>0</v>
      </c>
      <c r="F70" s="77">
        <f>IF('Balance Sheet - Standardized'!F72="",0,'Balance Sheet - Standardized'!F72)/'Balance Sheet - Standardized'!F$106</f>
        <v>0</v>
      </c>
      <c r="G70" s="77">
        <f>IF('Balance Sheet - Standardized'!G72="",0,'Balance Sheet - Standardized'!G72)/'Balance Sheet - Standardized'!G$106</f>
        <v>0</v>
      </c>
      <c r="H70" s="77">
        <f>IF('Balance Sheet - Standardized'!H72="",0,'Balance Sheet - Standardized'!H72)/'Balance Sheet - Standardized'!H$106</f>
        <v>0</v>
      </c>
      <c r="I70" s="77">
        <f>IF('Balance Sheet - Standardized'!I72="",0,'Balance Sheet - Standardized'!I72)/'Balance Sheet - Standardized'!I$106</f>
        <v>0</v>
      </c>
      <c r="J70" s="77">
        <f>IF('Balance Sheet - Standardized'!J72="",0,'Balance Sheet - Standardized'!J72)/'Balance Sheet - Standardized'!J$106</f>
        <v>0</v>
      </c>
      <c r="K70" s="77">
        <f>IF('Balance Sheet - Standardized'!K72="",0,'Balance Sheet - Standardized'!K72)/'Balance Sheet - Standardized'!K$106</f>
        <v>0</v>
      </c>
      <c r="L70" s="77">
        <f>IF('Balance Sheet - Standardized'!L72="",0,'Balance Sheet - Standardized'!L72)/'Balance Sheet - Standardized'!L$106</f>
        <v>0</v>
      </c>
      <c r="M70" s="106"/>
      <c r="N70" s="106"/>
      <c r="O70" s="106"/>
      <c r="P70" s="106"/>
      <c r="Q70" s="106"/>
      <c r="R70" s="106"/>
      <c r="S70" s="78"/>
      <c r="T70" s="78"/>
      <c r="U70" s="106"/>
      <c r="V70" s="106"/>
      <c r="W70" s="106"/>
      <c r="X70" s="106"/>
      <c r="Y70" s="106"/>
      <c r="Z70" s="106"/>
      <c r="AA70" s="106"/>
      <c r="AB70" s="106"/>
      <c r="AC70" s="106"/>
      <c r="AD70" s="106"/>
      <c r="AE70" s="106"/>
      <c r="AF70" s="106"/>
      <c r="AG70" s="106"/>
      <c r="AH70" s="106"/>
      <c r="AI70" s="106"/>
      <c r="AJ70" s="106"/>
      <c r="AK70" s="78"/>
      <c r="AL70" s="78"/>
      <c r="AM70" s="106"/>
      <c r="AN70" s="106"/>
      <c r="AO70" s="106"/>
      <c r="AP70" s="106"/>
      <c r="AQ70" s="106"/>
      <c r="AR70" s="106"/>
      <c r="AS70" s="106"/>
      <c r="AT70" s="106"/>
      <c r="AU70" s="106"/>
      <c r="AV70" s="106"/>
      <c r="AW70" s="106"/>
      <c r="AX70" s="106"/>
      <c r="AY70" s="106"/>
      <c r="AZ70" s="106"/>
      <c r="BA70" s="106"/>
      <c r="BB70" s="106"/>
      <c r="BC70" s="78"/>
      <c r="BD70" s="78"/>
      <c r="BE70" s="106"/>
      <c r="BF70" s="106"/>
      <c r="BG70" s="106"/>
      <c r="BH70" s="106"/>
      <c r="BI70" s="106"/>
      <c r="BJ70" s="106"/>
      <c r="BU70" s="12"/>
      <c r="BV70" s="12"/>
      <c r="CM70" s="12"/>
      <c r="CN70" s="12"/>
      <c r="DE70" s="12"/>
      <c r="DF70" s="12"/>
      <c r="DW70" s="12"/>
      <c r="DX70" s="12"/>
      <c r="EO70" s="12"/>
      <c r="EP70" s="12"/>
      <c r="FG70" s="12"/>
      <c r="FH70" s="12"/>
      <c r="FY70" s="12"/>
      <c r="FZ70" s="12"/>
      <c r="GQ70" s="12"/>
      <c r="GR70" s="12"/>
      <c r="HI70" s="12"/>
      <c r="HJ70" s="12"/>
      <c r="IA70" s="12"/>
      <c r="IB70" s="12"/>
      <c r="IS70" s="12"/>
      <c r="IT70" s="12"/>
      <c r="JK70" s="12"/>
      <c r="JL70" s="12"/>
      <c r="KC70" s="12"/>
      <c r="KD70" s="12"/>
      <c r="KU70" s="12"/>
      <c r="KV70" s="12"/>
      <c r="LM70" s="12"/>
      <c r="LN70" s="12"/>
      <c r="ME70" s="12"/>
      <c r="MF70" s="12"/>
      <c r="MW70" s="12"/>
      <c r="MX70" s="12"/>
      <c r="NO70" s="12"/>
      <c r="NP70" s="12"/>
      <c r="OG70" s="12"/>
      <c r="OH70" s="12"/>
      <c r="OY70" s="12"/>
      <c r="OZ70" s="12"/>
      <c r="PQ70" s="12"/>
      <c r="PR70" s="12"/>
      <c r="QI70" s="12"/>
      <c r="QJ70" s="12"/>
      <c r="RA70" s="12"/>
      <c r="RB70" s="12"/>
      <c r="RS70" s="12"/>
      <c r="RT70" s="12"/>
      <c r="SK70" s="12"/>
      <c r="SL70" s="12"/>
      <c r="TC70" s="12"/>
      <c r="TD70" s="12"/>
      <c r="TU70" s="12"/>
      <c r="TV70" s="12"/>
      <c r="UM70" s="12"/>
      <c r="UN70" s="12"/>
      <c r="VE70" s="12"/>
      <c r="VF70" s="12"/>
      <c r="VW70" s="12"/>
      <c r="VX70" s="12"/>
      <c r="WO70" s="12"/>
      <c r="WP70" s="12"/>
      <c r="XG70" s="12"/>
      <c r="XH70" s="12"/>
      <c r="XY70" s="12"/>
      <c r="XZ70" s="12"/>
      <c r="YQ70" s="12"/>
      <c r="YR70" s="12"/>
      <c r="ZI70" s="12"/>
      <c r="ZJ70" s="12"/>
      <c r="AAA70" s="12"/>
      <c r="AAB70" s="12"/>
      <c r="AAS70" s="12"/>
      <c r="AAT70" s="12"/>
      <c r="ABK70" s="12"/>
      <c r="ABL70" s="12"/>
      <c r="ACC70" s="12"/>
      <c r="ACD70" s="12"/>
      <c r="ACU70" s="12"/>
      <c r="ACV70" s="12"/>
      <c r="ADM70" s="12"/>
      <c r="ADN70" s="12"/>
      <c r="AEE70" s="12"/>
      <c r="AEF70" s="12"/>
      <c r="AEW70" s="12"/>
      <c r="AEX70" s="12"/>
      <c r="AFO70" s="12"/>
      <c r="AFP70" s="12"/>
      <c r="AGG70" s="12"/>
      <c r="AGH70" s="12"/>
      <c r="AGY70" s="12"/>
      <c r="AGZ70" s="12"/>
      <c r="AHQ70" s="12"/>
      <c r="AHR70" s="12"/>
      <c r="AII70" s="12"/>
      <c r="AIJ70" s="12"/>
      <c r="AJA70" s="12"/>
      <c r="AJB70" s="12"/>
      <c r="AJS70" s="12"/>
      <c r="AJT70" s="12"/>
      <c r="AKK70" s="12"/>
      <c r="AKL70" s="12"/>
      <c r="ALC70" s="12"/>
      <c r="ALD70" s="12"/>
      <c r="ALU70" s="12"/>
      <c r="ALV70" s="12"/>
      <c r="AMM70" s="12"/>
      <c r="AMN70" s="12"/>
      <c r="ANE70" s="12"/>
      <c r="ANF70" s="12"/>
      <c r="ANW70" s="12"/>
      <c r="ANX70" s="12"/>
      <c r="AOO70" s="12"/>
      <c r="AOP70" s="12"/>
      <c r="APG70" s="12"/>
      <c r="APH70" s="12"/>
      <c r="APY70" s="12"/>
      <c r="APZ70" s="12"/>
      <c r="AQQ70" s="12"/>
      <c r="AQR70" s="12"/>
      <c r="ARI70" s="12"/>
      <c r="ARJ70" s="12"/>
      <c r="ASA70" s="12"/>
      <c r="ASB70" s="12"/>
      <c r="ASS70" s="12"/>
      <c r="AST70" s="12"/>
      <c r="ATK70" s="12"/>
      <c r="ATL70" s="12"/>
      <c r="AUC70" s="12"/>
      <c r="AUD70" s="12"/>
      <c r="AUU70" s="12"/>
      <c r="AUV70" s="12"/>
      <c r="AVM70" s="12"/>
      <c r="AVN70" s="12"/>
      <c r="AWE70" s="12"/>
      <c r="AWF70" s="12"/>
      <c r="AWW70" s="12"/>
      <c r="AWX70" s="12"/>
      <c r="AXO70" s="12"/>
      <c r="AXP70" s="12"/>
      <c r="AYG70" s="12"/>
      <c r="AYH70" s="12"/>
      <c r="AYY70" s="12"/>
      <c r="AYZ70" s="12"/>
      <c r="AZQ70" s="12"/>
      <c r="AZR70" s="12"/>
      <c r="BAI70" s="12"/>
      <c r="BAJ70" s="12"/>
      <c r="BBA70" s="12"/>
      <c r="BBB70" s="12"/>
      <c r="BBS70" s="12"/>
      <c r="BBT70" s="12"/>
      <c r="BCK70" s="12"/>
      <c r="BCL70" s="12"/>
      <c r="BDC70" s="12"/>
      <c r="BDD70" s="12"/>
      <c r="BDU70" s="12"/>
      <c r="BDV70" s="12"/>
      <c r="BEM70" s="12"/>
      <c r="BEN70" s="12"/>
      <c r="BFE70" s="12"/>
      <c r="BFF70" s="12"/>
      <c r="BFW70" s="12"/>
      <c r="BFX70" s="12"/>
      <c r="BGO70" s="12"/>
      <c r="BGP70" s="12"/>
      <c r="BHG70" s="12"/>
      <c r="BHH70" s="12"/>
      <c r="BHY70" s="12"/>
      <c r="BHZ70" s="12"/>
      <c r="BIQ70" s="12"/>
      <c r="BIR70" s="12"/>
      <c r="BJI70" s="12"/>
      <c r="BJJ70" s="12"/>
      <c r="BKA70" s="12"/>
      <c r="BKB70" s="12"/>
      <c r="BKS70" s="12"/>
      <c r="BKT70" s="12"/>
      <c r="BLK70" s="12"/>
      <c r="BLL70" s="12"/>
      <c r="BMC70" s="12"/>
      <c r="BMD70" s="12"/>
      <c r="BMU70" s="12"/>
      <c r="BMV70" s="12"/>
      <c r="BNM70" s="12"/>
      <c r="BNN70" s="12"/>
      <c r="BOE70" s="12"/>
      <c r="BOF70" s="12"/>
      <c r="BOW70" s="12"/>
      <c r="BOX70" s="12"/>
      <c r="BPO70" s="12"/>
      <c r="BPP70" s="12"/>
      <c r="BQG70" s="12"/>
      <c r="BQH70" s="12"/>
      <c r="BQY70" s="12"/>
      <c r="BQZ70" s="12"/>
      <c r="BRQ70" s="12"/>
      <c r="BRR70" s="12"/>
      <c r="BSI70" s="12"/>
      <c r="BSJ70" s="12"/>
      <c r="BTA70" s="12"/>
      <c r="BTB70" s="12"/>
      <c r="BTS70" s="12"/>
      <c r="BTT70" s="12"/>
      <c r="BUK70" s="12"/>
      <c r="BUL70" s="12"/>
      <c r="BVC70" s="12"/>
      <c r="BVD70" s="12"/>
      <c r="BVU70" s="12"/>
      <c r="BVV70" s="12"/>
      <c r="BWM70" s="12"/>
      <c r="BWN70" s="12"/>
      <c r="BXE70" s="12"/>
      <c r="BXF70" s="12"/>
      <c r="BXW70" s="12"/>
      <c r="BXX70" s="12"/>
      <c r="BYO70" s="12"/>
      <c r="BYP70" s="12"/>
      <c r="BZG70" s="12"/>
      <c r="BZH70" s="12"/>
      <c r="BZY70" s="12"/>
      <c r="BZZ70" s="12"/>
      <c r="CAQ70" s="12"/>
      <c r="CAR70" s="12"/>
      <c r="CBI70" s="12"/>
      <c r="CBJ70" s="12"/>
      <c r="CCA70" s="12"/>
      <c r="CCB70" s="12"/>
      <c r="CCS70" s="12"/>
      <c r="CCT70" s="12"/>
      <c r="CDK70" s="12"/>
      <c r="CDL70" s="12"/>
      <c r="CEC70" s="12"/>
      <c r="CED70" s="12"/>
      <c r="CEU70" s="12"/>
      <c r="CEV70" s="12"/>
      <c r="CFM70" s="12"/>
      <c r="CFN70" s="12"/>
      <c r="CGE70" s="12"/>
      <c r="CGF70" s="12"/>
      <c r="CGW70" s="12"/>
      <c r="CGX70" s="12"/>
      <c r="CHO70" s="12"/>
      <c r="CHP70" s="12"/>
      <c r="CIG70" s="12"/>
      <c r="CIH70" s="12"/>
      <c r="CIY70" s="12"/>
      <c r="CIZ70" s="12"/>
      <c r="CJQ70" s="12"/>
      <c r="CJR70" s="12"/>
      <c r="CKI70" s="12"/>
      <c r="CKJ70" s="12"/>
      <c r="CLA70" s="12"/>
      <c r="CLB70" s="12"/>
      <c r="CLS70" s="12"/>
      <c r="CLT70" s="12"/>
      <c r="CMK70" s="12"/>
      <c r="CML70" s="12"/>
      <c r="CNC70" s="12"/>
      <c r="CND70" s="12"/>
      <c r="CNU70" s="12"/>
      <c r="CNV70" s="12"/>
      <c r="COM70" s="12"/>
      <c r="CON70" s="12"/>
      <c r="CPE70" s="12"/>
      <c r="CPF70" s="12"/>
      <c r="CPW70" s="12"/>
      <c r="CPX70" s="12"/>
      <c r="CQO70" s="12"/>
      <c r="CQP70" s="12"/>
      <c r="CRG70" s="12"/>
      <c r="CRH70" s="12"/>
      <c r="CRY70" s="12"/>
      <c r="CRZ70" s="12"/>
      <c r="CSQ70" s="12"/>
      <c r="CSR70" s="12"/>
      <c r="CTI70" s="12"/>
      <c r="CTJ70" s="12"/>
      <c r="CUA70" s="12"/>
      <c r="CUB70" s="12"/>
      <c r="CUS70" s="12"/>
      <c r="CUT70" s="12"/>
      <c r="CVK70" s="12"/>
      <c r="CVL70" s="12"/>
      <c r="CWC70" s="12"/>
      <c r="CWD70" s="12"/>
      <c r="CWU70" s="12"/>
      <c r="CWV70" s="12"/>
      <c r="CXM70" s="12"/>
      <c r="CXN70" s="12"/>
      <c r="CYE70" s="12"/>
      <c r="CYF70" s="12"/>
      <c r="CYW70" s="12"/>
      <c r="CYX70" s="12"/>
      <c r="CZO70" s="12"/>
      <c r="CZP70" s="12"/>
      <c r="DAG70" s="12"/>
      <c r="DAH70" s="12"/>
      <c r="DAY70" s="12"/>
      <c r="DAZ70" s="12"/>
      <c r="DBQ70" s="12"/>
      <c r="DBR70" s="12"/>
      <c r="DCI70" s="12"/>
      <c r="DCJ70" s="12"/>
      <c r="DDA70" s="12"/>
      <c r="DDB70" s="12"/>
      <c r="DDS70" s="12"/>
      <c r="DDT70" s="12"/>
      <c r="DEK70" s="12"/>
      <c r="DEL70" s="12"/>
      <c r="DFC70" s="12"/>
      <c r="DFD70" s="12"/>
      <c r="DFU70" s="12"/>
      <c r="DFV70" s="12"/>
      <c r="DGM70" s="12"/>
      <c r="DGN70" s="12"/>
      <c r="DHE70" s="12"/>
      <c r="DHF70" s="12"/>
      <c r="DHW70" s="12"/>
      <c r="DHX70" s="12"/>
      <c r="DIO70" s="12"/>
      <c r="DIP70" s="12"/>
      <c r="DJG70" s="12"/>
      <c r="DJH70" s="12"/>
      <c r="DJY70" s="12"/>
      <c r="DJZ70" s="12"/>
      <c r="DKQ70" s="12"/>
      <c r="DKR70" s="12"/>
      <c r="DLI70" s="12"/>
      <c r="DLJ70" s="12"/>
      <c r="DMA70" s="12"/>
      <c r="DMB70" s="12"/>
      <c r="DMS70" s="12"/>
      <c r="DMT70" s="12"/>
      <c r="DNK70" s="12"/>
      <c r="DNL70" s="12"/>
      <c r="DOC70" s="12"/>
      <c r="DOD70" s="12"/>
      <c r="DOU70" s="12"/>
      <c r="DOV70" s="12"/>
      <c r="DPM70" s="12"/>
      <c r="DPN70" s="12"/>
      <c r="DQE70" s="12"/>
      <c r="DQF70" s="12"/>
      <c r="DQW70" s="12"/>
      <c r="DQX70" s="12"/>
      <c r="DRO70" s="12"/>
      <c r="DRP70" s="12"/>
      <c r="DSG70" s="12"/>
      <c r="DSH70" s="12"/>
      <c r="DSY70" s="12"/>
      <c r="DSZ70" s="12"/>
      <c r="DTQ70" s="12"/>
      <c r="DTR70" s="12"/>
      <c r="DUI70" s="12"/>
      <c r="DUJ70" s="12"/>
      <c r="DVA70" s="12"/>
      <c r="DVB70" s="12"/>
      <c r="DVS70" s="12"/>
      <c r="DVT70" s="12"/>
      <c r="DWK70" s="12"/>
      <c r="DWL70" s="12"/>
      <c r="DXC70" s="12"/>
      <c r="DXD70" s="12"/>
      <c r="DXU70" s="12"/>
      <c r="DXV70" s="12"/>
      <c r="DYM70" s="12"/>
      <c r="DYN70" s="12"/>
      <c r="DZE70" s="12"/>
      <c r="DZF70" s="12"/>
      <c r="DZW70" s="12"/>
      <c r="DZX70" s="12"/>
      <c r="EAO70" s="12"/>
      <c r="EAP70" s="12"/>
      <c r="EBG70" s="12"/>
      <c r="EBH70" s="12"/>
      <c r="EBY70" s="12"/>
      <c r="EBZ70" s="12"/>
      <c r="ECQ70" s="12"/>
      <c r="ECR70" s="12"/>
      <c r="EDI70" s="12"/>
      <c r="EDJ70" s="12"/>
      <c r="EEA70" s="12"/>
      <c r="EEB70" s="12"/>
      <c r="EES70" s="12"/>
      <c r="EET70" s="12"/>
      <c r="EFK70" s="12"/>
      <c r="EFL70" s="12"/>
      <c r="EGC70" s="12"/>
      <c r="EGD70" s="12"/>
      <c r="EGU70" s="12"/>
      <c r="EGV70" s="12"/>
      <c r="EHM70" s="12"/>
      <c r="EHN70" s="12"/>
      <c r="EIE70" s="12"/>
      <c r="EIF70" s="12"/>
      <c r="EIW70" s="12"/>
      <c r="EIX70" s="12"/>
      <c r="EJO70" s="12"/>
      <c r="EJP70" s="12"/>
      <c r="EKG70" s="12"/>
      <c r="EKH70" s="12"/>
      <c r="EKY70" s="12"/>
      <c r="EKZ70" s="12"/>
      <c r="ELQ70" s="12"/>
      <c r="ELR70" s="12"/>
      <c r="EMI70" s="12"/>
      <c r="EMJ70" s="12"/>
      <c r="ENA70" s="12"/>
      <c r="ENB70" s="12"/>
      <c r="ENS70" s="12"/>
      <c r="ENT70" s="12"/>
      <c r="EOK70" s="12"/>
      <c r="EOL70" s="12"/>
      <c r="EPC70" s="12"/>
      <c r="EPD70" s="12"/>
      <c r="EPU70" s="12"/>
      <c r="EPV70" s="12"/>
      <c r="EQM70" s="12"/>
      <c r="EQN70" s="12"/>
      <c r="ERE70" s="12"/>
      <c r="ERF70" s="12"/>
      <c r="ERW70" s="12"/>
      <c r="ERX70" s="12"/>
      <c r="ESO70" s="12"/>
      <c r="ESP70" s="12"/>
      <c r="ETG70" s="12"/>
      <c r="ETH70" s="12"/>
      <c r="ETY70" s="12"/>
      <c r="ETZ70" s="12"/>
      <c r="EUQ70" s="12"/>
      <c r="EUR70" s="12"/>
      <c r="EVI70" s="12"/>
      <c r="EVJ70" s="12"/>
      <c r="EWA70" s="12"/>
      <c r="EWB70" s="12"/>
      <c r="EWS70" s="12"/>
      <c r="EWT70" s="12"/>
      <c r="EXK70" s="12"/>
      <c r="EXL70" s="12"/>
      <c r="EYC70" s="12"/>
      <c r="EYD70" s="12"/>
      <c r="EYU70" s="12"/>
      <c r="EYV70" s="12"/>
      <c r="EZM70" s="12"/>
      <c r="EZN70" s="12"/>
      <c r="FAE70" s="12"/>
      <c r="FAF70" s="12"/>
      <c r="FAW70" s="12"/>
      <c r="FAX70" s="12"/>
      <c r="FBO70" s="12"/>
      <c r="FBP70" s="12"/>
      <c r="FCG70" s="12"/>
      <c r="FCH70" s="12"/>
      <c r="FCY70" s="12"/>
      <c r="FCZ70" s="12"/>
      <c r="FDQ70" s="12"/>
      <c r="FDR70" s="12"/>
      <c r="FEI70" s="12"/>
      <c r="FEJ70" s="12"/>
      <c r="FFA70" s="12"/>
      <c r="FFB70" s="12"/>
      <c r="FFS70" s="12"/>
      <c r="FFT70" s="12"/>
      <c r="FGK70" s="12"/>
      <c r="FGL70" s="12"/>
      <c r="FHC70" s="12"/>
      <c r="FHD70" s="12"/>
      <c r="FHU70" s="12"/>
      <c r="FHV70" s="12"/>
      <c r="FIM70" s="12"/>
      <c r="FIN70" s="12"/>
      <c r="FJE70" s="12"/>
      <c r="FJF70" s="12"/>
      <c r="FJW70" s="12"/>
      <c r="FJX70" s="12"/>
      <c r="FKO70" s="12"/>
      <c r="FKP70" s="12"/>
      <c r="FLG70" s="12"/>
      <c r="FLH70" s="12"/>
      <c r="FLY70" s="12"/>
      <c r="FLZ70" s="12"/>
      <c r="FMQ70" s="12"/>
      <c r="FMR70" s="12"/>
      <c r="FNI70" s="12"/>
      <c r="FNJ70" s="12"/>
      <c r="FOA70" s="12"/>
      <c r="FOB70" s="12"/>
      <c r="FOS70" s="12"/>
      <c r="FOT70" s="12"/>
      <c r="FPK70" s="12"/>
      <c r="FPL70" s="12"/>
      <c r="FQC70" s="12"/>
      <c r="FQD70" s="12"/>
      <c r="FQU70" s="12"/>
      <c r="FQV70" s="12"/>
      <c r="FRM70" s="12"/>
      <c r="FRN70" s="12"/>
      <c r="FSE70" s="12"/>
      <c r="FSF70" s="12"/>
      <c r="FSW70" s="12"/>
      <c r="FSX70" s="12"/>
      <c r="FTO70" s="12"/>
      <c r="FTP70" s="12"/>
      <c r="FUG70" s="12"/>
      <c r="FUH70" s="12"/>
      <c r="FUY70" s="12"/>
      <c r="FUZ70" s="12"/>
      <c r="FVQ70" s="12"/>
      <c r="FVR70" s="12"/>
      <c r="FWI70" s="12"/>
      <c r="FWJ70" s="12"/>
      <c r="FXA70" s="12"/>
      <c r="FXB70" s="12"/>
      <c r="FXS70" s="12"/>
      <c r="FXT70" s="12"/>
      <c r="FYK70" s="12"/>
      <c r="FYL70" s="12"/>
      <c r="FZC70" s="12"/>
      <c r="FZD70" s="12"/>
      <c r="FZU70" s="12"/>
      <c r="FZV70" s="12"/>
      <c r="GAM70" s="12"/>
      <c r="GAN70" s="12"/>
      <c r="GBE70" s="12"/>
      <c r="GBF70" s="12"/>
      <c r="GBW70" s="12"/>
      <c r="GBX70" s="12"/>
      <c r="GCO70" s="12"/>
      <c r="GCP70" s="12"/>
      <c r="GDG70" s="12"/>
      <c r="GDH70" s="12"/>
      <c r="GDY70" s="12"/>
      <c r="GDZ70" s="12"/>
      <c r="GEQ70" s="12"/>
      <c r="GER70" s="12"/>
      <c r="GFI70" s="12"/>
      <c r="GFJ70" s="12"/>
      <c r="GGA70" s="12"/>
      <c r="GGB70" s="12"/>
      <c r="GGS70" s="12"/>
      <c r="GGT70" s="12"/>
      <c r="GHK70" s="12"/>
      <c r="GHL70" s="12"/>
      <c r="GIC70" s="12"/>
      <c r="GID70" s="12"/>
      <c r="GIU70" s="12"/>
      <c r="GIV70" s="12"/>
      <c r="GJM70" s="12"/>
      <c r="GJN70" s="12"/>
      <c r="GKE70" s="12"/>
      <c r="GKF70" s="12"/>
      <c r="GKW70" s="12"/>
      <c r="GKX70" s="12"/>
      <c r="GLO70" s="12"/>
      <c r="GLP70" s="12"/>
      <c r="GMG70" s="12"/>
      <c r="GMH70" s="12"/>
      <c r="GMY70" s="12"/>
      <c r="GMZ70" s="12"/>
      <c r="GNQ70" s="12"/>
      <c r="GNR70" s="12"/>
      <c r="GOI70" s="12"/>
      <c r="GOJ70" s="12"/>
      <c r="GPA70" s="12"/>
      <c r="GPB70" s="12"/>
      <c r="GPS70" s="12"/>
      <c r="GPT70" s="12"/>
      <c r="GQK70" s="12"/>
      <c r="GQL70" s="12"/>
      <c r="GRC70" s="12"/>
      <c r="GRD70" s="12"/>
      <c r="GRU70" s="12"/>
      <c r="GRV70" s="12"/>
      <c r="GSM70" s="12"/>
      <c r="GSN70" s="12"/>
      <c r="GTE70" s="12"/>
      <c r="GTF70" s="12"/>
      <c r="GTW70" s="12"/>
      <c r="GTX70" s="12"/>
      <c r="GUO70" s="12"/>
      <c r="GUP70" s="12"/>
      <c r="GVG70" s="12"/>
      <c r="GVH70" s="12"/>
      <c r="GVY70" s="12"/>
      <c r="GVZ70" s="12"/>
      <c r="GWQ70" s="12"/>
      <c r="GWR70" s="12"/>
      <c r="GXI70" s="12"/>
      <c r="GXJ70" s="12"/>
      <c r="GYA70" s="12"/>
      <c r="GYB70" s="12"/>
      <c r="GYS70" s="12"/>
      <c r="GYT70" s="12"/>
      <c r="GZK70" s="12"/>
      <c r="GZL70" s="12"/>
      <c r="HAC70" s="12"/>
      <c r="HAD70" s="12"/>
      <c r="HAU70" s="12"/>
      <c r="HAV70" s="12"/>
      <c r="HBM70" s="12"/>
      <c r="HBN70" s="12"/>
      <c r="HCE70" s="12"/>
      <c r="HCF70" s="12"/>
      <c r="HCW70" s="12"/>
      <c r="HCX70" s="12"/>
      <c r="HDO70" s="12"/>
      <c r="HDP70" s="12"/>
      <c r="HEG70" s="12"/>
      <c r="HEH70" s="12"/>
      <c r="HEY70" s="12"/>
      <c r="HEZ70" s="12"/>
      <c r="HFQ70" s="12"/>
      <c r="HFR70" s="12"/>
      <c r="HGI70" s="12"/>
      <c r="HGJ70" s="12"/>
      <c r="HHA70" s="12"/>
      <c r="HHB70" s="12"/>
      <c r="HHS70" s="12"/>
      <c r="HHT70" s="12"/>
      <c r="HIK70" s="12"/>
      <c r="HIL70" s="12"/>
      <c r="HJC70" s="12"/>
      <c r="HJD70" s="12"/>
      <c r="HJU70" s="12"/>
      <c r="HJV70" s="12"/>
      <c r="HKM70" s="12"/>
      <c r="HKN70" s="12"/>
      <c r="HLE70" s="12"/>
      <c r="HLF70" s="12"/>
      <c r="HLW70" s="12"/>
      <c r="HLX70" s="12"/>
      <c r="HMO70" s="12"/>
      <c r="HMP70" s="12"/>
      <c r="HNG70" s="12"/>
      <c r="HNH70" s="12"/>
      <c r="HNY70" s="12"/>
      <c r="HNZ70" s="12"/>
      <c r="HOQ70" s="12"/>
      <c r="HOR70" s="12"/>
      <c r="HPI70" s="12"/>
      <c r="HPJ70" s="12"/>
      <c r="HQA70" s="12"/>
      <c r="HQB70" s="12"/>
      <c r="HQS70" s="12"/>
      <c r="HQT70" s="12"/>
      <c r="HRK70" s="12"/>
      <c r="HRL70" s="12"/>
      <c r="HSC70" s="12"/>
      <c r="HSD70" s="12"/>
      <c r="HSU70" s="12"/>
      <c r="HSV70" s="12"/>
      <c r="HTM70" s="12"/>
      <c r="HTN70" s="12"/>
      <c r="HUE70" s="12"/>
      <c r="HUF70" s="12"/>
      <c r="HUW70" s="12"/>
      <c r="HUX70" s="12"/>
      <c r="HVO70" s="12"/>
      <c r="HVP70" s="12"/>
      <c r="HWG70" s="12"/>
      <c r="HWH70" s="12"/>
      <c r="HWY70" s="12"/>
      <c r="HWZ70" s="12"/>
      <c r="HXQ70" s="12"/>
      <c r="HXR70" s="12"/>
      <c r="HYI70" s="12"/>
      <c r="HYJ70" s="12"/>
      <c r="HZA70" s="12"/>
      <c r="HZB70" s="12"/>
      <c r="HZS70" s="12"/>
      <c r="HZT70" s="12"/>
      <c r="IAK70" s="12"/>
      <c r="IAL70" s="12"/>
      <c r="IBC70" s="12"/>
      <c r="IBD70" s="12"/>
      <c r="IBU70" s="12"/>
      <c r="IBV70" s="12"/>
      <c r="ICM70" s="12"/>
      <c r="ICN70" s="12"/>
      <c r="IDE70" s="12"/>
      <c r="IDF70" s="12"/>
      <c r="IDW70" s="12"/>
      <c r="IDX70" s="12"/>
      <c r="IEO70" s="12"/>
      <c r="IEP70" s="12"/>
      <c r="IFG70" s="12"/>
      <c r="IFH70" s="12"/>
      <c r="IFY70" s="12"/>
      <c r="IFZ70" s="12"/>
      <c r="IGQ70" s="12"/>
      <c r="IGR70" s="12"/>
      <c r="IHI70" s="12"/>
      <c r="IHJ70" s="12"/>
      <c r="IIA70" s="12"/>
      <c r="IIB70" s="12"/>
      <c r="IIS70" s="12"/>
      <c r="IIT70" s="12"/>
      <c r="IJK70" s="12"/>
      <c r="IJL70" s="12"/>
      <c r="IKC70" s="12"/>
      <c r="IKD70" s="12"/>
      <c r="IKU70" s="12"/>
      <c r="IKV70" s="12"/>
      <c r="ILM70" s="12"/>
      <c r="ILN70" s="12"/>
      <c r="IME70" s="12"/>
      <c r="IMF70" s="12"/>
      <c r="IMW70" s="12"/>
      <c r="IMX70" s="12"/>
      <c r="INO70" s="12"/>
      <c r="INP70" s="12"/>
      <c r="IOG70" s="12"/>
      <c r="IOH70" s="12"/>
      <c r="IOY70" s="12"/>
      <c r="IOZ70" s="12"/>
      <c r="IPQ70" s="12"/>
      <c r="IPR70" s="12"/>
      <c r="IQI70" s="12"/>
      <c r="IQJ70" s="12"/>
      <c r="IRA70" s="12"/>
      <c r="IRB70" s="12"/>
      <c r="IRS70" s="12"/>
      <c r="IRT70" s="12"/>
      <c r="ISK70" s="12"/>
      <c r="ISL70" s="12"/>
      <c r="ITC70" s="12"/>
      <c r="ITD70" s="12"/>
      <c r="ITU70" s="12"/>
      <c r="ITV70" s="12"/>
      <c r="IUM70" s="12"/>
      <c r="IUN70" s="12"/>
      <c r="IVE70" s="12"/>
      <c r="IVF70" s="12"/>
      <c r="IVW70" s="12"/>
      <c r="IVX70" s="12"/>
      <c r="IWO70" s="12"/>
      <c r="IWP70" s="12"/>
      <c r="IXG70" s="12"/>
      <c r="IXH70" s="12"/>
      <c r="IXY70" s="12"/>
      <c r="IXZ70" s="12"/>
      <c r="IYQ70" s="12"/>
      <c r="IYR70" s="12"/>
      <c r="IZI70" s="12"/>
      <c r="IZJ70" s="12"/>
      <c r="JAA70" s="12"/>
      <c r="JAB70" s="12"/>
      <c r="JAS70" s="12"/>
      <c r="JAT70" s="12"/>
      <c r="JBK70" s="12"/>
      <c r="JBL70" s="12"/>
      <c r="JCC70" s="12"/>
      <c r="JCD70" s="12"/>
      <c r="JCU70" s="12"/>
      <c r="JCV70" s="12"/>
      <c r="JDM70" s="12"/>
      <c r="JDN70" s="12"/>
      <c r="JEE70" s="12"/>
      <c r="JEF70" s="12"/>
      <c r="JEW70" s="12"/>
      <c r="JEX70" s="12"/>
      <c r="JFO70" s="12"/>
      <c r="JFP70" s="12"/>
      <c r="JGG70" s="12"/>
      <c r="JGH70" s="12"/>
      <c r="JGY70" s="12"/>
      <c r="JGZ70" s="12"/>
      <c r="JHQ70" s="12"/>
      <c r="JHR70" s="12"/>
      <c r="JII70" s="12"/>
      <c r="JIJ70" s="12"/>
      <c r="JJA70" s="12"/>
      <c r="JJB70" s="12"/>
      <c r="JJS70" s="12"/>
      <c r="JJT70" s="12"/>
      <c r="JKK70" s="12"/>
      <c r="JKL70" s="12"/>
      <c r="JLC70" s="12"/>
      <c r="JLD70" s="12"/>
      <c r="JLU70" s="12"/>
      <c r="JLV70" s="12"/>
      <c r="JMM70" s="12"/>
      <c r="JMN70" s="12"/>
      <c r="JNE70" s="12"/>
      <c r="JNF70" s="12"/>
      <c r="JNW70" s="12"/>
      <c r="JNX70" s="12"/>
      <c r="JOO70" s="12"/>
      <c r="JOP70" s="12"/>
      <c r="JPG70" s="12"/>
      <c r="JPH70" s="12"/>
      <c r="JPY70" s="12"/>
      <c r="JPZ70" s="12"/>
      <c r="JQQ70" s="12"/>
      <c r="JQR70" s="12"/>
      <c r="JRI70" s="12"/>
      <c r="JRJ70" s="12"/>
      <c r="JSA70" s="12"/>
      <c r="JSB70" s="12"/>
      <c r="JSS70" s="12"/>
      <c r="JST70" s="12"/>
      <c r="JTK70" s="12"/>
      <c r="JTL70" s="12"/>
      <c r="JUC70" s="12"/>
      <c r="JUD70" s="12"/>
      <c r="JUU70" s="12"/>
      <c r="JUV70" s="12"/>
      <c r="JVM70" s="12"/>
      <c r="JVN70" s="12"/>
      <c r="JWE70" s="12"/>
      <c r="JWF70" s="12"/>
      <c r="JWW70" s="12"/>
      <c r="JWX70" s="12"/>
      <c r="JXO70" s="12"/>
      <c r="JXP70" s="12"/>
      <c r="JYG70" s="12"/>
      <c r="JYH70" s="12"/>
      <c r="JYY70" s="12"/>
      <c r="JYZ70" s="12"/>
      <c r="JZQ70" s="12"/>
      <c r="JZR70" s="12"/>
      <c r="KAI70" s="12"/>
      <c r="KAJ70" s="12"/>
      <c r="KBA70" s="12"/>
      <c r="KBB70" s="12"/>
      <c r="KBS70" s="12"/>
      <c r="KBT70" s="12"/>
      <c r="KCK70" s="12"/>
      <c r="KCL70" s="12"/>
      <c r="KDC70" s="12"/>
      <c r="KDD70" s="12"/>
      <c r="KDU70" s="12"/>
      <c r="KDV70" s="12"/>
      <c r="KEM70" s="12"/>
      <c r="KEN70" s="12"/>
      <c r="KFE70" s="12"/>
      <c r="KFF70" s="12"/>
      <c r="KFW70" s="12"/>
      <c r="KFX70" s="12"/>
      <c r="KGO70" s="12"/>
      <c r="KGP70" s="12"/>
      <c r="KHG70" s="12"/>
      <c r="KHH70" s="12"/>
      <c r="KHY70" s="12"/>
      <c r="KHZ70" s="12"/>
      <c r="KIQ70" s="12"/>
      <c r="KIR70" s="12"/>
      <c r="KJI70" s="12"/>
      <c r="KJJ70" s="12"/>
      <c r="KKA70" s="12"/>
      <c r="KKB70" s="12"/>
      <c r="KKS70" s="12"/>
      <c r="KKT70" s="12"/>
      <c r="KLK70" s="12"/>
      <c r="KLL70" s="12"/>
      <c r="KMC70" s="12"/>
      <c r="KMD70" s="12"/>
      <c r="KMU70" s="12"/>
      <c r="KMV70" s="12"/>
      <c r="KNM70" s="12"/>
      <c r="KNN70" s="12"/>
      <c r="KOE70" s="12"/>
      <c r="KOF70" s="12"/>
      <c r="KOW70" s="12"/>
      <c r="KOX70" s="12"/>
      <c r="KPO70" s="12"/>
      <c r="KPP70" s="12"/>
      <c r="KQG70" s="12"/>
      <c r="KQH70" s="12"/>
      <c r="KQY70" s="12"/>
      <c r="KQZ70" s="12"/>
      <c r="KRQ70" s="12"/>
      <c r="KRR70" s="12"/>
      <c r="KSI70" s="12"/>
      <c r="KSJ70" s="12"/>
      <c r="KTA70" s="12"/>
      <c r="KTB70" s="12"/>
      <c r="KTS70" s="12"/>
      <c r="KTT70" s="12"/>
      <c r="KUK70" s="12"/>
      <c r="KUL70" s="12"/>
      <c r="KVC70" s="12"/>
      <c r="KVD70" s="12"/>
      <c r="KVU70" s="12"/>
      <c r="KVV70" s="12"/>
      <c r="KWM70" s="12"/>
      <c r="KWN70" s="12"/>
      <c r="KXE70" s="12"/>
      <c r="KXF70" s="12"/>
      <c r="KXW70" s="12"/>
      <c r="KXX70" s="12"/>
      <c r="KYO70" s="12"/>
      <c r="KYP70" s="12"/>
      <c r="KZG70" s="12"/>
      <c r="KZH70" s="12"/>
      <c r="KZY70" s="12"/>
      <c r="KZZ70" s="12"/>
      <c r="LAQ70" s="12"/>
      <c r="LAR70" s="12"/>
      <c r="LBI70" s="12"/>
      <c r="LBJ70" s="12"/>
      <c r="LCA70" s="12"/>
      <c r="LCB70" s="12"/>
      <c r="LCS70" s="12"/>
      <c r="LCT70" s="12"/>
      <c r="LDK70" s="12"/>
      <c r="LDL70" s="12"/>
      <c r="LEC70" s="12"/>
      <c r="LED70" s="12"/>
      <c r="LEU70" s="12"/>
      <c r="LEV70" s="12"/>
      <c r="LFM70" s="12"/>
      <c r="LFN70" s="12"/>
      <c r="LGE70" s="12"/>
      <c r="LGF70" s="12"/>
      <c r="LGW70" s="12"/>
      <c r="LGX70" s="12"/>
      <c r="LHO70" s="12"/>
      <c r="LHP70" s="12"/>
      <c r="LIG70" s="12"/>
      <c r="LIH70" s="12"/>
      <c r="LIY70" s="12"/>
      <c r="LIZ70" s="12"/>
      <c r="LJQ70" s="12"/>
      <c r="LJR70" s="12"/>
      <c r="LKI70" s="12"/>
      <c r="LKJ70" s="12"/>
      <c r="LLA70" s="12"/>
      <c r="LLB70" s="12"/>
      <c r="LLS70" s="12"/>
      <c r="LLT70" s="12"/>
      <c r="LMK70" s="12"/>
      <c r="LML70" s="12"/>
      <c r="LNC70" s="12"/>
      <c r="LND70" s="12"/>
      <c r="LNU70" s="12"/>
      <c r="LNV70" s="12"/>
      <c r="LOM70" s="12"/>
      <c r="LON70" s="12"/>
      <c r="LPE70" s="12"/>
      <c r="LPF70" s="12"/>
      <c r="LPW70" s="12"/>
      <c r="LPX70" s="12"/>
      <c r="LQO70" s="12"/>
      <c r="LQP70" s="12"/>
      <c r="LRG70" s="12"/>
      <c r="LRH70" s="12"/>
      <c r="LRY70" s="12"/>
      <c r="LRZ70" s="12"/>
      <c r="LSQ70" s="12"/>
      <c r="LSR70" s="12"/>
      <c r="LTI70" s="12"/>
      <c r="LTJ70" s="12"/>
      <c r="LUA70" s="12"/>
      <c r="LUB70" s="12"/>
      <c r="LUS70" s="12"/>
      <c r="LUT70" s="12"/>
      <c r="LVK70" s="12"/>
      <c r="LVL70" s="12"/>
      <c r="LWC70" s="12"/>
      <c r="LWD70" s="12"/>
      <c r="LWU70" s="12"/>
      <c r="LWV70" s="12"/>
      <c r="LXM70" s="12"/>
      <c r="LXN70" s="12"/>
      <c r="LYE70" s="12"/>
      <c r="LYF70" s="12"/>
      <c r="LYW70" s="12"/>
      <c r="LYX70" s="12"/>
      <c r="LZO70" s="12"/>
      <c r="LZP70" s="12"/>
      <c r="MAG70" s="12"/>
      <c r="MAH70" s="12"/>
      <c r="MAY70" s="12"/>
      <c r="MAZ70" s="12"/>
      <c r="MBQ70" s="12"/>
      <c r="MBR70" s="12"/>
      <c r="MCI70" s="12"/>
      <c r="MCJ70" s="12"/>
      <c r="MDA70" s="12"/>
      <c r="MDB70" s="12"/>
      <c r="MDS70" s="12"/>
      <c r="MDT70" s="12"/>
      <c r="MEK70" s="12"/>
      <c r="MEL70" s="12"/>
      <c r="MFC70" s="12"/>
      <c r="MFD70" s="12"/>
      <c r="MFU70" s="12"/>
      <c r="MFV70" s="12"/>
      <c r="MGM70" s="12"/>
      <c r="MGN70" s="12"/>
      <c r="MHE70" s="12"/>
      <c r="MHF70" s="12"/>
      <c r="MHW70" s="12"/>
      <c r="MHX70" s="12"/>
      <c r="MIO70" s="12"/>
      <c r="MIP70" s="12"/>
      <c r="MJG70" s="12"/>
      <c r="MJH70" s="12"/>
      <c r="MJY70" s="12"/>
      <c r="MJZ70" s="12"/>
      <c r="MKQ70" s="12"/>
      <c r="MKR70" s="12"/>
      <c r="MLI70" s="12"/>
      <c r="MLJ70" s="12"/>
      <c r="MMA70" s="12"/>
      <c r="MMB70" s="12"/>
      <c r="MMS70" s="12"/>
      <c r="MMT70" s="12"/>
      <c r="MNK70" s="12"/>
      <c r="MNL70" s="12"/>
      <c r="MOC70" s="12"/>
      <c r="MOD70" s="12"/>
      <c r="MOU70" s="12"/>
      <c r="MOV70" s="12"/>
      <c r="MPM70" s="12"/>
      <c r="MPN70" s="12"/>
      <c r="MQE70" s="12"/>
      <c r="MQF70" s="12"/>
      <c r="MQW70" s="12"/>
      <c r="MQX70" s="12"/>
      <c r="MRO70" s="12"/>
      <c r="MRP70" s="12"/>
      <c r="MSG70" s="12"/>
      <c r="MSH70" s="12"/>
      <c r="MSY70" s="12"/>
      <c r="MSZ70" s="12"/>
      <c r="MTQ70" s="12"/>
      <c r="MTR70" s="12"/>
      <c r="MUI70" s="12"/>
      <c r="MUJ70" s="12"/>
      <c r="MVA70" s="12"/>
      <c r="MVB70" s="12"/>
      <c r="MVS70" s="12"/>
      <c r="MVT70" s="12"/>
      <c r="MWK70" s="12"/>
      <c r="MWL70" s="12"/>
      <c r="MXC70" s="12"/>
      <c r="MXD70" s="12"/>
      <c r="MXU70" s="12"/>
      <c r="MXV70" s="12"/>
      <c r="MYM70" s="12"/>
      <c r="MYN70" s="12"/>
      <c r="MZE70" s="12"/>
      <c r="MZF70" s="12"/>
      <c r="MZW70" s="12"/>
      <c r="MZX70" s="12"/>
      <c r="NAO70" s="12"/>
      <c r="NAP70" s="12"/>
      <c r="NBG70" s="12"/>
      <c r="NBH70" s="12"/>
      <c r="NBY70" s="12"/>
      <c r="NBZ70" s="12"/>
      <c r="NCQ70" s="12"/>
      <c r="NCR70" s="12"/>
      <c r="NDI70" s="12"/>
      <c r="NDJ70" s="12"/>
      <c r="NEA70" s="12"/>
      <c r="NEB70" s="12"/>
      <c r="NES70" s="12"/>
      <c r="NET70" s="12"/>
      <c r="NFK70" s="12"/>
      <c r="NFL70" s="12"/>
      <c r="NGC70" s="12"/>
      <c r="NGD70" s="12"/>
      <c r="NGU70" s="12"/>
      <c r="NGV70" s="12"/>
      <c r="NHM70" s="12"/>
      <c r="NHN70" s="12"/>
      <c r="NIE70" s="12"/>
      <c r="NIF70" s="12"/>
      <c r="NIW70" s="12"/>
      <c r="NIX70" s="12"/>
      <c r="NJO70" s="12"/>
      <c r="NJP70" s="12"/>
      <c r="NKG70" s="12"/>
      <c r="NKH70" s="12"/>
      <c r="NKY70" s="12"/>
      <c r="NKZ70" s="12"/>
      <c r="NLQ70" s="12"/>
      <c r="NLR70" s="12"/>
      <c r="NMI70" s="12"/>
      <c r="NMJ70" s="12"/>
      <c r="NNA70" s="12"/>
      <c r="NNB70" s="12"/>
      <c r="NNS70" s="12"/>
      <c r="NNT70" s="12"/>
      <c r="NOK70" s="12"/>
      <c r="NOL70" s="12"/>
      <c r="NPC70" s="12"/>
      <c r="NPD70" s="12"/>
      <c r="NPU70" s="12"/>
      <c r="NPV70" s="12"/>
      <c r="NQM70" s="12"/>
      <c r="NQN70" s="12"/>
      <c r="NRE70" s="12"/>
      <c r="NRF70" s="12"/>
      <c r="NRW70" s="12"/>
      <c r="NRX70" s="12"/>
      <c r="NSO70" s="12"/>
      <c r="NSP70" s="12"/>
      <c r="NTG70" s="12"/>
      <c r="NTH70" s="12"/>
      <c r="NTY70" s="12"/>
      <c r="NTZ70" s="12"/>
      <c r="NUQ70" s="12"/>
      <c r="NUR70" s="12"/>
      <c r="NVI70" s="12"/>
      <c r="NVJ70" s="12"/>
      <c r="NWA70" s="12"/>
      <c r="NWB70" s="12"/>
      <c r="NWS70" s="12"/>
      <c r="NWT70" s="12"/>
      <c r="NXK70" s="12"/>
      <c r="NXL70" s="12"/>
      <c r="NYC70" s="12"/>
      <c r="NYD70" s="12"/>
      <c r="NYU70" s="12"/>
      <c r="NYV70" s="12"/>
      <c r="NZM70" s="12"/>
      <c r="NZN70" s="12"/>
      <c r="OAE70" s="12"/>
      <c r="OAF70" s="12"/>
      <c r="OAW70" s="12"/>
      <c r="OAX70" s="12"/>
      <c r="OBO70" s="12"/>
      <c r="OBP70" s="12"/>
      <c r="OCG70" s="12"/>
      <c r="OCH70" s="12"/>
      <c r="OCY70" s="12"/>
      <c r="OCZ70" s="12"/>
      <c r="ODQ70" s="12"/>
      <c r="ODR70" s="12"/>
      <c r="OEI70" s="12"/>
      <c r="OEJ70" s="12"/>
      <c r="OFA70" s="12"/>
      <c r="OFB70" s="12"/>
      <c r="OFS70" s="12"/>
      <c r="OFT70" s="12"/>
      <c r="OGK70" s="12"/>
      <c r="OGL70" s="12"/>
      <c r="OHC70" s="12"/>
      <c r="OHD70" s="12"/>
      <c r="OHU70" s="12"/>
      <c r="OHV70" s="12"/>
      <c r="OIM70" s="12"/>
      <c r="OIN70" s="12"/>
      <c r="OJE70" s="12"/>
      <c r="OJF70" s="12"/>
      <c r="OJW70" s="12"/>
      <c r="OJX70" s="12"/>
      <c r="OKO70" s="12"/>
      <c r="OKP70" s="12"/>
      <c r="OLG70" s="12"/>
      <c r="OLH70" s="12"/>
      <c r="OLY70" s="12"/>
      <c r="OLZ70" s="12"/>
      <c r="OMQ70" s="12"/>
      <c r="OMR70" s="12"/>
      <c r="ONI70" s="12"/>
      <c r="ONJ70" s="12"/>
      <c r="OOA70" s="12"/>
      <c r="OOB70" s="12"/>
      <c r="OOS70" s="12"/>
      <c r="OOT70" s="12"/>
      <c r="OPK70" s="12"/>
      <c r="OPL70" s="12"/>
      <c r="OQC70" s="12"/>
      <c r="OQD70" s="12"/>
      <c r="OQU70" s="12"/>
      <c r="OQV70" s="12"/>
      <c r="ORM70" s="12"/>
      <c r="ORN70" s="12"/>
      <c r="OSE70" s="12"/>
      <c r="OSF70" s="12"/>
      <c r="OSW70" s="12"/>
      <c r="OSX70" s="12"/>
      <c r="OTO70" s="12"/>
      <c r="OTP70" s="12"/>
      <c r="OUG70" s="12"/>
      <c r="OUH70" s="12"/>
      <c r="OUY70" s="12"/>
      <c r="OUZ70" s="12"/>
      <c r="OVQ70" s="12"/>
      <c r="OVR70" s="12"/>
      <c r="OWI70" s="12"/>
      <c r="OWJ70" s="12"/>
      <c r="OXA70" s="12"/>
      <c r="OXB70" s="12"/>
      <c r="OXS70" s="12"/>
      <c r="OXT70" s="12"/>
      <c r="OYK70" s="12"/>
      <c r="OYL70" s="12"/>
      <c r="OZC70" s="12"/>
      <c r="OZD70" s="12"/>
      <c r="OZU70" s="12"/>
      <c r="OZV70" s="12"/>
      <c r="PAM70" s="12"/>
      <c r="PAN70" s="12"/>
      <c r="PBE70" s="12"/>
      <c r="PBF70" s="12"/>
      <c r="PBW70" s="12"/>
      <c r="PBX70" s="12"/>
      <c r="PCO70" s="12"/>
      <c r="PCP70" s="12"/>
      <c r="PDG70" s="12"/>
      <c r="PDH70" s="12"/>
      <c r="PDY70" s="12"/>
      <c r="PDZ70" s="12"/>
      <c r="PEQ70" s="12"/>
      <c r="PER70" s="12"/>
      <c r="PFI70" s="12"/>
      <c r="PFJ70" s="12"/>
      <c r="PGA70" s="12"/>
      <c r="PGB70" s="12"/>
      <c r="PGS70" s="12"/>
      <c r="PGT70" s="12"/>
      <c r="PHK70" s="12"/>
      <c r="PHL70" s="12"/>
      <c r="PIC70" s="12"/>
      <c r="PID70" s="12"/>
      <c r="PIU70" s="12"/>
      <c r="PIV70" s="12"/>
      <c r="PJM70" s="12"/>
      <c r="PJN70" s="12"/>
      <c r="PKE70" s="12"/>
      <c r="PKF70" s="12"/>
      <c r="PKW70" s="12"/>
      <c r="PKX70" s="12"/>
      <c r="PLO70" s="12"/>
      <c r="PLP70" s="12"/>
      <c r="PMG70" s="12"/>
      <c r="PMH70" s="12"/>
      <c r="PMY70" s="12"/>
      <c r="PMZ70" s="12"/>
      <c r="PNQ70" s="12"/>
      <c r="PNR70" s="12"/>
      <c r="POI70" s="12"/>
      <c r="POJ70" s="12"/>
      <c r="PPA70" s="12"/>
      <c r="PPB70" s="12"/>
      <c r="PPS70" s="12"/>
      <c r="PPT70" s="12"/>
      <c r="PQK70" s="12"/>
      <c r="PQL70" s="12"/>
      <c r="PRC70" s="12"/>
      <c r="PRD70" s="12"/>
      <c r="PRU70" s="12"/>
      <c r="PRV70" s="12"/>
      <c r="PSM70" s="12"/>
      <c r="PSN70" s="12"/>
      <c r="PTE70" s="12"/>
      <c r="PTF70" s="12"/>
      <c r="PTW70" s="12"/>
      <c r="PTX70" s="12"/>
      <c r="PUO70" s="12"/>
      <c r="PUP70" s="12"/>
      <c r="PVG70" s="12"/>
      <c r="PVH70" s="12"/>
      <c r="PVY70" s="12"/>
      <c r="PVZ70" s="12"/>
      <c r="PWQ70" s="12"/>
      <c r="PWR70" s="12"/>
      <c r="PXI70" s="12"/>
      <c r="PXJ70" s="12"/>
      <c r="PYA70" s="12"/>
      <c r="PYB70" s="12"/>
      <c r="PYS70" s="12"/>
      <c r="PYT70" s="12"/>
      <c r="PZK70" s="12"/>
      <c r="PZL70" s="12"/>
      <c r="QAC70" s="12"/>
      <c r="QAD70" s="12"/>
      <c r="QAU70" s="12"/>
      <c r="QAV70" s="12"/>
      <c r="QBM70" s="12"/>
      <c r="QBN70" s="12"/>
      <c r="QCE70" s="12"/>
      <c r="QCF70" s="12"/>
      <c r="QCW70" s="12"/>
      <c r="QCX70" s="12"/>
      <c r="QDO70" s="12"/>
      <c r="QDP70" s="12"/>
      <c r="QEG70" s="12"/>
      <c r="QEH70" s="12"/>
      <c r="QEY70" s="12"/>
      <c r="QEZ70" s="12"/>
      <c r="QFQ70" s="12"/>
      <c r="QFR70" s="12"/>
      <c r="QGI70" s="12"/>
      <c r="QGJ70" s="12"/>
      <c r="QHA70" s="12"/>
      <c r="QHB70" s="12"/>
      <c r="QHS70" s="12"/>
      <c r="QHT70" s="12"/>
      <c r="QIK70" s="12"/>
      <c r="QIL70" s="12"/>
      <c r="QJC70" s="12"/>
      <c r="QJD70" s="12"/>
      <c r="QJU70" s="12"/>
      <c r="QJV70" s="12"/>
      <c r="QKM70" s="12"/>
      <c r="QKN70" s="12"/>
      <c r="QLE70" s="12"/>
      <c r="QLF70" s="12"/>
      <c r="QLW70" s="12"/>
      <c r="QLX70" s="12"/>
      <c r="QMO70" s="12"/>
      <c r="QMP70" s="12"/>
      <c r="QNG70" s="12"/>
      <c r="QNH70" s="12"/>
      <c r="QNY70" s="12"/>
      <c r="QNZ70" s="12"/>
      <c r="QOQ70" s="12"/>
      <c r="QOR70" s="12"/>
      <c r="QPI70" s="12"/>
      <c r="QPJ70" s="12"/>
      <c r="QQA70" s="12"/>
      <c r="QQB70" s="12"/>
      <c r="QQS70" s="12"/>
      <c r="QQT70" s="12"/>
      <c r="QRK70" s="12"/>
      <c r="QRL70" s="12"/>
      <c r="QSC70" s="12"/>
      <c r="QSD70" s="12"/>
      <c r="QSU70" s="12"/>
      <c r="QSV70" s="12"/>
      <c r="QTM70" s="12"/>
      <c r="QTN70" s="12"/>
      <c r="QUE70" s="12"/>
      <c r="QUF70" s="12"/>
      <c r="QUW70" s="12"/>
      <c r="QUX70" s="12"/>
      <c r="QVO70" s="12"/>
      <c r="QVP70" s="12"/>
      <c r="QWG70" s="12"/>
      <c r="QWH70" s="12"/>
      <c r="QWY70" s="12"/>
      <c r="QWZ70" s="12"/>
      <c r="QXQ70" s="12"/>
      <c r="QXR70" s="12"/>
      <c r="QYI70" s="12"/>
      <c r="QYJ70" s="12"/>
      <c r="QZA70" s="12"/>
      <c r="QZB70" s="12"/>
      <c r="QZS70" s="12"/>
      <c r="QZT70" s="12"/>
      <c r="RAK70" s="12"/>
      <c r="RAL70" s="12"/>
      <c r="RBC70" s="12"/>
      <c r="RBD70" s="12"/>
      <c r="RBU70" s="12"/>
      <c r="RBV70" s="12"/>
      <c r="RCM70" s="12"/>
      <c r="RCN70" s="12"/>
      <c r="RDE70" s="12"/>
      <c r="RDF70" s="12"/>
      <c r="RDW70" s="12"/>
      <c r="RDX70" s="12"/>
      <c r="REO70" s="12"/>
      <c r="REP70" s="12"/>
      <c r="RFG70" s="12"/>
      <c r="RFH70" s="12"/>
      <c r="RFY70" s="12"/>
      <c r="RFZ70" s="12"/>
      <c r="RGQ70" s="12"/>
      <c r="RGR70" s="12"/>
      <c r="RHI70" s="12"/>
      <c r="RHJ70" s="12"/>
      <c r="RIA70" s="12"/>
      <c r="RIB70" s="12"/>
      <c r="RIS70" s="12"/>
      <c r="RIT70" s="12"/>
      <c r="RJK70" s="12"/>
      <c r="RJL70" s="12"/>
      <c r="RKC70" s="12"/>
      <c r="RKD70" s="12"/>
      <c r="RKU70" s="12"/>
      <c r="RKV70" s="12"/>
      <c r="RLM70" s="12"/>
      <c r="RLN70" s="12"/>
      <c r="RME70" s="12"/>
      <c r="RMF70" s="12"/>
      <c r="RMW70" s="12"/>
      <c r="RMX70" s="12"/>
      <c r="RNO70" s="12"/>
      <c r="RNP70" s="12"/>
      <c r="ROG70" s="12"/>
      <c r="ROH70" s="12"/>
      <c r="ROY70" s="12"/>
      <c r="ROZ70" s="12"/>
      <c r="RPQ70" s="12"/>
      <c r="RPR70" s="12"/>
      <c r="RQI70" s="12"/>
      <c r="RQJ70" s="12"/>
      <c r="RRA70" s="12"/>
      <c r="RRB70" s="12"/>
      <c r="RRS70" s="12"/>
      <c r="RRT70" s="12"/>
      <c r="RSK70" s="12"/>
      <c r="RSL70" s="12"/>
      <c r="RTC70" s="12"/>
      <c r="RTD70" s="12"/>
      <c r="RTU70" s="12"/>
      <c r="RTV70" s="12"/>
      <c r="RUM70" s="12"/>
      <c r="RUN70" s="12"/>
      <c r="RVE70" s="12"/>
      <c r="RVF70" s="12"/>
      <c r="RVW70" s="12"/>
      <c r="RVX70" s="12"/>
      <c r="RWO70" s="12"/>
      <c r="RWP70" s="12"/>
      <c r="RXG70" s="12"/>
      <c r="RXH70" s="12"/>
      <c r="RXY70" s="12"/>
      <c r="RXZ70" s="12"/>
      <c r="RYQ70" s="12"/>
      <c r="RYR70" s="12"/>
      <c r="RZI70" s="12"/>
      <c r="RZJ70" s="12"/>
      <c r="SAA70" s="12"/>
      <c r="SAB70" s="12"/>
      <c r="SAS70" s="12"/>
      <c r="SAT70" s="12"/>
      <c r="SBK70" s="12"/>
      <c r="SBL70" s="12"/>
      <c r="SCC70" s="12"/>
      <c r="SCD70" s="12"/>
      <c r="SCU70" s="12"/>
      <c r="SCV70" s="12"/>
      <c r="SDM70" s="12"/>
      <c r="SDN70" s="12"/>
      <c r="SEE70" s="12"/>
      <c r="SEF70" s="12"/>
      <c r="SEW70" s="12"/>
      <c r="SEX70" s="12"/>
      <c r="SFO70" s="12"/>
      <c r="SFP70" s="12"/>
      <c r="SGG70" s="12"/>
      <c r="SGH70" s="12"/>
      <c r="SGY70" s="12"/>
      <c r="SGZ70" s="12"/>
      <c r="SHQ70" s="12"/>
      <c r="SHR70" s="12"/>
      <c r="SII70" s="12"/>
      <c r="SIJ70" s="12"/>
      <c r="SJA70" s="12"/>
      <c r="SJB70" s="12"/>
      <c r="SJS70" s="12"/>
      <c r="SJT70" s="12"/>
      <c r="SKK70" s="12"/>
      <c r="SKL70" s="12"/>
      <c r="SLC70" s="12"/>
      <c r="SLD70" s="12"/>
      <c r="SLU70" s="12"/>
      <c r="SLV70" s="12"/>
      <c r="SMM70" s="12"/>
      <c r="SMN70" s="12"/>
      <c r="SNE70" s="12"/>
      <c r="SNF70" s="12"/>
      <c r="SNW70" s="12"/>
      <c r="SNX70" s="12"/>
      <c r="SOO70" s="12"/>
      <c r="SOP70" s="12"/>
      <c r="SPG70" s="12"/>
      <c r="SPH70" s="12"/>
      <c r="SPY70" s="12"/>
      <c r="SPZ70" s="12"/>
      <c r="SQQ70" s="12"/>
      <c r="SQR70" s="12"/>
      <c r="SRI70" s="12"/>
      <c r="SRJ70" s="12"/>
      <c r="SSA70" s="12"/>
      <c r="SSB70" s="12"/>
      <c r="SSS70" s="12"/>
      <c r="SST70" s="12"/>
      <c r="STK70" s="12"/>
      <c r="STL70" s="12"/>
      <c r="SUC70" s="12"/>
      <c r="SUD70" s="12"/>
      <c r="SUU70" s="12"/>
      <c r="SUV70" s="12"/>
      <c r="SVM70" s="12"/>
      <c r="SVN70" s="12"/>
      <c r="SWE70" s="12"/>
      <c r="SWF70" s="12"/>
      <c r="SWW70" s="12"/>
      <c r="SWX70" s="12"/>
      <c r="SXO70" s="12"/>
      <c r="SXP70" s="12"/>
      <c r="SYG70" s="12"/>
      <c r="SYH70" s="12"/>
      <c r="SYY70" s="12"/>
      <c r="SYZ70" s="12"/>
      <c r="SZQ70" s="12"/>
      <c r="SZR70" s="12"/>
      <c r="TAI70" s="12"/>
      <c r="TAJ70" s="12"/>
      <c r="TBA70" s="12"/>
      <c r="TBB70" s="12"/>
      <c r="TBS70" s="12"/>
      <c r="TBT70" s="12"/>
      <c r="TCK70" s="12"/>
      <c r="TCL70" s="12"/>
      <c r="TDC70" s="12"/>
      <c r="TDD70" s="12"/>
      <c r="TDU70" s="12"/>
      <c r="TDV70" s="12"/>
      <c r="TEM70" s="12"/>
      <c r="TEN70" s="12"/>
      <c r="TFE70" s="12"/>
      <c r="TFF70" s="12"/>
      <c r="TFW70" s="12"/>
      <c r="TFX70" s="12"/>
      <c r="TGO70" s="12"/>
      <c r="TGP70" s="12"/>
      <c r="THG70" s="12"/>
      <c r="THH70" s="12"/>
      <c r="THY70" s="12"/>
      <c r="THZ70" s="12"/>
      <c r="TIQ70" s="12"/>
      <c r="TIR70" s="12"/>
      <c r="TJI70" s="12"/>
      <c r="TJJ70" s="12"/>
      <c r="TKA70" s="12"/>
      <c r="TKB70" s="12"/>
      <c r="TKS70" s="12"/>
      <c r="TKT70" s="12"/>
      <c r="TLK70" s="12"/>
      <c r="TLL70" s="12"/>
      <c r="TMC70" s="12"/>
      <c r="TMD70" s="12"/>
      <c r="TMU70" s="12"/>
      <c r="TMV70" s="12"/>
      <c r="TNM70" s="12"/>
      <c r="TNN70" s="12"/>
      <c r="TOE70" s="12"/>
      <c r="TOF70" s="12"/>
      <c r="TOW70" s="12"/>
      <c r="TOX70" s="12"/>
      <c r="TPO70" s="12"/>
      <c r="TPP70" s="12"/>
      <c r="TQG70" s="12"/>
      <c r="TQH70" s="12"/>
      <c r="TQY70" s="12"/>
      <c r="TQZ70" s="12"/>
      <c r="TRQ70" s="12"/>
      <c r="TRR70" s="12"/>
      <c r="TSI70" s="12"/>
      <c r="TSJ70" s="12"/>
      <c r="TTA70" s="12"/>
      <c r="TTB70" s="12"/>
      <c r="TTS70" s="12"/>
      <c r="TTT70" s="12"/>
      <c r="TUK70" s="12"/>
      <c r="TUL70" s="12"/>
      <c r="TVC70" s="12"/>
      <c r="TVD70" s="12"/>
      <c r="TVU70" s="12"/>
      <c r="TVV70" s="12"/>
      <c r="TWM70" s="12"/>
      <c r="TWN70" s="12"/>
      <c r="TXE70" s="12"/>
      <c r="TXF70" s="12"/>
      <c r="TXW70" s="12"/>
      <c r="TXX70" s="12"/>
      <c r="TYO70" s="12"/>
      <c r="TYP70" s="12"/>
      <c r="TZG70" s="12"/>
      <c r="TZH70" s="12"/>
      <c r="TZY70" s="12"/>
      <c r="TZZ70" s="12"/>
      <c r="UAQ70" s="12"/>
      <c r="UAR70" s="12"/>
      <c r="UBI70" s="12"/>
      <c r="UBJ70" s="12"/>
      <c r="UCA70" s="12"/>
      <c r="UCB70" s="12"/>
      <c r="UCS70" s="12"/>
      <c r="UCT70" s="12"/>
      <c r="UDK70" s="12"/>
      <c r="UDL70" s="12"/>
      <c r="UEC70" s="12"/>
      <c r="UED70" s="12"/>
      <c r="UEU70" s="12"/>
      <c r="UEV70" s="12"/>
      <c r="UFM70" s="12"/>
      <c r="UFN70" s="12"/>
      <c r="UGE70" s="12"/>
      <c r="UGF70" s="12"/>
      <c r="UGW70" s="12"/>
      <c r="UGX70" s="12"/>
      <c r="UHO70" s="12"/>
      <c r="UHP70" s="12"/>
      <c r="UIG70" s="12"/>
      <c r="UIH70" s="12"/>
      <c r="UIY70" s="12"/>
      <c r="UIZ70" s="12"/>
      <c r="UJQ70" s="12"/>
      <c r="UJR70" s="12"/>
      <c r="UKI70" s="12"/>
      <c r="UKJ70" s="12"/>
      <c r="ULA70" s="12"/>
      <c r="ULB70" s="12"/>
      <c r="ULS70" s="12"/>
      <c r="ULT70" s="12"/>
      <c r="UMK70" s="12"/>
      <c r="UML70" s="12"/>
      <c r="UNC70" s="12"/>
      <c r="UND70" s="12"/>
      <c r="UNU70" s="12"/>
      <c r="UNV70" s="12"/>
      <c r="UOM70" s="12"/>
      <c r="UON70" s="12"/>
      <c r="UPE70" s="12"/>
      <c r="UPF70" s="12"/>
      <c r="UPW70" s="12"/>
      <c r="UPX70" s="12"/>
      <c r="UQO70" s="12"/>
      <c r="UQP70" s="12"/>
      <c r="URG70" s="12"/>
      <c r="URH70" s="12"/>
      <c r="URY70" s="12"/>
      <c r="URZ70" s="12"/>
      <c r="USQ70" s="12"/>
      <c r="USR70" s="12"/>
      <c r="UTI70" s="12"/>
      <c r="UTJ70" s="12"/>
      <c r="UUA70" s="12"/>
      <c r="UUB70" s="12"/>
      <c r="UUS70" s="12"/>
      <c r="UUT70" s="12"/>
      <c r="UVK70" s="12"/>
      <c r="UVL70" s="12"/>
      <c r="UWC70" s="12"/>
      <c r="UWD70" s="12"/>
      <c r="UWU70" s="12"/>
      <c r="UWV70" s="12"/>
      <c r="UXM70" s="12"/>
      <c r="UXN70" s="12"/>
      <c r="UYE70" s="12"/>
      <c r="UYF70" s="12"/>
      <c r="UYW70" s="12"/>
      <c r="UYX70" s="12"/>
      <c r="UZO70" s="12"/>
      <c r="UZP70" s="12"/>
      <c r="VAG70" s="12"/>
      <c r="VAH70" s="12"/>
      <c r="VAY70" s="12"/>
      <c r="VAZ70" s="12"/>
      <c r="VBQ70" s="12"/>
      <c r="VBR70" s="12"/>
      <c r="VCI70" s="12"/>
      <c r="VCJ70" s="12"/>
      <c r="VDA70" s="12"/>
      <c r="VDB70" s="12"/>
      <c r="VDS70" s="12"/>
      <c r="VDT70" s="12"/>
      <c r="VEK70" s="12"/>
      <c r="VEL70" s="12"/>
      <c r="VFC70" s="12"/>
      <c r="VFD70" s="12"/>
      <c r="VFU70" s="12"/>
      <c r="VFV70" s="12"/>
      <c r="VGM70" s="12"/>
      <c r="VGN70" s="12"/>
      <c r="VHE70" s="12"/>
      <c r="VHF70" s="12"/>
      <c r="VHW70" s="12"/>
      <c r="VHX70" s="12"/>
      <c r="VIO70" s="12"/>
      <c r="VIP70" s="12"/>
      <c r="VJG70" s="12"/>
      <c r="VJH70" s="12"/>
      <c r="VJY70" s="12"/>
      <c r="VJZ70" s="12"/>
      <c r="VKQ70" s="12"/>
      <c r="VKR70" s="12"/>
      <c r="VLI70" s="12"/>
      <c r="VLJ70" s="12"/>
      <c r="VMA70" s="12"/>
      <c r="VMB70" s="12"/>
      <c r="VMS70" s="12"/>
      <c r="VMT70" s="12"/>
      <c r="VNK70" s="12"/>
      <c r="VNL70" s="12"/>
      <c r="VOC70" s="12"/>
      <c r="VOD70" s="12"/>
      <c r="VOU70" s="12"/>
      <c r="VOV70" s="12"/>
      <c r="VPM70" s="12"/>
      <c r="VPN70" s="12"/>
      <c r="VQE70" s="12"/>
      <c r="VQF70" s="12"/>
      <c r="VQW70" s="12"/>
      <c r="VQX70" s="12"/>
      <c r="VRO70" s="12"/>
      <c r="VRP70" s="12"/>
      <c r="VSG70" s="12"/>
      <c r="VSH70" s="12"/>
      <c r="VSY70" s="12"/>
      <c r="VSZ70" s="12"/>
      <c r="VTQ70" s="12"/>
      <c r="VTR70" s="12"/>
      <c r="VUI70" s="12"/>
      <c r="VUJ70" s="12"/>
      <c r="VVA70" s="12"/>
      <c r="VVB70" s="12"/>
      <c r="VVS70" s="12"/>
      <c r="VVT70" s="12"/>
      <c r="VWK70" s="12"/>
      <c r="VWL70" s="12"/>
      <c r="VXC70" s="12"/>
      <c r="VXD70" s="12"/>
      <c r="VXU70" s="12"/>
      <c r="VXV70" s="12"/>
      <c r="VYM70" s="12"/>
      <c r="VYN70" s="12"/>
      <c r="VZE70" s="12"/>
      <c r="VZF70" s="12"/>
      <c r="VZW70" s="12"/>
      <c r="VZX70" s="12"/>
      <c r="WAO70" s="12"/>
      <c r="WAP70" s="12"/>
      <c r="WBG70" s="12"/>
      <c r="WBH70" s="12"/>
      <c r="WBY70" s="12"/>
      <c r="WBZ70" s="12"/>
      <c r="WCQ70" s="12"/>
      <c r="WCR70" s="12"/>
      <c r="WDI70" s="12"/>
      <c r="WDJ70" s="12"/>
      <c r="WEA70" s="12"/>
      <c r="WEB70" s="12"/>
      <c r="WES70" s="12"/>
      <c r="WET70" s="12"/>
      <c r="WFK70" s="12"/>
      <c r="WFL70" s="12"/>
      <c r="WGC70" s="12"/>
      <c r="WGD70" s="12"/>
      <c r="WGU70" s="12"/>
      <c r="WGV70" s="12"/>
      <c r="WHM70" s="12"/>
      <c r="WHN70" s="12"/>
      <c r="WIE70" s="12"/>
      <c r="WIF70" s="12"/>
      <c r="WIW70" s="12"/>
      <c r="WIX70" s="12"/>
      <c r="WJO70" s="12"/>
      <c r="WJP70" s="12"/>
      <c r="WKG70" s="12"/>
      <c r="WKH70" s="12"/>
      <c r="WKY70" s="12"/>
      <c r="WKZ70" s="12"/>
      <c r="WLQ70" s="12"/>
      <c r="WLR70" s="12"/>
      <c r="WMI70" s="12"/>
      <c r="WMJ70" s="12"/>
      <c r="WNA70" s="12"/>
      <c r="WNB70" s="12"/>
      <c r="WNS70" s="12"/>
      <c r="WNT70" s="12"/>
      <c r="WOK70" s="12"/>
      <c r="WOL70" s="12"/>
      <c r="WPC70" s="12"/>
      <c r="WPD70" s="12"/>
      <c r="WPU70" s="12"/>
      <c r="WPV70" s="12"/>
      <c r="WQM70" s="12"/>
      <c r="WQN70" s="12"/>
      <c r="WRE70" s="12"/>
      <c r="WRF70" s="12"/>
      <c r="WRW70" s="12"/>
      <c r="WRX70" s="12"/>
      <c r="WSO70" s="12"/>
      <c r="WSP70" s="12"/>
      <c r="WTG70" s="12"/>
      <c r="WTH70" s="12"/>
      <c r="WTY70" s="12"/>
      <c r="WTZ70" s="12"/>
      <c r="WUQ70" s="12"/>
      <c r="WUR70" s="12"/>
      <c r="WVI70" s="12"/>
      <c r="WVJ70" s="12"/>
      <c r="WWA70" s="12"/>
      <c r="WWB70" s="12"/>
      <c r="WWS70" s="12"/>
      <c r="WWT70" s="12"/>
      <c r="WXK70" s="12"/>
      <c r="WXL70" s="12"/>
      <c r="WYC70" s="12"/>
      <c r="WYD70" s="12"/>
      <c r="WYU70" s="12"/>
      <c r="WYV70" s="12"/>
      <c r="WZM70" s="12"/>
      <c r="WZN70" s="12"/>
      <c r="XAE70" s="12"/>
      <c r="XAF70" s="12"/>
      <c r="XAW70" s="12"/>
      <c r="XAX70" s="12"/>
      <c r="XBO70" s="12"/>
      <c r="XBP70" s="12"/>
      <c r="XCG70" s="12"/>
      <c r="XCH70" s="12"/>
      <c r="XCY70" s="12"/>
      <c r="XCZ70" s="12"/>
      <c r="XDQ70" s="12"/>
      <c r="XDR70" s="12"/>
      <c r="XEI70" s="12"/>
      <c r="XEJ70" s="12"/>
      <c r="XFA70" s="12"/>
      <c r="XFB70" s="12"/>
    </row>
    <row r="71" spans="1:1010 1027:2036 2053:3062 3079:4088 4105:5114 5131:6140 6157:7166 7183:8192 8209:9200 9217:10226 10243:11252 11269:12278 12295:13304 13321:14330 14347:15356 15373:16382" s="11" customFormat="1" x14ac:dyDescent="0.35">
      <c r="A71" s="181" t="str">
        <f>'Balance Sheet - Standardized'!A73</f>
        <v xml:space="preserve">        + ST Operating Leases</v>
      </c>
      <c r="B71" s="13" t="str">
        <f>'Balance Sheet - Standardized'!B73</f>
        <v>BS_ST_OPERATING_LEASE_LIABS</v>
      </c>
      <c r="C71" s="77">
        <f>IF('Balance Sheet - Standardized'!C73="",0,'Balance Sheet - Standardized'!C73)/'Balance Sheet - Standardized'!C$106</f>
        <v>0</v>
      </c>
      <c r="D71" s="77">
        <f>IF('Balance Sheet - Standardized'!D73="",0,'Balance Sheet - Standardized'!D73)/'Balance Sheet - Standardized'!D$106</f>
        <v>0</v>
      </c>
      <c r="E71" s="77">
        <f>IF('Balance Sheet - Standardized'!E73="",0,'Balance Sheet - Standardized'!E73)/'Balance Sheet - Standardized'!E$106</f>
        <v>0</v>
      </c>
      <c r="F71" s="77">
        <f>IF('Balance Sheet - Standardized'!F73="",0,'Balance Sheet - Standardized'!F73)/'Balance Sheet - Standardized'!F$106</f>
        <v>0</v>
      </c>
      <c r="G71" s="77">
        <f>IF('Balance Sheet - Standardized'!G73="",0,'Balance Sheet - Standardized'!G73)/'Balance Sheet - Standardized'!G$106</f>
        <v>1.8834004882209349E-2</v>
      </c>
      <c r="H71" s="77">
        <f>IF('Balance Sheet - Standardized'!H73="",0,'Balance Sheet - Standardized'!H73)/'Balance Sheet - Standardized'!H$106</f>
        <v>1.3359442993907745E-2</v>
      </c>
      <c r="I71" s="77">
        <f>IF('Balance Sheet - Standardized'!I73="",0,'Balance Sheet - Standardized'!I73)/'Balance Sheet - Standardized'!I$106</f>
        <v>9.9560346050205639E-3</v>
      </c>
      <c r="J71" s="77">
        <f>IF('Balance Sheet - Standardized'!J73="",0,'Balance Sheet - Standardized'!J73)/'Balance Sheet - Standardized'!J$106</f>
        <v>1.0441055277594832E-2</v>
      </c>
      <c r="K71" s="77">
        <f>IF('Balance Sheet - Standardized'!K73="",0,'Balance Sheet - Standardized'!K73)/'Balance Sheet - Standardized'!K$106</f>
        <v>1.2969903951829141E-2</v>
      </c>
      <c r="L71" s="77">
        <f>IF('Balance Sheet - Standardized'!L73="",0,'Balance Sheet - Standardized'!L73)/'Balance Sheet - Standardized'!L$106</f>
        <v>1.3354503126765505E-2</v>
      </c>
      <c r="M71" s="106"/>
      <c r="N71" s="106"/>
      <c r="O71" s="106"/>
      <c r="P71" s="106"/>
      <c r="Q71" s="106"/>
      <c r="R71" s="106"/>
      <c r="S71" s="78"/>
      <c r="T71" s="78"/>
      <c r="U71" s="106"/>
      <c r="V71" s="106"/>
      <c r="W71" s="106"/>
      <c r="X71" s="106"/>
      <c r="Y71" s="106"/>
      <c r="Z71" s="106"/>
      <c r="AA71" s="106"/>
      <c r="AB71" s="106"/>
      <c r="AC71" s="106"/>
      <c r="AD71" s="106"/>
      <c r="AE71" s="106"/>
      <c r="AF71" s="106"/>
      <c r="AG71" s="106"/>
      <c r="AH71" s="106"/>
      <c r="AI71" s="106"/>
      <c r="AJ71" s="106"/>
      <c r="AK71" s="78"/>
      <c r="AL71" s="78"/>
      <c r="AM71" s="106"/>
      <c r="AN71" s="106"/>
      <c r="AO71" s="106"/>
      <c r="AP71" s="106"/>
      <c r="AQ71" s="106"/>
      <c r="AR71" s="106"/>
      <c r="AS71" s="106"/>
      <c r="AT71" s="106"/>
      <c r="AU71" s="106"/>
      <c r="AV71" s="106"/>
      <c r="AW71" s="106"/>
      <c r="AX71" s="106"/>
      <c r="AY71" s="106"/>
      <c r="AZ71" s="106"/>
      <c r="BA71" s="106"/>
      <c r="BB71" s="106"/>
      <c r="BC71" s="78"/>
      <c r="BD71" s="78"/>
      <c r="BE71" s="106"/>
      <c r="BF71" s="106"/>
      <c r="BG71" s="106"/>
      <c r="BH71" s="106"/>
      <c r="BI71" s="106"/>
      <c r="BJ71" s="106"/>
      <c r="BU71" s="12"/>
      <c r="BV71" s="12"/>
      <c r="CM71" s="12"/>
      <c r="CN71" s="12"/>
      <c r="DE71" s="12"/>
      <c r="DF71" s="12"/>
      <c r="DW71" s="12"/>
      <c r="DX71" s="12"/>
      <c r="EO71" s="12"/>
      <c r="EP71" s="12"/>
      <c r="FG71" s="12"/>
      <c r="FH71" s="12"/>
      <c r="FY71" s="12"/>
      <c r="FZ71" s="12"/>
      <c r="GQ71" s="12"/>
      <c r="GR71" s="12"/>
      <c r="HI71" s="12"/>
      <c r="HJ71" s="12"/>
      <c r="IA71" s="12"/>
      <c r="IB71" s="12"/>
      <c r="IS71" s="12"/>
      <c r="IT71" s="12"/>
      <c r="JK71" s="12"/>
      <c r="JL71" s="12"/>
      <c r="KC71" s="12"/>
      <c r="KD71" s="12"/>
      <c r="KU71" s="12"/>
      <c r="KV71" s="12"/>
      <c r="LM71" s="12"/>
      <c r="LN71" s="12"/>
      <c r="ME71" s="12"/>
      <c r="MF71" s="12"/>
      <c r="MW71" s="12"/>
      <c r="MX71" s="12"/>
      <c r="NO71" s="12"/>
      <c r="NP71" s="12"/>
      <c r="OG71" s="12"/>
      <c r="OH71" s="12"/>
      <c r="OY71" s="12"/>
      <c r="OZ71" s="12"/>
      <c r="PQ71" s="12"/>
      <c r="PR71" s="12"/>
      <c r="QI71" s="12"/>
      <c r="QJ71" s="12"/>
      <c r="RA71" s="12"/>
      <c r="RB71" s="12"/>
      <c r="RS71" s="12"/>
      <c r="RT71" s="12"/>
      <c r="SK71" s="12"/>
      <c r="SL71" s="12"/>
      <c r="TC71" s="12"/>
      <c r="TD71" s="12"/>
      <c r="TU71" s="12"/>
      <c r="TV71" s="12"/>
      <c r="UM71" s="12"/>
      <c r="UN71" s="12"/>
      <c r="VE71" s="12"/>
      <c r="VF71" s="12"/>
      <c r="VW71" s="12"/>
      <c r="VX71" s="12"/>
      <c r="WO71" s="12"/>
      <c r="WP71" s="12"/>
      <c r="XG71" s="12"/>
      <c r="XH71" s="12"/>
      <c r="XY71" s="12"/>
      <c r="XZ71" s="12"/>
      <c r="YQ71" s="12"/>
      <c r="YR71" s="12"/>
      <c r="ZI71" s="12"/>
      <c r="ZJ71" s="12"/>
      <c r="AAA71" s="12"/>
      <c r="AAB71" s="12"/>
      <c r="AAS71" s="12"/>
      <c r="AAT71" s="12"/>
      <c r="ABK71" s="12"/>
      <c r="ABL71" s="12"/>
      <c r="ACC71" s="12"/>
      <c r="ACD71" s="12"/>
      <c r="ACU71" s="12"/>
      <c r="ACV71" s="12"/>
      <c r="ADM71" s="12"/>
      <c r="ADN71" s="12"/>
      <c r="AEE71" s="12"/>
      <c r="AEF71" s="12"/>
      <c r="AEW71" s="12"/>
      <c r="AEX71" s="12"/>
      <c r="AFO71" s="12"/>
      <c r="AFP71" s="12"/>
      <c r="AGG71" s="12"/>
      <c r="AGH71" s="12"/>
      <c r="AGY71" s="12"/>
      <c r="AGZ71" s="12"/>
      <c r="AHQ71" s="12"/>
      <c r="AHR71" s="12"/>
      <c r="AII71" s="12"/>
      <c r="AIJ71" s="12"/>
      <c r="AJA71" s="12"/>
      <c r="AJB71" s="12"/>
      <c r="AJS71" s="12"/>
      <c r="AJT71" s="12"/>
      <c r="AKK71" s="12"/>
      <c r="AKL71" s="12"/>
      <c r="ALC71" s="12"/>
      <c r="ALD71" s="12"/>
      <c r="ALU71" s="12"/>
      <c r="ALV71" s="12"/>
      <c r="AMM71" s="12"/>
      <c r="AMN71" s="12"/>
      <c r="ANE71" s="12"/>
      <c r="ANF71" s="12"/>
      <c r="ANW71" s="12"/>
      <c r="ANX71" s="12"/>
      <c r="AOO71" s="12"/>
      <c r="AOP71" s="12"/>
      <c r="APG71" s="12"/>
      <c r="APH71" s="12"/>
      <c r="APY71" s="12"/>
      <c r="APZ71" s="12"/>
      <c r="AQQ71" s="12"/>
      <c r="AQR71" s="12"/>
      <c r="ARI71" s="12"/>
      <c r="ARJ71" s="12"/>
      <c r="ASA71" s="12"/>
      <c r="ASB71" s="12"/>
      <c r="ASS71" s="12"/>
      <c r="AST71" s="12"/>
      <c r="ATK71" s="12"/>
      <c r="ATL71" s="12"/>
      <c r="AUC71" s="12"/>
      <c r="AUD71" s="12"/>
      <c r="AUU71" s="12"/>
      <c r="AUV71" s="12"/>
      <c r="AVM71" s="12"/>
      <c r="AVN71" s="12"/>
      <c r="AWE71" s="12"/>
      <c r="AWF71" s="12"/>
      <c r="AWW71" s="12"/>
      <c r="AWX71" s="12"/>
      <c r="AXO71" s="12"/>
      <c r="AXP71" s="12"/>
      <c r="AYG71" s="12"/>
      <c r="AYH71" s="12"/>
      <c r="AYY71" s="12"/>
      <c r="AYZ71" s="12"/>
      <c r="AZQ71" s="12"/>
      <c r="AZR71" s="12"/>
      <c r="BAI71" s="12"/>
      <c r="BAJ71" s="12"/>
      <c r="BBA71" s="12"/>
      <c r="BBB71" s="12"/>
      <c r="BBS71" s="12"/>
      <c r="BBT71" s="12"/>
      <c r="BCK71" s="12"/>
      <c r="BCL71" s="12"/>
      <c r="BDC71" s="12"/>
      <c r="BDD71" s="12"/>
      <c r="BDU71" s="12"/>
      <c r="BDV71" s="12"/>
      <c r="BEM71" s="12"/>
      <c r="BEN71" s="12"/>
      <c r="BFE71" s="12"/>
      <c r="BFF71" s="12"/>
      <c r="BFW71" s="12"/>
      <c r="BFX71" s="12"/>
      <c r="BGO71" s="12"/>
      <c r="BGP71" s="12"/>
      <c r="BHG71" s="12"/>
      <c r="BHH71" s="12"/>
      <c r="BHY71" s="12"/>
      <c r="BHZ71" s="12"/>
      <c r="BIQ71" s="12"/>
      <c r="BIR71" s="12"/>
      <c r="BJI71" s="12"/>
      <c r="BJJ71" s="12"/>
      <c r="BKA71" s="12"/>
      <c r="BKB71" s="12"/>
      <c r="BKS71" s="12"/>
      <c r="BKT71" s="12"/>
      <c r="BLK71" s="12"/>
      <c r="BLL71" s="12"/>
      <c r="BMC71" s="12"/>
      <c r="BMD71" s="12"/>
      <c r="BMU71" s="12"/>
      <c r="BMV71" s="12"/>
      <c r="BNM71" s="12"/>
      <c r="BNN71" s="12"/>
      <c r="BOE71" s="12"/>
      <c r="BOF71" s="12"/>
      <c r="BOW71" s="12"/>
      <c r="BOX71" s="12"/>
      <c r="BPO71" s="12"/>
      <c r="BPP71" s="12"/>
      <c r="BQG71" s="12"/>
      <c r="BQH71" s="12"/>
      <c r="BQY71" s="12"/>
      <c r="BQZ71" s="12"/>
      <c r="BRQ71" s="12"/>
      <c r="BRR71" s="12"/>
      <c r="BSI71" s="12"/>
      <c r="BSJ71" s="12"/>
      <c r="BTA71" s="12"/>
      <c r="BTB71" s="12"/>
      <c r="BTS71" s="12"/>
      <c r="BTT71" s="12"/>
      <c r="BUK71" s="12"/>
      <c r="BUL71" s="12"/>
      <c r="BVC71" s="12"/>
      <c r="BVD71" s="12"/>
      <c r="BVU71" s="12"/>
      <c r="BVV71" s="12"/>
      <c r="BWM71" s="12"/>
      <c r="BWN71" s="12"/>
      <c r="BXE71" s="12"/>
      <c r="BXF71" s="12"/>
      <c r="BXW71" s="12"/>
      <c r="BXX71" s="12"/>
      <c r="BYO71" s="12"/>
      <c r="BYP71" s="12"/>
      <c r="BZG71" s="12"/>
      <c r="BZH71" s="12"/>
      <c r="BZY71" s="12"/>
      <c r="BZZ71" s="12"/>
      <c r="CAQ71" s="12"/>
      <c r="CAR71" s="12"/>
      <c r="CBI71" s="12"/>
      <c r="CBJ71" s="12"/>
      <c r="CCA71" s="12"/>
      <c r="CCB71" s="12"/>
      <c r="CCS71" s="12"/>
      <c r="CCT71" s="12"/>
      <c r="CDK71" s="12"/>
      <c r="CDL71" s="12"/>
      <c r="CEC71" s="12"/>
      <c r="CED71" s="12"/>
      <c r="CEU71" s="12"/>
      <c r="CEV71" s="12"/>
      <c r="CFM71" s="12"/>
      <c r="CFN71" s="12"/>
      <c r="CGE71" s="12"/>
      <c r="CGF71" s="12"/>
      <c r="CGW71" s="12"/>
      <c r="CGX71" s="12"/>
      <c r="CHO71" s="12"/>
      <c r="CHP71" s="12"/>
      <c r="CIG71" s="12"/>
      <c r="CIH71" s="12"/>
      <c r="CIY71" s="12"/>
      <c r="CIZ71" s="12"/>
      <c r="CJQ71" s="12"/>
      <c r="CJR71" s="12"/>
      <c r="CKI71" s="12"/>
      <c r="CKJ71" s="12"/>
      <c r="CLA71" s="12"/>
      <c r="CLB71" s="12"/>
      <c r="CLS71" s="12"/>
      <c r="CLT71" s="12"/>
      <c r="CMK71" s="12"/>
      <c r="CML71" s="12"/>
      <c r="CNC71" s="12"/>
      <c r="CND71" s="12"/>
      <c r="CNU71" s="12"/>
      <c r="CNV71" s="12"/>
      <c r="COM71" s="12"/>
      <c r="CON71" s="12"/>
      <c r="CPE71" s="12"/>
      <c r="CPF71" s="12"/>
      <c r="CPW71" s="12"/>
      <c r="CPX71" s="12"/>
      <c r="CQO71" s="12"/>
      <c r="CQP71" s="12"/>
      <c r="CRG71" s="12"/>
      <c r="CRH71" s="12"/>
      <c r="CRY71" s="12"/>
      <c r="CRZ71" s="12"/>
      <c r="CSQ71" s="12"/>
      <c r="CSR71" s="12"/>
      <c r="CTI71" s="12"/>
      <c r="CTJ71" s="12"/>
      <c r="CUA71" s="12"/>
      <c r="CUB71" s="12"/>
      <c r="CUS71" s="12"/>
      <c r="CUT71" s="12"/>
      <c r="CVK71" s="12"/>
      <c r="CVL71" s="12"/>
      <c r="CWC71" s="12"/>
      <c r="CWD71" s="12"/>
      <c r="CWU71" s="12"/>
      <c r="CWV71" s="12"/>
      <c r="CXM71" s="12"/>
      <c r="CXN71" s="12"/>
      <c r="CYE71" s="12"/>
      <c r="CYF71" s="12"/>
      <c r="CYW71" s="12"/>
      <c r="CYX71" s="12"/>
      <c r="CZO71" s="12"/>
      <c r="CZP71" s="12"/>
      <c r="DAG71" s="12"/>
      <c r="DAH71" s="12"/>
      <c r="DAY71" s="12"/>
      <c r="DAZ71" s="12"/>
      <c r="DBQ71" s="12"/>
      <c r="DBR71" s="12"/>
      <c r="DCI71" s="12"/>
      <c r="DCJ71" s="12"/>
      <c r="DDA71" s="12"/>
      <c r="DDB71" s="12"/>
      <c r="DDS71" s="12"/>
      <c r="DDT71" s="12"/>
      <c r="DEK71" s="12"/>
      <c r="DEL71" s="12"/>
      <c r="DFC71" s="12"/>
      <c r="DFD71" s="12"/>
      <c r="DFU71" s="12"/>
      <c r="DFV71" s="12"/>
      <c r="DGM71" s="12"/>
      <c r="DGN71" s="12"/>
      <c r="DHE71" s="12"/>
      <c r="DHF71" s="12"/>
      <c r="DHW71" s="12"/>
      <c r="DHX71" s="12"/>
      <c r="DIO71" s="12"/>
      <c r="DIP71" s="12"/>
      <c r="DJG71" s="12"/>
      <c r="DJH71" s="12"/>
      <c r="DJY71" s="12"/>
      <c r="DJZ71" s="12"/>
      <c r="DKQ71" s="12"/>
      <c r="DKR71" s="12"/>
      <c r="DLI71" s="12"/>
      <c r="DLJ71" s="12"/>
      <c r="DMA71" s="12"/>
      <c r="DMB71" s="12"/>
      <c r="DMS71" s="12"/>
      <c r="DMT71" s="12"/>
      <c r="DNK71" s="12"/>
      <c r="DNL71" s="12"/>
      <c r="DOC71" s="12"/>
      <c r="DOD71" s="12"/>
      <c r="DOU71" s="12"/>
      <c r="DOV71" s="12"/>
      <c r="DPM71" s="12"/>
      <c r="DPN71" s="12"/>
      <c r="DQE71" s="12"/>
      <c r="DQF71" s="12"/>
      <c r="DQW71" s="12"/>
      <c r="DQX71" s="12"/>
      <c r="DRO71" s="12"/>
      <c r="DRP71" s="12"/>
      <c r="DSG71" s="12"/>
      <c r="DSH71" s="12"/>
      <c r="DSY71" s="12"/>
      <c r="DSZ71" s="12"/>
      <c r="DTQ71" s="12"/>
      <c r="DTR71" s="12"/>
      <c r="DUI71" s="12"/>
      <c r="DUJ71" s="12"/>
      <c r="DVA71" s="12"/>
      <c r="DVB71" s="12"/>
      <c r="DVS71" s="12"/>
      <c r="DVT71" s="12"/>
      <c r="DWK71" s="12"/>
      <c r="DWL71" s="12"/>
      <c r="DXC71" s="12"/>
      <c r="DXD71" s="12"/>
      <c r="DXU71" s="12"/>
      <c r="DXV71" s="12"/>
      <c r="DYM71" s="12"/>
      <c r="DYN71" s="12"/>
      <c r="DZE71" s="12"/>
      <c r="DZF71" s="12"/>
      <c r="DZW71" s="12"/>
      <c r="DZX71" s="12"/>
      <c r="EAO71" s="12"/>
      <c r="EAP71" s="12"/>
      <c r="EBG71" s="12"/>
      <c r="EBH71" s="12"/>
      <c r="EBY71" s="12"/>
      <c r="EBZ71" s="12"/>
      <c r="ECQ71" s="12"/>
      <c r="ECR71" s="12"/>
      <c r="EDI71" s="12"/>
      <c r="EDJ71" s="12"/>
      <c r="EEA71" s="12"/>
      <c r="EEB71" s="12"/>
      <c r="EES71" s="12"/>
      <c r="EET71" s="12"/>
      <c r="EFK71" s="12"/>
      <c r="EFL71" s="12"/>
      <c r="EGC71" s="12"/>
      <c r="EGD71" s="12"/>
      <c r="EGU71" s="12"/>
      <c r="EGV71" s="12"/>
      <c r="EHM71" s="12"/>
      <c r="EHN71" s="12"/>
      <c r="EIE71" s="12"/>
      <c r="EIF71" s="12"/>
      <c r="EIW71" s="12"/>
      <c r="EIX71" s="12"/>
      <c r="EJO71" s="12"/>
      <c r="EJP71" s="12"/>
      <c r="EKG71" s="12"/>
      <c r="EKH71" s="12"/>
      <c r="EKY71" s="12"/>
      <c r="EKZ71" s="12"/>
      <c r="ELQ71" s="12"/>
      <c r="ELR71" s="12"/>
      <c r="EMI71" s="12"/>
      <c r="EMJ71" s="12"/>
      <c r="ENA71" s="12"/>
      <c r="ENB71" s="12"/>
      <c r="ENS71" s="12"/>
      <c r="ENT71" s="12"/>
      <c r="EOK71" s="12"/>
      <c r="EOL71" s="12"/>
      <c r="EPC71" s="12"/>
      <c r="EPD71" s="12"/>
      <c r="EPU71" s="12"/>
      <c r="EPV71" s="12"/>
      <c r="EQM71" s="12"/>
      <c r="EQN71" s="12"/>
      <c r="ERE71" s="12"/>
      <c r="ERF71" s="12"/>
      <c r="ERW71" s="12"/>
      <c r="ERX71" s="12"/>
      <c r="ESO71" s="12"/>
      <c r="ESP71" s="12"/>
      <c r="ETG71" s="12"/>
      <c r="ETH71" s="12"/>
      <c r="ETY71" s="12"/>
      <c r="ETZ71" s="12"/>
      <c r="EUQ71" s="12"/>
      <c r="EUR71" s="12"/>
      <c r="EVI71" s="12"/>
      <c r="EVJ71" s="12"/>
      <c r="EWA71" s="12"/>
      <c r="EWB71" s="12"/>
      <c r="EWS71" s="12"/>
      <c r="EWT71" s="12"/>
      <c r="EXK71" s="12"/>
      <c r="EXL71" s="12"/>
      <c r="EYC71" s="12"/>
      <c r="EYD71" s="12"/>
      <c r="EYU71" s="12"/>
      <c r="EYV71" s="12"/>
      <c r="EZM71" s="12"/>
      <c r="EZN71" s="12"/>
      <c r="FAE71" s="12"/>
      <c r="FAF71" s="12"/>
      <c r="FAW71" s="12"/>
      <c r="FAX71" s="12"/>
      <c r="FBO71" s="12"/>
      <c r="FBP71" s="12"/>
      <c r="FCG71" s="12"/>
      <c r="FCH71" s="12"/>
      <c r="FCY71" s="12"/>
      <c r="FCZ71" s="12"/>
      <c r="FDQ71" s="12"/>
      <c r="FDR71" s="12"/>
      <c r="FEI71" s="12"/>
      <c r="FEJ71" s="12"/>
      <c r="FFA71" s="12"/>
      <c r="FFB71" s="12"/>
      <c r="FFS71" s="12"/>
      <c r="FFT71" s="12"/>
      <c r="FGK71" s="12"/>
      <c r="FGL71" s="12"/>
      <c r="FHC71" s="12"/>
      <c r="FHD71" s="12"/>
      <c r="FHU71" s="12"/>
      <c r="FHV71" s="12"/>
      <c r="FIM71" s="12"/>
      <c r="FIN71" s="12"/>
      <c r="FJE71" s="12"/>
      <c r="FJF71" s="12"/>
      <c r="FJW71" s="12"/>
      <c r="FJX71" s="12"/>
      <c r="FKO71" s="12"/>
      <c r="FKP71" s="12"/>
      <c r="FLG71" s="12"/>
      <c r="FLH71" s="12"/>
      <c r="FLY71" s="12"/>
      <c r="FLZ71" s="12"/>
      <c r="FMQ71" s="12"/>
      <c r="FMR71" s="12"/>
      <c r="FNI71" s="12"/>
      <c r="FNJ71" s="12"/>
      <c r="FOA71" s="12"/>
      <c r="FOB71" s="12"/>
      <c r="FOS71" s="12"/>
      <c r="FOT71" s="12"/>
      <c r="FPK71" s="12"/>
      <c r="FPL71" s="12"/>
      <c r="FQC71" s="12"/>
      <c r="FQD71" s="12"/>
      <c r="FQU71" s="12"/>
      <c r="FQV71" s="12"/>
      <c r="FRM71" s="12"/>
      <c r="FRN71" s="12"/>
      <c r="FSE71" s="12"/>
      <c r="FSF71" s="12"/>
      <c r="FSW71" s="12"/>
      <c r="FSX71" s="12"/>
      <c r="FTO71" s="12"/>
      <c r="FTP71" s="12"/>
      <c r="FUG71" s="12"/>
      <c r="FUH71" s="12"/>
      <c r="FUY71" s="12"/>
      <c r="FUZ71" s="12"/>
      <c r="FVQ71" s="12"/>
      <c r="FVR71" s="12"/>
      <c r="FWI71" s="12"/>
      <c r="FWJ71" s="12"/>
      <c r="FXA71" s="12"/>
      <c r="FXB71" s="12"/>
      <c r="FXS71" s="12"/>
      <c r="FXT71" s="12"/>
      <c r="FYK71" s="12"/>
      <c r="FYL71" s="12"/>
      <c r="FZC71" s="12"/>
      <c r="FZD71" s="12"/>
      <c r="FZU71" s="12"/>
      <c r="FZV71" s="12"/>
      <c r="GAM71" s="12"/>
      <c r="GAN71" s="12"/>
      <c r="GBE71" s="12"/>
      <c r="GBF71" s="12"/>
      <c r="GBW71" s="12"/>
      <c r="GBX71" s="12"/>
      <c r="GCO71" s="12"/>
      <c r="GCP71" s="12"/>
      <c r="GDG71" s="12"/>
      <c r="GDH71" s="12"/>
      <c r="GDY71" s="12"/>
      <c r="GDZ71" s="12"/>
      <c r="GEQ71" s="12"/>
      <c r="GER71" s="12"/>
      <c r="GFI71" s="12"/>
      <c r="GFJ71" s="12"/>
      <c r="GGA71" s="12"/>
      <c r="GGB71" s="12"/>
      <c r="GGS71" s="12"/>
      <c r="GGT71" s="12"/>
      <c r="GHK71" s="12"/>
      <c r="GHL71" s="12"/>
      <c r="GIC71" s="12"/>
      <c r="GID71" s="12"/>
      <c r="GIU71" s="12"/>
      <c r="GIV71" s="12"/>
      <c r="GJM71" s="12"/>
      <c r="GJN71" s="12"/>
      <c r="GKE71" s="12"/>
      <c r="GKF71" s="12"/>
      <c r="GKW71" s="12"/>
      <c r="GKX71" s="12"/>
      <c r="GLO71" s="12"/>
      <c r="GLP71" s="12"/>
      <c r="GMG71" s="12"/>
      <c r="GMH71" s="12"/>
      <c r="GMY71" s="12"/>
      <c r="GMZ71" s="12"/>
      <c r="GNQ71" s="12"/>
      <c r="GNR71" s="12"/>
      <c r="GOI71" s="12"/>
      <c r="GOJ71" s="12"/>
      <c r="GPA71" s="12"/>
      <c r="GPB71" s="12"/>
      <c r="GPS71" s="12"/>
      <c r="GPT71" s="12"/>
      <c r="GQK71" s="12"/>
      <c r="GQL71" s="12"/>
      <c r="GRC71" s="12"/>
      <c r="GRD71" s="12"/>
      <c r="GRU71" s="12"/>
      <c r="GRV71" s="12"/>
      <c r="GSM71" s="12"/>
      <c r="GSN71" s="12"/>
      <c r="GTE71" s="12"/>
      <c r="GTF71" s="12"/>
      <c r="GTW71" s="12"/>
      <c r="GTX71" s="12"/>
      <c r="GUO71" s="12"/>
      <c r="GUP71" s="12"/>
      <c r="GVG71" s="12"/>
      <c r="GVH71" s="12"/>
      <c r="GVY71" s="12"/>
      <c r="GVZ71" s="12"/>
      <c r="GWQ71" s="12"/>
      <c r="GWR71" s="12"/>
      <c r="GXI71" s="12"/>
      <c r="GXJ71" s="12"/>
      <c r="GYA71" s="12"/>
      <c r="GYB71" s="12"/>
      <c r="GYS71" s="12"/>
      <c r="GYT71" s="12"/>
      <c r="GZK71" s="12"/>
      <c r="GZL71" s="12"/>
      <c r="HAC71" s="12"/>
      <c r="HAD71" s="12"/>
      <c r="HAU71" s="12"/>
      <c r="HAV71" s="12"/>
      <c r="HBM71" s="12"/>
      <c r="HBN71" s="12"/>
      <c r="HCE71" s="12"/>
      <c r="HCF71" s="12"/>
      <c r="HCW71" s="12"/>
      <c r="HCX71" s="12"/>
      <c r="HDO71" s="12"/>
      <c r="HDP71" s="12"/>
      <c r="HEG71" s="12"/>
      <c r="HEH71" s="12"/>
      <c r="HEY71" s="12"/>
      <c r="HEZ71" s="12"/>
      <c r="HFQ71" s="12"/>
      <c r="HFR71" s="12"/>
      <c r="HGI71" s="12"/>
      <c r="HGJ71" s="12"/>
      <c r="HHA71" s="12"/>
      <c r="HHB71" s="12"/>
      <c r="HHS71" s="12"/>
      <c r="HHT71" s="12"/>
      <c r="HIK71" s="12"/>
      <c r="HIL71" s="12"/>
      <c r="HJC71" s="12"/>
      <c r="HJD71" s="12"/>
      <c r="HJU71" s="12"/>
      <c r="HJV71" s="12"/>
      <c r="HKM71" s="12"/>
      <c r="HKN71" s="12"/>
      <c r="HLE71" s="12"/>
      <c r="HLF71" s="12"/>
      <c r="HLW71" s="12"/>
      <c r="HLX71" s="12"/>
      <c r="HMO71" s="12"/>
      <c r="HMP71" s="12"/>
      <c r="HNG71" s="12"/>
      <c r="HNH71" s="12"/>
      <c r="HNY71" s="12"/>
      <c r="HNZ71" s="12"/>
      <c r="HOQ71" s="12"/>
      <c r="HOR71" s="12"/>
      <c r="HPI71" s="12"/>
      <c r="HPJ71" s="12"/>
      <c r="HQA71" s="12"/>
      <c r="HQB71" s="12"/>
      <c r="HQS71" s="12"/>
      <c r="HQT71" s="12"/>
      <c r="HRK71" s="12"/>
      <c r="HRL71" s="12"/>
      <c r="HSC71" s="12"/>
      <c r="HSD71" s="12"/>
      <c r="HSU71" s="12"/>
      <c r="HSV71" s="12"/>
      <c r="HTM71" s="12"/>
      <c r="HTN71" s="12"/>
      <c r="HUE71" s="12"/>
      <c r="HUF71" s="12"/>
      <c r="HUW71" s="12"/>
      <c r="HUX71" s="12"/>
      <c r="HVO71" s="12"/>
      <c r="HVP71" s="12"/>
      <c r="HWG71" s="12"/>
      <c r="HWH71" s="12"/>
      <c r="HWY71" s="12"/>
      <c r="HWZ71" s="12"/>
      <c r="HXQ71" s="12"/>
      <c r="HXR71" s="12"/>
      <c r="HYI71" s="12"/>
      <c r="HYJ71" s="12"/>
      <c r="HZA71" s="12"/>
      <c r="HZB71" s="12"/>
      <c r="HZS71" s="12"/>
      <c r="HZT71" s="12"/>
      <c r="IAK71" s="12"/>
      <c r="IAL71" s="12"/>
      <c r="IBC71" s="12"/>
      <c r="IBD71" s="12"/>
      <c r="IBU71" s="12"/>
      <c r="IBV71" s="12"/>
      <c r="ICM71" s="12"/>
      <c r="ICN71" s="12"/>
      <c r="IDE71" s="12"/>
      <c r="IDF71" s="12"/>
      <c r="IDW71" s="12"/>
      <c r="IDX71" s="12"/>
      <c r="IEO71" s="12"/>
      <c r="IEP71" s="12"/>
      <c r="IFG71" s="12"/>
      <c r="IFH71" s="12"/>
      <c r="IFY71" s="12"/>
      <c r="IFZ71" s="12"/>
      <c r="IGQ71" s="12"/>
      <c r="IGR71" s="12"/>
      <c r="IHI71" s="12"/>
      <c r="IHJ71" s="12"/>
      <c r="IIA71" s="12"/>
      <c r="IIB71" s="12"/>
      <c r="IIS71" s="12"/>
      <c r="IIT71" s="12"/>
      <c r="IJK71" s="12"/>
      <c r="IJL71" s="12"/>
      <c r="IKC71" s="12"/>
      <c r="IKD71" s="12"/>
      <c r="IKU71" s="12"/>
      <c r="IKV71" s="12"/>
      <c r="ILM71" s="12"/>
      <c r="ILN71" s="12"/>
      <c r="IME71" s="12"/>
      <c r="IMF71" s="12"/>
      <c r="IMW71" s="12"/>
      <c r="IMX71" s="12"/>
      <c r="INO71" s="12"/>
      <c r="INP71" s="12"/>
      <c r="IOG71" s="12"/>
      <c r="IOH71" s="12"/>
      <c r="IOY71" s="12"/>
      <c r="IOZ71" s="12"/>
      <c r="IPQ71" s="12"/>
      <c r="IPR71" s="12"/>
      <c r="IQI71" s="12"/>
      <c r="IQJ71" s="12"/>
      <c r="IRA71" s="12"/>
      <c r="IRB71" s="12"/>
      <c r="IRS71" s="12"/>
      <c r="IRT71" s="12"/>
      <c r="ISK71" s="12"/>
      <c r="ISL71" s="12"/>
      <c r="ITC71" s="12"/>
      <c r="ITD71" s="12"/>
      <c r="ITU71" s="12"/>
      <c r="ITV71" s="12"/>
      <c r="IUM71" s="12"/>
      <c r="IUN71" s="12"/>
      <c r="IVE71" s="12"/>
      <c r="IVF71" s="12"/>
      <c r="IVW71" s="12"/>
      <c r="IVX71" s="12"/>
      <c r="IWO71" s="12"/>
      <c r="IWP71" s="12"/>
      <c r="IXG71" s="12"/>
      <c r="IXH71" s="12"/>
      <c r="IXY71" s="12"/>
      <c r="IXZ71" s="12"/>
      <c r="IYQ71" s="12"/>
      <c r="IYR71" s="12"/>
      <c r="IZI71" s="12"/>
      <c r="IZJ71" s="12"/>
      <c r="JAA71" s="12"/>
      <c r="JAB71" s="12"/>
      <c r="JAS71" s="12"/>
      <c r="JAT71" s="12"/>
      <c r="JBK71" s="12"/>
      <c r="JBL71" s="12"/>
      <c r="JCC71" s="12"/>
      <c r="JCD71" s="12"/>
      <c r="JCU71" s="12"/>
      <c r="JCV71" s="12"/>
      <c r="JDM71" s="12"/>
      <c r="JDN71" s="12"/>
      <c r="JEE71" s="12"/>
      <c r="JEF71" s="12"/>
      <c r="JEW71" s="12"/>
      <c r="JEX71" s="12"/>
      <c r="JFO71" s="12"/>
      <c r="JFP71" s="12"/>
      <c r="JGG71" s="12"/>
      <c r="JGH71" s="12"/>
      <c r="JGY71" s="12"/>
      <c r="JGZ71" s="12"/>
      <c r="JHQ71" s="12"/>
      <c r="JHR71" s="12"/>
      <c r="JII71" s="12"/>
      <c r="JIJ71" s="12"/>
      <c r="JJA71" s="12"/>
      <c r="JJB71" s="12"/>
      <c r="JJS71" s="12"/>
      <c r="JJT71" s="12"/>
      <c r="JKK71" s="12"/>
      <c r="JKL71" s="12"/>
      <c r="JLC71" s="12"/>
      <c r="JLD71" s="12"/>
      <c r="JLU71" s="12"/>
      <c r="JLV71" s="12"/>
      <c r="JMM71" s="12"/>
      <c r="JMN71" s="12"/>
      <c r="JNE71" s="12"/>
      <c r="JNF71" s="12"/>
      <c r="JNW71" s="12"/>
      <c r="JNX71" s="12"/>
      <c r="JOO71" s="12"/>
      <c r="JOP71" s="12"/>
      <c r="JPG71" s="12"/>
      <c r="JPH71" s="12"/>
      <c r="JPY71" s="12"/>
      <c r="JPZ71" s="12"/>
      <c r="JQQ71" s="12"/>
      <c r="JQR71" s="12"/>
      <c r="JRI71" s="12"/>
      <c r="JRJ71" s="12"/>
      <c r="JSA71" s="12"/>
      <c r="JSB71" s="12"/>
      <c r="JSS71" s="12"/>
      <c r="JST71" s="12"/>
      <c r="JTK71" s="12"/>
      <c r="JTL71" s="12"/>
      <c r="JUC71" s="12"/>
      <c r="JUD71" s="12"/>
      <c r="JUU71" s="12"/>
      <c r="JUV71" s="12"/>
      <c r="JVM71" s="12"/>
      <c r="JVN71" s="12"/>
      <c r="JWE71" s="12"/>
      <c r="JWF71" s="12"/>
      <c r="JWW71" s="12"/>
      <c r="JWX71" s="12"/>
      <c r="JXO71" s="12"/>
      <c r="JXP71" s="12"/>
      <c r="JYG71" s="12"/>
      <c r="JYH71" s="12"/>
      <c r="JYY71" s="12"/>
      <c r="JYZ71" s="12"/>
      <c r="JZQ71" s="12"/>
      <c r="JZR71" s="12"/>
      <c r="KAI71" s="12"/>
      <c r="KAJ71" s="12"/>
      <c r="KBA71" s="12"/>
      <c r="KBB71" s="12"/>
      <c r="KBS71" s="12"/>
      <c r="KBT71" s="12"/>
      <c r="KCK71" s="12"/>
      <c r="KCL71" s="12"/>
      <c r="KDC71" s="12"/>
      <c r="KDD71" s="12"/>
      <c r="KDU71" s="12"/>
      <c r="KDV71" s="12"/>
      <c r="KEM71" s="12"/>
      <c r="KEN71" s="12"/>
      <c r="KFE71" s="12"/>
      <c r="KFF71" s="12"/>
      <c r="KFW71" s="12"/>
      <c r="KFX71" s="12"/>
      <c r="KGO71" s="12"/>
      <c r="KGP71" s="12"/>
      <c r="KHG71" s="12"/>
      <c r="KHH71" s="12"/>
      <c r="KHY71" s="12"/>
      <c r="KHZ71" s="12"/>
      <c r="KIQ71" s="12"/>
      <c r="KIR71" s="12"/>
      <c r="KJI71" s="12"/>
      <c r="KJJ71" s="12"/>
      <c r="KKA71" s="12"/>
      <c r="KKB71" s="12"/>
      <c r="KKS71" s="12"/>
      <c r="KKT71" s="12"/>
      <c r="KLK71" s="12"/>
      <c r="KLL71" s="12"/>
      <c r="KMC71" s="12"/>
      <c r="KMD71" s="12"/>
      <c r="KMU71" s="12"/>
      <c r="KMV71" s="12"/>
      <c r="KNM71" s="12"/>
      <c r="KNN71" s="12"/>
      <c r="KOE71" s="12"/>
      <c r="KOF71" s="12"/>
      <c r="KOW71" s="12"/>
      <c r="KOX71" s="12"/>
      <c r="KPO71" s="12"/>
      <c r="KPP71" s="12"/>
      <c r="KQG71" s="12"/>
      <c r="KQH71" s="12"/>
      <c r="KQY71" s="12"/>
      <c r="KQZ71" s="12"/>
      <c r="KRQ71" s="12"/>
      <c r="KRR71" s="12"/>
      <c r="KSI71" s="12"/>
      <c r="KSJ71" s="12"/>
      <c r="KTA71" s="12"/>
      <c r="KTB71" s="12"/>
      <c r="KTS71" s="12"/>
      <c r="KTT71" s="12"/>
      <c r="KUK71" s="12"/>
      <c r="KUL71" s="12"/>
      <c r="KVC71" s="12"/>
      <c r="KVD71" s="12"/>
      <c r="KVU71" s="12"/>
      <c r="KVV71" s="12"/>
      <c r="KWM71" s="12"/>
      <c r="KWN71" s="12"/>
      <c r="KXE71" s="12"/>
      <c r="KXF71" s="12"/>
      <c r="KXW71" s="12"/>
      <c r="KXX71" s="12"/>
      <c r="KYO71" s="12"/>
      <c r="KYP71" s="12"/>
      <c r="KZG71" s="12"/>
      <c r="KZH71" s="12"/>
      <c r="KZY71" s="12"/>
      <c r="KZZ71" s="12"/>
      <c r="LAQ71" s="12"/>
      <c r="LAR71" s="12"/>
      <c r="LBI71" s="12"/>
      <c r="LBJ71" s="12"/>
      <c r="LCA71" s="12"/>
      <c r="LCB71" s="12"/>
      <c r="LCS71" s="12"/>
      <c r="LCT71" s="12"/>
      <c r="LDK71" s="12"/>
      <c r="LDL71" s="12"/>
      <c r="LEC71" s="12"/>
      <c r="LED71" s="12"/>
      <c r="LEU71" s="12"/>
      <c r="LEV71" s="12"/>
      <c r="LFM71" s="12"/>
      <c r="LFN71" s="12"/>
      <c r="LGE71" s="12"/>
      <c r="LGF71" s="12"/>
      <c r="LGW71" s="12"/>
      <c r="LGX71" s="12"/>
      <c r="LHO71" s="12"/>
      <c r="LHP71" s="12"/>
      <c r="LIG71" s="12"/>
      <c r="LIH71" s="12"/>
      <c r="LIY71" s="12"/>
      <c r="LIZ71" s="12"/>
      <c r="LJQ71" s="12"/>
      <c r="LJR71" s="12"/>
      <c r="LKI71" s="12"/>
      <c r="LKJ71" s="12"/>
      <c r="LLA71" s="12"/>
      <c r="LLB71" s="12"/>
      <c r="LLS71" s="12"/>
      <c r="LLT71" s="12"/>
      <c r="LMK71" s="12"/>
      <c r="LML71" s="12"/>
      <c r="LNC71" s="12"/>
      <c r="LND71" s="12"/>
      <c r="LNU71" s="12"/>
      <c r="LNV71" s="12"/>
      <c r="LOM71" s="12"/>
      <c r="LON71" s="12"/>
      <c r="LPE71" s="12"/>
      <c r="LPF71" s="12"/>
      <c r="LPW71" s="12"/>
      <c r="LPX71" s="12"/>
      <c r="LQO71" s="12"/>
      <c r="LQP71" s="12"/>
      <c r="LRG71" s="12"/>
      <c r="LRH71" s="12"/>
      <c r="LRY71" s="12"/>
      <c r="LRZ71" s="12"/>
      <c r="LSQ71" s="12"/>
      <c r="LSR71" s="12"/>
      <c r="LTI71" s="12"/>
      <c r="LTJ71" s="12"/>
      <c r="LUA71" s="12"/>
      <c r="LUB71" s="12"/>
      <c r="LUS71" s="12"/>
      <c r="LUT71" s="12"/>
      <c r="LVK71" s="12"/>
      <c r="LVL71" s="12"/>
      <c r="LWC71" s="12"/>
      <c r="LWD71" s="12"/>
      <c r="LWU71" s="12"/>
      <c r="LWV71" s="12"/>
      <c r="LXM71" s="12"/>
      <c r="LXN71" s="12"/>
      <c r="LYE71" s="12"/>
      <c r="LYF71" s="12"/>
      <c r="LYW71" s="12"/>
      <c r="LYX71" s="12"/>
      <c r="LZO71" s="12"/>
      <c r="LZP71" s="12"/>
      <c r="MAG71" s="12"/>
      <c r="MAH71" s="12"/>
      <c r="MAY71" s="12"/>
      <c r="MAZ71" s="12"/>
      <c r="MBQ71" s="12"/>
      <c r="MBR71" s="12"/>
      <c r="MCI71" s="12"/>
      <c r="MCJ71" s="12"/>
      <c r="MDA71" s="12"/>
      <c r="MDB71" s="12"/>
      <c r="MDS71" s="12"/>
      <c r="MDT71" s="12"/>
      <c r="MEK71" s="12"/>
      <c r="MEL71" s="12"/>
      <c r="MFC71" s="12"/>
      <c r="MFD71" s="12"/>
      <c r="MFU71" s="12"/>
      <c r="MFV71" s="12"/>
      <c r="MGM71" s="12"/>
      <c r="MGN71" s="12"/>
      <c r="MHE71" s="12"/>
      <c r="MHF71" s="12"/>
      <c r="MHW71" s="12"/>
      <c r="MHX71" s="12"/>
      <c r="MIO71" s="12"/>
      <c r="MIP71" s="12"/>
      <c r="MJG71" s="12"/>
      <c r="MJH71" s="12"/>
      <c r="MJY71" s="12"/>
      <c r="MJZ71" s="12"/>
      <c r="MKQ71" s="12"/>
      <c r="MKR71" s="12"/>
      <c r="MLI71" s="12"/>
      <c r="MLJ71" s="12"/>
      <c r="MMA71" s="12"/>
      <c r="MMB71" s="12"/>
      <c r="MMS71" s="12"/>
      <c r="MMT71" s="12"/>
      <c r="MNK71" s="12"/>
      <c r="MNL71" s="12"/>
      <c r="MOC71" s="12"/>
      <c r="MOD71" s="12"/>
      <c r="MOU71" s="12"/>
      <c r="MOV71" s="12"/>
      <c r="MPM71" s="12"/>
      <c r="MPN71" s="12"/>
      <c r="MQE71" s="12"/>
      <c r="MQF71" s="12"/>
      <c r="MQW71" s="12"/>
      <c r="MQX71" s="12"/>
      <c r="MRO71" s="12"/>
      <c r="MRP71" s="12"/>
      <c r="MSG71" s="12"/>
      <c r="MSH71" s="12"/>
      <c r="MSY71" s="12"/>
      <c r="MSZ71" s="12"/>
      <c r="MTQ71" s="12"/>
      <c r="MTR71" s="12"/>
      <c r="MUI71" s="12"/>
      <c r="MUJ71" s="12"/>
      <c r="MVA71" s="12"/>
      <c r="MVB71" s="12"/>
      <c r="MVS71" s="12"/>
      <c r="MVT71" s="12"/>
      <c r="MWK71" s="12"/>
      <c r="MWL71" s="12"/>
      <c r="MXC71" s="12"/>
      <c r="MXD71" s="12"/>
      <c r="MXU71" s="12"/>
      <c r="MXV71" s="12"/>
      <c r="MYM71" s="12"/>
      <c r="MYN71" s="12"/>
      <c r="MZE71" s="12"/>
      <c r="MZF71" s="12"/>
      <c r="MZW71" s="12"/>
      <c r="MZX71" s="12"/>
      <c r="NAO71" s="12"/>
      <c r="NAP71" s="12"/>
      <c r="NBG71" s="12"/>
      <c r="NBH71" s="12"/>
      <c r="NBY71" s="12"/>
      <c r="NBZ71" s="12"/>
      <c r="NCQ71" s="12"/>
      <c r="NCR71" s="12"/>
      <c r="NDI71" s="12"/>
      <c r="NDJ71" s="12"/>
      <c r="NEA71" s="12"/>
      <c r="NEB71" s="12"/>
      <c r="NES71" s="12"/>
      <c r="NET71" s="12"/>
      <c r="NFK71" s="12"/>
      <c r="NFL71" s="12"/>
      <c r="NGC71" s="12"/>
      <c r="NGD71" s="12"/>
      <c r="NGU71" s="12"/>
      <c r="NGV71" s="12"/>
      <c r="NHM71" s="12"/>
      <c r="NHN71" s="12"/>
      <c r="NIE71" s="12"/>
      <c r="NIF71" s="12"/>
      <c r="NIW71" s="12"/>
      <c r="NIX71" s="12"/>
      <c r="NJO71" s="12"/>
      <c r="NJP71" s="12"/>
      <c r="NKG71" s="12"/>
      <c r="NKH71" s="12"/>
      <c r="NKY71" s="12"/>
      <c r="NKZ71" s="12"/>
      <c r="NLQ71" s="12"/>
      <c r="NLR71" s="12"/>
      <c r="NMI71" s="12"/>
      <c r="NMJ71" s="12"/>
      <c r="NNA71" s="12"/>
      <c r="NNB71" s="12"/>
      <c r="NNS71" s="12"/>
      <c r="NNT71" s="12"/>
      <c r="NOK71" s="12"/>
      <c r="NOL71" s="12"/>
      <c r="NPC71" s="12"/>
      <c r="NPD71" s="12"/>
      <c r="NPU71" s="12"/>
      <c r="NPV71" s="12"/>
      <c r="NQM71" s="12"/>
      <c r="NQN71" s="12"/>
      <c r="NRE71" s="12"/>
      <c r="NRF71" s="12"/>
      <c r="NRW71" s="12"/>
      <c r="NRX71" s="12"/>
      <c r="NSO71" s="12"/>
      <c r="NSP71" s="12"/>
      <c r="NTG71" s="12"/>
      <c r="NTH71" s="12"/>
      <c r="NTY71" s="12"/>
      <c r="NTZ71" s="12"/>
      <c r="NUQ71" s="12"/>
      <c r="NUR71" s="12"/>
      <c r="NVI71" s="12"/>
      <c r="NVJ71" s="12"/>
      <c r="NWA71" s="12"/>
      <c r="NWB71" s="12"/>
      <c r="NWS71" s="12"/>
      <c r="NWT71" s="12"/>
      <c r="NXK71" s="12"/>
      <c r="NXL71" s="12"/>
      <c r="NYC71" s="12"/>
      <c r="NYD71" s="12"/>
      <c r="NYU71" s="12"/>
      <c r="NYV71" s="12"/>
      <c r="NZM71" s="12"/>
      <c r="NZN71" s="12"/>
      <c r="OAE71" s="12"/>
      <c r="OAF71" s="12"/>
      <c r="OAW71" s="12"/>
      <c r="OAX71" s="12"/>
      <c r="OBO71" s="12"/>
      <c r="OBP71" s="12"/>
      <c r="OCG71" s="12"/>
      <c r="OCH71" s="12"/>
      <c r="OCY71" s="12"/>
      <c r="OCZ71" s="12"/>
      <c r="ODQ71" s="12"/>
      <c r="ODR71" s="12"/>
      <c r="OEI71" s="12"/>
      <c r="OEJ71" s="12"/>
      <c r="OFA71" s="12"/>
      <c r="OFB71" s="12"/>
      <c r="OFS71" s="12"/>
      <c r="OFT71" s="12"/>
      <c r="OGK71" s="12"/>
      <c r="OGL71" s="12"/>
      <c r="OHC71" s="12"/>
      <c r="OHD71" s="12"/>
      <c r="OHU71" s="12"/>
      <c r="OHV71" s="12"/>
      <c r="OIM71" s="12"/>
      <c r="OIN71" s="12"/>
      <c r="OJE71" s="12"/>
      <c r="OJF71" s="12"/>
      <c r="OJW71" s="12"/>
      <c r="OJX71" s="12"/>
      <c r="OKO71" s="12"/>
      <c r="OKP71" s="12"/>
      <c r="OLG71" s="12"/>
      <c r="OLH71" s="12"/>
      <c r="OLY71" s="12"/>
      <c r="OLZ71" s="12"/>
      <c r="OMQ71" s="12"/>
      <c r="OMR71" s="12"/>
      <c r="ONI71" s="12"/>
      <c r="ONJ71" s="12"/>
      <c r="OOA71" s="12"/>
      <c r="OOB71" s="12"/>
      <c r="OOS71" s="12"/>
      <c r="OOT71" s="12"/>
      <c r="OPK71" s="12"/>
      <c r="OPL71" s="12"/>
      <c r="OQC71" s="12"/>
      <c r="OQD71" s="12"/>
      <c r="OQU71" s="12"/>
      <c r="OQV71" s="12"/>
      <c r="ORM71" s="12"/>
      <c r="ORN71" s="12"/>
      <c r="OSE71" s="12"/>
      <c r="OSF71" s="12"/>
      <c r="OSW71" s="12"/>
      <c r="OSX71" s="12"/>
      <c r="OTO71" s="12"/>
      <c r="OTP71" s="12"/>
      <c r="OUG71" s="12"/>
      <c r="OUH71" s="12"/>
      <c r="OUY71" s="12"/>
      <c r="OUZ71" s="12"/>
      <c r="OVQ71" s="12"/>
      <c r="OVR71" s="12"/>
      <c r="OWI71" s="12"/>
      <c r="OWJ71" s="12"/>
      <c r="OXA71" s="12"/>
      <c r="OXB71" s="12"/>
      <c r="OXS71" s="12"/>
      <c r="OXT71" s="12"/>
      <c r="OYK71" s="12"/>
      <c r="OYL71" s="12"/>
      <c r="OZC71" s="12"/>
      <c r="OZD71" s="12"/>
      <c r="OZU71" s="12"/>
      <c r="OZV71" s="12"/>
      <c r="PAM71" s="12"/>
      <c r="PAN71" s="12"/>
      <c r="PBE71" s="12"/>
      <c r="PBF71" s="12"/>
      <c r="PBW71" s="12"/>
      <c r="PBX71" s="12"/>
      <c r="PCO71" s="12"/>
      <c r="PCP71" s="12"/>
      <c r="PDG71" s="12"/>
      <c r="PDH71" s="12"/>
      <c r="PDY71" s="12"/>
      <c r="PDZ71" s="12"/>
      <c r="PEQ71" s="12"/>
      <c r="PER71" s="12"/>
      <c r="PFI71" s="12"/>
      <c r="PFJ71" s="12"/>
      <c r="PGA71" s="12"/>
      <c r="PGB71" s="12"/>
      <c r="PGS71" s="12"/>
      <c r="PGT71" s="12"/>
      <c r="PHK71" s="12"/>
      <c r="PHL71" s="12"/>
      <c r="PIC71" s="12"/>
      <c r="PID71" s="12"/>
      <c r="PIU71" s="12"/>
      <c r="PIV71" s="12"/>
      <c r="PJM71" s="12"/>
      <c r="PJN71" s="12"/>
      <c r="PKE71" s="12"/>
      <c r="PKF71" s="12"/>
      <c r="PKW71" s="12"/>
      <c r="PKX71" s="12"/>
      <c r="PLO71" s="12"/>
      <c r="PLP71" s="12"/>
      <c r="PMG71" s="12"/>
      <c r="PMH71" s="12"/>
      <c r="PMY71" s="12"/>
      <c r="PMZ71" s="12"/>
      <c r="PNQ71" s="12"/>
      <c r="PNR71" s="12"/>
      <c r="POI71" s="12"/>
      <c r="POJ71" s="12"/>
      <c r="PPA71" s="12"/>
      <c r="PPB71" s="12"/>
      <c r="PPS71" s="12"/>
      <c r="PPT71" s="12"/>
      <c r="PQK71" s="12"/>
      <c r="PQL71" s="12"/>
      <c r="PRC71" s="12"/>
      <c r="PRD71" s="12"/>
      <c r="PRU71" s="12"/>
      <c r="PRV71" s="12"/>
      <c r="PSM71" s="12"/>
      <c r="PSN71" s="12"/>
      <c r="PTE71" s="12"/>
      <c r="PTF71" s="12"/>
      <c r="PTW71" s="12"/>
      <c r="PTX71" s="12"/>
      <c r="PUO71" s="12"/>
      <c r="PUP71" s="12"/>
      <c r="PVG71" s="12"/>
      <c r="PVH71" s="12"/>
      <c r="PVY71" s="12"/>
      <c r="PVZ71" s="12"/>
      <c r="PWQ71" s="12"/>
      <c r="PWR71" s="12"/>
      <c r="PXI71" s="12"/>
      <c r="PXJ71" s="12"/>
      <c r="PYA71" s="12"/>
      <c r="PYB71" s="12"/>
      <c r="PYS71" s="12"/>
      <c r="PYT71" s="12"/>
      <c r="PZK71" s="12"/>
      <c r="PZL71" s="12"/>
      <c r="QAC71" s="12"/>
      <c r="QAD71" s="12"/>
      <c r="QAU71" s="12"/>
      <c r="QAV71" s="12"/>
      <c r="QBM71" s="12"/>
      <c r="QBN71" s="12"/>
      <c r="QCE71" s="12"/>
      <c r="QCF71" s="12"/>
      <c r="QCW71" s="12"/>
      <c r="QCX71" s="12"/>
      <c r="QDO71" s="12"/>
      <c r="QDP71" s="12"/>
      <c r="QEG71" s="12"/>
      <c r="QEH71" s="12"/>
      <c r="QEY71" s="12"/>
      <c r="QEZ71" s="12"/>
      <c r="QFQ71" s="12"/>
      <c r="QFR71" s="12"/>
      <c r="QGI71" s="12"/>
      <c r="QGJ71" s="12"/>
      <c r="QHA71" s="12"/>
      <c r="QHB71" s="12"/>
      <c r="QHS71" s="12"/>
      <c r="QHT71" s="12"/>
      <c r="QIK71" s="12"/>
      <c r="QIL71" s="12"/>
      <c r="QJC71" s="12"/>
      <c r="QJD71" s="12"/>
      <c r="QJU71" s="12"/>
      <c r="QJV71" s="12"/>
      <c r="QKM71" s="12"/>
      <c r="QKN71" s="12"/>
      <c r="QLE71" s="12"/>
      <c r="QLF71" s="12"/>
      <c r="QLW71" s="12"/>
      <c r="QLX71" s="12"/>
      <c r="QMO71" s="12"/>
      <c r="QMP71" s="12"/>
      <c r="QNG71" s="12"/>
      <c r="QNH71" s="12"/>
      <c r="QNY71" s="12"/>
      <c r="QNZ71" s="12"/>
      <c r="QOQ71" s="12"/>
      <c r="QOR71" s="12"/>
      <c r="QPI71" s="12"/>
      <c r="QPJ71" s="12"/>
      <c r="QQA71" s="12"/>
      <c r="QQB71" s="12"/>
      <c r="QQS71" s="12"/>
      <c r="QQT71" s="12"/>
      <c r="QRK71" s="12"/>
      <c r="QRL71" s="12"/>
      <c r="QSC71" s="12"/>
      <c r="QSD71" s="12"/>
      <c r="QSU71" s="12"/>
      <c r="QSV71" s="12"/>
      <c r="QTM71" s="12"/>
      <c r="QTN71" s="12"/>
      <c r="QUE71" s="12"/>
      <c r="QUF71" s="12"/>
      <c r="QUW71" s="12"/>
      <c r="QUX71" s="12"/>
      <c r="QVO71" s="12"/>
      <c r="QVP71" s="12"/>
      <c r="QWG71" s="12"/>
      <c r="QWH71" s="12"/>
      <c r="QWY71" s="12"/>
      <c r="QWZ71" s="12"/>
      <c r="QXQ71" s="12"/>
      <c r="QXR71" s="12"/>
      <c r="QYI71" s="12"/>
      <c r="QYJ71" s="12"/>
      <c r="QZA71" s="12"/>
      <c r="QZB71" s="12"/>
      <c r="QZS71" s="12"/>
      <c r="QZT71" s="12"/>
      <c r="RAK71" s="12"/>
      <c r="RAL71" s="12"/>
      <c r="RBC71" s="12"/>
      <c r="RBD71" s="12"/>
      <c r="RBU71" s="12"/>
      <c r="RBV71" s="12"/>
      <c r="RCM71" s="12"/>
      <c r="RCN71" s="12"/>
      <c r="RDE71" s="12"/>
      <c r="RDF71" s="12"/>
      <c r="RDW71" s="12"/>
      <c r="RDX71" s="12"/>
      <c r="REO71" s="12"/>
      <c r="REP71" s="12"/>
      <c r="RFG71" s="12"/>
      <c r="RFH71" s="12"/>
      <c r="RFY71" s="12"/>
      <c r="RFZ71" s="12"/>
      <c r="RGQ71" s="12"/>
      <c r="RGR71" s="12"/>
      <c r="RHI71" s="12"/>
      <c r="RHJ71" s="12"/>
      <c r="RIA71" s="12"/>
      <c r="RIB71" s="12"/>
      <c r="RIS71" s="12"/>
      <c r="RIT71" s="12"/>
      <c r="RJK71" s="12"/>
      <c r="RJL71" s="12"/>
      <c r="RKC71" s="12"/>
      <c r="RKD71" s="12"/>
      <c r="RKU71" s="12"/>
      <c r="RKV71" s="12"/>
      <c r="RLM71" s="12"/>
      <c r="RLN71" s="12"/>
      <c r="RME71" s="12"/>
      <c r="RMF71" s="12"/>
      <c r="RMW71" s="12"/>
      <c r="RMX71" s="12"/>
      <c r="RNO71" s="12"/>
      <c r="RNP71" s="12"/>
      <c r="ROG71" s="12"/>
      <c r="ROH71" s="12"/>
      <c r="ROY71" s="12"/>
      <c r="ROZ71" s="12"/>
      <c r="RPQ71" s="12"/>
      <c r="RPR71" s="12"/>
      <c r="RQI71" s="12"/>
      <c r="RQJ71" s="12"/>
      <c r="RRA71" s="12"/>
      <c r="RRB71" s="12"/>
      <c r="RRS71" s="12"/>
      <c r="RRT71" s="12"/>
      <c r="RSK71" s="12"/>
      <c r="RSL71" s="12"/>
      <c r="RTC71" s="12"/>
      <c r="RTD71" s="12"/>
      <c r="RTU71" s="12"/>
      <c r="RTV71" s="12"/>
      <c r="RUM71" s="12"/>
      <c r="RUN71" s="12"/>
      <c r="RVE71" s="12"/>
      <c r="RVF71" s="12"/>
      <c r="RVW71" s="12"/>
      <c r="RVX71" s="12"/>
      <c r="RWO71" s="12"/>
      <c r="RWP71" s="12"/>
      <c r="RXG71" s="12"/>
      <c r="RXH71" s="12"/>
      <c r="RXY71" s="12"/>
      <c r="RXZ71" s="12"/>
      <c r="RYQ71" s="12"/>
      <c r="RYR71" s="12"/>
      <c r="RZI71" s="12"/>
      <c r="RZJ71" s="12"/>
      <c r="SAA71" s="12"/>
      <c r="SAB71" s="12"/>
      <c r="SAS71" s="12"/>
      <c r="SAT71" s="12"/>
      <c r="SBK71" s="12"/>
      <c r="SBL71" s="12"/>
      <c r="SCC71" s="12"/>
      <c r="SCD71" s="12"/>
      <c r="SCU71" s="12"/>
      <c r="SCV71" s="12"/>
      <c r="SDM71" s="12"/>
      <c r="SDN71" s="12"/>
      <c r="SEE71" s="12"/>
      <c r="SEF71" s="12"/>
      <c r="SEW71" s="12"/>
      <c r="SEX71" s="12"/>
      <c r="SFO71" s="12"/>
      <c r="SFP71" s="12"/>
      <c r="SGG71" s="12"/>
      <c r="SGH71" s="12"/>
      <c r="SGY71" s="12"/>
      <c r="SGZ71" s="12"/>
      <c r="SHQ71" s="12"/>
      <c r="SHR71" s="12"/>
      <c r="SII71" s="12"/>
      <c r="SIJ71" s="12"/>
      <c r="SJA71" s="12"/>
      <c r="SJB71" s="12"/>
      <c r="SJS71" s="12"/>
      <c r="SJT71" s="12"/>
      <c r="SKK71" s="12"/>
      <c r="SKL71" s="12"/>
      <c r="SLC71" s="12"/>
      <c r="SLD71" s="12"/>
      <c r="SLU71" s="12"/>
      <c r="SLV71" s="12"/>
      <c r="SMM71" s="12"/>
      <c r="SMN71" s="12"/>
      <c r="SNE71" s="12"/>
      <c r="SNF71" s="12"/>
      <c r="SNW71" s="12"/>
      <c r="SNX71" s="12"/>
      <c r="SOO71" s="12"/>
      <c r="SOP71" s="12"/>
      <c r="SPG71" s="12"/>
      <c r="SPH71" s="12"/>
      <c r="SPY71" s="12"/>
      <c r="SPZ71" s="12"/>
      <c r="SQQ71" s="12"/>
      <c r="SQR71" s="12"/>
      <c r="SRI71" s="12"/>
      <c r="SRJ71" s="12"/>
      <c r="SSA71" s="12"/>
      <c r="SSB71" s="12"/>
      <c r="SSS71" s="12"/>
      <c r="SST71" s="12"/>
      <c r="STK71" s="12"/>
      <c r="STL71" s="12"/>
      <c r="SUC71" s="12"/>
      <c r="SUD71" s="12"/>
      <c r="SUU71" s="12"/>
      <c r="SUV71" s="12"/>
      <c r="SVM71" s="12"/>
      <c r="SVN71" s="12"/>
      <c r="SWE71" s="12"/>
      <c r="SWF71" s="12"/>
      <c r="SWW71" s="12"/>
      <c r="SWX71" s="12"/>
      <c r="SXO71" s="12"/>
      <c r="SXP71" s="12"/>
      <c r="SYG71" s="12"/>
      <c r="SYH71" s="12"/>
      <c r="SYY71" s="12"/>
      <c r="SYZ71" s="12"/>
      <c r="SZQ71" s="12"/>
      <c r="SZR71" s="12"/>
      <c r="TAI71" s="12"/>
      <c r="TAJ71" s="12"/>
      <c r="TBA71" s="12"/>
      <c r="TBB71" s="12"/>
      <c r="TBS71" s="12"/>
      <c r="TBT71" s="12"/>
      <c r="TCK71" s="12"/>
      <c r="TCL71" s="12"/>
      <c r="TDC71" s="12"/>
      <c r="TDD71" s="12"/>
      <c r="TDU71" s="12"/>
      <c r="TDV71" s="12"/>
      <c r="TEM71" s="12"/>
      <c r="TEN71" s="12"/>
      <c r="TFE71" s="12"/>
      <c r="TFF71" s="12"/>
      <c r="TFW71" s="12"/>
      <c r="TFX71" s="12"/>
      <c r="TGO71" s="12"/>
      <c r="TGP71" s="12"/>
      <c r="THG71" s="12"/>
      <c r="THH71" s="12"/>
      <c r="THY71" s="12"/>
      <c r="THZ71" s="12"/>
      <c r="TIQ71" s="12"/>
      <c r="TIR71" s="12"/>
      <c r="TJI71" s="12"/>
      <c r="TJJ71" s="12"/>
      <c r="TKA71" s="12"/>
      <c r="TKB71" s="12"/>
      <c r="TKS71" s="12"/>
      <c r="TKT71" s="12"/>
      <c r="TLK71" s="12"/>
      <c r="TLL71" s="12"/>
      <c r="TMC71" s="12"/>
      <c r="TMD71" s="12"/>
      <c r="TMU71" s="12"/>
      <c r="TMV71" s="12"/>
      <c r="TNM71" s="12"/>
      <c r="TNN71" s="12"/>
      <c r="TOE71" s="12"/>
      <c r="TOF71" s="12"/>
      <c r="TOW71" s="12"/>
      <c r="TOX71" s="12"/>
      <c r="TPO71" s="12"/>
      <c r="TPP71" s="12"/>
      <c r="TQG71" s="12"/>
      <c r="TQH71" s="12"/>
      <c r="TQY71" s="12"/>
      <c r="TQZ71" s="12"/>
      <c r="TRQ71" s="12"/>
      <c r="TRR71" s="12"/>
      <c r="TSI71" s="12"/>
      <c r="TSJ71" s="12"/>
      <c r="TTA71" s="12"/>
      <c r="TTB71" s="12"/>
      <c r="TTS71" s="12"/>
      <c r="TTT71" s="12"/>
      <c r="TUK71" s="12"/>
      <c r="TUL71" s="12"/>
      <c r="TVC71" s="12"/>
      <c r="TVD71" s="12"/>
      <c r="TVU71" s="12"/>
      <c r="TVV71" s="12"/>
      <c r="TWM71" s="12"/>
      <c r="TWN71" s="12"/>
      <c r="TXE71" s="12"/>
      <c r="TXF71" s="12"/>
      <c r="TXW71" s="12"/>
      <c r="TXX71" s="12"/>
      <c r="TYO71" s="12"/>
      <c r="TYP71" s="12"/>
      <c r="TZG71" s="12"/>
      <c r="TZH71" s="12"/>
      <c r="TZY71" s="12"/>
      <c r="TZZ71" s="12"/>
      <c r="UAQ71" s="12"/>
      <c r="UAR71" s="12"/>
      <c r="UBI71" s="12"/>
      <c r="UBJ71" s="12"/>
      <c r="UCA71" s="12"/>
      <c r="UCB71" s="12"/>
      <c r="UCS71" s="12"/>
      <c r="UCT71" s="12"/>
      <c r="UDK71" s="12"/>
      <c r="UDL71" s="12"/>
      <c r="UEC71" s="12"/>
      <c r="UED71" s="12"/>
      <c r="UEU71" s="12"/>
      <c r="UEV71" s="12"/>
      <c r="UFM71" s="12"/>
      <c r="UFN71" s="12"/>
      <c r="UGE71" s="12"/>
      <c r="UGF71" s="12"/>
      <c r="UGW71" s="12"/>
      <c r="UGX71" s="12"/>
      <c r="UHO71" s="12"/>
      <c r="UHP71" s="12"/>
      <c r="UIG71" s="12"/>
      <c r="UIH71" s="12"/>
      <c r="UIY71" s="12"/>
      <c r="UIZ71" s="12"/>
      <c r="UJQ71" s="12"/>
      <c r="UJR71" s="12"/>
      <c r="UKI71" s="12"/>
      <c r="UKJ71" s="12"/>
      <c r="ULA71" s="12"/>
      <c r="ULB71" s="12"/>
      <c r="ULS71" s="12"/>
      <c r="ULT71" s="12"/>
      <c r="UMK71" s="12"/>
      <c r="UML71" s="12"/>
      <c r="UNC71" s="12"/>
      <c r="UND71" s="12"/>
      <c r="UNU71" s="12"/>
      <c r="UNV71" s="12"/>
      <c r="UOM71" s="12"/>
      <c r="UON71" s="12"/>
      <c r="UPE71" s="12"/>
      <c r="UPF71" s="12"/>
      <c r="UPW71" s="12"/>
      <c r="UPX71" s="12"/>
      <c r="UQO71" s="12"/>
      <c r="UQP71" s="12"/>
      <c r="URG71" s="12"/>
      <c r="URH71" s="12"/>
      <c r="URY71" s="12"/>
      <c r="URZ71" s="12"/>
      <c r="USQ71" s="12"/>
      <c r="USR71" s="12"/>
      <c r="UTI71" s="12"/>
      <c r="UTJ71" s="12"/>
      <c r="UUA71" s="12"/>
      <c r="UUB71" s="12"/>
      <c r="UUS71" s="12"/>
      <c r="UUT71" s="12"/>
      <c r="UVK71" s="12"/>
      <c r="UVL71" s="12"/>
      <c r="UWC71" s="12"/>
      <c r="UWD71" s="12"/>
      <c r="UWU71" s="12"/>
      <c r="UWV71" s="12"/>
      <c r="UXM71" s="12"/>
      <c r="UXN71" s="12"/>
      <c r="UYE71" s="12"/>
      <c r="UYF71" s="12"/>
      <c r="UYW71" s="12"/>
      <c r="UYX71" s="12"/>
      <c r="UZO71" s="12"/>
      <c r="UZP71" s="12"/>
      <c r="VAG71" s="12"/>
      <c r="VAH71" s="12"/>
      <c r="VAY71" s="12"/>
      <c r="VAZ71" s="12"/>
      <c r="VBQ71" s="12"/>
      <c r="VBR71" s="12"/>
      <c r="VCI71" s="12"/>
      <c r="VCJ71" s="12"/>
      <c r="VDA71" s="12"/>
      <c r="VDB71" s="12"/>
      <c r="VDS71" s="12"/>
      <c r="VDT71" s="12"/>
      <c r="VEK71" s="12"/>
      <c r="VEL71" s="12"/>
      <c r="VFC71" s="12"/>
      <c r="VFD71" s="12"/>
      <c r="VFU71" s="12"/>
      <c r="VFV71" s="12"/>
      <c r="VGM71" s="12"/>
      <c r="VGN71" s="12"/>
      <c r="VHE71" s="12"/>
      <c r="VHF71" s="12"/>
      <c r="VHW71" s="12"/>
      <c r="VHX71" s="12"/>
      <c r="VIO71" s="12"/>
      <c r="VIP71" s="12"/>
      <c r="VJG71" s="12"/>
      <c r="VJH71" s="12"/>
      <c r="VJY71" s="12"/>
      <c r="VJZ71" s="12"/>
      <c r="VKQ71" s="12"/>
      <c r="VKR71" s="12"/>
      <c r="VLI71" s="12"/>
      <c r="VLJ71" s="12"/>
      <c r="VMA71" s="12"/>
      <c r="VMB71" s="12"/>
      <c r="VMS71" s="12"/>
      <c r="VMT71" s="12"/>
      <c r="VNK71" s="12"/>
      <c r="VNL71" s="12"/>
      <c r="VOC71" s="12"/>
      <c r="VOD71" s="12"/>
      <c r="VOU71" s="12"/>
      <c r="VOV71" s="12"/>
      <c r="VPM71" s="12"/>
      <c r="VPN71" s="12"/>
      <c r="VQE71" s="12"/>
      <c r="VQF71" s="12"/>
      <c r="VQW71" s="12"/>
      <c r="VQX71" s="12"/>
      <c r="VRO71" s="12"/>
      <c r="VRP71" s="12"/>
      <c r="VSG71" s="12"/>
      <c r="VSH71" s="12"/>
      <c r="VSY71" s="12"/>
      <c r="VSZ71" s="12"/>
      <c r="VTQ71" s="12"/>
      <c r="VTR71" s="12"/>
      <c r="VUI71" s="12"/>
      <c r="VUJ71" s="12"/>
      <c r="VVA71" s="12"/>
      <c r="VVB71" s="12"/>
      <c r="VVS71" s="12"/>
      <c r="VVT71" s="12"/>
      <c r="VWK71" s="12"/>
      <c r="VWL71" s="12"/>
      <c r="VXC71" s="12"/>
      <c r="VXD71" s="12"/>
      <c r="VXU71" s="12"/>
      <c r="VXV71" s="12"/>
      <c r="VYM71" s="12"/>
      <c r="VYN71" s="12"/>
      <c r="VZE71" s="12"/>
      <c r="VZF71" s="12"/>
      <c r="VZW71" s="12"/>
      <c r="VZX71" s="12"/>
      <c r="WAO71" s="12"/>
      <c r="WAP71" s="12"/>
      <c r="WBG71" s="12"/>
      <c r="WBH71" s="12"/>
      <c r="WBY71" s="12"/>
      <c r="WBZ71" s="12"/>
      <c r="WCQ71" s="12"/>
      <c r="WCR71" s="12"/>
      <c r="WDI71" s="12"/>
      <c r="WDJ71" s="12"/>
      <c r="WEA71" s="12"/>
      <c r="WEB71" s="12"/>
      <c r="WES71" s="12"/>
      <c r="WET71" s="12"/>
      <c r="WFK71" s="12"/>
      <c r="WFL71" s="12"/>
      <c r="WGC71" s="12"/>
      <c r="WGD71" s="12"/>
      <c r="WGU71" s="12"/>
      <c r="WGV71" s="12"/>
      <c r="WHM71" s="12"/>
      <c r="WHN71" s="12"/>
      <c r="WIE71" s="12"/>
      <c r="WIF71" s="12"/>
      <c r="WIW71" s="12"/>
      <c r="WIX71" s="12"/>
      <c r="WJO71" s="12"/>
      <c r="WJP71" s="12"/>
      <c r="WKG71" s="12"/>
      <c r="WKH71" s="12"/>
      <c r="WKY71" s="12"/>
      <c r="WKZ71" s="12"/>
      <c r="WLQ71" s="12"/>
      <c r="WLR71" s="12"/>
      <c r="WMI71" s="12"/>
      <c r="WMJ71" s="12"/>
      <c r="WNA71" s="12"/>
      <c r="WNB71" s="12"/>
      <c r="WNS71" s="12"/>
      <c r="WNT71" s="12"/>
      <c r="WOK71" s="12"/>
      <c r="WOL71" s="12"/>
      <c r="WPC71" s="12"/>
      <c r="WPD71" s="12"/>
      <c r="WPU71" s="12"/>
      <c r="WPV71" s="12"/>
      <c r="WQM71" s="12"/>
      <c r="WQN71" s="12"/>
      <c r="WRE71" s="12"/>
      <c r="WRF71" s="12"/>
      <c r="WRW71" s="12"/>
      <c r="WRX71" s="12"/>
      <c r="WSO71" s="12"/>
      <c r="WSP71" s="12"/>
      <c r="WTG71" s="12"/>
      <c r="WTH71" s="12"/>
      <c r="WTY71" s="12"/>
      <c r="WTZ71" s="12"/>
      <c r="WUQ71" s="12"/>
      <c r="WUR71" s="12"/>
      <c r="WVI71" s="12"/>
      <c r="WVJ71" s="12"/>
      <c r="WWA71" s="12"/>
      <c r="WWB71" s="12"/>
      <c r="WWS71" s="12"/>
      <c r="WWT71" s="12"/>
      <c r="WXK71" s="12"/>
      <c r="WXL71" s="12"/>
      <c r="WYC71" s="12"/>
      <c r="WYD71" s="12"/>
      <c r="WYU71" s="12"/>
      <c r="WYV71" s="12"/>
      <c r="WZM71" s="12"/>
      <c r="WZN71" s="12"/>
      <c r="XAE71" s="12"/>
      <c r="XAF71" s="12"/>
      <c r="XAW71" s="12"/>
      <c r="XAX71" s="12"/>
      <c r="XBO71" s="12"/>
      <c r="XBP71" s="12"/>
      <c r="XCG71" s="12"/>
      <c r="XCH71" s="12"/>
      <c r="XCY71" s="12"/>
      <c r="XCZ71" s="12"/>
      <c r="XDQ71" s="12"/>
      <c r="XDR71" s="12"/>
      <c r="XEI71" s="12"/>
      <c r="XEJ71" s="12"/>
      <c r="XFA71" s="12"/>
      <c r="XFB71" s="12"/>
    </row>
    <row r="72" spans="1:1010 1027:2036 2053:3062 3079:4088 4105:5114 5131:6140 6157:7166 7183:8192 8209:9200 9217:10226 10243:11252 11269:12278 12295:13304 13321:14330 14347:15356 15373:16382" s="11" customFormat="1" x14ac:dyDescent="0.35">
      <c r="A72" s="181" t="str">
        <f>'Balance Sheet - Standardized'!A74</f>
        <v xml:space="preserve">    + ST Borrowings</v>
      </c>
      <c r="B72" s="13" t="str">
        <f>'Balance Sheet - Standardized'!B74</f>
        <v>SHORT_TERM_DEBT_DETAILED</v>
      </c>
      <c r="C72" s="77">
        <f>IF('Balance Sheet - Standardized'!C74="",0,'Balance Sheet - Standardized'!C74)/'Balance Sheet - Standardized'!C$106</f>
        <v>0</v>
      </c>
      <c r="D72" s="77">
        <f>IF('Balance Sheet - Standardized'!D74="",0,'Balance Sheet - Standardized'!D74)/'Balance Sheet - Standardized'!D$106</f>
        <v>0</v>
      </c>
      <c r="E72" s="77">
        <f>IF('Balance Sheet - Standardized'!E74="",0,'Balance Sheet - Standardized'!E74)/'Balance Sheet - Standardized'!E$106</f>
        <v>0</v>
      </c>
      <c r="F72" s="77">
        <f>IF('Balance Sheet - Standardized'!F74="",0,'Balance Sheet - Standardized'!F74)/'Balance Sheet - Standardized'!F$106</f>
        <v>0</v>
      </c>
      <c r="G72" s="77">
        <f>IF('Balance Sheet - Standardized'!G74="",0,'Balance Sheet - Standardized'!G74)/'Balance Sheet - Standardized'!G$106</f>
        <v>0</v>
      </c>
      <c r="H72" s="77">
        <f>IF('Balance Sheet - Standardized'!H74="",0,'Balance Sheet - Standardized'!H74)/'Balance Sheet - Standardized'!H$106</f>
        <v>0</v>
      </c>
      <c r="I72" s="77">
        <f>IF('Balance Sheet - Standardized'!I74="",0,'Balance Sheet - Standardized'!I74)/'Balance Sheet - Standardized'!I$106</f>
        <v>0</v>
      </c>
      <c r="J72" s="77">
        <f>IF('Balance Sheet - Standardized'!J74="",0,'Balance Sheet - Standardized'!J74)/'Balance Sheet - Standardized'!J$106</f>
        <v>0</v>
      </c>
      <c r="K72" s="77">
        <f>IF('Balance Sheet - Standardized'!K74="",0,'Balance Sheet - Standardized'!K74)/'Balance Sheet - Standardized'!K$106</f>
        <v>0</v>
      </c>
      <c r="L72" s="77">
        <f>IF('Balance Sheet - Standardized'!L74="",0,'Balance Sheet - Standardized'!L74)/'Balance Sheet - Standardized'!L$106</f>
        <v>0</v>
      </c>
      <c r="M72" s="106"/>
      <c r="N72" s="106"/>
      <c r="O72" s="106"/>
      <c r="P72" s="106"/>
      <c r="Q72" s="106"/>
      <c r="R72" s="106"/>
      <c r="S72" s="78"/>
      <c r="T72" s="78"/>
      <c r="U72" s="106"/>
      <c r="V72" s="106"/>
      <c r="W72" s="106"/>
      <c r="X72" s="106"/>
      <c r="Y72" s="106"/>
      <c r="Z72" s="106"/>
      <c r="AA72" s="106"/>
      <c r="AB72" s="106"/>
      <c r="AC72" s="106"/>
      <c r="AD72" s="106"/>
      <c r="AE72" s="106"/>
      <c r="AF72" s="106"/>
      <c r="AG72" s="106"/>
      <c r="AH72" s="106"/>
      <c r="AI72" s="106"/>
      <c r="AJ72" s="106"/>
      <c r="AK72" s="78"/>
      <c r="AL72" s="78"/>
      <c r="AM72" s="106"/>
      <c r="AN72" s="106"/>
      <c r="AO72" s="106"/>
      <c r="AP72" s="106"/>
      <c r="AQ72" s="106"/>
      <c r="AR72" s="106"/>
      <c r="AS72" s="106"/>
      <c r="AT72" s="106"/>
      <c r="AU72" s="106"/>
      <c r="AV72" s="106"/>
      <c r="AW72" s="106"/>
      <c r="AX72" s="106"/>
      <c r="AY72" s="106"/>
      <c r="AZ72" s="106"/>
      <c r="BA72" s="106"/>
      <c r="BB72" s="106"/>
      <c r="BC72" s="78"/>
      <c r="BD72" s="78"/>
      <c r="BE72" s="106"/>
      <c r="BF72" s="106"/>
      <c r="BG72" s="106"/>
      <c r="BH72" s="106"/>
      <c r="BI72" s="106"/>
      <c r="BJ72" s="106"/>
      <c r="BU72" s="12"/>
      <c r="BV72" s="12"/>
      <c r="CM72" s="12"/>
      <c r="CN72" s="12"/>
      <c r="DE72" s="12"/>
      <c r="DF72" s="12"/>
      <c r="DW72" s="12"/>
      <c r="DX72" s="12"/>
      <c r="EO72" s="12"/>
      <c r="EP72" s="12"/>
      <c r="FG72" s="12"/>
      <c r="FH72" s="12"/>
      <c r="FY72" s="12"/>
      <c r="FZ72" s="12"/>
      <c r="GQ72" s="12"/>
      <c r="GR72" s="12"/>
      <c r="HI72" s="12"/>
      <c r="HJ72" s="12"/>
      <c r="IA72" s="12"/>
      <c r="IB72" s="12"/>
      <c r="IS72" s="12"/>
      <c r="IT72" s="12"/>
      <c r="JK72" s="12"/>
      <c r="JL72" s="12"/>
      <c r="KC72" s="12"/>
      <c r="KD72" s="12"/>
      <c r="KU72" s="12"/>
      <c r="KV72" s="12"/>
      <c r="LM72" s="12"/>
      <c r="LN72" s="12"/>
      <c r="ME72" s="12"/>
      <c r="MF72" s="12"/>
      <c r="MW72" s="12"/>
      <c r="MX72" s="12"/>
      <c r="NO72" s="12"/>
      <c r="NP72" s="12"/>
      <c r="OG72" s="12"/>
      <c r="OH72" s="12"/>
      <c r="OY72" s="12"/>
      <c r="OZ72" s="12"/>
      <c r="PQ72" s="12"/>
      <c r="PR72" s="12"/>
      <c r="QI72" s="12"/>
      <c r="QJ72" s="12"/>
      <c r="RA72" s="12"/>
      <c r="RB72" s="12"/>
      <c r="RS72" s="12"/>
      <c r="RT72" s="12"/>
      <c r="SK72" s="12"/>
      <c r="SL72" s="12"/>
      <c r="TC72" s="12"/>
      <c r="TD72" s="12"/>
      <c r="TU72" s="12"/>
      <c r="TV72" s="12"/>
      <c r="UM72" s="12"/>
      <c r="UN72" s="12"/>
      <c r="VE72" s="12"/>
      <c r="VF72" s="12"/>
      <c r="VW72" s="12"/>
      <c r="VX72" s="12"/>
      <c r="WO72" s="12"/>
      <c r="WP72" s="12"/>
      <c r="XG72" s="12"/>
      <c r="XH72" s="12"/>
      <c r="XY72" s="12"/>
      <c r="XZ72" s="12"/>
      <c r="YQ72" s="12"/>
      <c r="YR72" s="12"/>
      <c r="ZI72" s="12"/>
      <c r="ZJ72" s="12"/>
      <c r="AAA72" s="12"/>
      <c r="AAB72" s="12"/>
      <c r="AAS72" s="12"/>
      <c r="AAT72" s="12"/>
      <c r="ABK72" s="12"/>
      <c r="ABL72" s="12"/>
      <c r="ACC72" s="12"/>
      <c r="ACD72" s="12"/>
      <c r="ACU72" s="12"/>
      <c r="ACV72" s="12"/>
      <c r="ADM72" s="12"/>
      <c r="ADN72" s="12"/>
      <c r="AEE72" s="12"/>
      <c r="AEF72" s="12"/>
      <c r="AEW72" s="12"/>
      <c r="AEX72" s="12"/>
      <c r="AFO72" s="12"/>
      <c r="AFP72" s="12"/>
      <c r="AGG72" s="12"/>
      <c r="AGH72" s="12"/>
      <c r="AGY72" s="12"/>
      <c r="AGZ72" s="12"/>
      <c r="AHQ72" s="12"/>
      <c r="AHR72" s="12"/>
      <c r="AII72" s="12"/>
      <c r="AIJ72" s="12"/>
      <c r="AJA72" s="12"/>
      <c r="AJB72" s="12"/>
      <c r="AJS72" s="12"/>
      <c r="AJT72" s="12"/>
      <c r="AKK72" s="12"/>
      <c r="AKL72" s="12"/>
      <c r="ALC72" s="12"/>
      <c r="ALD72" s="12"/>
      <c r="ALU72" s="12"/>
      <c r="ALV72" s="12"/>
      <c r="AMM72" s="12"/>
      <c r="AMN72" s="12"/>
      <c r="ANE72" s="12"/>
      <c r="ANF72" s="12"/>
      <c r="ANW72" s="12"/>
      <c r="ANX72" s="12"/>
      <c r="AOO72" s="12"/>
      <c r="AOP72" s="12"/>
      <c r="APG72" s="12"/>
      <c r="APH72" s="12"/>
      <c r="APY72" s="12"/>
      <c r="APZ72" s="12"/>
      <c r="AQQ72" s="12"/>
      <c r="AQR72" s="12"/>
      <c r="ARI72" s="12"/>
      <c r="ARJ72" s="12"/>
      <c r="ASA72" s="12"/>
      <c r="ASB72" s="12"/>
      <c r="ASS72" s="12"/>
      <c r="AST72" s="12"/>
      <c r="ATK72" s="12"/>
      <c r="ATL72" s="12"/>
      <c r="AUC72" s="12"/>
      <c r="AUD72" s="12"/>
      <c r="AUU72" s="12"/>
      <c r="AUV72" s="12"/>
      <c r="AVM72" s="12"/>
      <c r="AVN72" s="12"/>
      <c r="AWE72" s="12"/>
      <c r="AWF72" s="12"/>
      <c r="AWW72" s="12"/>
      <c r="AWX72" s="12"/>
      <c r="AXO72" s="12"/>
      <c r="AXP72" s="12"/>
      <c r="AYG72" s="12"/>
      <c r="AYH72" s="12"/>
      <c r="AYY72" s="12"/>
      <c r="AYZ72" s="12"/>
      <c r="AZQ72" s="12"/>
      <c r="AZR72" s="12"/>
      <c r="BAI72" s="12"/>
      <c r="BAJ72" s="12"/>
      <c r="BBA72" s="12"/>
      <c r="BBB72" s="12"/>
      <c r="BBS72" s="12"/>
      <c r="BBT72" s="12"/>
      <c r="BCK72" s="12"/>
      <c r="BCL72" s="12"/>
      <c r="BDC72" s="12"/>
      <c r="BDD72" s="12"/>
      <c r="BDU72" s="12"/>
      <c r="BDV72" s="12"/>
      <c r="BEM72" s="12"/>
      <c r="BEN72" s="12"/>
      <c r="BFE72" s="12"/>
      <c r="BFF72" s="12"/>
      <c r="BFW72" s="12"/>
      <c r="BFX72" s="12"/>
      <c r="BGO72" s="12"/>
      <c r="BGP72" s="12"/>
      <c r="BHG72" s="12"/>
      <c r="BHH72" s="12"/>
      <c r="BHY72" s="12"/>
      <c r="BHZ72" s="12"/>
      <c r="BIQ72" s="12"/>
      <c r="BIR72" s="12"/>
      <c r="BJI72" s="12"/>
      <c r="BJJ72" s="12"/>
      <c r="BKA72" s="12"/>
      <c r="BKB72" s="12"/>
      <c r="BKS72" s="12"/>
      <c r="BKT72" s="12"/>
      <c r="BLK72" s="12"/>
      <c r="BLL72" s="12"/>
      <c r="BMC72" s="12"/>
      <c r="BMD72" s="12"/>
      <c r="BMU72" s="12"/>
      <c r="BMV72" s="12"/>
      <c r="BNM72" s="12"/>
      <c r="BNN72" s="12"/>
      <c r="BOE72" s="12"/>
      <c r="BOF72" s="12"/>
      <c r="BOW72" s="12"/>
      <c r="BOX72" s="12"/>
      <c r="BPO72" s="12"/>
      <c r="BPP72" s="12"/>
      <c r="BQG72" s="12"/>
      <c r="BQH72" s="12"/>
      <c r="BQY72" s="12"/>
      <c r="BQZ72" s="12"/>
      <c r="BRQ72" s="12"/>
      <c r="BRR72" s="12"/>
      <c r="BSI72" s="12"/>
      <c r="BSJ72" s="12"/>
      <c r="BTA72" s="12"/>
      <c r="BTB72" s="12"/>
      <c r="BTS72" s="12"/>
      <c r="BTT72" s="12"/>
      <c r="BUK72" s="12"/>
      <c r="BUL72" s="12"/>
      <c r="BVC72" s="12"/>
      <c r="BVD72" s="12"/>
      <c r="BVU72" s="12"/>
      <c r="BVV72" s="12"/>
      <c r="BWM72" s="12"/>
      <c r="BWN72" s="12"/>
      <c r="BXE72" s="12"/>
      <c r="BXF72" s="12"/>
      <c r="BXW72" s="12"/>
      <c r="BXX72" s="12"/>
      <c r="BYO72" s="12"/>
      <c r="BYP72" s="12"/>
      <c r="BZG72" s="12"/>
      <c r="BZH72" s="12"/>
      <c r="BZY72" s="12"/>
      <c r="BZZ72" s="12"/>
      <c r="CAQ72" s="12"/>
      <c r="CAR72" s="12"/>
      <c r="CBI72" s="12"/>
      <c r="CBJ72" s="12"/>
      <c r="CCA72" s="12"/>
      <c r="CCB72" s="12"/>
      <c r="CCS72" s="12"/>
      <c r="CCT72" s="12"/>
      <c r="CDK72" s="12"/>
      <c r="CDL72" s="12"/>
      <c r="CEC72" s="12"/>
      <c r="CED72" s="12"/>
      <c r="CEU72" s="12"/>
      <c r="CEV72" s="12"/>
      <c r="CFM72" s="12"/>
      <c r="CFN72" s="12"/>
      <c r="CGE72" s="12"/>
      <c r="CGF72" s="12"/>
      <c r="CGW72" s="12"/>
      <c r="CGX72" s="12"/>
      <c r="CHO72" s="12"/>
      <c r="CHP72" s="12"/>
      <c r="CIG72" s="12"/>
      <c r="CIH72" s="12"/>
      <c r="CIY72" s="12"/>
      <c r="CIZ72" s="12"/>
      <c r="CJQ72" s="12"/>
      <c r="CJR72" s="12"/>
      <c r="CKI72" s="12"/>
      <c r="CKJ72" s="12"/>
      <c r="CLA72" s="12"/>
      <c r="CLB72" s="12"/>
      <c r="CLS72" s="12"/>
      <c r="CLT72" s="12"/>
      <c r="CMK72" s="12"/>
      <c r="CML72" s="12"/>
      <c r="CNC72" s="12"/>
      <c r="CND72" s="12"/>
      <c r="CNU72" s="12"/>
      <c r="CNV72" s="12"/>
      <c r="COM72" s="12"/>
      <c r="CON72" s="12"/>
      <c r="CPE72" s="12"/>
      <c r="CPF72" s="12"/>
      <c r="CPW72" s="12"/>
      <c r="CPX72" s="12"/>
      <c r="CQO72" s="12"/>
      <c r="CQP72" s="12"/>
      <c r="CRG72" s="12"/>
      <c r="CRH72" s="12"/>
      <c r="CRY72" s="12"/>
      <c r="CRZ72" s="12"/>
      <c r="CSQ72" s="12"/>
      <c r="CSR72" s="12"/>
      <c r="CTI72" s="12"/>
      <c r="CTJ72" s="12"/>
      <c r="CUA72" s="12"/>
      <c r="CUB72" s="12"/>
      <c r="CUS72" s="12"/>
      <c r="CUT72" s="12"/>
      <c r="CVK72" s="12"/>
      <c r="CVL72" s="12"/>
      <c r="CWC72" s="12"/>
      <c r="CWD72" s="12"/>
      <c r="CWU72" s="12"/>
      <c r="CWV72" s="12"/>
      <c r="CXM72" s="12"/>
      <c r="CXN72" s="12"/>
      <c r="CYE72" s="12"/>
      <c r="CYF72" s="12"/>
      <c r="CYW72" s="12"/>
      <c r="CYX72" s="12"/>
      <c r="CZO72" s="12"/>
      <c r="CZP72" s="12"/>
      <c r="DAG72" s="12"/>
      <c r="DAH72" s="12"/>
      <c r="DAY72" s="12"/>
      <c r="DAZ72" s="12"/>
      <c r="DBQ72" s="12"/>
      <c r="DBR72" s="12"/>
      <c r="DCI72" s="12"/>
      <c r="DCJ72" s="12"/>
      <c r="DDA72" s="12"/>
      <c r="DDB72" s="12"/>
      <c r="DDS72" s="12"/>
      <c r="DDT72" s="12"/>
      <c r="DEK72" s="12"/>
      <c r="DEL72" s="12"/>
      <c r="DFC72" s="12"/>
      <c r="DFD72" s="12"/>
      <c r="DFU72" s="12"/>
      <c r="DFV72" s="12"/>
      <c r="DGM72" s="12"/>
      <c r="DGN72" s="12"/>
      <c r="DHE72" s="12"/>
      <c r="DHF72" s="12"/>
      <c r="DHW72" s="12"/>
      <c r="DHX72" s="12"/>
      <c r="DIO72" s="12"/>
      <c r="DIP72" s="12"/>
      <c r="DJG72" s="12"/>
      <c r="DJH72" s="12"/>
      <c r="DJY72" s="12"/>
      <c r="DJZ72" s="12"/>
      <c r="DKQ72" s="12"/>
      <c r="DKR72" s="12"/>
      <c r="DLI72" s="12"/>
      <c r="DLJ72" s="12"/>
      <c r="DMA72" s="12"/>
      <c r="DMB72" s="12"/>
      <c r="DMS72" s="12"/>
      <c r="DMT72" s="12"/>
      <c r="DNK72" s="12"/>
      <c r="DNL72" s="12"/>
      <c r="DOC72" s="12"/>
      <c r="DOD72" s="12"/>
      <c r="DOU72" s="12"/>
      <c r="DOV72" s="12"/>
      <c r="DPM72" s="12"/>
      <c r="DPN72" s="12"/>
      <c r="DQE72" s="12"/>
      <c r="DQF72" s="12"/>
      <c r="DQW72" s="12"/>
      <c r="DQX72" s="12"/>
      <c r="DRO72" s="12"/>
      <c r="DRP72" s="12"/>
      <c r="DSG72" s="12"/>
      <c r="DSH72" s="12"/>
      <c r="DSY72" s="12"/>
      <c r="DSZ72" s="12"/>
      <c r="DTQ72" s="12"/>
      <c r="DTR72" s="12"/>
      <c r="DUI72" s="12"/>
      <c r="DUJ72" s="12"/>
      <c r="DVA72" s="12"/>
      <c r="DVB72" s="12"/>
      <c r="DVS72" s="12"/>
      <c r="DVT72" s="12"/>
      <c r="DWK72" s="12"/>
      <c r="DWL72" s="12"/>
      <c r="DXC72" s="12"/>
      <c r="DXD72" s="12"/>
      <c r="DXU72" s="12"/>
      <c r="DXV72" s="12"/>
      <c r="DYM72" s="12"/>
      <c r="DYN72" s="12"/>
      <c r="DZE72" s="12"/>
      <c r="DZF72" s="12"/>
      <c r="DZW72" s="12"/>
      <c r="DZX72" s="12"/>
      <c r="EAO72" s="12"/>
      <c r="EAP72" s="12"/>
      <c r="EBG72" s="12"/>
      <c r="EBH72" s="12"/>
      <c r="EBY72" s="12"/>
      <c r="EBZ72" s="12"/>
      <c r="ECQ72" s="12"/>
      <c r="ECR72" s="12"/>
      <c r="EDI72" s="12"/>
      <c r="EDJ72" s="12"/>
      <c r="EEA72" s="12"/>
      <c r="EEB72" s="12"/>
      <c r="EES72" s="12"/>
      <c r="EET72" s="12"/>
      <c r="EFK72" s="12"/>
      <c r="EFL72" s="12"/>
      <c r="EGC72" s="12"/>
      <c r="EGD72" s="12"/>
      <c r="EGU72" s="12"/>
      <c r="EGV72" s="12"/>
      <c r="EHM72" s="12"/>
      <c r="EHN72" s="12"/>
      <c r="EIE72" s="12"/>
      <c r="EIF72" s="12"/>
      <c r="EIW72" s="12"/>
      <c r="EIX72" s="12"/>
      <c r="EJO72" s="12"/>
      <c r="EJP72" s="12"/>
      <c r="EKG72" s="12"/>
      <c r="EKH72" s="12"/>
      <c r="EKY72" s="12"/>
      <c r="EKZ72" s="12"/>
      <c r="ELQ72" s="12"/>
      <c r="ELR72" s="12"/>
      <c r="EMI72" s="12"/>
      <c r="EMJ72" s="12"/>
      <c r="ENA72" s="12"/>
      <c r="ENB72" s="12"/>
      <c r="ENS72" s="12"/>
      <c r="ENT72" s="12"/>
      <c r="EOK72" s="12"/>
      <c r="EOL72" s="12"/>
      <c r="EPC72" s="12"/>
      <c r="EPD72" s="12"/>
      <c r="EPU72" s="12"/>
      <c r="EPV72" s="12"/>
      <c r="EQM72" s="12"/>
      <c r="EQN72" s="12"/>
      <c r="ERE72" s="12"/>
      <c r="ERF72" s="12"/>
      <c r="ERW72" s="12"/>
      <c r="ERX72" s="12"/>
      <c r="ESO72" s="12"/>
      <c r="ESP72" s="12"/>
      <c r="ETG72" s="12"/>
      <c r="ETH72" s="12"/>
      <c r="ETY72" s="12"/>
      <c r="ETZ72" s="12"/>
      <c r="EUQ72" s="12"/>
      <c r="EUR72" s="12"/>
      <c r="EVI72" s="12"/>
      <c r="EVJ72" s="12"/>
      <c r="EWA72" s="12"/>
      <c r="EWB72" s="12"/>
      <c r="EWS72" s="12"/>
      <c r="EWT72" s="12"/>
      <c r="EXK72" s="12"/>
      <c r="EXL72" s="12"/>
      <c r="EYC72" s="12"/>
      <c r="EYD72" s="12"/>
      <c r="EYU72" s="12"/>
      <c r="EYV72" s="12"/>
      <c r="EZM72" s="12"/>
      <c r="EZN72" s="12"/>
      <c r="FAE72" s="12"/>
      <c r="FAF72" s="12"/>
      <c r="FAW72" s="12"/>
      <c r="FAX72" s="12"/>
      <c r="FBO72" s="12"/>
      <c r="FBP72" s="12"/>
      <c r="FCG72" s="12"/>
      <c r="FCH72" s="12"/>
      <c r="FCY72" s="12"/>
      <c r="FCZ72" s="12"/>
      <c r="FDQ72" s="12"/>
      <c r="FDR72" s="12"/>
      <c r="FEI72" s="12"/>
      <c r="FEJ72" s="12"/>
      <c r="FFA72" s="12"/>
      <c r="FFB72" s="12"/>
      <c r="FFS72" s="12"/>
      <c r="FFT72" s="12"/>
      <c r="FGK72" s="12"/>
      <c r="FGL72" s="12"/>
      <c r="FHC72" s="12"/>
      <c r="FHD72" s="12"/>
      <c r="FHU72" s="12"/>
      <c r="FHV72" s="12"/>
      <c r="FIM72" s="12"/>
      <c r="FIN72" s="12"/>
      <c r="FJE72" s="12"/>
      <c r="FJF72" s="12"/>
      <c r="FJW72" s="12"/>
      <c r="FJX72" s="12"/>
      <c r="FKO72" s="12"/>
      <c r="FKP72" s="12"/>
      <c r="FLG72" s="12"/>
      <c r="FLH72" s="12"/>
      <c r="FLY72" s="12"/>
      <c r="FLZ72" s="12"/>
      <c r="FMQ72" s="12"/>
      <c r="FMR72" s="12"/>
      <c r="FNI72" s="12"/>
      <c r="FNJ72" s="12"/>
      <c r="FOA72" s="12"/>
      <c r="FOB72" s="12"/>
      <c r="FOS72" s="12"/>
      <c r="FOT72" s="12"/>
      <c r="FPK72" s="12"/>
      <c r="FPL72" s="12"/>
      <c r="FQC72" s="12"/>
      <c r="FQD72" s="12"/>
      <c r="FQU72" s="12"/>
      <c r="FQV72" s="12"/>
      <c r="FRM72" s="12"/>
      <c r="FRN72" s="12"/>
      <c r="FSE72" s="12"/>
      <c r="FSF72" s="12"/>
      <c r="FSW72" s="12"/>
      <c r="FSX72" s="12"/>
      <c r="FTO72" s="12"/>
      <c r="FTP72" s="12"/>
      <c r="FUG72" s="12"/>
      <c r="FUH72" s="12"/>
      <c r="FUY72" s="12"/>
      <c r="FUZ72" s="12"/>
      <c r="FVQ72" s="12"/>
      <c r="FVR72" s="12"/>
      <c r="FWI72" s="12"/>
      <c r="FWJ72" s="12"/>
      <c r="FXA72" s="12"/>
      <c r="FXB72" s="12"/>
      <c r="FXS72" s="12"/>
      <c r="FXT72" s="12"/>
      <c r="FYK72" s="12"/>
      <c r="FYL72" s="12"/>
      <c r="FZC72" s="12"/>
      <c r="FZD72" s="12"/>
      <c r="FZU72" s="12"/>
      <c r="FZV72" s="12"/>
      <c r="GAM72" s="12"/>
      <c r="GAN72" s="12"/>
      <c r="GBE72" s="12"/>
      <c r="GBF72" s="12"/>
      <c r="GBW72" s="12"/>
      <c r="GBX72" s="12"/>
      <c r="GCO72" s="12"/>
      <c r="GCP72" s="12"/>
      <c r="GDG72" s="12"/>
      <c r="GDH72" s="12"/>
      <c r="GDY72" s="12"/>
      <c r="GDZ72" s="12"/>
      <c r="GEQ72" s="12"/>
      <c r="GER72" s="12"/>
      <c r="GFI72" s="12"/>
      <c r="GFJ72" s="12"/>
      <c r="GGA72" s="12"/>
      <c r="GGB72" s="12"/>
      <c r="GGS72" s="12"/>
      <c r="GGT72" s="12"/>
      <c r="GHK72" s="12"/>
      <c r="GHL72" s="12"/>
      <c r="GIC72" s="12"/>
      <c r="GID72" s="12"/>
      <c r="GIU72" s="12"/>
      <c r="GIV72" s="12"/>
      <c r="GJM72" s="12"/>
      <c r="GJN72" s="12"/>
      <c r="GKE72" s="12"/>
      <c r="GKF72" s="12"/>
      <c r="GKW72" s="12"/>
      <c r="GKX72" s="12"/>
      <c r="GLO72" s="12"/>
      <c r="GLP72" s="12"/>
      <c r="GMG72" s="12"/>
      <c r="GMH72" s="12"/>
      <c r="GMY72" s="12"/>
      <c r="GMZ72" s="12"/>
      <c r="GNQ72" s="12"/>
      <c r="GNR72" s="12"/>
      <c r="GOI72" s="12"/>
      <c r="GOJ72" s="12"/>
      <c r="GPA72" s="12"/>
      <c r="GPB72" s="12"/>
      <c r="GPS72" s="12"/>
      <c r="GPT72" s="12"/>
      <c r="GQK72" s="12"/>
      <c r="GQL72" s="12"/>
      <c r="GRC72" s="12"/>
      <c r="GRD72" s="12"/>
      <c r="GRU72" s="12"/>
      <c r="GRV72" s="12"/>
      <c r="GSM72" s="12"/>
      <c r="GSN72" s="12"/>
      <c r="GTE72" s="12"/>
      <c r="GTF72" s="12"/>
      <c r="GTW72" s="12"/>
      <c r="GTX72" s="12"/>
      <c r="GUO72" s="12"/>
      <c r="GUP72" s="12"/>
      <c r="GVG72" s="12"/>
      <c r="GVH72" s="12"/>
      <c r="GVY72" s="12"/>
      <c r="GVZ72" s="12"/>
      <c r="GWQ72" s="12"/>
      <c r="GWR72" s="12"/>
      <c r="GXI72" s="12"/>
      <c r="GXJ72" s="12"/>
      <c r="GYA72" s="12"/>
      <c r="GYB72" s="12"/>
      <c r="GYS72" s="12"/>
      <c r="GYT72" s="12"/>
      <c r="GZK72" s="12"/>
      <c r="GZL72" s="12"/>
      <c r="HAC72" s="12"/>
      <c r="HAD72" s="12"/>
      <c r="HAU72" s="12"/>
      <c r="HAV72" s="12"/>
      <c r="HBM72" s="12"/>
      <c r="HBN72" s="12"/>
      <c r="HCE72" s="12"/>
      <c r="HCF72" s="12"/>
      <c r="HCW72" s="12"/>
      <c r="HCX72" s="12"/>
      <c r="HDO72" s="12"/>
      <c r="HDP72" s="12"/>
      <c r="HEG72" s="12"/>
      <c r="HEH72" s="12"/>
      <c r="HEY72" s="12"/>
      <c r="HEZ72" s="12"/>
      <c r="HFQ72" s="12"/>
      <c r="HFR72" s="12"/>
      <c r="HGI72" s="12"/>
      <c r="HGJ72" s="12"/>
      <c r="HHA72" s="12"/>
      <c r="HHB72" s="12"/>
      <c r="HHS72" s="12"/>
      <c r="HHT72" s="12"/>
      <c r="HIK72" s="12"/>
      <c r="HIL72" s="12"/>
      <c r="HJC72" s="12"/>
      <c r="HJD72" s="12"/>
      <c r="HJU72" s="12"/>
      <c r="HJV72" s="12"/>
      <c r="HKM72" s="12"/>
      <c r="HKN72" s="12"/>
      <c r="HLE72" s="12"/>
      <c r="HLF72" s="12"/>
      <c r="HLW72" s="12"/>
      <c r="HLX72" s="12"/>
      <c r="HMO72" s="12"/>
      <c r="HMP72" s="12"/>
      <c r="HNG72" s="12"/>
      <c r="HNH72" s="12"/>
      <c r="HNY72" s="12"/>
      <c r="HNZ72" s="12"/>
      <c r="HOQ72" s="12"/>
      <c r="HOR72" s="12"/>
      <c r="HPI72" s="12"/>
      <c r="HPJ72" s="12"/>
      <c r="HQA72" s="12"/>
      <c r="HQB72" s="12"/>
      <c r="HQS72" s="12"/>
      <c r="HQT72" s="12"/>
      <c r="HRK72" s="12"/>
      <c r="HRL72" s="12"/>
      <c r="HSC72" s="12"/>
      <c r="HSD72" s="12"/>
      <c r="HSU72" s="12"/>
      <c r="HSV72" s="12"/>
      <c r="HTM72" s="12"/>
      <c r="HTN72" s="12"/>
      <c r="HUE72" s="12"/>
      <c r="HUF72" s="12"/>
      <c r="HUW72" s="12"/>
      <c r="HUX72" s="12"/>
      <c r="HVO72" s="12"/>
      <c r="HVP72" s="12"/>
      <c r="HWG72" s="12"/>
      <c r="HWH72" s="12"/>
      <c r="HWY72" s="12"/>
      <c r="HWZ72" s="12"/>
      <c r="HXQ72" s="12"/>
      <c r="HXR72" s="12"/>
      <c r="HYI72" s="12"/>
      <c r="HYJ72" s="12"/>
      <c r="HZA72" s="12"/>
      <c r="HZB72" s="12"/>
      <c r="HZS72" s="12"/>
      <c r="HZT72" s="12"/>
      <c r="IAK72" s="12"/>
      <c r="IAL72" s="12"/>
      <c r="IBC72" s="12"/>
      <c r="IBD72" s="12"/>
      <c r="IBU72" s="12"/>
      <c r="IBV72" s="12"/>
      <c r="ICM72" s="12"/>
      <c r="ICN72" s="12"/>
      <c r="IDE72" s="12"/>
      <c r="IDF72" s="12"/>
      <c r="IDW72" s="12"/>
      <c r="IDX72" s="12"/>
      <c r="IEO72" s="12"/>
      <c r="IEP72" s="12"/>
      <c r="IFG72" s="12"/>
      <c r="IFH72" s="12"/>
      <c r="IFY72" s="12"/>
      <c r="IFZ72" s="12"/>
      <c r="IGQ72" s="12"/>
      <c r="IGR72" s="12"/>
      <c r="IHI72" s="12"/>
      <c r="IHJ72" s="12"/>
      <c r="IIA72" s="12"/>
      <c r="IIB72" s="12"/>
      <c r="IIS72" s="12"/>
      <c r="IIT72" s="12"/>
      <c r="IJK72" s="12"/>
      <c r="IJL72" s="12"/>
      <c r="IKC72" s="12"/>
      <c r="IKD72" s="12"/>
      <c r="IKU72" s="12"/>
      <c r="IKV72" s="12"/>
      <c r="ILM72" s="12"/>
      <c r="ILN72" s="12"/>
      <c r="IME72" s="12"/>
      <c r="IMF72" s="12"/>
      <c r="IMW72" s="12"/>
      <c r="IMX72" s="12"/>
      <c r="INO72" s="12"/>
      <c r="INP72" s="12"/>
      <c r="IOG72" s="12"/>
      <c r="IOH72" s="12"/>
      <c r="IOY72" s="12"/>
      <c r="IOZ72" s="12"/>
      <c r="IPQ72" s="12"/>
      <c r="IPR72" s="12"/>
      <c r="IQI72" s="12"/>
      <c r="IQJ72" s="12"/>
      <c r="IRA72" s="12"/>
      <c r="IRB72" s="12"/>
      <c r="IRS72" s="12"/>
      <c r="IRT72" s="12"/>
      <c r="ISK72" s="12"/>
      <c r="ISL72" s="12"/>
      <c r="ITC72" s="12"/>
      <c r="ITD72" s="12"/>
      <c r="ITU72" s="12"/>
      <c r="ITV72" s="12"/>
      <c r="IUM72" s="12"/>
      <c r="IUN72" s="12"/>
      <c r="IVE72" s="12"/>
      <c r="IVF72" s="12"/>
      <c r="IVW72" s="12"/>
      <c r="IVX72" s="12"/>
      <c r="IWO72" s="12"/>
      <c r="IWP72" s="12"/>
      <c r="IXG72" s="12"/>
      <c r="IXH72" s="12"/>
      <c r="IXY72" s="12"/>
      <c r="IXZ72" s="12"/>
      <c r="IYQ72" s="12"/>
      <c r="IYR72" s="12"/>
      <c r="IZI72" s="12"/>
      <c r="IZJ72" s="12"/>
      <c r="JAA72" s="12"/>
      <c r="JAB72" s="12"/>
      <c r="JAS72" s="12"/>
      <c r="JAT72" s="12"/>
      <c r="JBK72" s="12"/>
      <c r="JBL72" s="12"/>
      <c r="JCC72" s="12"/>
      <c r="JCD72" s="12"/>
      <c r="JCU72" s="12"/>
      <c r="JCV72" s="12"/>
      <c r="JDM72" s="12"/>
      <c r="JDN72" s="12"/>
      <c r="JEE72" s="12"/>
      <c r="JEF72" s="12"/>
      <c r="JEW72" s="12"/>
      <c r="JEX72" s="12"/>
      <c r="JFO72" s="12"/>
      <c r="JFP72" s="12"/>
      <c r="JGG72" s="12"/>
      <c r="JGH72" s="12"/>
      <c r="JGY72" s="12"/>
      <c r="JGZ72" s="12"/>
      <c r="JHQ72" s="12"/>
      <c r="JHR72" s="12"/>
      <c r="JII72" s="12"/>
      <c r="JIJ72" s="12"/>
      <c r="JJA72" s="12"/>
      <c r="JJB72" s="12"/>
      <c r="JJS72" s="12"/>
      <c r="JJT72" s="12"/>
      <c r="JKK72" s="12"/>
      <c r="JKL72" s="12"/>
      <c r="JLC72" s="12"/>
      <c r="JLD72" s="12"/>
      <c r="JLU72" s="12"/>
      <c r="JLV72" s="12"/>
      <c r="JMM72" s="12"/>
      <c r="JMN72" s="12"/>
      <c r="JNE72" s="12"/>
      <c r="JNF72" s="12"/>
      <c r="JNW72" s="12"/>
      <c r="JNX72" s="12"/>
      <c r="JOO72" s="12"/>
      <c r="JOP72" s="12"/>
      <c r="JPG72" s="12"/>
      <c r="JPH72" s="12"/>
      <c r="JPY72" s="12"/>
      <c r="JPZ72" s="12"/>
      <c r="JQQ72" s="12"/>
      <c r="JQR72" s="12"/>
      <c r="JRI72" s="12"/>
      <c r="JRJ72" s="12"/>
      <c r="JSA72" s="12"/>
      <c r="JSB72" s="12"/>
      <c r="JSS72" s="12"/>
      <c r="JST72" s="12"/>
      <c r="JTK72" s="12"/>
      <c r="JTL72" s="12"/>
      <c r="JUC72" s="12"/>
      <c r="JUD72" s="12"/>
      <c r="JUU72" s="12"/>
      <c r="JUV72" s="12"/>
      <c r="JVM72" s="12"/>
      <c r="JVN72" s="12"/>
      <c r="JWE72" s="12"/>
      <c r="JWF72" s="12"/>
      <c r="JWW72" s="12"/>
      <c r="JWX72" s="12"/>
      <c r="JXO72" s="12"/>
      <c r="JXP72" s="12"/>
      <c r="JYG72" s="12"/>
      <c r="JYH72" s="12"/>
      <c r="JYY72" s="12"/>
      <c r="JYZ72" s="12"/>
      <c r="JZQ72" s="12"/>
      <c r="JZR72" s="12"/>
      <c r="KAI72" s="12"/>
      <c r="KAJ72" s="12"/>
      <c r="KBA72" s="12"/>
      <c r="KBB72" s="12"/>
      <c r="KBS72" s="12"/>
      <c r="KBT72" s="12"/>
      <c r="KCK72" s="12"/>
      <c r="KCL72" s="12"/>
      <c r="KDC72" s="12"/>
      <c r="KDD72" s="12"/>
      <c r="KDU72" s="12"/>
      <c r="KDV72" s="12"/>
      <c r="KEM72" s="12"/>
      <c r="KEN72" s="12"/>
      <c r="KFE72" s="12"/>
      <c r="KFF72" s="12"/>
      <c r="KFW72" s="12"/>
      <c r="KFX72" s="12"/>
      <c r="KGO72" s="12"/>
      <c r="KGP72" s="12"/>
      <c r="KHG72" s="12"/>
      <c r="KHH72" s="12"/>
      <c r="KHY72" s="12"/>
      <c r="KHZ72" s="12"/>
      <c r="KIQ72" s="12"/>
      <c r="KIR72" s="12"/>
      <c r="KJI72" s="12"/>
      <c r="KJJ72" s="12"/>
      <c r="KKA72" s="12"/>
      <c r="KKB72" s="12"/>
      <c r="KKS72" s="12"/>
      <c r="KKT72" s="12"/>
      <c r="KLK72" s="12"/>
      <c r="KLL72" s="12"/>
      <c r="KMC72" s="12"/>
      <c r="KMD72" s="12"/>
      <c r="KMU72" s="12"/>
      <c r="KMV72" s="12"/>
      <c r="KNM72" s="12"/>
      <c r="KNN72" s="12"/>
      <c r="KOE72" s="12"/>
      <c r="KOF72" s="12"/>
      <c r="KOW72" s="12"/>
      <c r="KOX72" s="12"/>
      <c r="KPO72" s="12"/>
      <c r="KPP72" s="12"/>
      <c r="KQG72" s="12"/>
      <c r="KQH72" s="12"/>
      <c r="KQY72" s="12"/>
      <c r="KQZ72" s="12"/>
      <c r="KRQ72" s="12"/>
      <c r="KRR72" s="12"/>
      <c r="KSI72" s="12"/>
      <c r="KSJ72" s="12"/>
      <c r="KTA72" s="12"/>
      <c r="KTB72" s="12"/>
      <c r="KTS72" s="12"/>
      <c r="KTT72" s="12"/>
      <c r="KUK72" s="12"/>
      <c r="KUL72" s="12"/>
      <c r="KVC72" s="12"/>
      <c r="KVD72" s="12"/>
      <c r="KVU72" s="12"/>
      <c r="KVV72" s="12"/>
      <c r="KWM72" s="12"/>
      <c r="KWN72" s="12"/>
      <c r="KXE72" s="12"/>
      <c r="KXF72" s="12"/>
      <c r="KXW72" s="12"/>
      <c r="KXX72" s="12"/>
      <c r="KYO72" s="12"/>
      <c r="KYP72" s="12"/>
      <c r="KZG72" s="12"/>
      <c r="KZH72" s="12"/>
      <c r="KZY72" s="12"/>
      <c r="KZZ72" s="12"/>
      <c r="LAQ72" s="12"/>
      <c r="LAR72" s="12"/>
      <c r="LBI72" s="12"/>
      <c r="LBJ72" s="12"/>
      <c r="LCA72" s="12"/>
      <c r="LCB72" s="12"/>
      <c r="LCS72" s="12"/>
      <c r="LCT72" s="12"/>
      <c r="LDK72" s="12"/>
      <c r="LDL72" s="12"/>
      <c r="LEC72" s="12"/>
      <c r="LED72" s="12"/>
      <c r="LEU72" s="12"/>
      <c r="LEV72" s="12"/>
      <c r="LFM72" s="12"/>
      <c r="LFN72" s="12"/>
      <c r="LGE72" s="12"/>
      <c r="LGF72" s="12"/>
      <c r="LGW72" s="12"/>
      <c r="LGX72" s="12"/>
      <c r="LHO72" s="12"/>
      <c r="LHP72" s="12"/>
      <c r="LIG72" s="12"/>
      <c r="LIH72" s="12"/>
      <c r="LIY72" s="12"/>
      <c r="LIZ72" s="12"/>
      <c r="LJQ72" s="12"/>
      <c r="LJR72" s="12"/>
      <c r="LKI72" s="12"/>
      <c r="LKJ72" s="12"/>
      <c r="LLA72" s="12"/>
      <c r="LLB72" s="12"/>
      <c r="LLS72" s="12"/>
      <c r="LLT72" s="12"/>
      <c r="LMK72" s="12"/>
      <c r="LML72" s="12"/>
      <c r="LNC72" s="12"/>
      <c r="LND72" s="12"/>
      <c r="LNU72" s="12"/>
      <c r="LNV72" s="12"/>
      <c r="LOM72" s="12"/>
      <c r="LON72" s="12"/>
      <c r="LPE72" s="12"/>
      <c r="LPF72" s="12"/>
      <c r="LPW72" s="12"/>
      <c r="LPX72" s="12"/>
      <c r="LQO72" s="12"/>
      <c r="LQP72" s="12"/>
      <c r="LRG72" s="12"/>
      <c r="LRH72" s="12"/>
      <c r="LRY72" s="12"/>
      <c r="LRZ72" s="12"/>
      <c r="LSQ72" s="12"/>
      <c r="LSR72" s="12"/>
      <c r="LTI72" s="12"/>
      <c r="LTJ72" s="12"/>
      <c r="LUA72" s="12"/>
      <c r="LUB72" s="12"/>
      <c r="LUS72" s="12"/>
      <c r="LUT72" s="12"/>
      <c r="LVK72" s="12"/>
      <c r="LVL72" s="12"/>
      <c r="LWC72" s="12"/>
      <c r="LWD72" s="12"/>
      <c r="LWU72" s="12"/>
      <c r="LWV72" s="12"/>
      <c r="LXM72" s="12"/>
      <c r="LXN72" s="12"/>
      <c r="LYE72" s="12"/>
      <c r="LYF72" s="12"/>
      <c r="LYW72" s="12"/>
      <c r="LYX72" s="12"/>
      <c r="LZO72" s="12"/>
      <c r="LZP72" s="12"/>
      <c r="MAG72" s="12"/>
      <c r="MAH72" s="12"/>
      <c r="MAY72" s="12"/>
      <c r="MAZ72" s="12"/>
      <c r="MBQ72" s="12"/>
      <c r="MBR72" s="12"/>
      <c r="MCI72" s="12"/>
      <c r="MCJ72" s="12"/>
      <c r="MDA72" s="12"/>
      <c r="MDB72" s="12"/>
      <c r="MDS72" s="12"/>
      <c r="MDT72" s="12"/>
      <c r="MEK72" s="12"/>
      <c r="MEL72" s="12"/>
      <c r="MFC72" s="12"/>
      <c r="MFD72" s="12"/>
      <c r="MFU72" s="12"/>
      <c r="MFV72" s="12"/>
      <c r="MGM72" s="12"/>
      <c r="MGN72" s="12"/>
      <c r="MHE72" s="12"/>
      <c r="MHF72" s="12"/>
      <c r="MHW72" s="12"/>
      <c r="MHX72" s="12"/>
      <c r="MIO72" s="12"/>
      <c r="MIP72" s="12"/>
      <c r="MJG72" s="12"/>
      <c r="MJH72" s="12"/>
      <c r="MJY72" s="12"/>
      <c r="MJZ72" s="12"/>
      <c r="MKQ72" s="12"/>
      <c r="MKR72" s="12"/>
      <c r="MLI72" s="12"/>
      <c r="MLJ72" s="12"/>
      <c r="MMA72" s="12"/>
      <c r="MMB72" s="12"/>
      <c r="MMS72" s="12"/>
      <c r="MMT72" s="12"/>
      <c r="MNK72" s="12"/>
      <c r="MNL72" s="12"/>
      <c r="MOC72" s="12"/>
      <c r="MOD72" s="12"/>
      <c r="MOU72" s="12"/>
      <c r="MOV72" s="12"/>
      <c r="MPM72" s="12"/>
      <c r="MPN72" s="12"/>
      <c r="MQE72" s="12"/>
      <c r="MQF72" s="12"/>
      <c r="MQW72" s="12"/>
      <c r="MQX72" s="12"/>
      <c r="MRO72" s="12"/>
      <c r="MRP72" s="12"/>
      <c r="MSG72" s="12"/>
      <c r="MSH72" s="12"/>
      <c r="MSY72" s="12"/>
      <c r="MSZ72" s="12"/>
      <c r="MTQ72" s="12"/>
      <c r="MTR72" s="12"/>
      <c r="MUI72" s="12"/>
      <c r="MUJ72" s="12"/>
      <c r="MVA72" s="12"/>
      <c r="MVB72" s="12"/>
      <c r="MVS72" s="12"/>
      <c r="MVT72" s="12"/>
      <c r="MWK72" s="12"/>
      <c r="MWL72" s="12"/>
      <c r="MXC72" s="12"/>
      <c r="MXD72" s="12"/>
      <c r="MXU72" s="12"/>
      <c r="MXV72" s="12"/>
      <c r="MYM72" s="12"/>
      <c r="MYN72" s="12"/>
      <c r="MZE72" s="12"/>
      <c r="MZF72" s="12"/>
      <c r="MZW72" s="12"/>
      <c r="MZX72" s="12"/>
      <c r="NAO72" s="12"/>
      <c r="NAP72" s="12"/>
      <c r="NBG72" s="12"/>
      <c r="NBH72" s="12"/>
      <c r="NBY72" s="12"/>
      <c r="NBZ72" s="12"/>
      <c r="NCQ72" s="12"/>
      <c r="NCR72" s="12"/>
      <c r="NDI72" s="12"/>
      <c r="NDJ72" s="12"/>
      <c r="NEA72" s="12"/>
      <c r="NEB72" s="12"/>
      <c r="NES72" s="12"/>
      <c r="NET72" s="12"/>
      <c r="NFK72" s="12"/>
      <c r="NFL72" s="12"/>
      <c r="NGC72" s="12"/>
      <c r="NGD72" s="12"/>
      <c r="NGU72" s="12"/>
      <c r="NGV72" s="12"/>
      <c r="NHM72" s="12"/>
      <c r="NHN72" s="12"/>
      <c r="NIE72" s="12"/>
      <c r="NIF72" s="12"/>
      <c r="NIW72" s="12"/>
      <c r="NIX72" s="12"/>
      <c r="NJO72" s="12"/>
      <c r="NJP72" s="12"/>
      <c r="NKG72" s="12"/>
      <c r="NKH72" s="12"/>
      <c r="NKY72" s="12"/>
      <c r="NKZ72" s="12"/>
      <c r="NLQ72" s="12"/>
      <c r="NLR72" s="12"/>
      <c r="NMI72" s="12"/>
      <c r="NMJ72" s="12"/>
      <c r="NNA72" s="12"/>
      <c r="NNB72" s="12"/>
      <c r="NNS72" s="12"/>
      <c r="NNT72" s="12"/>
      <c r="NOK72" s="12"/>
      <c r="NOL72" s="12"/>
      <c r="NPC72" s="12"/>
      <c r="NPD72" s="12"/>
      <c r="NPU72" s="12"/>
      <c r="NPV72" s="12"/>
      <c r="NQM72" s="12"/>
      <c r="NQN72" s="12"/>
      <c r="NRE72" s="12"/>
      <c r="NRF72" s="12"/>
      <c r="NRW72" s="12"/>
      <c r="NRX72" s="12"/>
      <c r="NSO72" s="12"/>
      <c r="NSP72" s="12"/>
      <c r="NTG72" s="12"/>
      <c r="NTH72" s="12"/>
      <c r="NTY72" s="12"/>
      <c r="NTZ72" s="12"/>
      <c r="NUQ72" s="12"/>
      <c r="NUR72" s="12"/>
      <c r="NVI72" s="12"/>
      <c r="NVJ72" s="12"/>
      <c r="NWA72" s="12"/>
      <c r="NWB72" s="12"/>
      <c r="NWS72" s="12"/>
      <c r="NWT72" s="12"/>
      <c r="NXK72" s="12"/>
      <c r="NXL72" s="12"/>
      <c r="NYC72" s="12"/>
      <c r="NYD72" s="12"/>
      <c r="NYU72" s="12"/>
      <c r="NYV72" s="12"/>
      <c r="NZM72" s="12"/>
      <c r="NZN72" s="12"/>
      <c r="OAE72" s="12"/>
      <c r="OAF72" s="12"/>
      <c r="OAW72" s="12"/>
      <c r="OAX72" s="12"/>
      <c r="OBO72" s="12"/>
      <c r="OBP72" s="12"/>
      <c r="OCG72" s="12"/>
      <c r="OCH72" s="12"/>
      <c r="OCY72" s="12"/>
      <c r="OCZ72" s="12"/>
      <c r="ODQ72" s="12"/>
      <c r="ODR72" s="12"/>
      <c r="OEI72" s="12"/>
      <c r="OEJ72" s="12"/>
      <c r="OFA72" s="12"/>
      <c r="OFB72" s="12"/>
      <c r="OFS72" s="12"/>
      <c r="OFT72" s="12"/>
      <c r="OGK72" s="12"/>
      <c r="OGL72" s="12"/>
      <c r="OHC72" s="12"/>
      <c r="OHD72" s="12"/>
      <c r="OHU72" s="12"/>
      <c r="OHV72" s="12"/>
      <c r="OIM72" s="12"/>
      <c r="OIN72" s="12"/>
      <c r="OJE72" s="12"/>
      <c r="OJF72" s="12"/>
      <c r="OJW72" s="12"/>
      <c r="OJX72" s="12"/>
      <c r="OKO72" s="12"/>
      <c r="OKP72" s="12"/>
      <c r="OLG72" s="12"/>
      <c r="OLH72" s="12"/>
      <c r="OLY72" s="12"/>
      <c r="OLZ72" s="12"/>
      <c r="OMQ72" s="12"/>
      <c r="OMR72" s="12"/>
      <c r="ONI72" s="12"/>
      <c r="ONJ72" s="12"/>
      <c r="OOA72" s="12"/>
      <c r="OOB72" s="12"/>
      <c r="OOS72" s="12"/>
      <c r="OOT72" s="12"/>
      <c r="OPK72" s="12"/>
      <c r="OPL72" s="12"/>
      <c r="OQC72" s="12"/>
      <c r="OQD72" s="12"/>
      <c r="OQU72" s="12"/>
      <c r="OQV72" s="12"/>
      <c r="ORM72" s="12"/>
      <c r="ORN72" s="12"/>
      <c r="OSE72" s="12"/>
      <c r="OSF72" s="12"/>
      <c r="OSW72" s="12"/>
      <c r="OSX72" s="12"/>
      <c r="OTO72" s="12"/>
      <c r="OTP72" s="12"/>
      <c r="OUG72" s="12"/>
      <c r="OUH72" s="12"/>
      <c r="OUY72" s="12"/>
      <c r="OUZ72" s="12"/>
      <c r="OVQ72" s="12"/>
      <c r="OVR72" s="12"/>
      <c r="OWI72" s="12"/>
      <c r="OWJ72" s="12"/>
      <c r="OXA72" s="12"/>
      <c r="OXB72" s="12"/>
      <c r="OXS72" s="12"/>
      <c r="OXT72" s="12"/>
      <c r="OYK72" s="12"/>
      <c r="OYL72" s="12"/>
      <c r="OZC72" s="12"/>
      <c r="OZD72" s="12"/>
      <c r="OZU72" s="12"/>
      <c r="OZV72" s="12"/>
      <c r="PAM72" s="12"/>
      <c r="PAN72" s="12"/>
      <c r="PBE72" s="12"/>
      <c r="PBF72" s="12"/>
      <c r="PBW72" s="12"/>
      <c r="PBX72" s="12"/>
      <c r="PCO72" s="12"/>
      <c r="PCP72" s="12"/>
      <c r="PDG72" s="12"/>
      <c r="PDH72" s="12"/>
      <c r="PDY72" s="12"/>
      <c r="PDZ72" s="12"/>
      <c r="PEQ72" s="12"/>
      <c r="PER72" s="12"/>
      <c r="PFI72" s="12"/>
      <c r="PFJ72" s="12"/>
      <c r="PGA72" s="12"/>
      <c r="PGB72" s="12"/>
      <c r="PGS72" s="12"/>
      <c r="PGT72" s="12"/>
      <c r="PHK72" s="12"/>
      <c r="PHL72" s="12"/>
      <c r="PIC72" s="12"/>
      <c r="PID72" s="12"/>
      <c r="PIU72" s="12"/>
      <c r="PIV72" s="12"/>
      <c r="PJM72" s="12"/>
      <c r="PJN72" s="12"/>
      <c r="PKE72" s="12"/>
      <c r="PKF72" s="12"/>
      <c r="PKW72" s="12"/>
      <c r="PKX72" s="12"/>
      <c r="PLO72" s="12"/>
      <c r="PLP72" s="12"/>
      <c r="PMG72" s="12"/>
      <c r="PMH72" s="12"/>
      <c r="PMY72" s="12"/>
      <c r="PMZ72" s="12"/>
      <c r="PNQ72" s="12"/>
      <c r="PNR72" s="12"/>
      <c r="POI72" s="12"/>
      <c r="POJ72" s="12"/>
      <c r="PPA72" s="12"/>
      <c r="PPB72" s="12"/>
      <c r="PPS72" s="12"/>
      <c r="PPT72" s="12"/>
      <c r="PQK72" s="12"/>
      <c r="PQL72" s="12"/>
      <c r="PRC72" s="12"/>
      <c r="PRD72" s="12"/>
      <c r="PRU72" s="12"/>
      <c r="PRV72" s="12"/>
      <c r="PSM72" s="12"/>
      <c r="PSN72" s="12"/>
      <c r="PTE72" s="12"/>
      <c r="PTF72" s="12"/>
      <c r="PTW72" s="12"/>
      <c r="PTX72" s="12"/>
      <c r="PUO72" s="12"/>
      <c r="PUP72" s="12"/>
      <c r="PVG72" s="12"/>
      <c r="PVH72" s="12"/>
      <c r="PVY72" s="12"/>
      <c r="PVZ72" s="12"/>
      <c r="PWQ72" s="12"/>
      <c r="PWR72" s="12"/>
      <c r="PXI72" s="12"/>
      <c r="PXJ72" s="12"/>
      <c r="PYA72" s="12"/>
      <c r="PYB72" s="12"/>
      <c r="PYS72" s="12"/>
      <c r="PYT72" s="12"/>
      <c r="PZK72" s="12"/>
      <c r="PZL72" s="12"/>
      <c r="QAC72" s="12"/>
      <c r="QAD72" s="12"/>
      <c r="QAU72" s="12"/>
      <c r="QAV72" s="12"/>
      <c r="QBM72" s="12"/>
      <c r="QBN72" s="12"/>
      <c r="QCE72" s="12"/>
      <c r="QCF72" s="12"/>
      <c r="QCW72" s="12"/>
      <c r="QCX72" s="12"/>
      <c r="QDO72" s="12"/>
      <c r="QDP72" s="12"/>
      <c r="QEG72" s="12"/>
      <c r="QEH72" s="12"/>
      <c r="QEY72" s="12"/>
      <c r="QEZ72" s="12"/>
      <c r="QFQ72" s="12"/>
      <c r="QFR72" s="12"/>
      <c r="QGI72" s="12"/>
      <c r="QGJ72" s="12"/>
      <c r="QHA72" s="12"/>
      <c r="QHB72" s="12"/>
      <c r="QHS72" s="12"/>
      <c r="QHT72" s="12"/>
      <c r="QIK72" s="12"/>
      <c r="QIL72" s="12"/>
      <c r="QJC72" s="12"/>
      <c r="QJD72" s="12"/>
      <c r="QJU72" s="12"/>
      <c r="QJV72" s="12"/>
      <c r="QKM72" s="12"/>
      <c r="QKN72" s="12"/>
      <c r="QLE72" s="12"/>
      <c r="QLF72" s="12"/>
      <c r="QLW72" s="12"/>
      <c r="QLX72" s="12"/>
      <c r="QMO72" s="12"/>
      <c r="QMP72" s="12"/>
      <c r="QNG72" s="12"/>
      <c r="QNH72" s="12"/>
      <c r="QNY72" s="12"/>
      <c r="QNZ72" s="12"/>
      <c r="QOQ72" s="12"/>
      <c r="QOR72" s="12"/>
      <c r="QPI72" s="12"/>
      <c r="QPJ72" s="12"/>
      <c r="QQA72" s="12"/>
      <c r="QQB72" s="12"/>
      <c r="QQS72" s="12"/>
      <c r="QQT72" s="12"/>
      <c r="QRK72" s="12"/>
      <c r="QRL72" s="12"/>
      <c r="QSC72" s="12"/>
      <c r="QSD72" s="12"/>
      <c r="QSU72" s="12"/>
      <c r="QSV72" s="12"/>
      <c r="QTM72" s="12"/>
      <c r="QTN72" s="12"/>
      <c r="QUE72" s="12"/>
      <c r="QUF72" s="12"/>
      <c r="QUW72" s="12"/>
      <c r="QUX72" s="12"/>
      <c r="QVO72" s="12"/>
      <c r="QVP72" s="12"/>
      <c r="QWG72" s="12"/>
      <c r="QWH72" s="12"/>
      <c r="QWY72" s="12"/>
      <c r="QWZ72" s="12"/>
      <c r="QXQ72" s="12"/>
      <c r="QXR72" s="12"/>
      <c r="QYI72" s="12"/>
      <c r="QYJ72" s="12"/>
      <c r="QZA72" s="12"/>
      <c r="QZB72" s="12"/>
      <c r="QZS72" s="12"/>
      <c r="QZT72" s="12"/>
      <c r="RAK72" s="12"/>
      <c r="RAL72" s="12"/>
      <c r="RBC72" s="12"/>
      <c r="RBD72" s="12"/>
      <c r="RBU72" s="12"/>
      <c r="RBV72" s="12"/>
      <c r="RCM72" s="12"/>
      <c r="RCN72" s="12"/>
      <c r="RDE72" s="12"/>
      <c r="RDF72" s="12"/>
      <c r="RDW72" s="12"/>
      <c r="RDX72" s="12"/>
      <c r="REO72" s="12"/>
      <c r="REP72" s="12"/>
      <c r="RFG72" s="12"/>
      <c r="RFH72" s="12"/>
      <c r="RFY72" s="12"/>
      <c r="RFZ72" s="12"/>
      <c r="RGQ72" s="12"/>
      <c r="RGR72" s="12"/>
      <c r="RHI72" s="12"/>
      <c r="RHJ72" s="12"/>
      <c r="RIA72" s="12"/>
      <c r="RIB72" s="12"/>
      <c r="RIS72" s="12"/>
      <c r="RIT72" s="12"/>
      <c r="RJK72" s="12"/>
      <c r="RJL72" s="12"/>
      <c r="RKC72" s="12"/>
      <c r="RKD72" s="12"/>
      <c r="RKU72" s="12"/>
      <c r="RKV72" s="12"/>
      <c r="RLM72" s="12"/>
      <c r="RLN72" s="12"/>
      <c r="RME72" s="12"/>
      <c r="RMF72" s="12"/>
      <c r="RMW72" s="12"/>
      <c r="RMX72" s="12"/>
      <c r="RNO72" s="12"/>
      <c r="RNP72" s="12"/>
      <c r="ROG72" s="12"/>
      <c r="ROH72" s="12"/>
      <c r="ROY72" s="12"/>
      <c r="ROZ72" s="12"/>
      <c r="RPQ72" s="12"/>
      <c r="RPR72" s="12"/>
      <c r="RQI72" s="12"/>
      <c r="RQJ72" s="12"/>
      <c r="RRA72" s="12"/>
      <c r="RRB72" s="12"/>
      <c r="RRS72" s="12"/>
      <c r="RRT72" s="12"/>
      <c r="RSK72" s="12"/>
      <c r="RSL72" s="12"/>
      <c r="RTC72" s="12"/>
      <c r="RTD72" s="12"/>
      <c r="RTU72" s="12"/>
      <c r="RTV72" s="12"/>
      <c r="RUM72" s="12"/>
      <c r="RUN72" s="12"/>
      <c r="RVE72" s="12"/>
      <c r="RVF72" s="12"/>
      <c r="RVW72" s="12"/>
      <c r="RVX72" s="12"/>
      <c r="RWO72" s="12"/>
      <c r="RWP72" s="12"/>
      <c r="RXG72" s="12"/>
      <c r="RXH72" s="12"/>
      <c r="RXY72" s="12"/>
      <c r="RXZ72" s="12"/>
      <c r="RYQ72" s="12"/>
      <c r="RYR72" s="12"/>
      <c r="RZI72" s="12"/>
      <c r="RZJ72" s="12"/>
      <c r="SAA72" s="12"/>
      <c r="SAB72" s="12"/>
      <c r="SAS72" s="12"/>
      <c r="SAT72" s="12"/>
      <c r="SBK72" s="12"/>
      <c r="SBL72" s="12"/>
      <c r="SCC72" s="12"/>
      <c r="SCD72" s="12"/>
      <c r="SCU72" s="12"/>
      <c r="SCV72" s="12"/>
      <c r="SDM72" s="12"/>
      <c r="SDN72" s="12"/>
      <c r="SEE72" s="12"/>
      <c r="SEF72" s="12"/>
      <c r="SEW72" s="12"/>
      <c r="SEX72" s="12"/>
      <c r="SFO72" s="12"/>
      <c r="SFP72" s="12"/>
      <c r="SGG72" s="12"/>
      <c r="SGH72" s="12"/>
      <c r="SGY72" s="12"/>
      <c r="SGZ72" s="12"/>
      <c r="SHQ72" s="12"/>
      <c r="SHR72" s="12"/>
      <c r="SII72" s="12"/>
      <c r="SIJ72" s="12"/>
      <c r="SJA72" s="12"/>
      <c r="SJB72" s="12"/>
      <c r="SJS72" s="12"/>
      <c r="SJT72" s="12"/>
      <c r="SKK72" s="12"/>
      <c r="SKL72" s="12"/>
      <c r="SLC72" s="12"/>
      <c r="SLD72" s="12"/>
      <c r="SLU72" s="12"/>
      <c r="SLV72" s="12"/>
      <c r="SMM72" s="12"/>
      <c r="SMN72" s="12"/>
      <c r="SNE72" s="12"/>
      <c r="SNF72" s="12"/>
      <c r="SNW72" s="12"/>
      <c r="SNX72" s="12"/>
      <c r="SOO72" s="12"/>
      <c r="SOP72" s="12"/>
      <c r="SPG72" s="12"/>
      <c r="SPH72" s="12"/>
      <c r="SPY72" s="12"/>
      <c r="SPZ72" s="12"/>
      <c r="SQQ72" s="12"/>
      <c r="SQR72" s="12"/>
      <c r="SRI72" s="12"/>
      <c r="SRJ72" s="12"/>
      <c r="SSA72" s="12"/>
      <c r="SSB72" s="12"/>
      <c r="SSS72" s="12"/>
      <c r="SST72" s="12"/>
      <c r="STK72" s="12"/>
      <c r="STL72" s="12"/>
      <c r="SUC72" s="12"/>
      <c r="SUD72" s="12"/>
      <c r="SUU72" s="12"/>
      <c r="SUV72" s="12"/>
      <c r="SVM72" s="12"/>
      <c r="SVN72" s="12"/>
      <c r="SWE72" s="12"/>
      <c r="SWF72" s="12"/>
      <c r="SWW72" s="12"/>
      <c r="SWX72" s="12"/>
      <c r="SXO72" s="12"/>
      <c r="SXP72" s="12"/>
      <c r="SYG72" s="12"/>
      <c r="SYH72" s="12"/>
      <c r="SYY72" s="12"/>
      <c r="SYZ72" s="12"/>
      <c r="SZQ72" s="12"/>
      <c r="SZR72" s="12"/>
      <c r="TAI72" s="12"/>
      <c r="TAJ72" s="12"/>
      <c r="TBA72" s="12"/>
      <c r="TBB72" s="12"/>
      <c r="TBS72" s="12"/>
      <c r="TBT72" s="12"/>
      <c r="TCK72" s="12"/>
      <c r="TCL72" s="12"/>
      <c r="TDC72" s="12"/>
      <c r="TDD72" s="12"/>
      <c r="TDU72" s="12"/>
      <c r="TDV72" s="12"/>
      <c r="TEM72" s="12"/>
      <c r="TEN72" s="12"/>
      <c r="TFE72" s="12"/>
      <c r="TFF72" s="12"/>
      <c r="TFW72" s="12"/>
      <c r="TFX72" s="12"/>
      <c r="TGO72" s="12"/>
      <c r="TGP72" s="12"/>
      <c r="THG72" s="12"/>
      <c r="THH72" s="12"/>
      <c r="THY72" s="12"/>
      <c r="THZ72" s="12"/>
      <c r="TIQ72" s="12"/>
      <c r="TIR72" s="12"/>
      <c r="TJI72" s="12"/>
      <c r="TJJ72" s="12"/>
      <c r="TKA72" s="12"/>
      <c r="TKB72" s="12"/>
      <c r="TKS72" s="12"/>
      <c r="TKT72" s="12"/>
      <c r="TLK72" s="12"/>
      <c r="TLL72" s="12"/>
      <c r="TMC72" s="12"/>
      <c r="TMD72" s="12"/>
      <c r="TMU72" s="12"/>
      <c r="TMV72" s="12"/>
      <c r="TNM72" s="12"/>
      <c r="TNN72" s="12"/>
      <c r="TOE72" s="12"/>
      <c r="TOF72" s="12"/>
      <c r="TOW72" s="12"/>
      <c r="TOX72" s="12"/>
      <c r="TPO72" s="12"/>
      <c r="TPP72" s="12"/>
      <c r="TQG72" s="12"/>
      <c r="TQH72" s="12"/>
      <c r="TQY72" s="12"/>
      <c r="TQZ72" s="12"/>
      <c r="TRQ72" s="12"/>
      <c r="TRR72" s="12"/>
      <c r="TSI72" s="12"/>
      <c r="TSJ72" s="12"/>
      <c r="TTA72" s="12"/>
      <c r="TTB72" s="12"/>
      <c r="TTS72" s="12"/>
      <c r="TTT72" s="12"/>
      <c r="TUK72" s="12"/>
      <c r="TUL72" s="12"/>
      <c r="TVC72" s="12"/>
      <c r="TVD72" s="12"/>
      <c r="TVU72" s="12"/>
      <c r="TVV72" s="12"/>
      <c r="TWM72" s="12"/>
      <c r="TWN72" s="12"/>
      <c r="TXE72" s="12"/>
      <c r="TXF72" s="12"/>
      <c r="TXW72" s="12"/>
      <c r="TXX72" s="12"/>
      <c r="TYO72" s="12"/>
      <c r="TYP72" s="12"/>
      <c r="TZG72" s="12"/>
      <c r="TZH72" s="12"/>
      <c r="TZY72" s="12"/>
      <c r="TZZ72" s="12"/>
      <c r="UAQ72" s="12"/>
      <c r="UAR72" s="12"/>
      <c r="UBI72" s="12"/>
      <c r="UBJ72" s="12"/>
      <c r="UCA72" s="12"/>
      <c r="UCB72" s="12"/>
      <c r="UCS72" s="12"/>
      <c r="UCT72" s="12"/>
      <c r="UDK72" s="12"/>
      <c r="UDL72" s="12"/>
      <c r="UEC72" s="12"/>
      <c r="UED72" s="12"/>
      <c r="UEU72" s="12"/>
      <c r="UEV72" s="12"/>
      <c r="UFM72" s="12"/>
      <c r="UFN72" s="12"/>
      <c r="UGE72" s="12"/>
      <c r="UGF72" s="12"/>
      <c r="UGW72" s="12"/>
      <c r="UGX72" s="12"/>
      <c r="UHO72" s="12"/>
      <c r="UHP72" s="12"/>
      <c r="UIG72" s="12"/>
      <c r="UIH72" s="12"/>
      <c r="UIY72" s="12"/>
      <c r="UIZ72" s="12"/>
      <c r="UJQ72" s="12"/>
      <c r="UJR72" s="12"/>
      <c r="UKI72" s="12"/>
      <c r="UKJ72" s="12"/>
      <c r="ULA72" s="12"/>
      <c r="ULB72" s="12"/>
      <c r="ULS72" s="12"/>
      <c r="ULT72" s="12"/>
      <c r="UMK72" s="12"/>
      <c r="UML72" s="12"/>
      <c r="UNC72" s="12"/>
      <c r="UND72" s="12"/>
      <c r="UNU72" s="12"/>
      <c r="UNV72" s="12"/>
      <c r="UOM72" s="12"/>
      <c r="UON72" s="12"/>
      <c r="UPE72" s="12"/>
      <c r="UPF72" s="12"/>
      <c r="UPW72" s="12"/>
      <c r="UPX72" s="12"/>
      <c r="UQO72" s="12"/>
      <c r="UQP72" s="12"/>
      <c r="URG72" s="12"/>
      <c r="URH72" s="12"/>
      <c r="URY72" s="12"/>
      <c r="URZ72" s="12"/>
      <c r="USQ72" s="12"/>
      <c r="USR72" s="12"/>
      <c r="UTI72" s="12"/>
      <c r="UTJ72" s="12"/>
      <c r="UUA72" s="12"/>
      <c r="UUB72" s="12"/>
      <c r="UUS72" s="12"/>
      <c r="UUT72" s="12"/>
      <c r="UVK72" s="12"/>
      <c r="UVL72" s="12"/>
      <c r="UWC72" s="12"/>
      <c r="UWD72" s="12"/>
      <c r="UWU72" s="12"/>
      <c r="UWV72" s="12"/>
      <c r="UXM72" s="12"/>
      <c r="UXN72" s="12"/>
      <c r="UYE72" s="12"/>
      <c r="UYF72" s="12"/>
      <c r="UYW72" s="12"/>
      <c r="UYX72" s="12"/>
      <c r="UZO72" s="12"/>
      <c r="UZP72" s="12"/>
      <c r="VAG72" s="12"/>
      <c r="VAH72" s="12"/>
      <c r="VAY72" s="12"/>
      <c r="VAZ72" s="12"/>
      <c r="VBQ72" s="12"/>
      <c r="VBR72" s="12"/>
      <c r="VCI72" s="12"/>
      <c r="VCJ72" s="12"/>
      <c r="VDA72" s="12"/>
      <c r="VDB72" s="12"/>
      <c r="VDS72" s="12"/>
      <c r="VDT72" s="12"/>
      <c r="VEK72" s="12"/>
      <c r="VEL72" s="12"/>
      <c r="VFC72" s="12"/>
      <c r="VFD72" s="12"/>
      <c r="VFU72" s="12"/>
      <c r="VFV72" s="12"/>
      <c r="VGM72" s="12"/>
      <c r="VGN72" s="12"/>
      <c r="VHE72" s="12"/>
      <c r="VHF72" s="12"/>
      <c r="VHW72" s="12"/>
      <c r="VHX72" s="12"/>
      <c r="VIO72" s="12"/>
      <c r="VIP72" s="12"/>
      <c r="VJG72" s="12"/>
      <c r="VJH72" s="12"/>
      <c r="VJY72" s="12"/>
      <c r="VJZ72" s="12"/>
      <c r="VKQ72" s="12"/>
      <c r="VKR72" s="12"/>
      <c r="VLI72" s="12"/>
      <c r="VLJ72" s="12"/>
      <c r="VMA72" s="12"/>
      <c r="VMB72" s="12"/>
      <c r="VMS72" s="12"/>
      <c r="VMT72" s="12"/>
      <c r="VNK72" s="12"/>
      <c r="VNL72" s="12"/>
      <c r="VOC72" s="12"/>
      <c r="VOD72" s="12"/>
      <c r="VOU72" s="12"/>
      <c r="VOV72" s="12"/>
      <c r="VPM72" s="12"/>
      <c r="VPN72" s="12"/>
      <c r="VQE72" s="12"/>
      <c r="VQF72" s="12"/>
      <c r="VQW72" s="12"/>
      <c r="VQX72" s="12"/>
      <c r="VRO72" s="12"/>
      <c r="VRP72" s="12"/>
      <c r="VSG72" s="12"/>
      <c r="VSH72" s="12"/>
      <c r="VSY72" s="12"/>
      <c r="VSZ72" s="12"/>
      <c r="VTQ72" s="12"/>
      <c r="VTR72" s="12"/>
      <c r="VUI72" s="12"/>
      <c r="VUJ72" s="12"/>
      <c r="VVA72" s="12"/>
      <c r="VVB72" s="12"/>
      <c r="VVS72" s="12"/>
      <c r="VVT72" s="12"/>
      <c r="VWK72" s="12"/>
      <c r="VWL72" s="12"/>
      <c r="VXC72" s="12"/>
      <c r="VXD72" s="12"/>
      <c r="VXU72" s="12"/>
      <c r="VXV72" s="12"/>
      <c r="VYM72" s="12"/>
      <c r="VYN72" s="12"/>
      <c r="VZE72" s="12"/>
      <c r="VZF72" s="12"/>
      <c r="VZW72" s="12"/>
      <c r="VZX72" s="12"/>
      <c r="WAO72" s="12"/>
      <c r="WAP72" s="12"/>
      <c r="WBG72" s="12"/>
      <c r="WBH72" s="12"/>
      <c r="WBY72" s="12"/>
      <c r="WBZ72" s="12"/>
      <c r="WCQ72" s="12"/>
      <c r="WCR72" s="12"/>
      <c r="WDI72" s="12"/>
      <c r="WDJ72" s="12"/>
      <c r="WEA72" s="12"/>
      <c r="WEB72" s="12"/>
      <c r="WES72" s="12"/>
      <c r="WET72" s="12"/>
      <c r="WFK72" s="12"/>
      <c r="WFL72" s="12"/>
      <c r="WGC72" s="12"/>
      <c r="WGD72" s="12"/>
      <c r="WGU72" s="12"/>
      <c r="WGV72" s="12"/>
      <c r="WHM72" s="12"/>
      <c r="WHN72" s="12"/>
      <c r="WIE72" s="12"/>
      <c r="WIF72" s="12"/>
      <c r="WIW72" s="12"/>
      <c r="WIX72" s="12"/>
      <c r="WJO72" s="12"/>
      <c r="WJP72" s="12"/>
      <c r="WKG72" s="12"/>
      <c r="WKH72" s="12"/>
      <c r="WKY72" s="12"/>
      <c r="WKZ72" s="12"/>
      <c r="WLQ72" s="12"/>
      <c r="WLR72" s="12"/>
      <c r="WMI72" s="12"/>
      <c r="WMJ72" s="12"/>
      <c r="WNA72" s="12"/>
      <c r="WNB72" s="12"/>
      <c r="WNS72" s="12"/>
      <c r="WNT72" s="12"/>
      <c r="WOK72" s="12"/>
      <c r="WOL72" s="12"/>
      <c r="WPC72" s="12"/>
      <c r="WPD72" s="12"/>
      <c r="WPU72" s="12"/>
      <c r="WPV72" s="12"/>
      <c r="WQM72" s="12"/>
      <c r="WQN72" s="12"/>
      <c r="WRE72" s="12"/>
      <c r="WRF72" s="12"/>
      <c r="WRW72" s="12"/>
      <c r="WRX72" s="12"/>
      <c r="WSO72" s="12"/>
      <c r="WSP72" s="12"/>
      <c r="WTG72" s="12"/>
      <c r="WTH72" s="12"/>
      <c r="WTY72" s="12"/>
      <c r="WTZ72" s="12"/>
      <c r="WUQ72" s="12"/>
      <c r="WUR72" s="12"/>
      <c r="WVI72" s="12"/>
      <c r="WVJ72" s="12"/>
      <c r="WWA72" s="12"/>
      <c r="WWB72" s="12"/>
      <c r="WWS72" s="12"/>
      <c r="WWT72" s="12"/>
      <c r="WXK72" s="12"/>
      <c r="WXL72" s="12"/>
      <c r="WYC72" s="12"/>
      <c r="WYD72" s="12"/>
      <c r="WYU72" s="12"/>
      <c r="WYV72" s="12"/>
      <c r="WZM72" s="12"/>
      <c r="WZN72" s="12"/>
      <c r="XAE72" s="12"/>
      <c r="XAF72" s="12"/>
      <c r="XAW72" s="12"/>
      <c r="XAX72" s="12"/>
      <c r="XBO72" s="12"/>
      <c r="XBP72" s="12"/>
      <c r="XCG72" s="12"/>
      <c r="XCH72" s="12"/>
      <c r="XCY72" s="12"/>
      <c r="XCZ72" s="12"/>
      <c r="XDQ72" s="12"/>
      <c r="XDR72" s="12"/>
      <c r="XEI72" s="12"/>
      <c r="XEJ72" s="12"/>
      <c r="XFA72" s="12"/>
      <c r="XFB72" s="12"/>
    </row>
    <row r="73" spans="1:1010 1027:2036 2053:3062 3079:4088 4105:5114 5131:6140 6157:7166 7183:8192 8209:9200 9217:10226 10243:11252 11269:12278 12295:13304 13321:14330 14347:15356 15373:16382" x14ac:dyDescent="0.35">
      <c r="A73" s="181" t="str">
        <f>'Balance Sheet - Standardized'!A75</f>
        <v xml:space="preserve">    + Current Portion of LT Debt</v>
      </c>
      <c r="B73" s="13" t="str">
        <f>'Balance Sheet - Standardized'!B75</f>
        <v>BS_CURR_PORTION_LT_DEBT</v>
      </c>
      <c r="C73" s="77">
        <f>IF('Balance Sheet - Standardized'!C75="",0,'Balance Sheet - Standardized'!C75)/'Balance Sheet - Standardized'!C$106</f>
        <v>8.3492973027955318E-4</v>
      </c>
      <c r="D73" s="77">
        <f>IF('Balance Sheet - Standardized'!D75="",0,'Balance Sheet - Standardized'!D75)/'Balance Sheet - Standardized'!D$106</f>
        <v>8.517779275098845E-4</v>
      </c>
      <c r="E73" s="77">
        <f>IF('Balance Sheet - Standardized'!E75="",0,'Balance Sheet - Standardized'!E75)/'Balance Sheet - Standardized'!E$106</f>
        <v>9.1767760418998167E-4</v>
      </c>
      <c r="F73" s="77">
        <f>IF('Balance Sheet - Standardized'!F75="",0,'Balance Sheet - Standardized'!F75)/'Balance Sheet - Standardized'!F$106</f>
        <v>9.0045453566273885E-4</v>
      </c>
      <c r="G73" s="77">
        <f>IF('Balance Sheet - Standardized'!G75="",0,'Balance Sheet - Standardized'!G75)/'Balance Sheet - Standardized'!G$106</f>
        <v>7.1689067968589164E-4</v>
      </c>
      <c r="H73" s="77">
        <f>IF('Balance Sheet - Standardized'!H75="",0,'Balance Sheet - Standardized'!H75)/'Balance Sheet - Standardized'!H$106</f>
        <v>7.2638414674968202E-4</v>
      </c>
      <c r="I73" s="77">
        <f>IF('Balance Sheet - Standardized'!I75="",0,'Balance Sheet - Standardized'!I75)/'Balance Sheet - Standardized'!I$106</f>
        <v>6.99664350210372E-4</v>
      </c>
      <c r="J73" s="77">
        <f>IF('Balance Sheet - Standardized'!J75="",0,'Balance Sheet - Standardized'!J75)/'Balance Sheet - Standardized'!J$106</f>
        <v>7.7928616008468706E-4</v>
      </c>
      <c r="K73" s="77">
        <f>IF('Balance Sheet - Standardized'!K75="",0,'Balance Sheet - Standardized'!K75)/'Balance Sheet - Standardized'!K$106</f>
        <v>8.1621255893376871E-4</v>
      </c>
      <c r="L73" s="77">
        <f>IF('Balance Sheet - Standardized'!L75="",0,'Balance Sheet - Standardized'!L75)/'Balance Sheet - Standardized'!L$106</f>
        <v>7.5652789412505774E-4</v>
      </c>
      <c r="M73" s="106"/>
      <c r="N73" s="106"/>
      <c r="O73" s="106"/>
      <c r="P73" s="106"/>
      <c r="Q73" s="106"/>
      <c r="R73" s="106"/>
      <c r="S73" s="74"/>
      <c r="T73" s="78"/>
      <c r="U73" s="78"/>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row>
    <row r="74" spans="1:1010 1027:2036 2053:3062 3079:4088 4105:5114 5131:6140 6157:7166 7183:8192 8209:9200 9217:10226 10243:11252 11269:12278 12295:13304 13321:14330 14347:15356 15373:16382" x14ac:dyDescent="0.35">
      <c r="A74" s="23" t="str">
        <f>'Balance Sheet - Standardized'!A76</f>
        <v>check</v>
      </c>
      <c r="B74" s="23"/>
      <c r="C74" s="79"/>
      <c r="D74" s="79"/>
      <c r="E74" s="79"/>
      <c r="F74" s="79"/>
      <c r="G74" s="79"/>
      <c r="H74" s="79"/>
      <c r="I74" s="79"/>
      <c r="J74" s="79"/>
      <c r="K74" s="79"/>
      <c r="L74" s="79"/>
      <c r="M74" s="144"/>
      <c r="N74" s="144"/>
      <c r="O74" s="144"/>
      <c r="P74" s="144"/>
      <c r="Q74" s="144"/>
      <c r="R74" s="144"/>
      <c r="S74" s="74"/>
      <c r="T74" s="78"/>
      <c r="U74" s="78"/>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row>
    <row r="75" spans="1:1010 1027:2036 2053:3062 3079:4088 4105:5114 5131:6140 6157:7166 7183:8192 8209:9200 9217:10226 10243:11252 11269:12278 12295:13304 13321:14330 14347:15356 15373:16382" s="11" customFormat="1" x14ac:dyDescent="0.35">
      <c r="A75" s="183" t="str">
        <f>'Balance Sheet - Standardized'!A77</f>
        <v xml:space="preserve">  + Other ST Liabilities</v>
      </c>
      <c r="B75" s="75" t="str">
        <f>'Balance Sheet - Standardized'!B77</f>
        <v>OTHER_CURRENT_LIABS_SUB_DETAILED</v>
      </c>
      <c r="C75" s="76">
        <f>IF('Balance Sheet - Standardized'!C77="",0,'Balance Sheet - Standardized'!C77)/'Balance Sheet - Standardized'!C$106</f>
        <v>0.21697577432315596</v>
      </c>
      <c r="D75" s="76">
        <f>IF('Balance Sheet - Standardized'!D77="",0,'Balance Sheet - Standardized'!D77)/'Balance Sheet - Standardized'!D$106</f>
        <v>0.22165719540463688</v>
      </c>
      <c r="E75" s="76">
        <f>IF('Balance Sheet - Standardized'!E77="",0,'Balance Sheet - Standardized'!E77)/'Balance Sheet - Standardized'!E$106</f>
        <v>0.21516630108778373</v>
      </c>
      <c r="F75" s="76">
        <f>IF('Balance Sheet - Standardized'!F77="",0,'Balance Sheet - Standardized'!F77)/'Balance Sheet - Standardized'!F$106</f>
        <v>0.21215398203399324</v>
      </c>
      <c r="G75" s="76">
        <f>IF('Balance Sheet - Standardized'!G77="",0,'Balance Sheet - Standardized'!G77)/'Balance Sheet - Standardized'!G$106</f>
        <v>0.23454089585600424</v>
      </c>
      <c r="H75" s="76">
        <f>IF('Balance Sheet - Standardized'!H77="",0,'Balance Sheet - Standardized'!H77)/'Balance Sheet - Standardized'!H$106</f>
        <v>0.29373702885452235</v>
      </c>
      <c r="I75" s="76">
        <f>IF('Balance Sheet - Standardized'!I77="",0,'Balance Sheet - Standardized'!I77)/'Balance Sheet - Standardized'!I$106</f>
        <v>0.28271797538568205</v>
      </c>
      <c r="J75" s="76">
        <f>IF('Balance Sheet - Standardized'!J77="",0,'Balance Sheet - Standardized'!J77)/'Balance Sheet - Standardized'!J$106</f>
        <v>0.27374667682727083</v>
      </c>
      <c r="K75" s="76">
        <f>IF('Balance Sheet - Standardized'!K77="",0,'Balance Sheet - Standardized'!K77)/'Balance Sheet - Standardized'!K$106</f>
        <v>0.27924493178539339</v>
      </c>
      <c r="L75" s="76">
        <f>IF('Balance Sheet - Standardized'!L77="",0,'Balance Sheet - Standardized'!L77)/'Balance Sheet - Standardized'!L$106</f>
        <v>0.26935964621768521</v>
      </c>
      <c r="M75" s="106"/>
      <c r="N75" s="106"/>
      <c r="O75" s="106"/>
      <c r="P75" s="106"/>
      <c r="Q75" s="106"/>
      <c r="R75" s="106"/>
      <c r="S75" s="78"/>
      <c r="T75" s="78"/>
      <c r="U75" s="106"/>
      <c r="V75" s="106"/>
      <c r="W75" s="106"/>
      <c r="X75" s="106"/>
      <c r="Y75" s="106"/>
      <c r="Z75" s="106"/>
      <c r="AA75" s="106"/>
      <c r="AB75" s="106"/>
      <c r="AC75" s="106"/>
      <c r="AD75" s="106"/>
      <c r="AE75" s="106"/>
      <c r="AF75" s="106"/>
      <c r="AG75" s="106"/>
      <c r="AH75" s="106"/>
      <c r="AI75" s="106"/>
      <c r="AJ75" s="106"/>
      <c r="AK75" s="78"/>
      <c r="AL75" s="78"/>
      <c r="AM75" s="106"/>
      <c r="AN75" s="106"/>
      <c r="AO75" s="106"/>
      <c r="AP75" s="106"/>
      <c r="AQ75" s="106"/>
      <c r="AR75" s="106"/>
      <c r="AS75" s="106"/>
      <c r="AT75" s="106"/>
      <c r="AU75" s="106"/>
      <c r="AV75" s="106"/>
      <c r="AW75" s="106"/>
      <c r="AX75" s="106"/>
      <c r="AY75" s="106"/>
      <c r="AZ75" s="106"/>
      <c r="BA75" s="106"/>
      <c r="BB75" s="106"/>
      <c r="BC75" s="78"/>
      <c r="BD75" s="78"/>
      <c r="BE75" s="106"/>
      <c r="BF75" s="106"/>
      <c r="BG75" s="106"/>
      <c r="BH75" s="106"/>
      <c r="BI75" s="106"/>
      <c r="BJ75" s="106"/>
      <c r="BU75" s="12"/>
      <c r="BV75" s="12"/>
      <c r="CM75" s="12"/>
      <c r="CN75" s="12"/>
      <c r="DE75" s="12"/>
      <c r="DF75" s="12"/>
      <c r="DW75" s="12"/>
      <c r="DX75" s="12"/>
      <c r="EO75" s="12"/>
      <c r="EP75" s="12"/>
      <c r="FG75" s="12"/>
      <c r="FH75" s="12"/>
      <c r="FY75" s="12"/>
      <c r="FZ75" s="12"/>
      <c r="GQ75" s="12"/>
      <c r="GR75" s="12"/>
      <c r="HI75" s="12"/>
      <c r="HJ75" s="12"/>
      <c r="IA75" s="12"/>
      <c r="IB75" s="12"/>
      <c r="IS75" s="12"/>
      <c r="IT75" s="12"/>
      <c r="JK75" s="12"/>
      <c r="JL75" s="12"/>
      <c r="KC75" s="12"/>
      <c r="KD75" s="12"/>
      <c r="KU75" s="12"/>
      <c r="KV75" s="12"/>
      <c r="LM75" s="12"/>
      <c r="LN75" s="12"/>
      <c r="ME75" s="12"/>
      <c r="MF75" s="12"/>
      <c r="MW75" s="12"/>
      <c r="MX75" s="12"/>
      <c r="NO75" s="12"/>
      <c r="NP75" s="12"/>
      <c r="OG75" s="12"/>
      <c r="OH75" s="12"/>
      <c r="OY75" s="12"/>
      <c r="OZ75" s="12"/>
      <c r="PQ75" s="12"/>
      <c r="PR75" s="12"/>
      <c r="QI75" s="12"/>
      <c r="QJ75" s="12"/>
      <c r="RA75" s="12"/>
      <c r="RB75" s="12"/>
      <c r="RS75" s="12"/>
      <c r="RT75" s="12"/>
      <c r="SK75" s="12"/>
      <c r="SL75" s="12"/>
      <c r="TC75" s="12"/>
      <c r="TD75" s="12"/>
      <c r="TU75" s="12"/>
      <c r="TV75" s="12"/>
      <c r="UM75" s="12"/>
      <c r="UN75" s="12"/>
      <c r="VE75" s="12"/>
      <c r="VF75" s="12"/>
      <c r="VW75" s="12"/>
      <c r="VX75" s="12"/>
      <c r="WO75" s="12"/>
      <c r="WP75" s="12"/>
      <c r="XG75" s="12"/>
      <c r="XH75" s="12"/>
      <c r="XY75" s="12"/>
      <c r="XZ75" s="12"/>
      <c r="YQ75" s="12"/>
      <c r="YR75" s="12"/>
      <c r="ZI75" s="12"/>
      <c r="ZJ75" s="12"/>
      <c r="AAA75" s="12"/>
      <c r="AAB75" s="12"/>
      <c r="AAS75" s="12"/>
      <c r="AAT75" s="12"/>
      <c r="ABK75" s="12"/>
      <c r="ABL75" s="12"/>
      <c r="ACC75" s="12"/>
      <c r="ACD75" s="12"/>
      <c r="ACU75" s="12"/>
      <c r="ACV75" s="12"/>
      <c r="ADM75" s="12"/>
      <c r="ADN75" s="12"/>
      <c r="AEE75" s="12"/>
      <c r="AEF75" s="12"/>
      <c r="AEW75" s="12"/>
      <c r="AEX75" s="12"/>
      <c r="AFO75" s="12"/>
      <c r="AFP75" s="12"/>
      <c r="AGG75" s="12"/>
      <c r="AGH75" s="12"/>
      <c r="AGY75" s="12"/>
      <c r="AGZ75" s="12"/>
      <c r="AHQ75" s="12"/>
      <c r="AHR75" s="12"/>
      <c r="AII75" s="12"/>
      <c r="AIJ75" s="12"/>
      <c r="AJA75" s="12"/>
      <c r="AJB75" s="12"/>
      <c r="AJS75" s="12"/>
      <c r="AJT75" s="12"/>
      <c r="AKK75" s="12"/>
      <c r="AKL75" s="12"/>
      <c r="ALC75" s="12"/>
      <c r="ALD75" s="12"/>
      <c r="ALU75" s="12"/>
      <c r="ALV75" s="12"/>
      <c r="AMM75" s="12"/>
      <c r="AMN75" s="12"/>
      <c r="ANE75" s="12"/>
      <c r="ANF75" s="12"/>
      <c r="ANW75" s="12"/>
      <c r="ANX75" s="12"/>
      <c r="AOO75" s="12"/>
      <c r="AOP75" s="12"/>
      <c r="APG75" s="12"/>
      <c r="APH75" s="12"/>
      <c r="APY75" s="12"/>
      <c r="APZ75" s="12"/>
      <c r="AQQ75" s="12"/>
      <c r="AQR75" s="12"/>
      <c r="ARI75" s="12"/>
      <c r="ARJ75" s="12"/>
      <c r="ASA75" s="12"/>
      <c r="ASB75" s="12"/>
      <c r="ASS75" s="12"/>
      <c r="AST75" s="12"/>
      <c r="ATK75" s="12"/>
      <c r="ATL75" s="12"/>
      <c r="AUC75" s="12"/>
      <c r="AUD75" s="12"/>
      <c r="AUU75" s="12"/>
      <c r="AUV75" s="12"/>
      <c r="AVM75" s="12"/>
      <c r="AVN75" s="12"/>
      <c r="AWE75" s="12"/>
      <c r="AWF75" s="12"/>
      <c r="AWW75" s="12"/>
      <c r="AWX75" s="12"/>
      <c r="AXO75" s="12"/>
      <c r="AXP75" s="12"/>
      <c r="AYG75" s="12"/>
      <c r="AYH75" s="12"/>
      <c r="AYY75" s="12"/>
      <c r="AYZ75" s="12"/>
      <c r="AZQ75" s="12"/>
      <c r="AZR75" s="12"/>
      <c r="BAI75" s="12"/>
      <c r="BAJ75" s="12"/>
      <c r="BBA75" s="12"/>
      <c r="BBB75" s="12"/>
      <c r="BBS75" s="12"/>
      <c r="BBT75" s="12"/>
      <c r="BCK75" s="12"/>
      <c r="BCL75" s="12"/>
      <c r="BDC75" s="12"/>
      <c r="BDD75" s="12"/>
      <c r="BDU75" s="12"/>
      <c r="BDV75" s="12"/>
      <c r="BEM75" s="12"/>
      <c r="BEN75" s="12"/>
      <c r="BFE75" s="12"/>
      <c r="BFF75" s="12"/>
      <c r="BFW75" s="12"/>
      <c r="BFX75" s="12"/>
      <c r="BGO75" s="12"/>
      <c r="BGP75" s="12"/>
      <c r="BHG75" s="12"/>
      <c r="BHH75" s="12"/>
      <c r="BHY75" s="12"/>
      <c r="BHZ75" s="12"/>
      <c r="BIQ75" s="12"/>
      <c r="BIR75" s="12"/>
      <c r="BJI75" s="12"/>
      <c r="BJJ75" s="12"/>
      <c r="BKA75" s="12"/>
      <c r="BKB75" s="12"/>
      <c r="BKS75" s="12"/>
      <c r="BKT75" s="12"/>
      <c r="BLK75" s="12"/>
      <c r="BLL75" s="12"/>
      <c r="BMC75" s="12"/>
      <c r="BMD75" s="12"/>
      <c r="BMU75" s="12"/>
      <c r="BMV75" s="12"/>
      <c r="BNM75" s="12"/>
      <c r="BNN75" s="12"/>
      <c r="BOE75" s="12"/>
      <c r="BOF75" s="12"/>
      <c r="BOW75" s="12"/>
      <c r="BOX75" s="12"/>
      <c r="BPO75" s="12"/>
      <c r="BPP75" s="12"/>
      <c r="BQG75" s="12"/>
      <c r="BQH75" s="12"/>
      <c r="BQY75" s="12"/>
      <c r="BQZ75" s="12"/>
      <c r="BRQ75" s="12"/>
      <c r="BRR75" s="12"/>
      <c r="BSI75" s="12"/>
      <c r="BSJ75" s="12"/>
      <c r="BTA75" s="12"/>
      <c r="BTB75" s="12"/>
      <c r="BTS75" s="12"/>
      <c r="BTT75" s="12"/>
      <c r="BUK75" s="12"/>
      <c r="BUL75" s="12"/>
      <c r="BVC75" s="12"/>
      <c r="BVD75" s="12"/>
      <c r="BVU75" s="12"/>
      <c r="BVV75" s="12"/>
      <c r="BWM75" s="12"/>
      <c r="BWN75" s="12"/>
      <c r="BXE75" s="12"/>
      <c r="BXF75" s="12"/>
      <c r="BXW75" s="12"/>
      <c r="BXX75" s="12"/>
      <c r="BYO75" s="12"/>
      <c r="BYP75" s="12"/>
      <c r="BZG75" s="12"/>
      <c r="BZH75" s="12"/>
      <c r="BZY75" s="12"/>
      <c r="BZZ75" s="12"/>
      <c r="CAQ75" s="12"/>
      <c r="CAR75" s="12"/>
      <c r="CBI75" s="12"/>
      <c r="CBJ75" s="12"/>
      <c r="CCA75" s="12"/>
      <c r="CCB75" s="12"/>
      <c r="CCS75" s="12"/>
      <c r="CCT75" s="12"/>
      <c r="CDK75" s="12"/>
      <c r="CDL75" s="12"/>
      <c r="CEC75" s="12"/>
      <c r="CED75" s="12"/>
      <c r="CEU75" s="12"/>
      <c r="CEV75" s="12"/>
      <c r="CFM75" s="12"/>
      <c r="CFN75" s="12"/>
      <c r="CGE75" s="12"/>
      <c r="CGF75" s="12"/>
      <c r="CGW75" s="12"/>
      <c r="CGX75" s="12"/>
      <c r="CHO75" s="12"/>
      <c r="CHP75" s="12"/>
      <c r="CIG75" s="12"/>
      <c r="CIH75" s="12"/>
      <c r="CIY75" s="12"/>
      <c r="CIZ75" s="12"/>
      <c r="CJQ75" s="12"/>
      <c r="CJR75" s="12"/>
      <c r="CKI75" s="12"/>
      <c r="CKJ75" s="12"/>
      <c r="CLA75" s="12"/>
      <c r="CLB75" s="12"/>
      <c r="CLS75" s="12"/>
      <c r="CLT75" s="12"/>
      <c r="CMK75" s="12"/>
      <c r="CML75" s="12"/>
      <c r="CNC75" s="12"/>
      <c r="CND75" s="12"/>
      <c r="CNU75" s="12"/>
      <c r="CNV75" s="12"/>
      <c r="COM75" s="12"/>
      <c r="CON75" s="12"/>
      <c r="CPE75" s="12"/>
      <c r="CPF75" s="12"/>
      <c r="CPW75" s="12"/>
      <c r="CPX75" s="12"/>
      <c r="CQO75" s="12"/>
      <c r="CQP75" s="12"/>
      <c r="CRG75" s="12"/>
      <c r="CRH75" s="12"/>
      <c r="CRY75" s="12"/>
      <c r="CRZ75" s="12"/>
      <c r="CSQ75" s="12"/>
      <c r="CSR75" s="12"/>
      <c r="CTI75" s="12"/>
      <c r="CTJ75" s="12"/>
      <c r="CUA75" s="12"/>
      <c r="CUB75" s="12"/>
      <c r="CUS75" s="12"/>
      <c r="CUT75" s="12"/>
      <c r="CVK75" s="12"/>
      <c r="CVL75" s="12"/>
      <c r="CWC75" s="12"/>
      <c r="CWD75" s="12"/>
      <c r="CWU75" s="12"/>
      <c r="CWV75" s="12"/>
      <c r="CXM75" s="12"/>
      <c r="CXN75" s="12"/>
      <c r="CYE75" s="12"/>
      <c r="CYF75" s="12"/>
      <c r="CYW75" s="12"/>
      <c r="CYX75" s="12"/>
      <c r="CZO75" s="12"/>
      <c r="CZP75" s="12"/>
      <c r="DAG75" s="12"/>
      <c r="DAH75" s="12"/>
      <c r="DAY75" s="12"/>
      <c r="DAZ75" s="12"/>
      <c r="DBQ75" s="12"/>
      <c r="DBR75" s="12"/>
      <c r="DCI75" s="12"/>
      <c r="DCJ75" s="12"/>
      <c r="DDA75" s="12"/>
      <c r="DDB75" s="12"/>
      <c r="DDS75" s="12"/>
      <c r="DDT75" s="12"/>
      <c r="DEK75" s="12"/>
      <c r="DEL75" s="12"/>
      <c r="DFC75" s="12"/>
      <c r="DFD75" s="12"/>
      <c r="DFU75" s="12"/>
      <c r="DFV75" s="12"/>
      <c r="DGM75" s="12"/>
      <c r="DGN75" s="12"/>
      <c r="DHE75" s="12"/>
      <c r="DHF75" s="12"/>
      <c r="DHW75" s="12"/>
      <c r="DHX75" s="12"/>
      <c r="DIO75" s="12"/>
      <c r="DIP75" s="12"/>
      <c r="DJG75" s="12"/>
      <c r="DJH75" s="12"/>
      <c r="DJY75" s="12"/>
      <c r="DJZ75" s="12"/>
      <c r="DKQ75" s="12"/>
      <c r="DKR75" s="12"/>
      <c r="DLI75" s="12"/>
      <c r="DLJ75" s="12"/>
      <c r="DMA75" s="12"/>
      <c r="DMB75" s="12"/>
      <c r="DMS75" s="12"/>
      <c r="DMT75" s="12"/>
      <c r="DNK75" s="12"/>
      <c r="DNL75" s="12"/>
      <c r="DOC75" s="12"/>
      <c r="DOD75" s="12"/>
      <c r="DOU75" s="12"/>
      <c r="DOV75" s="12"/>
      <c r="DPM75" s="12"/>
      <c r="DPN75" s="12"/>
      <c r="DQE75" s="12"/>
      <c r="DQF75" s="12"/>
      <c r="DQW75" s="12"/>
      <c r="DQX75" s="12"/>
      <c r="DRO75" s="12"/>
      <c r="DRP75" s="12"/>
      <c r="DSG75" s="12"/>
      <c r="DSH75" s="12"/>
      <c r="DSY75" s="12"/>
      <c r="DSZ75" s="12"/>
      <c r="DTQ75" s="12"/>
      <c r="DTR75" s="12"/>
      <c r="DUI75" s="12"/>
      <c r="DUJ75" s="12"/>
      <c r="DVA75" s="12"/>
      <c r="DVB75" s="12"/>
      <c r="DVS75" s="12"/>
      <c r="DVT75" s="12"/>
      <c r="DWK75" s="12"/>
      <c r="DWL75" s="12"/>
      <c r="DXC75" s="12"/>
      <c r="DXD75" s="12"/>
      <c r="DXU75" s="12"/>
      <c r="DXV75" s="12"/>
      <c r="DYM75" s="12"/>
      <c r="DYN75" s="12"/>
      <c r="DZE75" s="12"/>
      <c r="DZF75" s="12"/>
      <c r="DZW75" s="12"/>
      <c r="DZX75" s="12"/>
      <c r="EAO75" s="12"/>
      <c r="EAP75" s="12"/>
      <c r="EBG75" s="12"/>
      <c r="EBH75" s="12"/>
      <c r="EBY75" s="12"/>
      <c r="EBZ75" s="12"/>
      <c r="ECQ75" s="12"/>
      <c r="ECR75" s="12"/>
      <c r="EDI75" s="12"/>
      <c r="EDJ75" s="12"/>
      <c r="EEA75" s="12"/>
      <c r="EEB75" s="12"/>
      <c r="EES75" s="12"/>
      <c r="EET75" s="12"/>
      <c r="EFK75" s="12"/>
      <c r="EFL75" s="12"/>
      <c r="EGC75" s="12"/>
      <c r="EGD75" s="12"/>
      <c r="EGU75" s="12"/>
      <c r="EGV75" s="12"/>
      <c r="EHM75" s="12"/>
      <c r="EHN75" s="12"/>
      <c r="EIE75" s="12"/>
      <c r="EIF75" s="12"/>
      <c r="EIW75" s="12"/>
      <c r="EIX75" s="12"/>
      <c r="EJO75" s="12"/>
      <c r="EJP75" s="12"/>
      <c r="EKG75" s="12"/>
      <c r="EKH75" s="12"/>
      <c r="EKY75" s="12"/>
      <c r="EKZ75" s="12"/>
      <c r="ELQ75" s="12"/>
      <c r="ELR75" s="12"/>
      <c r="EMI75" s="12"/>
      <c r="EMJ75" s="12"/>
      <c r="ENA75" s="12"/>
      <c r="ENB75" s="12"/>
      <c r="ENS75" s="12"/>
      <c r="ENT75" s="12"/>
      <c r="EOK75" s="12"/>
      <c r="EOL75" s="12"/>
      <c r="EPC75" s="12"/>
      <c r="EPD75" s="12"/>
      <c r="EPU75" s="12"/>
      <c r="EPV75" s="12"/>
      <c r="EQM75" s="12"/>
      <c r="EQN75" s="12"/>
      <c r="ERE75" s="12"/>
      <c r="ERF75" s="12"/>
      <c r="ERW75" s="12"/>
      <c r="ERX75" s="12"/>
      <c r="ESO75" s="12"/>
      <c r="ESP75" s="12"/>
      <c r="ETG75" s="12"/>
      <c r="ETH75" s="12"/>
      <c r="ETY75" s="12"/>
      <c r="ETZ75" s="12"/>
      <c r="EUQ75" s="12"/>
      <c r="EUR75" s="12"/>
      <c r="EVI75" s="12"/>
      <c r="EVJ75" s="12"/>
      <c r="EWA75" s="12"/>
      <c r="EWB75" s="12"/>
      <c r="EWS75" s="12"/>
      <c r="EWT75" s="12"/>
      <c r="EXK75" s="12"/>
      <c r="EXL75" s="12"/>
      <c r="EYC75" s="12"/>
      <c r="EYD75" s="12"/>
      <c r="EYU75" s="12"/>
      <c r="EYV75" s="12"/>
      <c r="EZM75" s="12"/>
      <c r="EZN75" s="12"/>
      <c r="FAE75" s="12"/>
      <c r="FAF75" s="12"/>
      <c r="FAW75" s="12"/>
      <c r="FAX75" s="12"/>
      <c r="FBO75" s="12"/>
      <c r="FBP75" s="12"/>
      <c r="FCG75" s="12"/>
      <c r="FCH75" s="12"/>
      <c r="FCY75" s="12"/>
      <c r="FCZ75" s="12"/>
      <c r="FDQ75" s="12"/>
      <c r="FDR75" s="12"/>
      <c r="FEI75" s="12"/>
      <c r="FEJ75" s="12"/>
      <c r="FFA75" s="12"/>
      <c r="FFB75" s="12"/>
      <c r="FFS75" s="12"/>
      <c r="FFT75" s="12"/>
      <c r="FGK75" s="12"/>
      <c r="FGL75" s="12"/>
      <c r="FHC75" s="12"/>
      <c r="FHD75" s="12"/>
      <c r="FHU75" s="12"/>
      <c r="FHV75" s="12"/>
      <c r="FIM75" s="12"/>
      <c r="FIN75" s="12"/>
      <c r="FJE75" s="12"/>
      <c r="FJF75" s="12"/>
      <c r="FJW75" s="12"/>
      <c r="FJX75" s="12"/>
      <c r="FKO75" s="12"/>
      <c r="FKP75" s="12"/>
      <c r="FLG75" s="12"/>
      <c r="FLH75" s="12"/>
      <c r="FLY75" s="12"/>
      <c r="FLZ75" s="12"/>
      <c r="FMQ75" s="12"/>
      <c r="FMR75" s="12"/>
      <c r="FNI75" s="12"/>
      <c r="FNJ75" s="12"/>
      <c r="FOA75" s="12"/>
      <c r="FOB75" s="12"/>
      <c r="FOS75" s="12"/>
      <c r="FOT75" s="12"/>
      <c r="FPK75" s="12"/>
      <c r="FPL75" s="12"/>
      <c r="FQC75" s="12"/>
      <c r="FQD75" s="12"/>
      <c r="FQU75" s="12"/>
      <c r="FQV75" s="12"/>
      <c r="FRM75" s="12"/>
      <c r="FRN75" s="12"/>
      <c r="FSE75" s="12"/>
      <c r="FSF75" s="12"/>
      <c r="FSW75" s="12"/>
      <c r="FSX75" s="12"/>
      <c r="FTO75" s="12"/>
      <c r="FTP75" s="12"/>
      <c r="FUG75" s="12"/>
      <c r="FUH75" s="12"/>
      <c r="FUY75" s="12"/>
      <c r="FUZ75" s="12"/>
      <c r="FVQ75" s="12"/>
      <c r="FVR75" s="12"/>
      <c r="FWI75" s="12"/>
      <c r="FWJ75" s="12"/>
      <c r="FXA75" s="12"/>
      <c r="FXB75" s="12"/>
      <c r="FXS75" s="12"/>
      <c r="FXT75" s="12"/>
      <c r="FYK75" s="12"/>
      <c r="FYL75" s="12"/>
      <c r="FZC75" s="12"/>
      <c r="FZD75" s="12"/>
      <c r="FZU75" s="12"/>
      <c r="FZV75" s="12"/>
      <c r="GAM75" s="12"/>
      <c r="GAN75" s="12"/>
      <c r="GBE75" s="12"/>
      <c r="GBF75" s="12"/>
      <c r="GBW75" s="12"/>
      <c r="GBX75" s="12"/>
      <c r="GCO75" s="12"/>
      <c r="GCP75" s="12"/>
      <c r="GDG75" s="12"/>
      <c r="GDH75" s="12"/>
      <c r="GDY75" s="12"/>
      <c r="GDZ75" s="12"/>
      <c r="GEQ75" s="12"/>
      <c r="GER75" s="12"/>
      <c r="GFI75" s="12"/>
      <c r="GFJ75" s="12"/>
      <c r="GGA75" s="12"/>
      <c r="GGB75" s="12"/>
      <c r="GGS75" s="12"/>
      <c r="GGT75" s="12"/>
      <c r="GHK75" s="12"/>
      <c r="GHL75" s="12"/>
      <c r="GIC75" s="12"/>
      <c r="GID75" s="12"/>
      <c r="GIU75" s="12"/>
      <c r="GIV75" s="12"/>
      <c r="GJM75" s="12"/>
      <c r="GJN75" s="12"/>
      <c r="GKE75" s="12"/>
      <c r="GKF75" s="12"/>
      <c r="GKW75" s="12"/>
      <c r="GKX75" s="12"/>
      <c r="GLO75" s="12"/>
      <c r="GLP75" s="12"/>
      <c r="GMG75" s="12"/>
      <c r="GMH75" s="12"/>
      <c r="GMY75" s="12"/>
      <c r="GMZ75" s="12"/>
      <c r="GNQ75" s="12"/>
      <c r="GNR75" s="12"/>
      <c r="GOI75" s="12"/>
      <c r="GOJ75" s="12"/>
      <c r="GPA75" s="12"/>
      <c r="GPB75" s="12"/>
      <c r="GPS75" s="12"/>
      <c r="GPT75" s="12"/>
      <c r="GQK75" s="12"/>
      <c r="GQL75" s="12"/>
      <c r="GRC75" s="12"/>
      <c r="GRD75" s="12"/>
      <c r="GRU75" s="12"/>
      <c r="GRV75" s="12"/>
      <c r="GSM75" s="12"/>
      <c r="GSN75" s="12"/>
      <c r="GTE75" s="12"/>
      <c r="GTF75" s="12"/>
      <c r="GTW75" s="12"/>
      <c r="GTX75" s="12"/>
      <c r="GUO75" s="12"/>
      <c r="GUP75" s="12"/>
      <c r="GVG75" s="12"/>
      <c r="GVH75" s="12"/>
      <c r="GVY75" s="12"/>
      <c r="GVZ75" s="12"/>
      <c r="GWQ75" s="12"/>
      <c r="GWR75" s="12"/>
      <c r="GXI75" s="12"/>
      <c r="GXJ75" s="12"/>
      <c r="GYA75" s="12"/>
      <c r="GYB75" s="12"/>
      <c r="GYS75" s="12"/>
      <c r="GYT75" s="12"/>
      <c r="GZK75" s="12"/>
      <c r="GZL75" s="12"/>
      <c r="HAC75" s="12"/>
      <c r="HAD75" s="12"/>
      <c r="HAU75" s="12"/>
      <c r="HAV75" s="12"/>
      <c r="HBM75" s="12"/>
      <c r="HBN75" s="12"/>
      <c r="HCE75" s="12"/>
      <c r="HCF75" s="12"/>
      <c r="HCW75" s="12"/>
      <c r="HCX75" s="12"/>
      <c r="HDO75" s="12"/>
      <c r="HDP75" s="12"/>
      <c r="HEG75" s="12"/>
      <c r="HEH75" s="12"/>
      <c r="HEY75" s="12"/>
      <c r="HEZ75" s="12"/>
      <c r="HFQ75" s="12"/>
      <c r="HFR75" s="12"/>
      <c r="HGI75" s="12"/>
      <c r="HGJ75" s="12"/>
      <c r="HHA75" s="12"/>
      <c r="HHB75" s="12"/>
      <c r="HHS75" s="12"/>
      <c r="HHT75" s="12"/>
      <c r="HIK75" s="12"/>
      <c r="HIL75" s="12"/>
      <c r="HJC75" s="12"/>
      <c r="HJD75" s="12"/>
      <c r="HJU75" s="12"/>
      <c r="HJV75" s="12"/>
      <c r="HKM75" s="12"/>
      <c r="HKN75" s="12"/>
      <c r="HLE75" s="12"/>
      <c r="HLF75" s="12"/>
      <c r="HLW75" s="12"/>
      <c r="HLX75" s="12"/>
      <c r="HMO75" s="12"/>
      <c r="HMP75" s="12"/>
      <c r="HNG75" s="12"/>
      <c r="HNH75" s="12"/>
      <c r="HNY75" s="12"/>
      <c r="HNZ75" s="12"/>
      <c r="HOQ75" s="12"/>
      <c r="HOR75" s="12"/>
      <c r="HPI75" s="12"/>
      <c r="HPJ75" s="12"/>
      <c r="HQA75" s="12"/>
      <c r="HQB75" s="12"/>
      <c r="HQS75" s="12"/>
      <c r="HQT75" s="12"/>
      <c r="HRK75" s="12"/>
      <c r="HRL75" s="12"/>
      <c r="HSC75" s="12"/>
      <c r="HSD75" s="12"/>
      <c r="HSU75" s="12"/>
      <c r="HSV75" s="12"/>
      <c r="HTM75" s="12"/>
      <c r="HTN75" s="12"/>
      <c r="HUE75" s="12"/>
      <c r="HUF75" s="12"/>
      <c r="HUW75" s="12"/>
      <c r="HUX75" s="12"/>
      <c r="HVO75" s="12"/>
      <c r="HVP75" s="12"/>
      <c r="HWG75" s="12"/>
      <c r="HWH75" s="12"/>
      <c r="HWY75" s="12"/>
      <c r="HWZ75" s="12"/>
      <c r="HXQ75" s="12"/>
      <c r="HXR75" s="12"/>
      <c r="HYI75" s="12"/>
      <c r="HYJ75" s="12"/>
      <c r="HZA75" s="12"/>
      <c r="HZB75" s="12"/>
      <c r="HZS75" s="12"/>
      <c r="HZT75" s="12"/>
      <c r="IAK75" s="12"/>
      <c r="IAL75" s="12"/>
      <c r="IBC75" s="12"/>
      <c r="IBD75" s="12"/>
      <c r="IBU75" s="12"/>
      <c r="IBV75" s="12"/>
      <c r="ICM75" s="12"/>
      <c r="ICN75" s="12"/>
      <c r="IDE75" s="12"/>
      <c r="IDF75" s="12"/>
      <c r="IDW75" s="12"/>
      <c r="IDX75" s="12"/>
      <c r="IEO75" s="12"/>
      <c r="IEP75" s="12"/>
      <c r="IFG75" s="12"/>
      <c r="IFH75" s="12"/>
      <c r="IFY75" s="12"/>
      <c r="IFZ75" s="12"/>
      <c r="IGQ75" s="12"/>
      <c r="IGR75" s="12"/>
      <c r="IHI75" s="12"/>
      <c r="IHJ75" s="12"/>
      <c r="IIA75" s="12"/>
      <c r="IIB75" s="12"/>
      <c r="IIS75" s="12"/>
      <c r="IIT75" s="12"/>
      <c r="IJK75" s="12"/>
      <c r="IJL75" s="12"/>
      <c r="IKC75" s="12"/>
      <c r="IKD75" s="12"/>
      <c r="IKU75" s="12"/>
      <c r="IKV75" s="12"/>
      <c r="ILM75" s="12"/>
      <c r="ILN75" s="12"/>
      <c r="IME75" s="12"/>
      <c r="IMF75" s="12"/>
      <c r="IMW75" s="12"/>
      <c r="IMX75" s="12"/>
      <c r="INO75" s="12"/>
      <c r="INP75" s="12"/>
      <c r="IOG75" s="12"/>
      <c r="IOH75" s="12"/>
      <c r="IOY75" s="12"/>
      <c r="IOZ75" s="12"/>
      <c r="IPQ75" s="12"/>
      <c r="IPR75" s="12"/>
      <c r="IQI75" s="12"/>
      <c r="IQJ75" s="12"/>
      <c r="IRA75" s="12"/>
      <c r="IRB75" s="12"/>
      <c r="IRS75" s="12"/>
      <c r="IRT75" s="12"/>
      <c r="ISK75" s="12"/>
      <c r="ISL75" s="12"/>
      <c r="ITC75" s="12"/>
      <c r="ITD75" s="12"/>
      <c r="ITU75" s="12"/>
      <c r="ITV75" s="12"/>
      <c r="IUM75" s="12"/>
      <c r="IUN75" s="12"/>
      <c r="IVE75" s="12"/>
      <c r="IVF75" s="12"/>
      <c r="IVW75" s="12"/>
      <c r="IVX75" s="12"/>
      <c r="IWO75" s="12"/>
      <c r="IWP75" s="12"/>
      <c r="IXG75" s="12"/>
      <c r="IXH75" s="12"/>
      <c r="IXY75" s="12"/>
      <c r="IXZ75" s="12"/>
      <c r="IYQ75" s="12"/>
      <c r="IYR75" s="12"/>
      <c r="IZI75" s="12"/>
      <c r="IZJ75" s="12"/>
      <c r="JAA75" s="12"/>
      <c r="JAB75" s="12"/>
      <c r="JAS75" s="12"/>
      <c r="JAT75" s="12"/>
      <c r="JBK75" s="12"/>
      <c r="JBL75" s="12"/>
      <c r="JCC75" s="12"/>
      <c r="JCD75" s="12"/>
      <c r="JCU75" s="12"/>
      <c r="JCV75" s="12"/>
      <c r="JDM75" s="12"/>
      <c r="JDN75" s="12"/>
      <c r="JEE75" s="12"/>
      <c r="JEF75" s="12"/>
      <c r="JEW75" s="12"/>
      <c r="JEX75" s="12"/>
      <c r="JFO75" s="12"/>
      <c r="JFP75" s="12"/>
      <c r="JGG75" s="12"/>
      <c r="JGH75" s="12"/>
      <c r="JGY75" s="12"/>
      <c r="JGZ75" s="12"/>
      <c r="JHQ75" s="12"/>
      <c r="JHR75" s="12"/>
      <c r="JII75" s="12"/>
      <c r="JIJ75" s="12"/>
      <c r="JJA75" s="12"/>
      <c r="JJB75" s="12"/>
      <c r="JJS75" s="12"/>
      <c r="JJT75" s="12"/>
      <c r="JKK75" s="12"/>
      <c r="JKL75" s="12"/>
      <c r="JLC75" s="12"/>
      <c r="JLD75" s="12"/>
      <c r="JLU75" s="12"/>
      <c r="JLV75" s="12"/>
      <c r="JMM75" s="12"/>
      <c r="JMN75" s="12"/>
      <c r="JNE75" s="12"/>
      <c r="JNF75" s="12"/>
      <c r="JNW75" s="12"/>
      <c r="JNX75" s="12"/>
      <c r="JOO75" s="12"/>
      <c r="JOP75" s="12"/>
      <c r="JPG75" s="12"/>
      <c r="JPH75" s="12"/>
      <c r="JPY75" s="12"/>
      <c r="JPZ75" s="12"/>
      <c r="JQQ75" s="12"/>
      <c r="JQR75" s="12"/>
      <c r="JRI75" s="12"/>
      <c r="JRJ75" s="12"/>
      <c r="JSA75" s="12"/>
      <c r="JSB75" s="12"/>
      <c r="JSS75" s="12"/>
      <c r="JST75" s="12"/>
      <c r="JTK75" s="12"/>
      <c r="JTL75" s="12"/>
      <c r="JUC75" s="12"/>
      <c r="JUD75" s="12"/>
      <c r="JUU75" s="12"/>
      <c r="JUV75" s="12"/>
      <c r="JVM75" s="12"/>
      <c r="JVN75" s="12"/>
      <c r="JWE75" s="12"/>
      <c r="JWF75" s="12"/>
      <c r="JWW75" s="12"/>
      <c r="JWX75" s="12"/>
      <c r="JXO75" s="12"/>
      <c r="JXP75" s="12"/>
      <c r="JYG75" s="12"/>
      <c r="JYH75" s="12"/>
      <c r="JYY75" s="12"/>
      <c r="JYZ75" s="12"/>
      <c r="JZQ75" s="12"/>
      <c r="JZR75" s="12"/>
      <c r="KAI75" s="12"/>
      <c r="KAJ75" s="12"/>
      <c r="KBA75" s="12"/>
      <c r="KBB75" s="12"/>
      <c r="KBS75" s="12"/>
      <c r="KBT75" s="12"/>
      <c r="KCK75" s="12"/>
      <c r="KCL75" s="12"/>
      <c r="KDC75" s="12"/>
      <c r="KDD75" s="12"/>
      <c r="KDU75" s="12"/>
      <c r="KDV75" s="12"/>
      <c r="KEM75" s="12"/>
      <c r="KEN75" s="12"/>
      <c r="KFE75" s="12"/>
      <c r="KFF75" s="12"/>
      <c r="KFW75" s="12"/>
      <c r="KFX75" s="12"/>
      <c r="KGO75" s="12"/>
      <c r="KGP75" s="12"/>
      <c r="KHG75" s="12"/>
      <c r="KHH75" s="12"/>
      <c r="KHY75" s="12"/>
      <c r="KHZ75" s="12"/>
      <c r="KIQ75" s="12"/>
      <c r="KIR75" s="12"/>
      <c r="KJI75" s="12"/>
      <c r="KJJ75" s="12"/>
      <c r="KKA75" s="12"/>
      <c r="KKB75" s="12"/>
      <c r="KKS75" s="12"/>
      <c r="KKT75" s="12"/>
      <c r="KLK75" s="12"/>
      <c r="KLL75" s="12"/>
      <c r="KMC75" s="12"/>
      <c r="KMD75" s="12"/>
      <c r="KMU75" s="12"/>
      <c r="KMV75" s="12"/>
      <c r="KNM75" s="12"/>
      <c r="KNN75" s="12"/>
      <c r="KOE75" s="12"/>
      <c r="KOF75" s="12"/>
      <c r="KOW75" s="12"/>
      <c r="KOX75" s="12"/>
      <c r="KPO75" s="12"/>
      <c r="KPP75" s="12"/>
      <c r="KQG75" s="12"/>
      <c r="KQH75" s="12"/>
      <c r="KQY75" s="12"/>
      <c r="KQZ75" s="12"/>
      <c r="KRQ75" s="12"/>
      <c r="KRR75" s="12"/>
      <c r="KSI75" s="12"/>
      <c r="KSJ75" s="12"/>
      <c r="KTA75" s="12"/>
      <c r="KTB75" s="12"/>
      <c r="KTS75" s="12"/>
      <c r="KTT75" s="12"/>
      <c r="KUK75" s="12"/>
      <c r="KUL75" s="12"/>
      <c r="KVC75" s="12"/>
      <c r="KVD75" s="12"/>
      <c r="KVU75" s="12"/>
      <c r="KVV75" s="12"/>
      <c r="KWM75" s="12"/>
      <c r="KWN75" s="12"/>
      <c r="KXE75" s="12"/>
      <c r="KXF75" s="12"/>
      <c r="KXW75" s="12"/>
      <c r="KXX75" s="12"/>
      <c r="KYO75" s="12"/>
      <c r="KYP75" s="12"/>
      <c r="KZG75" s="12"/>
      <c r="KZH75" s="12"/>
      <c r="KZY75" s="12"/>
      <c r="KZZ75" s="12"/>
      <c r="LAQ75" s="12"/>
      <c r="LAR75" s="12"/>
      <c r="LBI75" s="12"/>
      <c r="LBJ75" s="12"/>
      <c r="LCA75" s="12"/>
      <c r="LCB75" s="12"/>
      <c r="LCS75" s="12"/>
      <c r="LCT75" s="12"/>
      <c r="LDK75" s="12"/>
      <c r="LDL75" s="12"/>
      <c r="LEC75" s="12"/>
      <c r="LED75" s="12"/>
      <c r="LEU75" s="12"/>
      <c r="LEV75" s="12"/>
      <c r="LFM75" s="12"/>
      <c r="LFN75" s="12"/>
      <c r="LGE75" s="12"/>
      <c r="LGF75" s="12"/>
      <c r="LGW75" s="12"/>
      <c r="LGX75" s="12"/>
      <c r="LHO75" s="12"/>
      <c r="LHP75" s="12"/>
      <c r="LIG75" s="12"/>
      <c r="LIH75" s="12"/>
      <c r="LIY75" s="12"/>
      <c r="LIZ75" s="12"/>
      <c r="LJQ75" s="12"/>
      <c r="LJR75" s="12"/>
      <c r="LKI75" s="12"/>
      <c r="LKJ75" s="12"/>
      <c r="LLA75" s="12"/>
      <c r="LLB75" s="12"/>
      <c r="LLS75" s="12"/>
      <c r="LLT75" s="12"/>
      <c r="LMK75" s="12"/>
      <c r="LML75" s="12"/>
      <c r="LNC75" s="12"/>
      <c r="LND75" s="12"/>
      <c r="LNU75" s="12"/>
      <c r="LNV75" s="12"/>
      <c r="LOM75" s="12"/>
      <c r="LON75" s="12"/>
      <c r="LPE75" s="12"/>
      <c r="LPF75" s="12"/>
      <c r="LPW75" s="12"/>
      <c r="LPX75" s="12"/>
      <c r="LQO75" s="12"/>
      <c r="LQP75" s="12"/>
      <c r="LRG75" s="12"/>
      <c r="LRH75" s="12"/>
      <c r="LRY75" s="12"/>
      <c r="LRZ75" s="12"/>
      <c r="LSQ75" s="12"/>
      <c r="LSR75" s="12"/>
      <c r="LTI75" s="12"/>
      <c r="LTJ75" s="12"/>
      <c r="LUA75" s="12"/>
      <c r="LUB75" s="12"/>
      <c r="LUS75" s="12"/>
      <c r="LUT75" s="12"/>
      <c r="LVK75" s="12"/>
      <c r="LVL75" s="12"/>
      <c r="LWC75" s="12"/>
      <c r="LWD75" s="12"/>
      <c r="LWU75" s="12"/>
      <c r="LWV75" s="12"/>
      <c r="LXM75" s="12"/>
      <c r="LXN75" s="12"/>
      <c r="LYE75" s="12"/>
      <c r="LYF75" s="12"/>
      <c r="LYW75" s="12"/>
      <c r="LYX75" s="12"/>
      <c r="LZO75" s="12"/>
      <c r="LZP75" s="12"/>
      <c r="MAG75" s="12"/>
      <c r="MAH75" s="12"/>
      <c r="MAY75" s="12"/>
      <c r="MAZ75" s="12"/>
      <c r="MBQ75" s="12"/>
      <c r="MBR75" s="12"/>
      <c r="MCI75" s="12"/>
      <c r="MCJ75" s="12"/>
      <c r="MDA75" s="12"/>
      <c r="MDB75" s="12"/>
      <c r="MDS75" s="12"/>
      <c r="MDT75" s="12"/>
      <c r="MEK75" s="12"/>
      <c r="MEL75" s="12"/>
      <c r="MFC75" s="12"/>
      <c r="MFD75" s="12"/>
      <c r="MFU75" s="12"/>
      <c r="MFV75" s="12"/>
      <c r="MGM75" s="12"/>
      <c r="MGN75" s="12"/>
      <c r="MHE75" s="12"/>
      <c r="MHF75" s="12"/>
      <c r="MHW75" s="12"/>
      <c r="MHX75" s="12"/>
      <c r="MIO75" s="12"/>
      <c r="MIP75" s="12"/>
      <c r="MJG75" s="12"/>
      <c r="MJH75" s="12"/>
      <c r="MJY75" s="12"/>
      <c r="MJZ75" s="12"/>
      <c r="MKQ75" s="12"/>
      <c r="MKR75" s="12"/>
      <c r="MLI75" s="12"/>
      <c r="MLJ75" s="12"/>
      <c r="MMA75" s="12"/>
      <c r="MMB75" s="12"/>
      <c r="MMS75" s="12"/>
      <c r="MMT75" s="12"/>
      <c r="MNK75" s="12"/>
      <c r="MNL75" s="12"/>
      <c r="MOC75" s="12"/>
      <c r="MOD75" s="12"/>
      <c r="MOU75" s="12"/>
      <c r="MOV75" s="12"/>
      <c r="MPM75" s="12"/>
      <c r="MPN75" s="12"/>
      <c r="MQE75" s="12"/>
      <c r="MQF75" s="12"/>
      <c r="MQW75" s="12"/>
      <c r="MQX75" s="12"/>
      <c r="MRO75" s="12"/>
      <c r="MRP75" s="12"/>
      <c r="MSG75" s="12"/>
      <c r="MSH75" s="12"/>
      <c r="MSY75" s="12"/>
      <c r="MSZ75" s="12"/>
      <c r="MTQ75" s="12"/>
      <c r="MTR75" s="12"/>
      <c r="MUI75" s="12"/>
      <c r="MUJ75" s="12"/>
      <c r="MVA75" s="12"/>
      <c r="MVB75" s="12"/>
      <c r="MVS75" s="12"/>
      <c r="MVT75" s="12"/>
      <c r="MWK75" s="12"/>
      <c r="MWL75" s="12"/>
      <c r="MXC75" s="12"/>
      <c r="MXD75" s="12"/>
      <c r="MXU75" s="12"/>
      <c r="MXV75" s="12"/>
      <c r="MYM75" s="12"/>
      <c r="MYN75" s="12"/>
      <c r="MZE75" s="12"/>
      <c r="MZF75" s="12"/>
      <c r="MZW75" s="12"/>
      <c r="MZX75" s="12"/>
      <c r="NAO75" s="12"/>
      <c r="NAP75" s="12"/>
      <c r="NBG75" s="12"/>
      <c r="NBH75" s="12"/>
      <c r="NBY75" s="12"/>
      <c r="NBZ75" s="12"/>
      <c r="NCQ75" s="12"/>
      <c r="NCR75" s="12"/>
      <c r="NDI75" s="12"/>
      <c r="NDJ75" s="12"/>
      <c r="NEA75" s="12"/>
      <c r="NEB75" s="12"/>
      <c r="NES75" s="12"/>
      <c r="NET75" s="12"/>
      <c r="NFK75" s="12"/>
      <c r="NFL75" s="12"/>
      <c r="NGC75" s="12"/>
      <c r="NGD75" s="12"/>
      <c r="NGU75" s="12"/>
      <c r="NGV75" s="12"/>
      <c r="NHM75" s="12"/>
      <c r="NHN75" s="12"/>
      <c r="NIE75" s="12"/>
      <c r="NIF75" s="12"/>
      <c r="NIW75" s="12"/>
      <c r="NIX75" s="12"/>
      <c r="NJO75" s="12"/>
      <c r="NJP75" s="12"/>
      <c r="NKG75" s="12"/>
      <c r="NKH75" s="12"/>
      <c r="NKY75" s="12"/>
      <c r="NKZ75" s="12"/>
      <c r="NLQ75" s="12"/>
      <c r="NLR75" s="12"/>
      <c r="NMI75" s="12"/>
      <c r="NMJ75" s="12"/>
      <c r="NNA75" s="12"/>
      <c r="NNB75" s="12"/>
      <c r="NNS75" s="12"/>
      <c r="NNT75" s="12"/>
      <c r="NOK75" s="12"/>
      <c r="NOL75" s="12"/>
      <c r="NPC75" s="12"/>
      <c r="NPD75" s="12"/>
      <c r="NPU75" s="12"/>
      <c r="NPV75" s="12"/>
      <c r="NQM75" s="12"/>
      <c r="NQN75" s="12"/>
      <c r="NRE75" s="12"/>
      <c r="NRF75" s="12"/>
      <c r="NRW75" s="12"/>
      <c r="NRX75" s="12"/>
      <c r="NSO75" s="12"/>
      <c r="NSP75" s="12"/>
      <c r="NTG75" s="12"/>
      <c r="NTH75" s="12"/>
      <c r="NTY75" s="12"/>
      <c r="NTZ75" s="12"/>
      <c r="NUQ75" s="12"/>
      <c r="NUR75" s="12"/>
      <c r="NVI75" s="12"/>
      <c r="NVJ75" s="12"/>
      <c r="NWA75" s="12"/>
      <c r="NWB75" s="12"/>
      <c r="NWS75" s="12"/>
      <c r="NWT75" s="12"/>
      <c r="NXK75" s="12"/>
      <c r="NXL75" s="12"/>
      <c r="NYC75" s="12"/>
      <c r="NYD75" s="12"/>
      <c r="NYU75" s="12"/>
      <c r="NYV75" s="12"/>
      <c r="NZM75" s="12"/>
      <c r="NZN75" s="12"/>
      <c r="OAE75" s="12"/>
      <c r="OAF75" s="12"/>
      <c r="OAW75" s="12"/>
      <c r="OAX75" s="12"/>
      <c r="OBO75" s="12"/>
      <c r="OBP75" s="12"/>
      <c r="OCG75" s="12"/>
      <c r="OCH75" s="12"/>
      <c r="OCY75" s="12"/>
      <c r="OCZ75" s="12"/>
      <c r="ODQ75" s="12"/>
      <c r="ODR75" s="12"/>
      <c r="OEI75" s="12"/>
      <c r="OEJ75" s="12"/>
      <c r="OFA75" s="12"/>
      <c r="OFB75" s="12"/>
      <c r="OFS75" s="12"/>
      <c r="OFT75" s="12"/>
      <c r="OGK75" s="12"/>
      <c r="OGL75" s="12"/>
      <c r="OHC75" s="12"/>
      <c r="OHD75" s="12"/>
      <c r="OHU75" s="12"/>
      <c r="OHV75" s="12"/>
      <c r="OIM75" s="12"/>
      <c r="OIN75" s="12"/>
      <c r="OJE75" s="12"/>
      <c r="OJF75" s="12"/>
      <c r="OJW75" s="12"/>
      <c r="OJX75" s="12"/>
      <c r="OKO75" s="12"/>
      <c r="OKP75" s="12"/>
      <c r="OLG75" s="12"/>
      <c r="OLH75" s="12"/>
      <c r="OLY75" s="12"/>
      <c r="OLZ75" s="12"/>
      <c r="OMQ75" s="12"/>
      <c r="OMR75" s="12"/>
      <c r="ONI75" s="12"/>
      <c r="ONJ75" s="12"/>
      <c r="OOA75" s="12"/>
      <c r="OOB75" s="12"/>
      <c r="OOS75" s="12"/>
      <c r="OOT75" s="12"/>
      <c r="OPK75" s="12"/>
      <c r="OPL75" s="12"/>
      <c r="OQC75" s="12"/>
      <c r="OQD75" s="12"/>
      <c r="OQU75" s="12"/>
      <c r="OQV75" s="12"/>
      <c r="ORM75" s="12"/>
      <c r="ORN75" s="12"/>
      <c r="OSE75" s="12"/>
      <c r="OSF75" s="12"/>
      <c r="OSW75" s="12"/>
      <c r="OSX75" s="12"/>
      <c r="OTO75" s="12"/>
      <c r="OTP75" s="12"/>
      <c r="OUG75" s="12"/>
      <c r="OUH75" s="12"/>
      <c r="OUY75" s="12"/>
      <c r="OUZ75" s="12"/>
      <c r="OVQ75" s="12"/>
      <c r="OVR75" s="12"/>
      <c r="OWI75" s="12"/>
      <c r="OWJ75" s="12"/>
      <c r="OXA75" s="12"/>
      <c r="OXB75" s="12"/>
      <c r="OXS75" s="12"/>
      <c r="OXT75" s="12"/>
      <c r="OYK75" s="12"/>
      <c r="OYL75" s="12"/>
      <c r="OZC75" s="12"/>
      <c r="OZD75" s="12"/>
      <c r="OZU75" s="12"/>
      <c r="OZV75" s="12"/>
      <c r="PAM75" s="12"/>
      <c r="PAN75" s="12"/>
      <c r="PBE75" s="12"/>
      <c r="PBF75" s="12"/>
      <c r="PBW75" s="12"/>
      <c r="PBX75" s="12"/>
      <c r="PCO75" s="12"/>
      <c r="PCP75" s="12"/>
      <c r="PDG75" s="12"/>
      <c r="PDH75" s="12"/>
      <c r="PDY75" s="12"/>
      <c r="PDZ75" s="12"/>
      <c r="PEQ75" s="12"/>
      <c r="PER75" s="12"/>
      <c r="PFI75" s="12"/>
      <c r="PFJ75" s="12"/>
      <c r="PGA75" s="12"/>
      <c r="PGB75" s="12"/>
      <c r="PGS75" s="12"/>
      <c r="PGT75" s="12"/>
      <c r="PHK75" s="12"/>
      <c r="PHL75" s="12"/>
      <c r="PIC75" s="12"/>
      <c r="PID75" s="12"/>
      <c r="PIU75" s="12"/>
      <c r="PIV75" s="12"/>
      <c r="PJM75" s="12"/>
      <c r="PJN75" s="12"/>
      <c r="PKE75" s="12"/>
      <c r="PKF75" s="12"/>
      <c r="PKW75" s="12"/>
      <c r="PKX75" s="12"/>
      <c r="PLO75" s="12"/>
      <c r="PLP75" s="12"/>
      <c r="PMG75" s="12"/>
      <c r="PMH75" s="12"/>
      <c r="PMY75" s="12"/>
      <c r="PMZ75" s="12"/>
      <c r="PNQ75" s="12"/>
      <c r="PNR75" s="12"/>
      <c r="POI75" s="12"/>
      <c r="POJ75" s="12"/>
      <c r="PPA75" s="12"/>
      <c r="PPB75" s="12"/>
      <c r="PPS75" s="12"/>
      <c r="PPT75" s="12"/>
      <c r="PQK75" s="12"/>
      <c r="PQL75" s="12"/>
      <c r="PRC75" s="12"/>
      <c r="PRD75" s="12"/>
      <c r="PRU75" s="12"/>
      <c r="PRV75" s="12"/>
      <c r="PSM75" s="12"/>
      <c r="PSN75" s="12"/>
      <c r="PTE75" s="12"/>
      <c r="PTF75" s="12"/>
      <c r="PTW75" s="12"/>
      <c r="PTX75" s="12"/>
      <c r="PUO75" s="12"/>
      <c r="PUP75" s="12"/>
      <c r="PVG75" s="12"/>
      <c r="PVH75" s="12"/>
      <c r="PVY75" s="12"/>
      <c r="PVZ75" s="12"/>
      <c r="PWQ75" s="12"/>
      <c r="PWR75" s="12"/>
      <c r="PXI75" s="12"/>
      <c r="PXJ75" s="12"/>
      <c r="PYA75" s="12"/>
      <c r="PYB75" s="12"/>
      <c r="PYS75" s="12"/>
      <c r="PYT75" s="12"/>
      <c r="PZK75" s="12"/>
      <c r="PZL75" s="12"/>
      <c r="QAC75" s="12"/>
      <c r="QAD75" s="12"/>
      <c r="QAU75" s="12"/>
      <c r="QAV75" s="12"/>
      <c r="QBM75" s="12"/>
      <c r="QBN75" s="12"/>
      <c r="QCE75" s="12"/>
      <c r="QCF75" s="12"/>
      <c r="QCW75" s="12"/>
      <c r="QCX75" s="12"/>
      <c r="QDO75" s="12"/>
      <c r="QDP75" s="12"/>
      <c r="QEG75" s="12"/>
      <c r="QEH75" s="12"/>
      <c r="QEY75" s="12"/>
      <c r="QEZ75" s="12"/>
      <c r="QFQ75" s="12"/>
      <c r="QFR75" s="12"/>
      <c r="QGI75" s="12"/>
      <c r="QGJ75" s="12"/>
      <c r="QHA75" s="12"/>
      <c r="QHB75" s="12"/>
      <c r="QHS75" s="12"/>
      <c r="QHT75" s="12"/>
      <c r="QIK75" s="12"/>
      <c r="QIL75" s="12"/>
      <c r="QJC75" s="12"/>
      <c r="QJD75" s="12"/>
      <c r="QJU75" s="12"/>
      <c r="QJV75" s="12"/>
      <c r="QKM75" s="12"/>
      <c r="QKN75" s="12"/>
      <c r="QLE75" s="12"/>
      <c r="QLF75" s="12"/>
      <c r="QLW75" s="12"/>
      <c r="QLX75" s="12"/>
      <c r="QMO75" s="12"/>
      <c r="QMP75" s="12"/>
      <c r="QNG75" s="12"/>
      <c r="QNH75" s="12"/>
      <c r="QNY75" s="12"/>
      <c r="QNZ75" s="12"/>
      <c r="QOQ75" s="12"/>
      <c r="QOR75" s="12"/>
      <c r="QPI75" s="12"/>
      <c r="QPJ75" s="12"/>
      <c r="QQA75" s="12"/>
      <c r="QQB75" s="12"/>
      <c r="QQS75" s="12"/>
      <c r="QQT75" s="12"/>
      <c r="QRK75" s="12"/>
      <c r="QRL75" s="12"/>
      <c r="QSC75" s="12"/>
      <c r="QSD75" s="12"/>
      <c r="QSU75" s="12"/>
      <c r="QSV75" s="12"/>
      <c r="QTM75" s="12"/>
      <c r="QTN75" s="12"/>
      <c r="QUE75" s="12"/>
      <c r="QUF75" s="12"/>
      <c r="QUW75" s="12"/>
      <c r="QUX75" s="12"/>
      <c r="QVO75" s="12"/>
      <c r="QVP75" s="12"/>
      <c r="QWG75" s="12"/>
      <c r="QWH75" s="12"/>
      <c r="QWY75" s="12"/>
      <c r="QWZ75" s="12"/>
      <c r="QXQ75" s="12"/>
      <c r="QXR75" s="12"/>
      <c r="QYI75" s="12"/>
      <c r="QYJ75" s="12"/>
      <c r="QZA75" s="12"/>
      <c r="QZB75" s="12"/>
      <c r="QZS75" s="12"/>
      <c r="QZT75" s="12"/>
      <c r="RAK75" s="12"/>
      <c r="RAL75" s="12"/>
      <c r="RBC75" s="12"/>
      <c r="RBD75" s="12"/>
      <c r="RBU75" s="12"/>
      <c r="RBV75" s="12"/>
      <c r="RCM75" s="12"/>
      <c r="RCN75" s="12"/>
      <c r="RDE75" s="12"/>
      <c r="RDF75" s="12"/>
      <c r="RDW75" s="12"/>
      <c r="RDX75" s="12"/>
      <c r="REO75" s="12"/>
      <c r="REP75" s="12"/>
      <c r="RFG75" s="12"/>
      <c r="RFH75" s="12"/>
      <c r="RFY75" s="12"/>
      <c r="RFZ75" s="12"/>
      <c r="RGQ75" s="12"/>
      <c r="RGR75" s="12"/>
      <c r="RHI75" s="12"/>
      <c r="RHJ75" s="12"/>
      <c r="RIA75" s="12"/>
      <c r="RIB75" s="12"/>
      <c r="RIS75" s="12"/>
      <c r="RIT75" s="12"/>
      <c r="RJK75" s="12"/>
      <c r="RJL75" s="12"/>
      <c r="RKC75" s="12"/>
      <c r="RKD75" s="12"/>
      <c r="RKU75" s="12"/>
      <c r="RKV75" s="12"/>
      <c r="RLM75" s="12"/>
      <c r="RLN75" s="12"/>
      <c r="RME75" s="12"/>
      <c r="RMF75" s="12"/>
      <c r="RMW75" s="12"/>
      <c r="RMX75" s="12"/>
      <c r="RNO75" s="12"/>
      <c r="RNP75" s="12"/>
      <c r="ROG75" s="12"/>
      <c r="ROH75" s="12"/>
      <c r="ROY75" s="12"/>
      <c r="ROZ75" s="12"/>
      <c r="RPQ75" s="12"/>
      <c r="RPR75" s="12"/>
      <c r="RQI75" s="12"/>
      <c r="RQJ75" s="12"/>
      <c r="RRA75" s="12"/>
      <c r="RRB75" s="12"/>
      <c r="RRS75" s="12"/>
      <c r="RRT75" s="12"/>
      <c r="RSK75" s="12"/>
      <c r="RSL75" s="12"/>
      <c r="RTC75" s="12"/>
      <c r="RTD75" s="12"/>
      <c r="RTU75" s="12"/>
      <c r="RTV75" s="12"/>
      <c r="RUM75" s="12"/>
      <c r="RUN75" s="12"/>
      <c r="RVE75" s="12"/>
      <c r="RVF75" s="12"/>
      <c r="RVW75" s="12"/>
      <c r="RVX75" s="12"/>
      <c r="RWO75" s="12"/>
      <c r="RWP75" s="12"/>
      <c r="RXG75" s="12"/>
      <c r="RXH75" s="12"/>
      <c r="RXY75" s="12"/>
      <c r="RXZ75" s="12"/>
      <c r="RYQ75" s="12"/>
      <c r="RYR75" s="12"/>
      <c r="RZI75" s="12"/>
      <c r="RZJ75" s="12"/>
      <c r="SAA75" s="12"/>
      <c r="SAB75" s="12"/>
      <c r="SAS75" s="12"/>
      <c r="SAT75" s="12"/>
      <c r="SBK75" s="12"/>
      <c r="SBL75" s="12"/>
      <c r="SCC75" s="12"/>
      <c r="SCD75" s="12"/>
      <c r="SCU75" s="12"/>
      <c r="SCV75" s="12"/>
      <c r="SDM75" s="12"/>
      <c r="SDN75" s="12"/>
      <c r="SEE75" s="12"/>
      <c r="SEF75" s="12"/>
      <c r="SEW75" s="12"/>
      <c r="SEX75" s="12"/>
      <c r="SFO75" s="12"/>
      <c r="SFP75" s="12"/>
      <c r="SGG75" s="12"/>
      <c r="SGH75" s="12"/>
      <c r="SGY75" s="12"/>
      <c r="SGZ75" s="12"/>
      <c r="SHQ75" s="12"/>
      <c r="SHR75" s="12"/>
      <c r="SII75" s="12"/>
      <c r="SIJ75" s="12"/>
      <c r="SJA75" s="12"/>
      <c r="SJB75" s="12"/>
      <c r="SJS75" s="12"/>
      <c r="SJT75" s="12"/>
      <c r="SKK75" s="12"/>
      <c r="SKL75" s="12"/>
      <c r="SLC75" s="12"/>
      <c r="SLD75" s="12"/>
      <c r="SLU75" s="12"/>
      <c r="SLV75" s="12"/>
      <c r="SMM75" s="12"/>
      <c r="SMN75" s="12"/>
      <c r="SNE75" s="12"/>
      <c r="SNF75" s="12"/>
      <c r="SNW75" s="12"/>
      <c r="SNX75" s="12"/>
      <c r="SOO75" s="12"/>
      <c r="SOP75" s="12"/>
      <c r="SPG75" s="12"/>
      <c r="SPH75" s="12"/>
      <c r="SPY75" s="12"/>
      <c r="SPZ75" s="12"/>
      <c r="SQQ75" s="12"/>
      <c r="SQR75" s="12"/>
      <c r="SRI75" s="12"/>
      <c r="SRJ75" s="12"/>
      <c r="SSA75" s="12"/>
      <c r="SSB75" s="12"/>
      <c r="SSS75" s="12"/>
      <c r="SST75" s="12"/>
      <c r="STK75" s="12"/>
      <c r="STL75" s="12"/>
      <c r="SUC75" s="12"/>
      <c r="SUD75" s="12"/>
      <c r="SUU75" s="12"/>
      <c r="SUV75" s="12"/>
      <c r="SVM75" s="12"/>
      <c r="SVN75" s="12"/>
      <c r="SWE75" s="12"/>
      <c r="SWF75" s="12"/>
      <c r="SWW75" s="12"/>
      <c r="SWX75" s="12"/>
      <c r="SXO75" s="12"/>
      <c r="SXP75" s="12"/>
      <c r="SYG75" s="12"/>
      <c r="SYH75" s="12"/>
      <c r="SYY75" s="12"/>
      <c r="SYZ75" s="12"/>
      <c r="SZQ75" s="12"/>
      <c r="SZR75" s="12"/>
      <c r="TAI75" s="12"/>
      <c r="TAJ75" s="12"/>
      <c r="TBA75" s="12"/>
      <c r="TBB75" s="12"/>
      <c r="TBS75" s="12"/>
      <c r="TBT75" s="12"/>
      <c r="TCK75" s="12"/>
      <c r="TCL75" s="12"/>
      <c r="TDC75" s="12"/>
      <c r="TDD75" s="12"/>
      <c r="TDU75" s="12"/>
      <c r="TDV75" s="12"/>
      <c r="TEM75" s="12"/>
      <c r="TEN75" s="12"/>
      <c r="TFE75" s="12"/>
      <c r="TFF75" s="12"/>
      <c r="TFW75" s="12"/>
      <c r="TFX75" s="12"/>
      <c r="TGO75" s="12"/>
      <c r="TGP75" s="12"/>
      <c r="THG75" s="12"/>
      <c r="THH75" s="12"/>
      <c r="THY75" s="12"/>
      <c r="THZ75" s="12"/>
      <c r="TIQ75" s="12"/>
      <c r="TIR75" s="12"/>
      <c r="TJI75" s="12"/>
      <c r="TJJ75" s="12"/>
      <c r="TKA75" s="12"/>
      <c r="TKB75" s="12"/>
      <c r="TKS75" s="12"/>
      <c r="TKT75" s="12"/>
      <c r="TLK75" s="12"/>
      <c r="TLL75" s="12"/>
      <c r="TMC75" s="12"/>
      <c r="TMD75" s="12"/>
      <c r="TMU75" s="12"/>
      <c r="TMV75" s="12"/>
      <c r="TNM75" s="12"/>
      <c r="TNN75" s="12"/>
      <c r="TOE75" s="12"/>
      <c r="TOF75" s="12"/>
      <c r="TOW75" s="12"/>
      <c r="TOX75" s="12"/>
      <c r="TPO75" s="12"/>
      <c r="TPP75" s="12"/>
      <c r="TQG75" s="12"/>
      <c r="TQH75" s="12"/>
      <c r="TQY75" s="12"/>
      <c r="TQZ75" s="12"/>
      <c r="TRQ75" s="12"/>
      <c r="TRR75" s="12"/>
      <c r="TSI75" s="12"/>
      <c r="TSJ75" s="12"/>
      <c r="TTA75" s="12"/>
      <c r="TTB75" s="12"/>
      <c r="TTS75" s="12"/>
      <c r="TTT75" s="12"/>
      <c r="TUK75" s="12"/>
      <c r="TUL75" s="12"/>
      <c r="TVC75" s="12"/>
      <c r="TVD75" s="12"/>
      <c r="TVU75" s="12"/>
      <c r="TVV75" s="12"/>
      <c r="TWM75" s="12"/>
      <c r="TWN75" s="12"/>
      <c r="TXE75" s="12"/>
      <c r="TXF75" s="12"/>
      <c r="TXW75" s="12"/>
      <c r="TXX75" s="12"/>
      <c r="TYO75" s="12"/>
      <c r="TYP75" s="12"/>
      <c r="TZG75" s="12"/>
      <c r="TZH75" s="12"/>
      <c r="TZY75" s="12"/>
      <c r="TZZ75" s="12"/>
      <c r="UAQ75" s="12"/>
      <c r="UAR75" s="12"/>
      <c r="UBI75" s="12"/>
      <c r="UBJ75" s="12"/>
      <c r="UCA75" s="12"/>
      <c r="UCB75" s="12"/>
      <c r="UCS75" s="12"/>
      <c r="UCT75" s="12"/>
      <c r="UDK75" s="12"/>
      <c r="UDL75" s="12"/>
      <c r="UEC75" s="12"/>
      <c r="UED75" s="12"/>
      <c r="UEU75" s="12"/>
      <c r="UEV75" s="12"/>
      <c r="UFM75" s="12"/>
      <c r="UFN75" s="12"/>
      <c r="UGE75" s="12"/>
      <c r="UGF75" s="12"/>
      <c r="UGW75" s="12"/>
      <c r="UGX75" s="12"/>
      <c r="UHO75" s="12"/>
      <c r="UHP75" s="12"/>
      <c r="UIG75" s="12"/>
      <c r="UIH75" s="12"/>
      <c r="UIY75" s="12"/>
      <c r="UIZ75" s="12"/>
      <c r="UJQ75" s="12"/>
      <c r="UJR75" s="12"/>
      <c r="UKI75" s="12"/>
      <c r="UKJ75" s="12"/>
      <c r="ULA75" s="12"/>
      <c r="ULB75" s="12"/>
      <c r="ULS75" s="12"/>
      <c r="ULT75" s="12"/>
      <c r="UMK75" s="12"/>
      <c r="UML75" s="12"/>
      <c r="UNC75" s="12"/>
      <c r="UND75" s="12"/>
      <c r="UNU75" s="12"/>
      <c r="UNV75" s="12"/>
      <c r="UOM75" s="12"/>
      <c r="UON75" s="12"/>
      <c r="UPE75" s="12"/>
      <c r="UPF75" s="12"/>
      <c r="UPW75" s="12"/>
      <c r="UPX75" s="12"/>
      <c r="UQO75" s="12"/>
      <c r="UQP75" s="12"/>
      <c r="URG75" s="12"/>
      <c r="URH75" s="12"/>
      <c r="URY75" s="12"/>
      <c r="URZ75" s="12"/>
      <c r="USQ75" s="12"/>
      <c r="USR75" s="12"/>
      <c r="UTI75" s="12"/>
      <c r="UTJ75" s="12"/>
      <c r="UUA75" s="12"/>
      <c r="UUB75" s="12"/>
      <c r="UUS75" s="12"/>
      <c r="UUT75" s="12"/>
      <c r="UVK75" s="12"/>
      <c r="UVL75" s="12"/>
      <c r="UWC75" s="12"/>
      <c r="UWD75" s="12"/>
      <c r="UWU75" s="12"/>
      <c r="UWV75" s="12"/>
      <c r="UXM75" s="12"/>
      <c r="UXN75" s="12"/>
      <c r="UYE75" s="12"/>
      <c r="UYF75" s="12"/>
      <c r="UYW75" s="12"/>
      <c r="UYX75" s="12"/>
      <c r="UZO75" s="12"/>
      <c r="UZP75" s="12"/>
      <c r="VAG75" s="12"/>
      <c r="VAH75" s="12"/>
      <c r="VAY75" s="12"/>
      <c r="VAZ75" s="12"/>
      <c r="VBQ75" s="12"/>
      <c r="VBR75" s="12"/>
      <c r="VCI75" s="12"/>
      <c r="VCJ75" s="12"/>
      <c r="VDA75" s="12"/>
      <c r="VDB75" s="12"/>
      <c r="VDS75" s="12"/>
      <c r="VDT75" s="12"/>
      <c r="VEK75" s="12"/>
      <c r="VEL75" s="12"/>
      <c r="VFC75" s="12"/>
      <c r="VFD75" s="12"/>
      <c r="VFU75" s="12"/>
      <c r="VFV75" s="12"/>
      <c r="VGM75" s="12"/>
      <c r="VGN75" s="12"/>
      <c r="VHE75" s="12"/>
      <c r="VHF75" s="12"/>
      <c r="VHW75" s="12"/>
      <c r="VHX75" s="12"/>
      <c r="VIO75" s="12"/>
      <c r="VIP75" s="12"/>
      <c r="VJG75" s="12"/>
      <c r="VJH75" s="12"/>
      <c r="VJY75" s="12"/>
      <c r="VJZ75" s="12"/>
      <c r="VKQ75" s="12"/>
      <c r="VKR75" s="12"/>
      <c r="VLI75" s="12"/>
      <c r="VLJ75" s="12"/>
      <c r="VMA75" s="12"/>
      <c r="VMB75" s="12"/>
      <c r="VMS75" s="12"/>
      <c r="VMT75" s="12"/>
      <c r="VNK75" s="12"/>
      <c r="VNL75" s="12"/>
      <c r="VOC75" s="12"/>
      <c r="VOD75" s="12"/>
      <c r="VOU75" s="12"/>
      <c r="VOV75" s="12"/>
      <c r="VPM75" s="12"/>
      <c r="VPN75" s="12"/>
      <c r="VQE75" s="12"/>
      <c r="VQF75" s="12"/>
      <c r="VQW75" s="12"/>
      <c r="VQX75" s="12"/>
      <c r="VRO75" s="12"/>
      <c r="VRP75" s="12"/>
      <c r="VSG75" s="12"/>
      <c r="VSH75" s="12"/>
      <c r="VSY75" s="12"/>
      <c r="VSZ75" s="12"/>
      <c r="VTQ75" s="12"/>
      <c r="VTR75" s="12"/>
      <c r="VUI75" s="12"/>
      <c r="VUJ75" s="12"/>
      <c r="VVA75" s="12"/>
      <c r="VVB75" s="12"/>
      <c r="VVS75" s="12"/>
      <c r="VVT75" s="12"/>
      <c r="VWK75" s="12"/>
      <c r="VWL75" s="12"/>
      <c r="VXC75" s="12"/>
      <c r="VXD75" s="12"/>
      <c r="VXU75" s="12"/>
      <c r="VXV75" s="12"/>
      <c r="VYM75" s="12"/>
      <c r="VYN75" s="12"/>
      <c r="VZE75" s="12"/>
      <c r="VZF75" s="12"/>
      <c r="VZW75" s="12"/>
      <c r="VZX75" s="12"/>
      <c r="WAO75" s="12"/>
      <c r="WAP75" s="12"/>
      <c r="WBG75" s="12"/>
      <c r="WBH75" s="12"/>
      <c r="WBY75" s="12"/>
      <c r="WBZ75" s="12"/>
      <c r="WCQ75" s="12"/>
      <c r="WCR75" s="12"/>
      <c r="WDI75" s="12"/>
      <c r="WDJ75" s="12"/>
      <c r="WEA75" s="12"/>
      <c r="WEB75" s="12"/>
      <c r="WES75" s="12"/>
      <c r="WET75" s="12"/>
      <c r="WFK75" s="12"/>
      <c r="WFL75" s="12"/>
      <c r="WGC75" s="12"/>
      <c r="WGD75" s="12"/>
      <c r="WGU75" s="12"/>
      <c r="WGV75" s="12"/>
      <c r="WHM75" s="12"/>
      <c r="WHN75" s="12"/>
      <c r="WIE75" s="12"/>
      <c r="WIF75" s="12"/>
      <c r="WIW75" s="12"/>
      <c r="WIX75" s="12"/>
      <c r="WJO75" s="12"/>
      <c r="WJP75" s="12"/>
      <c r="WKG75" s="12"/>
      <c r="WKH75" s="12"/>
      <c r="WKY75" s="12"/>
      <c r="WKZ75" s="12"/>
      <c r="WLQ75" s="12"/>
      <c r="WLR75" s="12"/>
      <c r="WMI75" s="12"/>
      <c r="WMJ75" s="12"/>
      <c r="WNA75" s="12"/>
      <c r="WNB75" s="12"/>
      <c r="WNS75" s="12"/>
      <c r="WNT75" s="12"/>
      <c r="WOK75" s="12"/>
      <c r="WOL75" s="12"/>
      <c r="WPC75" s="12"/>
      <c r="WPD75" s="12"/>
      <c r="WPU75" s="12"/>
      <c r="WPV75" s="12"/>
      <c r="WQM75" s="12"/>
      <c r="WQN75" s="12"/>
      <c r="WRE75" s="12"/>
      <c r="WRF75" s="12"/>
      <c r="WRW75" s="12"/>
      <c r="WRX75" s="12"/>
      <c r="WSO75" s="12"/>
      <c r="WSP75" s="12"/>
      <c r="WTG75" s="12"/>
      <c r="WTH75" s="12"/>
      <c r="WTY75" s="12"/>
      <c r="WTZ75" s="12"/>
      <c r="WUQ75" s="12"/>
      <c r="WUR75" s="12"/>
      <c r="WVI75" s="12"/>
      <c r="WVJ75" s="12"/>
      <c r="WWA75" s="12"/>
      <c r="WWB75" s="12"/>
      <c r="WWS75" s="12"/>
      <c r="WWT75" s="12"/>
      <c r="WXK75" s="12"/>
      <c r="WXL75" s="12"/>
      <c r="WYC75" s="12"/>
      <c r="WYD75" s="12"/>
      <c r="WYU75" s="12"/>
      <c r="WYV75" s="12"/>
      <c r="WZM75" s="12"/>
      <c r="WZN75" s="12"/>
      <c r="XAE75" s="12"/>
      <c r="XAF75" s="12"/>
      <c r="XAW75" s="12"/>
      <c r="XAX75" s="12"/>
      <c r="XBO75" s="12"/>
      <c r="XBP75" s="12"/>
      <c r="XCG75" s="12"/>
      <c r="XCH75" s="12"/>
      <c r="XCY75" s="12"/>
      <c r="XCZ75" s="12"/>
      <c r="XDQ75" s="12"/>
      <c r="XDR75" s="12"/>
      <c r="XEI75" s="12"/>
      <c r="XEJ75" s="12"/>
      <c r="XFA75" s="12"/>
      <c r="XFB75" s="12"/>
    </row>
    <row r="76" spans="1:1010 1027:2036 2053:3062 3079:4088 4105:5114 5131:6140 6157:7166 7183:8192 8209:9200 9217:10226 10243:11252 11269:12278 12295:13304 13321:14330 14347:15356 15373:16382" x14ac:dyDescent="0.35">
      <c r="A76" s="181" t="str">
        <f>'Balance Sheet - Standardized'!A78</f>
        <v xml:space="preserve">    + ST Deferred Revenue</v>
      </c>
      <c r="B76" s="13" t="str">
        <f>'Balance Sheet - Standardized'!B78</f>
        <v>ST_DEFERRED_REVENUE</v>
      </c>
      <c r="C76" s="77">
        <f>IF('Balance Sheet - Standardized'!C78="",0,'Balance Sheet - Standardized'!C78)/'Balance Sheet - Standardized'!C$106</f>
        <v>3.2185057724583382E-2</v>
      </c>
      <c r="D76" s="77">
        <f>IF('Balance Sheet - Standardized'!D78="",0,'Balance Sheet - Standardized'!D78)/'Balance Sheet - Standardized'!D$106</f>
        <v>2.6129665179233569E-2</v>
      </c>
      <c r="E76" s="77">
        <f>IF('Balance Sheet - Standardized'!E78="",0,'Balance Sheet - Standardized'!E78)/'Balance Sheet - Standardized'!E$106</f>
        <v>2.8367429159765433E-2</v>
      </c>
      <c r="F76" s="77">
        <f>IF('Balance Sheet - Standardized'!F78="",0,'Balance Sheet - Standardized'!F78)/'Balance Sheet - Standardized'!F$106</f>
        <v>0</v>
      </c>
      <c r="G76" s="77">
        <f>IF('Balance Sheet - Standardized'!G78="",0,'Balance Sheet - Standardized'!G78)/'Balance Sheet - Standardized'!G$106</f>
        <v>6.6983324019881775E-3</v>
      </c>
      <c r="H76" s="77">
        <f>IF('Balance Sheet - Standardized'!H78="",0,'Balance Sheet - Standardized'!H78)/'Balance Sheet - Standardized'!H$106</f>
        <v>1.1568588069893552E-2</v>
      </c>
      <c r="I76" s="77">
        <f>IF('Balance Sheet - Standardized'!I78="",0,'Balance Sheet - Standardized'!I78)/'Balance Sheet - Standardized'!I$106</f>
        <v>3.3533462550623238E-3</v>
      </c>
      <c r="J76" s="77">
        <f>IF('Balance Sheet - Standardized'!J78="",0,'Balance Sheet - Standardized'!J78)/'Balance Sheet - Standardized'!J$106</f>
        <v>9.7583178453082495E-3</v>
      </c>
      <c r="K76" s="77">
        <f>IF('Balance Sheet - Standardized'!K78="",0,'Balance Sheet - Standardized'!K78)/'Balance Sheet - Standardized'!K$106</f>
        <v>8.3182083418355479E-2</v>
      </c>
      <c r="L76" s="77">
        <f>IF('Balance Sheet - Standardized'!L78="",0,'Balance Sheet - Standardized'!L78)/'Balance Sheet - Standardized'!L$106</f>
        <v>5.8246154045963131E-2</v>
      </c>
      <c r="M76" s="106"/>
      <c r="N76" s="106"/>
      <c r="O76" s="106"/>
      <c r="P76" s="106"/>
      <c r="Q76" s="106"/>
      <c r="R76" s="106"/>
      <c r="S76" s="74"/>
      <c r="T76" s="78"/>
      <c r="U76" s="78"/>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row>
    <row r="77" spans="1:1010 1027:2036 2053:3062 3079:4088 4105:5114 5131:6140 6157:7166 7183:8192 8209:9200 9217:10226 10243:11252 11269:12278 12295:13304 13321:14330 14347:15356 15373:16382" x14ac:dyDescent="0.35">
      <c r="A77" s="181" t="str">
        <f>'Balance Sheet - Standardized'!A79</f>
        <v xml:space="preserve">    + ST Derivatives &amp; Hedging</v>
      </c>
      <c r="B77" s="13" t="str">
        <f>'Balance Sheet - Standardized'!B79</f>
        <v>BS_DERIVATIVE_&amp;_HEDGING_LIABS_ST</v>
      </c>
      <c r="C77" s="77">
        <f>IF('Balance Sheet - Standardized'!C79="",0,'Balance Sheet - Standardized'!C79)/'Balance Sheet - Standardized'!C$106</f>
        <v>2.5217420787631171E-3</v>
      </c>
      <c r="D77" s="77">
        <f>IF('Balance Sheet - Standardized'!D79="",0,'Balance Sheet - Standardized'!D79)/'Balance Sheet - Standardized'!D$106</f>
        <v>7.4032638774117823E-3</v>
      </c>
      <c r="E77" s="77">
        <f>IF('Balance Sheet - Standardized'!E79="",0,'Balance Sheet - Standardized'!E79)/'Balance Sheet - Standardized'!E$106</f>
        <v>5.3717713415998932E-5</v>
      </c>
      <c r="F77" s="77">
        <f>IF('Balance Sheet - Standardized'!F79="",0,'Balance Sheet - Standardized'!F79)/'Balance Sheet - Standardized'!F$106</f>
        <v>0</v>
      </c>
      <c r="G77" s="77">
        <f>IF('Balance Sheet - Standardized'!G79="",0,'Balance Sheet - Standardized'!G79)/'Balance Sheet - Standardized'!G$106</f>
        <v>0</v>
      </c>
      <c r="H77" s="77">
        <f>IF('Balance Sheet - Standardized'!H79="",0,'Balance Sheet - Standardized'!H79)/'Balance Sheet - Standardized'!H$106</f>
        <v>0</v>
      </c>
      <c r="I77" s="77">
        <f>IF('Balance Sheet - Standardized'!I79="",0,'Balance Sheet - Standardized'!I79)/'Balance Sheet - Standardized'!I$106</f>
        <v>0</v>
      </c>
      <c r="J77" s="77">
        <f>IF('Balance Sheet - Standardized'!J79="",0,'Balance Sheet - Standardized'!J79)/'Balance Sheet - Standardized'!J$106</f>
        <v>0</v>
      </c>
      <c r="K77" s="77">
        <f>IF('Balance Sheet - Standardized'!K79="",0,'Balance Sheet - Standardized'!K79)/'Balance Sheet - Standardized'!K$106</f>
        <v>0</v>
      </c>
      <c r="L77" s="77">
        <f>IF('Balance Sheet - Standardized'!L79="",0,'Balance Sheet - Standardized'!L79)/'Balance Sheet - Standardized'!L$106</f>
        <v>0</v>
      </c>
      <c r="M77" s="106"/>
      <c r="N77" s="106"/>
      <c r="O77" s="106"/>
      <c r="P77" s="106"/>
      <c r="Q77" s="106"/>
      <c r="R77" s="106"/>
      <c r="S77" s="74"/>
      <c r="T77" s="78"/>
      <c r="U77" s="78"/>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row>
    <row r="78" spans="1:1010 1027:2036 2053:3062 3079:4088 4105:5114 5131:6140 6157:7166 7183:8192 8209:9200 9217:10226 10243:11252 11269:12278 12295:13304 13321:14330 14347:15356 15373:16382" x14ac:dyDescent="0.35">
      <c r="A78" s="181" t="str">
        <f>'Balance Sheet - Standardized'!A80</f>
        <v xml:space="preserve">    + ST Deferred Tax Liabilities</v>
      </c>
      <c r="B78" s="13" t="str">
        <f>'Balance Sheet - Standardized'!B80</f>
        <v>BS_DEFERRED_TAX_LIABS_ST</v>
      </c>
      <c r="C78" s="77">
        <f>IF('Balance Sheet - Standardized'!C80="",0,'Balance Sheet - Standardized'!C80)/'Balance Sheet - Standardized'!C$106</f>
        <v>0</v>
      </c>
      <c r="D78" s="77">
        <f>IF('Balance Sheet - Standardized'!D80="",0,'Balance Sheet - Standardized'!D80)/'Balance Sheet - Standardized'!D$106</f>
        <v>0</v>
      </c>
      <c r="E78" s="77">
        <f>IF('Balance Sheet - Standardized'!E80="",0,'Balance Sheet - Standardized'!E80)/'Balance Sheet - Standardized'!E$106</f>
        <v>0</v>
      </c>
      <c r="F78" s="77">
        <f>IF('Balance Sheet - Standardized'!F80="",0,'Balance Sheet - Standardized'!F80)/'Balance Sheet - Standardized'!F$106</f>
        <v>0</v>
      </c>
      <c r="G78" s="77">
        <f>IF('Balance Sheet - Standardized'!G80="",0,'Balance Sheet - Standardized'!G80)/'Balance Sheet - Standardized'!G$106</f>
        <v>0</v>
      </c>
      <c r="H78" s="77">
        <f>IF('Balance Sheet - Standardized'!H80="",0,'Balance Sheet - Standardized'!H80)/'Balance Sheet - Standardized'!H$106</f>
        <v>0</v>
      </c>
      <c r="I78" s="77">
        <f>IF('Balance Sheet - Standardized'!I80="",0,'Balance Sheet - Standardized'!I80)/'Balance Sheet - Standardized'!I$106</f>
        <v>0</v>
      </c>
      <c r="J78" s="77">
        <f>IF('Balance Sheet - Standardized'!J80="",0,'Balance Sheet - Standardized'!J80)/'Balance Sheet - Standardized'!J$106</f>
        <v>0</v>
      </c>
      <c r="K78" s="77">
        <f>IF('Balance Sheet - Standardized'!K80="",0,'Balance Sheet - Standardized'!K80)/'Balance Sheet - Standardized'!K$106</f>
        <v>0</v>
      </c>
      <c r="L78" s="77">
        <f>IF('Balance Sheet - Standardized'!L80="",0,'Balance Sheet - Standardized'!L80)/'Balance Sheet - Standardized'!L$106</f>
        <v>0</v>
      </c>
      <c r="M78" s="106"/>
      <c r="N78" s="106"/>
      <c r="O78" s="106"/>
      <c r="P78" s="106"/>
      <c r="Q78" s="106"/>
      <c r="R78" s="106"/>
      <c r="S78" s="74"/>
      <c r="T78" s="78"/>
      <c r="U78" s="78"/>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row>
    <row r="79" spans="1:1010 1027:2036 2053:3062 3079:4088 4105:5114 5131:6140 6157:7166 7183:8192 8209:9200 9217:10226 10243:11252 11269:12278 12295:13304 13321:14330 14347:15356 15373:16382" x14ac:dyDescent="0.35">
      <c r="A79" s="181" t="str">
        <f>'Balance Sheet - Standardized'!A81</f>
        <v xml:space="preserve">    + Liabilities of Discontinued Operations ST</v>
      </c>
      <c r="B79" s="13" t="str">
        <f>'Balance Sheet - Standardized'!B81</f>
        <v>BS_LIABS_OF_DISCONTINUED_OPS_ST</v>
      </c>
      <c r="C79" s="77">
        <f>IF('Balance Sheet - Standardized'!C81="",0,'Balance Sheet - Standardized'!C81)/'Balance Sheet - Standardized'!C$106</f>
        <v>0</v>
      </c>
      <c r="D79" s="77">
        <f>IF('Balance Sheet - Standardized'!D81="",0,'Balance Sheet - Standardized'!D81)/'Balance Sheet - Standardized'!D$106</f>
        <v>0</v>
      </c>
      <c r="E79" s="77">
        <f>IF('Balance Sheet - Standardized'!E81="",0,'Balance Sheet - Standardized'!E81)/'Balance Sheet - Standardized'!E$106</f>
        <v>0</v>
      </c>
      <c r="F79" s="77">
        <f>IF('Balance Sheet - Standardized'!F81="",0,'Balance Sheet - Standardized'!F81)/'Balance Sheet - Standardized'!F$106</f>
        <v>0</v>
      </c>
      <c r="G79" s="77">
        <f>IF('Balance Sheet - Standardized'!G81="",0,'Balance Sheet - Standardized'!G81)/'Balance Sheet - Standardized'!G$106</f>
        <v>0</v>
      </c>
      <c r="H79" s="77">
        <f>IF('Balance Sheet - Standardized'!H81="",0,'Balance Sheet - Standardized'!H81)/'Balance Sheet - Standardized'!H$106</f>
        <v>0</v>
      </c>
      <c r="I79" s="77">
        <f>IF('Balance Sheet - Standardized'!I81="",0,'Balance Sheet - Standardized'!I81)/'Balance Sheet - Standardized'!I$106</f>
        <v>0</v>
      </c>
      <c r="J79" s="77">
        <f>IF('Balance Sheet - Standardized'!J81="",0,'Balance Sheet - Standardized'!J81)/'Balance Sheet - Standardized'!J$106</f>
        <v>0</v>
      </c>
      <c r="K79" s="77">
        <f>IF('Balance Sheet - Standardized'!K81="",0,'Balance Sheet - Standardized'!K81)/'Balance Sheet - Standardized'!K$106</f>
        <v>0</v>
      </c>
      <c r="L79" s="77">
        <f>IF('Balance Sheet - Standardized'!L81="",0,'Balance Sheet - Standardized'!L81)/'Balance Sheet - Standardized'!L$106</f>
        <v>0</v>
      </c>
      <c r="M79" s="106"/>
      <c r="N79" s="106"/>
      <c r="O79" s="106"/>
      <c r="P79" s="106"/>
      <c r="Q79" s="106"/>
      <c r="R79" s="106"/>
      <c r="S79" s="74"/>
      <c r="T79" s="78"/>
      <c r="U79" s="78"/>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row>
    <row r="80" spans="1:1010 1027:2036 2053:3062 3079:4088 4105:5114 5131:6140 6157:7166 7183:8192 8209:9200 9217:10226 10243:11252 11269:12278 12295:13304 13321:14330 14347:15356 15373:16382" x14ac:dyDescent="0.35">
      <c r="A80" s="181" t="str">
        <f>'Balance Sheet - Standardized'!A82</f>
        <v xml:space="preserve">    + Misc ST Liabilities</v>
      </c>
      <c r="B80" s="13" t="str">
        <f>'Balance Sheet - Standardized'!B82</f>
        <v>OTHER_CURRENT_LIABS_DETAILED</v>
      </c>
      <c r="C80" s="77">
        <f>IF('Balance Sheet - Standardized'!C82="",0,'Balance Sheet - Standardized'!C82)/'Balance Sheet - Standardized'!C$106</f>
        <v>0.18226897451980945</v>
      </c>
      <c r="D80" s="77">
        <f>IF('Balance Sheet - Standardized'!D82="",0,'Balance Sheet - Standardized'!D82)/'Balance Sheet - Standardized'!D$106</f>
        <v>0.18812426634799154</v>
      </c>
      <c r="E80" s="77">
        <f>IF('Balance Sheet - Standardized'!E82="",0,'Balance Sheet - Standardized'!E82)/'Balance Sheet - Standardized'!E$106</f>
        <v>0.18674515421460228</v>
      </c>
      <c r="F80" s="77">
        <f>IF('Balance Sheet - Standardized'!F82="",0,'Balance Sheet - Standardized'!F82)/'Balance Sheet - Standardized'!F$106</f>
        <v>0.21215398203399324</v>
      </c>
      <c r="G80" s="77">
        <f>IF('Balance Sheet - Standardized'!G82="",0,'Balance Sheet - Standardized'!G82)/'Balance Sheet - Standardized'!G$106</f>
        <v>0.22784256345401607</v>
      </c>
      <c r="H80" s="77">
        <f>IF('Balance Sheet - Standardized'!H82="",0,'Balance Sheet - Standardized'!H82)/'Balance Sheet - Standardized'!H$106</f>
        <v>0.28216844078462877</v>
      </c>
      <c r="I80" s="77">
        <f>IF('Balance Sheet - Standardized'!I82="",0,'Balance Sheet - Standardized'!I82)/'Balance Sheet - Standardized'!I$106</f>
        <v>0.27936462913061977</v>
      </c>
      <c r="J80" s="77">
        <f>IF('Balance Sheet - Standardized'!J82="",0,'Balance Sheet - Standardized'!J82)/'Balance Sheet - Standardized'!J$106</f>
        <v>0.2639883589819626</v>
      </c>
      <c r="K80" s="77">
        <f>IF('Balance Sheet - Standardized'!K82="",0,'Balance Sheet - Standardized'!K82)/'Balance Sheet - Standardized'!K$106</f>
        <v>0.19606284836703791</v>
      </c>
      <c r="L80" s="77">
        <f>IF('Balance Sheet - Standardized'!L82="",0,'Balance Sheet - Standardized'!L82)/'Balance Sheet - Standardized'!L$106</f>
        <v>0.21111349217172209</v>
      </c>
      <c r="M80" s="106"/>
      <c r="N80" s="106"/>
      <c r="O80" s="106"/>
      <c r="P80" s="106"/>
      <c r="Q80" s="106"/>
      <c r="R80" s="106"/>
      <c r="S80" s="74"/>
      <c r="T80" s="78"/>
      <c r="U80" s="78"/>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row>
    <row r="81" spans="1:1010 1027:2036 2053:3062 3079:4088 4105:5114 5131:6140 6157:7166 7183:8192 8209:9200 9217:10226 10243:11252 11269:12278 12295:13304 13321:14330 14347:15356 15373:16382" x14ac:dyDescent="0.35">
      <c r="A81" s="23" t="str">
        <f>'Balance Sheet - Standardized'!A83</f>
        <v>check</v>
      </c>
      <c r="B81" s="23"/>
      <c r="C81" s="79"/>
      <c r="D81" s="79"/>
      <c r="E81" s="79"/>
      <c r="F81" s="79"/>
      <c r="G81" s="79"/>
      <c r="H81" s="79"/>
      <c r="I81" s="79"/>
      <c r="J81" s="79"/>
      <c r="K81" s="79"/>
      <c r="L81" s="79"/>
      <c r="M81" s="144"/>
      <c r="N81" s="144"/>
      <c r="O81" s="144"/>
      <c r="P81" s="144"/>
      <c r="Q81" s="144"/>
      <c r="R81" s="144"/>
      <c r="S81" s="74"/>
      <c r="T81" s="78"/>
      <c r="U81" s="78"/>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row>
    <row r="82" spans="1:1010 1027:2036 2053:3062 3079:4088 4105:5114 5131:6140 6157:7166 7183:8192 8209:9200 9217:10226 10243:11252 11269:12278 12295:13304 13321:14330 14347:15356 15373:16382" x14ac:dyDescent="0.35">
      <c r="A82" s="51" t="str">
        <f>'Balance Sheet - Standardized'!A84</f>
        <v>Total Current Liabilities</v>
      </c>
      <c r="B82" s="51" t="str">
        <f>'Balance Sheet - Standardized'!B84</f>
        <v>BS_CUR_LIAB</v>
      </c>
      <c r="C82" s="81">
        <f>IF('Balance Sheet - Standardized'!C84="",0,'Balance Sheet - Standardized'!C84)/'Balance Sheet - Standardized'!C$106</f>
        <v>0.37237018326071847</v>
      </c>
      <c r="D82" s="81">
        <f>IF('Balance Sheet - Standardized'!D84="",0,'Balance Sheet - Standardized'!D84)/'Balance Sheet - Standardized'!D$106</f>
        <v>0.39002529907575739</v>
      </c>
      <c r="E82" s="81">
        <f>IF('Balance Sheet - Standardized'!E84="",0,'Balance Sheet - Standardized'!E84)/'Balance Sheet - Standardized'!E$106</f>
        <v>0.35853887819508484</v>
      </c>
      <c r="F82" s="81">
        <f>IF('Balance Sheet - Standardized'!F84="",0,'Balance Sheet - Standardized'!F84)/'Balance Sheet - Standardized'!F$106</f>
        <v>0.35385278214601151</v>
      </c>
      <c r="G82" s="81">
        <f>IF('Balance Sheet - Standardized'!G84="",0,'Balance Sheet - Standardized'!G84)/'Balance Sheet - Standardized'!G$106</f>
        <v>0.37644113408429164</v>
      </c>
      <c r="H82" s="81">
        <f>IF('Balance Sheet - Standardized'!H84="",0,'Balance Sheet - Standardized'!H84)/'Balance Sheet - Standardized'!H$106</f>
        <v>0.46274352279574216</v>
      </c>
      <c r="I82" s="81">
        <f>IF('Balance Sheet - Standardized'!I84="",0,'Balance Sheet - Standardized'!I84)/'Balance Sheet - Standardized'!I$106</f>
        <v>0.50723144077278237</v>
      </c>
      <c r="J82" s="81">
        <f>IF('Balance Sheet - Standardized'!J84="",0,'Balance Sheet - Standardized'!J84)/'Balance Sheet - Standardized'!J$106</f>
        <v>0.4693233658265778</v>
      </c>
      <c r="K82" s="81">
        <f>IF('Balance Sheet - Standardized'!K84="",0,'Balance Sheet - Standardized'!K84)/'Balance Sheet - Standardized'!K$106</f>
        <v>0.45040613734566243</v>
      </c>
      <c r="L82" s="81">
        <f>IF('Balance Sheet - Standardized'!L84="",0,'Balance Sheet - Standardized'!L84)/'Balance Sheet - Standardized'!L$106</f>
        <v>0.46622898443435745</v>
      </c>
      <c r="M82" s="145"/>
      <c r="N82" s="145"/>
      <c r="O82" s="145"/>
      <c r="P82" s="145"/>
      <c r="Q82" s="145"/>
      <c r="R82" s="145"/>
      <c r="S82" s="74"/>
      <c r="T82" s="82"/>
      <c r="U82" s="82"/>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row>
    <row r="83" spans="1:1010 1027:2036 2053:3062 3079:4088 4105:5114 5131:6140 6157:7166 7183:8192 8209:9200 9217:10226 10243:11252 11269:12278 12295:13304 13321:14330 14347:15356 15373:16382" x14ac:dyDescent="0.35">
      <c r="A83" s="24" t="str">
        <f>'Balance Sheet - Standardized'!A85</f>
        <v>check</v>
      </c>
      <c r="B83" s="24"/>
      <c r="C83" s="83"/>
      <c r="D83" s="83"/>
      <c r="E83" s="83"/>
      <c r="F83" s="83"/>
      <c r="G83" s="83"/>
      <c r="H83" s="83"/>
      <c r="I83" s="83"/>
      <c r="J83" s="83"/>
      <c r="K83" s="83"/>
      <c r="L83" s="83"/>
      <c r="M83" s="146"/>
      <c r="N83" s="146"/>
      <c r="O83" s="146"/>
      <c r="P83" s="146"/>
      <c r="Q83" s="146"/>
      <c r="R83" s="146"/>
      <c r="S83" s="74"/>
      <c r="T83" s="82"/>
      <c r="U83" s="82"/>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row>
    <row r="84" spans="1:1010 1027:2036 2053:3062 3079:4088 4105:5114 5131:6140 6157:7166 7183:8192 8209:9200 9217:10226 10243:11252 11269:12278 12295:13304 13321:14330 14347:15356 15373:16382" s="11" customFormat="1" x14ac:dyDescent="0.35">
      <c r="A84" s="183" t="str">
        <f>'Balance Sheet - Standardized'!A86</f>
        <v xml:space="preserve">  + LT Debt</v>
      </c>
      <c r="B84" s="75" t="str">
        <f>'Balance Sheet - Standardized'!B86</f>
        <v>BS_LT_BORROW</v>
      </c>
      <c r="C84" s="76">
        <f>IF('Balance Sheet - Standardized'!C86="",0,'Balance Sheet - Standardized'!C86)/'Balance Sheet - Standardized'!C$106</f>
        <v>0.49577025446284773</v>
      </c>
      <c r="D84" s="76">
        <f>IF('Balance Sheet - Standardized'!D86="",0,'Balance Sheet - Standardized'!D86)/'Balance Sheet - Standardized'!D$106</f>
        <v>0.49485754967645151</v>
      </c>
      <c r="E84" s="76">
        <f>IF('Balance Sheet - Standardized'!E86="",0,'Balance Sheet - Standardized'!E86)/'Balance Sheet - Standardized'!E$106</f>
        <v>0.52182282107524958</v>
      </c>
      <c r="F84" s="76">
        <f>IF('Balance Sheet - Standardized'!F86="",0,'Balance Sheet - Standardized'!F86)/'Balance Sheet - Standardized'!F$106</f>
        <v>0.49911031645160597</v>
      </c>
      <c r="G84" s="76">
        <f>IF('Balance Sheet - Standardized'!G86="",0,'Balance Sheet - Standardized'!G86)/'Balance Sheet - Standardized'!G$106</f>
        <v>0.52036704802799927</v>
      </c>
      <c r="H84" s="76">
        <f>IF('Balance Sheet - Standardized'!H86="",0,'Balance Sheet - Standardized'!H86)/'Balance Sheet - Standardized'!H$106</f>
        <v>0.44793131150833498</v>
      </c>
      <c r="I84" s="76">
        <f>IF('Balance Sheet - Standardized'!I86="",0,'Balance Sheet - Standardized'!I86)/'Balance Sheet - Standardized'!I$106</f>
        <v>0.42594746214090989</v>
      </c>
      <c r="J84" s="76">
        <f>IF('Balance Sheet - Standardized'!J86="",0,'Balance Sheet - Standardized'!J86)/'Balance Sheet - Standardized'!J$106</f>
        <v>0.45809957622004838</v>
      </c>
      <c r="K84" s="76">
        <f>IF('Balance Sheet - Standardized'!K86="",0,'Balance Sheet - Standardized'!K86)/'Balance Sheet - Standardized'!K$106</f>
        <v>0.46729958938780475</v>
      </c>
      <c r="L84" s="76">
        <f>IF('Balance Sheet - Standardized'!L86="",0,'Balance Sheet - Standardized'!L86)/'Balance Sheet - Standardized'!L$106</f>
        <v>0.42912340171306484</v>
      </c>
      <c r="M84" s="106"/>
      <c r="N84" s="106"/>
      <c r="O84" s="106"/>
      <c r="P84" s="106"/>
      <c r="Q84" s="106"/>
      <c r="R84" s="106"/>
      <c r="S84" s="78"/>
      <c r="T84" s="78"/>
      <c r="U84" s="106"/>
      <c r="V84" s="106"/>
      <c r="W84" s="106"/>
      <c r="X84" s="106"/>
      <c r="Y84" s="106"/>
      <c r="Z84" s="106"/>
      <c r="AA84" s="106"/>
      <c r="AB84" s="106"/>
      <c r="AC84" s="106"/>
      <c r="AD84" s="106"/>
      <c r="AE84" s="106"/>
      <c r="AF84" s="106"/>
      <c r="AG84" s="106"/>
      <c r="AH84" s="106"/>
      <c r="AI84" s="106"/>
      <c r="AJ84" s="106"/>
      <c r="AK84" s="78"/>
      <c r="AL84" s="78"/>
      <c r="AM84" s="106"/>
      <c r="AN84" s="106"/>
      <c r="AO84" s="106"/>
      <c r="AP84" s="106"/>
      <c r="AQ84" s="106"/>
      <c r="AR84" s="106"/>
      <c r="AS84" s="106"/>
      <c r="AT84" s="106"/>
      <c r="AU84" s="106"/>
      <c r="AV84" s="106"/>
      <c r="AW84" s="106"/>
      <c r="AX84" s="106"/>
      <c r="AY84" s="106"/>
      <c r="AZ84" s="106"/>
      <c r="BA84" s="106"/>
      <c r="BB84" s="106"/>
      <c r="BC84" s="78"/>
      <c r="BD84" s="78"/>
      <c r="BE84" s="106"/>
      <c r="BF84" s="106"/>
      <c r="BG84" s="106"/>
      <c r="BH84" s="106"/>
      <c r="BI84" s="106"/>
      <c r="BJ84" s="106"/>
      <c r="BU84" s="12"/>
      <c r="BV84" s="12"/>
      <c r="CM84" s="12"/>
      <c r="CN84" s="12"/>
      <c r="DE84" s="12"/>
      <c r="DF84" s="12"/>
      <c r="DW84" s="12"/>
      <c r="DX84" s="12"/>
      <c r="EO84" s="12"/>
      <c r="EP84" s="12"/>
      <c r="FG84" s="12"/>
      <c r="FH84" s="12"/>
      <c r="FY84" s="12"/>
      <c r="FZ84" s="12"/>
      <c r="GQ84" s="12"/>
      <c r="GR84" s="12"/>
      <c r="HI84" s="12"/>
      <c r="HJ84" s="12"/>
      <c r="IA84" s="12"/>
      <c r="IB84" s="12"/>
      <c r="IS84" s="12"/>
      <c r="IT84" s="12"/>
      <c r="JK84" s="12"/>
      <c r="JL84" s="12"/>
      <c r="KC84" s="12"/>
      <c r="KD84" s="12"/>
      <c r="KU84" s="12"/>
      <c r="KV84" s="12"/>
      <c r="LM84" s="12"/>
      <c r="LN84" s="12"/>
      <c r="ME84" s="12"/>
      <c r="MF84" s="12"/>
      <c r="MW84" s="12"/>
      <c r="MX84" s="12"/>
      <c r="NO84" s="12"/>
      <c r="NP84" s="12"/>
      <c r="OG84" s="12"/>
      <c r="OH84" s="12"/>
      <c r="OY84" s="12"/>
      <c r="OZ84" s="12"/>
      <c r="PQ84" s="12"/>
      <c r="PR84" s="12"/>
      <c r="QI84" s="12"/>
      <c r="QJ84" s="12"/>
      <c r="RA84" s="12"/>
      <c r="RB84" s="12"/>
      <c r="RS84" s="12"/>
      <c r="RT84" s="12"/>
      <c r="SK84" s="12"/>
      <c r="SL84" s="12"/>
      <c r="TC84" s="12"/>
      <c r="TD84" s="12"/>
      <c r="TU84" s="12"/>
      <c r="TV84" s="12"/>
      <c r="UM84" s="12"/>
      <c r="UN84" s="12"/>
      <c r="VE84" s="12"/>
      <c r="VF84" s="12"/>
      <c r="VW84" s="12"/>
      <c r="VX84" s="12"/>
      <c r="WO84" s="12"/>
      <c r="WP84" s="12"/>
      <c r="XG84" s="12"/>
      <c r="XH84" s="12"/>
      <c r="XY84" s="12"/>
      <c r="XZ84" s="12"/>
      <c r="YQ84" s="12"/>
      <c r="YR84" s="12"/>
      <c r="ZI84" s="12"/>
      <c r="ZJ84" s="12"/>
      <c r="AAA84" s="12"/>
      <c r="AAB84" s="12"/>
      <c r="AAS84" s="12"/>
      <c r="AAT84" s="12"/>
      <c r="ABK84" s="12"/>
      <c r="ABL84" s="12"/>
      <c r="ACC84" s="12"/>
      <c r="ACD84" s="12"/>
      <c r="ACU84" s="12"/>
      <c r="ACV84" s="12"/>
      <c r="ADM84" s="12"/>
      <c r="ADN84" s="12"/>
      <c r="AEE84" s="12"/>
      <c r="AEF84" s="12"/>
      <c r="AEW84" s="12"/>
      <c r="AEX84" s="12"/>
      <c r="AFO84" s="12"/>
      <c r="AFP84" s="12"/>
      <c r="AGG84" s="12"/>
      <c r="AGH84" s="12"/>
      <c r="AGY84" s="12"/>
      <c r="AGZ84" s="12"/>
      <c r="AHQ84" s="12"/>
      <c r="AHR84" s="12"/>
      <c r="AII84" s="12"/>
      <c r="AIJ84" s="12"/>
      <c r="AJA84" s="12"/>
      <c r="AJB84" s="12"/>
      <c r="AJS84" s="12"/>
      <c r="AJT84" s="12"/>
      <c r="AKK84" s="12"/>
      <c r="AKL84" s="12"/>
      <c r="ALC84" s="12"/>
      <c r="ALD84" s="12"/>
      <c r="ALU84" s="12"/>
      <c r="ALV84" s="12"/>
      <c r="AMM84" s="12"/>
      <c r="AMN84" s="12"/>
      <c r="ANE84" s="12"/>
      <c r="ANF84" s="12"/>
      <c r="ANW84" s="12"/>
      <c r="ANX84" s="12"/>
      <c r="AOO84" s="12"/>
      <c r="AOP84" s="12"/>
      <c r="APG84" s="12"/>
      <c r="APH84" s="12"/>
      <c r="APY84" s="12"/>
      <c r="APZ84" s="12"/>
      <c r="AQQ84" s="12"/>
      <c r="AQR84" s="12"/>
      <c r="ARI84" s="12"/>
      <c r="ARJ84" s="12"/>
      <c r="ASA84" s="12"/>
      <c r="ASB84" s="12"/>
      <c r="ASS84" s="12"/>
      <c r="AST84" s="12"/>
      <c r="ATK84" s="12"/>
      <c r="ATL84" s="12"/>
      <c r="AUC84" s="12"/>
      <c r="AUD84" s="12"/>
      <c r="AUU84" s="12"/>
      <c r="AUV84" s="12"/>
      <c r="AVM84" s="12"/>
      <c r="AVN84" s="12"/>
      <c r="AWE84" s="12"/>
      <c r="AWF84" s="12"/>
      <c r="AWW84" s="12"/>
      <c r="AWX84" s="12"/>
      <c r="AXO84" s="12"/>
      <c r="AXP84" s="12"/>
      <c r="AYG84" s="12"/>
      <c r="AYH84" s="12"/>
      <c r="AYY84" s="12"/>
      <c r="AYZ84" s="12"/>
      <c r="AZQ84" s="12"/>
      <c r="AZR84" s="12"/>
      <c r="BAI84" s="12"/>
      <c r="BAJ84" s="12"/>
      <c r="BBA84" s="12"/>
      <c r="BBB84" s="12"/>
      <c r="BBS84" s="12"/>
      <c r="BBT84" s="12"/>
      <c r="BCK84" s="12"/>
      <c r="BCL84" s="12"/>
      <c r="BDC84" s="12"/>
      <c r="BDD84" s="12"/>
      <c r="BDU84" s="12"/>
      <c r="BDV84" s="12"/>
      <c r="BEM84" s="12"/>
      <c r="BEN84" s="12"/>
      <c r="BFE84" s="12"/>
      <c r="BFF84" s="12"/>
      <c r="BFW84" s="12"/>
      <c r="BFX84" s="12"/>
      <c r="BGO84" s="12"/>
      <c r="BGP84" s="12"/>
      <c r="BHG84" s="12"/>
      <c r="BHH84" s="12"/>
      <c r="BHY84" s="12"/>
      <c r="BHZ84" s="12"/>
      <c r="BIQ84" s="12"/>
      <c r="BIR84" s="12"/>
      <c r="BJI84" s="12"/>
      <c r="BJJ84" s="12"/>
      <c r="BKA84" s="12"/>
      <c r="BKB84" s="12"/>
      <c r="BKS84" s="12"/>
      <c r="BKT84" s="12"/>
      <c r="BLK84" s="12"/>
      <c r="BLL84" s="12"/>
      <c r="BMC84" s="12"/>
      <c r="BMD84" s="12"/>
      <c r="BMU84" s="12"/>
      <c r="BMV84" s="12"/>
      <c r="BNM84" s="12"/>
      <c r="BNN84" s="12"/>
      <c r="BOE84" s="12"/>
      <c r="BOF84" s="12"/>
      <c r="BOW84" s="12"/>
      <c r="BOX84" s="12"/>
      <c r="BPO84" s="12"/>
      <c r="BPP84" s="12"/>
      <c r="BQG84" s="12"/>
      <c r="BQH84" s="12"/>
      <c r="BQY84" s="12"/>
      <c r="BQZ84" s="12"/>
      <c r="BRQ84" s="12"/>
      <c r="BRR84" s="12"/>
      <c r="BSI84" s="12"/>
      <c r="BSJ84" s="12"/>
      <c r="BTA84" s="12"/>
      <c r="BTB84" s="12"/>
      <c r="BTS84" s="12"/>
      <c r="BTT84" s="12"/>
      <c r="BUK84" s="12"/>
      <c r="BUL84" s="12"/>
      <c r="BVC84" s="12"/>
      <c r="BVD84" s="12"/>
      <c r="BVU84" s="12"/>
      <c r="BVV84" s="12"/>
      <c r="BWM84" s="12"/>
      <c r="BWN84" s="12"/>
      <c r="BXE84" s="12"/>
      <c r="BXF84" s="12"/>
      <c r="BXW84" s="12"/>
      <c r="BXX84" s="12"/>
      <c r="BYO84" s="12"/>
      <c r="BYP84" s="12"/>
      <c r="BZG84" s="12"/>
      <c r="BZH84" s="12"/>
      <c r="BZY84" s="12"/>
      <c r="BZZ84" s="12"/>
      <c r="CAQ84" s="12"/>
      <c r="CAR84" s="12"/>
      <c r="CBI84" s="12"/>
      <c r="CBJ84" s="12"/>
      <c r="CCA84" s="12"/>
      <c r="CCB84" s="12"/>
      <c r="CCS84" s="12"/>
      <c r="CCT84" s="12"/>
      <c r="CDK84" s="12"/>
      <c r="CDL84" s="12"/>
      <c r="CEC84" s="12"/>
      <c r="CED84" s="12"/>
      <c r="CEU84" s="12"/>
      <c r="CEV84" s="12"/>
      <c r="CFM84" s="12"/>
      <c r="CFN84" s="12"/>
      <c r="CGE84" s="12"/>
      <c r="CGF84" s="12"/>
      <c r="CGW84" s="12"/>
      <c r="CGX84" s="12"/>
      <c r="CHO84" s="12"/>
      <c r="CHP84" s="12"/>
      <c r="CIG84" s="12"/>
      <c r="CIH84" s="12"/>
      <c r="CIY84" s="12"/>
      <c r="CIZ84" s="12"/>
      <c r="CJQ84" s="12"/>
      <c r="CJR84" s="12"/>
      <c r="CKI84" s="12"/>
      <c r="CKJ84" s="12"/>
      <c r="CLA84" s="12"/>
      <c r="CLB84" s="12"/>
      <c r="CLS84" s="12"/>
      <c r="CLT84" s="12"/>
      <c r="CMK84" s="12"/>
      <c r="CML84" s="12"/>
      <c r="CNC84" s="12"/>
      <c r="CND84" s="12"/>
      <c r="CNU84" s="12"/>
      <c r="CNV84" s="12"/>
      <c r="COM84" s="12"/>
      <c r="CON84" s="12"/>
      <c r="CPE84" s="12"/>
      <c r="CPF84" s="12"/>
      <c r="CPW84" s="12"/>
      <c r="CPX84" s="12"/>
      <c r="CQO84" s="12"/>
      <c r="CQP84" s="12"/>
      <c r="CRG84" s="12"/>
      <c r="CRH84" s="12"/>
      <c r="CRY84" s="12"/>
      <c r="CRZ84" s="12"/>
      <c r="CSQ84" s="12"/>
      <c r="CSR84" s="12"/>
      <c r="CTI84" s="12"/>
      <c r="CTJ84" s="12"/>
      <c r="CUA84" s="12"/>
      <c r="CUB84" s="12"/>
      <c r="CUS84" s="12"/>
      <c r="CUT84" s="12"/>
      <c r="CVK84" s="12"/>
      <c r="CVL84" s="12"/>
      <c r="CWC84" s="12"/>
      <c r="CWD84" s="12"/>
      <c r="CWU84" s="12"/>
      <c r="CWV84" s="12"/>
      <c r="CXM84" s="12"/>
      <c r="CXN84" s="12"/>
      <c r="CYE84" s="12"/>
      <c r="CYF84" s="12"/>
      <c r="CYW84" s="12"/>
      <c r="CYX84" s="12"/>
      <c r="CZO84" s="12"/>
      <c r="CZP84" s="12"/>
      <c r="DAG84" s="12"/>
      <c r="DAH84" s="12"/>
      <c r="DAY84" s="12"/>
      <c r="DAZ84" s="12"/>
      <c r="DBQ84" s="12"/>
      <c r="DBR84" s="12"/>
      <c r="DCI84" s="12"/>
      <c r="DCJ84" s="12"/>
      <c r="DDA84" s="12"/>
      <c r="DDB84" s="12"/>
      <c r="DDS84" s="12"/>
      <c r="DDT84" s="12"/>
      <c r="DEK84" s="12"/>
      <c r="DEL84" s="12"/>
      <c r="DFC84" s="12"/>
      <c r="DFD84" s="12"/>
      <c r="DFU84" s="12"/>
      <c r="DFV84" s="12"/>
      <c r="DGM84" s="12"/>
      <c r="DGN84" s="12"/>
      <c r="DHE84" s="12"/>
      <c r="DHF84" s="12"/>
      <c r="DHW84" s="12"/>
      <c r="DHX84" s="12"/>
      <c r="DIO84" s="12"/>
      <c r="DIP84" s="12"/>
      <c r="DJG84" s="12"/>
      <c r="DJH84" s="12"/>
      <c r="DJY84" s="12"/>
      <c r="DJZ84" s="12"/>
      <c r="DKQ84" s="12"/>
      <c r="DKR84" s="12"/>
      <c r="DLI84" s="12"/>
      <c r="DLJ84" s="12"/>
      <c r="DMA84" s="12"/>
      <c r="DMB84" s="12"/>
      <c r="DMS84" s="12"/>
      <c r="DMT84" s="12"/>
      <c r="DNK84" s="12"/>
      <c r="DNL84" s="12"/>
      <c r="DOC84" s="12"/>
      <c r="DOD84" s="12"/>
      <c r="DOU84" s="12"/>
      <c r="DOV84" s="12"/>
      <c r="DPM84" s="12"/>
      <c r="DPN84" s="12"/>
      <c r="DQE84" s="12"/>
      <c r="DQF84" s="12"/>
      <c r="DQW84" s="12"/>
      <c r="DQX84" s="12"/>
      <c r="DRO84" s="12"/>
      <c r="DRP84" s="12"/>
      <c r="DSG84" s="12"/>
      <c r="DSH84" s="12"/>
      <c r="DSY84" s="12"/>
      <c r="DSZ84" s="12"/>
      <c r="DTQ84" s="12"/>
      <c r="DTR84" s="12"/>
      <c r="DUI84" s="12"/>
      <c r="DUJ84" s="12"/>
      <c r="DVA84" s="12"/>
      <c r="DVB84" s="12"/>
      <c r="DVS84" s="12"/>
      <c r="DVT84" s="12"/>
      <c r="DWK84" s="12"/>
      <c r="DWL84" s="12"/>
      <c r="DXC84" s="12"/>
      <c r="DXD84" s="12"/>
      <c r="DXU84" s="12"/>
      <c r="DXV84" s="12"/>
      <c r="DYM84" s="12"/>
      <c r="DYN84" s="12"/>
      <c r="DZE84" s="12"/>
      <c r="DZF84" s="12"/>
      <c r="DZW84" s="12"/>
      <c r="DZX84" s="12"/>
      <c r="EAO84" s="12"/>
      <c r="EAP84" s="12"/>
      <c r="EBG84" s="12"/>
      <c r="EBH84" s="12"/>
      <c r="EBY84" s="12"/>
      <c r="EBZ84" s="12"/>
      <c r="ECQ84" s="12"/>
      <c r="ECR84" s="12"/>
      <c r="EDI84" s="12"/>
      <c r="EDJ84" s="12"/>
      <c r="EEA84" s="12"/>
      <c r="EEB84" s="12"/>
      <c r="EES84" s="12"/>
      <c r="EET84" s="12"/>
      <c r="EFK84" s="12"/>
      <c r="EFL84" s="12"/>
      <c r="EGC84" s="12"/>
      <c r="EGD84" s="12"/>
      <c r="EGU84" s="12"/>
      <c r="EGV84" s="12"/>
      <c r="EHM84" s="12"/>
      <c r="EHN84" s="12"/>
      <c r="EIE84" s="12"/>
      <c r="EIF84" s="12"/>
      <c r="EIW84" s="12"/>
      <c r="EIX84" s="12"/>
      <c r="EJO84" s="12"/>
      <c r="EJP84" s="12"/>
      <c r="EKG84" s="12"/>
      <c r="EKH84" s="12"/>
      <c r="EKY84" s="12"/>
      <c r="EKZ84" s="12"/>
      <c r="ELQ84" s="12"/>
      <c r="ELR84" s="12"/>
      <c r="EMI84" s="12"/>
      <c r="EMJ84" s="12"/>
      <c r="ENA84" s="12"/>
      <c r="ENB84" s="12"/>
      <c r="ENS84" s="12"/>
      <c r="ENT84" s="12"/>
      <c r="EOK84" s="12"/>
      <c r="EOL84" s="12"/>
      <c r="EPC84" s="12"/>
      <c r="EPD84" s="12"/>
      <c r="EPU84" s="12"/>
      <c r="EPV84" s="12"/>
      <c r="EQM84" s="12"/>
      <c r="EQN84" s="12"/>
      <c r="ERE84" s="12"/>
      <c r="ERF84" s="12"/>
      <c r="ERW84" s="12"/>
      <c r="ERX84" s="12"/>
      <c r="ESO84" s="12"/>
      <c r="ESP84" s="12"/>
      <c r="ETG84" s="12"/>
      <c r="ETH84" s="12"/>
      <c r="ETY84" s="12"/>
      <c r="ETZ84" s="12"/>
      <c r="EUQ84" s="12"/>
      <c r="EUR84" s="12"/>
      <c r="EVI84" s="12"/>
      <c r="EVJ84" s="12"/>
      <c r="EWA84" s="12"/>
      <c r="EWB84" s="12"/>
      <c r="EWS84" s="12"/>
      <c r="EWT84" s="12"/>
      <c r="EXK84" s="12"/>
      <c r="EXL84" s="12"/>
      <c r="EYC84" s="12"/>
      <c r="EYD84" s="12"/>
      <c r="EYU84" s="12"/>
      <c r="EYV84" s="12"/>
      <c r="EZM84" s="12"/>
      <c r="EZN84" s="12"/>
      <c r="FAE84" s="12"/>
      <c r="FAF84" s="12"/>
      <c r="FAW84" s="12"/>
      <c r="FAX84" s="12"/>
      <c r="FBO84" s="12"/>
      <c r="FBP84" s="12"/>
      <c r="FCG84" s="12"/>
      <c r="FCH84" s="12"/>
      <c r="FCY84" s="12"/>
      <c r="FCZ84" s="12"/>
      <c r="FDQ84" s="12"/>
      <c r="FDR84" s="12"/>
      <c r="FEI84" s="12"/>
      <c r="FEJ84" s="12"/>
      <c r="FFA84" s="12"/>
      <c r="FFB84" s="12"/>
      <c r="FFS84" s="12"/>
      <c r="FFT84" s="12"/>
      <c r="FGK84" s="12"/>
      <c r="FGL84" s="12"/>
      <c r="FHC84" s="12"/>
      <c r="FHD84" s="12"/>
      <c r="FHU84" s="12"/>
      <c r="FHV84" s="12"/>
      <c r="FIM84" s="12"/>
      <c r="FIN84" s="12"/>
      <c r="FJE84" s="12"/>
      <c r="FJF84" s="12"/>
      <c r="FJW84" s="12"/>
      <c r="FJX84" s="12"/>
      <c r="FKO84" s="12"/>
      <c r="FKP84" s="12"/>
      <c r="FLG84" s="12"/>
      <c r="FLH84" s="12"/>
      <c r="FLY84" s="12"/>
      <c r="FLZ84" s="12"/>
      <c r="FMQ84" s="12"/>
      <c r="FMR84" s="12"/>
      <c r="FNI84" s="12"/>
      <c r="FNJ84" s="12"/>
      <c r="FOA84" s="12"/>
      <c r="FOB84" s="12"/>
      <c r="FOS84" s="12"/>
      <c r="FOT84" s="12"/>
      <c r="FPK84" s="12"/>
      <c r="FPL84" s="12"/>
      <c r="FQC84" s="12"/>
      <c r="FQD84" s="12"/>
      <c r="FQU84" s="12"/>
      <c r="FQV84" s="12"/>
      <c r="FRM84" s="12"/>
      <c r="FRN84" s="12"/>
      <c r="FSE84" s="12"/>
      <c r="FSF84" s="12"/>
      <c r="FSW84" s="12"/>
      <c r="FSX84" s="12"/>
      <c r="FTO84" s="12"/>
      <c r="FTP84" s="12"/>
      <c r="FUG84" s="12"/>
      <c r="FUH84" s="12"/>
      <c r="FUY84" s="12"/>
      <c r="FUZ84" s="12"/>
      <c r="FVQ84" s="12"/>
      <c r="FVR84" s="12"/>
      <c r="FWI84" s="12"/>
      <c r="FWJ84" s="12"/>
      <c r="FXA84" s="12"/>
      <c r="FXB84" s="12"/>
      <c r="FXS84" s="12"/>
      <c r="FXT84" s="12"/>
      <c r="FYK84" s="12"/>
      <c r="FYL84" s="12"/>
      <c r="FZC84" s="12"/>
      <c r="FZD84" s="12"/>
      <c r="FZU84" s="12"/>
      <c r="FZV84" s="12"/>
      <c r="GAM84" s="12"/>
      <c r="GAN84" s="12"/>
      <c r="GBE84" s="12"/>
      <c r="GBF84" s="12"/>
      <c r="GBW84" s="12"/>
      <c r="GBX84" s="12"/>
      <c r="GCO84" s="12"/>
      <c r="GCP84" s="12"/>
      <c r="GDG84" s="12"/>
      <c r="GDH84" s="12"/>
      <c r="GDY84" s="12"/>
      <c r="GDZ84" s="12"/>
      <c r="GEQ84" s="12"/>
      <c r="GER84" s="12"/>
      <c r="GFI84" s="12"/>
      <c r="GFJ84" s="12"/>
      <c r="GGA84" s="12"/>
      <c r="GGB84" s="12"/>
      <c r="GGS84" s="12"/>
      <c r="GGT84" s="12"/>
      <c r="GHK84" s="12"/>
      <c r="GHL84" s="12"/>
      <c r="GIC84" s="12"/>
      <c r="GID84" s="12"/>
      <c r="GIU84" s="12"/>
      <c r="GIV84" s="12"/>
      <c r="GJM84" s="12"/>
      <c r="GJN84" s="12"/>
      <c r="GKE84" s="12"/>
      <c r="GKF84" s="12"/>
      <c r="GKW84" s="12"/>
      <c r="GKX84" s="12"/>
      <c r="GLO84" s="12"/>
      <c r="GLP84" s="12"/>
      <c r="GMG84" s="12"/>
      <c r="GMH84" s="12"/>
      <c r="GMY84" s="12"/>
      <c r="GMZ84" s="12"/>
      <c r="GNQ84" s="12"/>
      <c r="GNR84" s="12"/>
      <c r="GOI84" s="12"/>
      <c r="GOJ84" s="12"/>
      <c r="GPA84" s="12"/>
      <c r="GPB84" s="12"/>
      <c r="GPS84" s="12"/>
      <c r="GPT84" s="12"/>
      <c r="GQK84" s="12"/>
      <c r="GQL84" s="12"/>
      <c r="GRC84" s="12"/>
      <c r="GRD84" s="12"/>
      <c r="GRU84" s="12"/>
      <c r="GRV84" s="12"/>
      <c r="GSM84" s="12"/>
      <c r="GSN84" s="12"/>
      <c r="GTE84" s="12"/>
      <c r="GTF84" s="12"/>
      <c r="GTW84" s="12"/>
      <c r="GTX84" s="12"/>
      <c r="GUO84" s="12"/>
      <c r="GUP84" s="12"/>
      <c r="GVG84" s="12"/>
      <c r="GVH84" s="12"/>
      <c r="GVY84" s="12"/>
      <c r="GVZ84" s="12"/>
      <c r="GWQ84" s="12"/>
      <c r="GWR84" s="12"/>
      <c r="GXI84" s="12"/>
      <c r="GXJ84" s="12"/>
      <c r="GYA84" s="12"/>
      <c r="GYB84" s="12"/>
      <c r="GYS84" s="12"/>
      <c r="GYT84" s="12"/>
      <c r="GZK84" s="12"/>
      <c r="GZL84" s="12"/>
      <c r="HAC84" s="12"/>
      <c r="HAD84" s="12"/>
      <c r="HAU84" s="12"/>
      <c r="HAV84" s="12"/>
      <c r="HBM84" s="12"/>
      <c r="HBN84" s="12"/>
      <c r="HCE84" s="12"/>
      <c r="HCF84" s="12"/>
      <c r="HCW84" s="12"/>
      <c r="HCX84" s="12"/>
      <c r="HDO84" s="12"/>
      <c r="HDP84" s="12"/>
      <c r="HEG84" s="12"/>
      <c r="HEH84" s="12"/>
      <c r="HEY84" s="12"/>
      <c r="HEZ84" s="12"/>
      <c r="HFQ84" s="12"/>
      <c r="HFR84" s="12"/>
      <c r="HGI84" s="12"/>
      <c r="HGJ84" s="12"/>
      <c r="HHA84" s="12"/>
      <c r="HHB84" s="12"/>
      <c r="HHS84" s="12"/>
      <c r="HHT84" s="12"/>
      <c r="HIK84" s="12"/>
      <c r="HIL84" s="12"/>
      <c r="HJC84" s="12"/>
      <c r="HJD84" s="12"/>
      <c r="HJU84" s="12"/>
      <c r="HJV84" s="12"/>
      <c r="HKM84" s="12"/>
      <c r="HKN84" s="12"/>
      <c r="HLE84" s="12"/>
      <c r="HLF84" s="12"/>
      <c r="HLW84" s="12"/>
      <c r="HLX84" s="12"/>
      <c r="HMO84" s="12"/>
      <c r="HMP84" s="12"/>
      <c r="HNG84" s="12"/>
      <c r="HNH84" s="12"/>
      <c r="HNY84" s="12"/>
      <c r="HNZ84" s="12"/>
      <c r="HOQ84" s="12"/>
      <c r="HOR84" s="12"/>
      <c r="HPI84" s="12"/>
      <c r="HPJ84" s="12"/>
      <c r="HQA84" s="12"/>
      <c r="HQB84" s="12"/>
      <c r="HQS84" s="12"/>
      <c r="HQT84" s="12"/>
      <c r="HRK84" s="12"/>
      <c r="HRL84" s="12"/>
      <c r="HSC84" s="12"/>
      <c r="HSD84" s="12"/>
      <c r="HSU84" s="12"/>
      <c r="HSV84" s="12"/>
      <c r="HTM84" s="12"/>
      <c r="HTN84" s="12"/>
      <c r="HUE84" s="12"/>
      <c r="HUF84" s="12"/>
      <c r="HUW84" s="12"/>
      <c r="HUX84" s="12"/>
      <c r="HVO84" s="12"/>
      <c r="HVP84" s="12"/>
      <c r="HWG84" s="12"/>
      <c r="HWH84" s="12"/>
      <c r="HWY84" s="12"/>
      <c r="HWZ84" s="12"/>
      <c r="HXQ84" s="12"/>
      <c r="HXR84" s="12"/>
      <c r="HYI84" s="12"/>
      <c r="HYJ84" s="12"/>
      <c r="HZA84" s="12"/>
      <c r="HZB84" s="12"/>
      <c r="HZS84" s="12"/>
      <c r="HZT84" s="12"/>
      <c r="IAK84" s="12"/>
      <c r="IAL84" s="12"/>
      <c r="IBC84" s="12"/>
      <c r="IBD84" s="12"/>
      <c r="IBU84" s="12"/>
      <c r="IBV84" s="12"/>
      <c r="ICM84" s="12"/>
      <c r="ICN84" s="12"/>
      <c r="IDE84" s="12"/>
      <c r="IDF84" s="12"/>
      <c r="IDW84" s="12"/>
      <c r="IDX84" s="12"/>
      <c r="IEO84" s="12"/>
      <c r="IEP84" s="12"/>
      <c r="IFG84" s="12"/>
      <c r="IFH84" s="12"/>
      <c r="IFY84" s="12"/>
      <c r="IFZ84" s="12"/>
      <c r="IGQ84" s="12"/>
      <c r="IGR84" s="12"/>
      <c r="IHI84" s="12"/>
      <c r="IHJ84" s="12"/>
      <c r="IIA84" s="12"/>
      <c r="IIB84" s="12"/>
      <c r="IIS84" s="12"/>
      <c r="IIT84" s="12"/>
      <c r="IJK84" s="12"/>
      <c r="IJL84" s="12"/>
      <c r="IKC84" s="12"/>
      <c r="IKD84" s="12"/>
      <c r="IKU84" s="12"/>
      <c r="IKV84" s="12"/>
      <c r="ILM84" s="12"/>
      <c r="ILN84" s="12"/>
      <c r="IME84" s="12"/>
      <c r="IMF84" s="12"/>
      <c r="IMW84" s="12"/>
      <c r="IMX84" s="12"/>
      <c r="INO84" s="12"/>
      <c r="INP84" s="12"/>
      <c r="IOG84" s="12"/>
      <c r="IOH84" s="12"/>
      <c r="IOY84" s="12"/>
      <c r="IOZ84" s="12"/>
      <c r="IPQ84" s="12"/>
      <c r="IPR84" s="12"/>
      <c r="IQI84" s="12"/>
      <c r="IQJ84" s="12"/>
      <c r="IRA84" s="12"/>
      <c r="IRB84" s="12"/>
      <c r="IRS84" s="12"/>
      <c r="IRT84" s="12"/>
      <c r="ISK84" s="12"/>
      <c r="ISL84" s="12"/>
      <c r="ITC84" s="12"/>
      <c r="ITD84" s="12"/>
      <c r="ITU84" s="12"/>
      <c r="ITV84" s="12"/>
      <c r="IUM84" s="12"/>
      <c r="IUN84" s="12"/>
      <c r="IVE84" s="12"/>
      <c r="IVF84" s="12"/>
      <c r="IVW84" s="12"/>
      <c r="IVX84" s="12"/>
      <c r="IWO84" s="12"/>
      <c r="IWP84" s="12"/>
      <c r="IXG84" s="12"/>
      <c r="IXH84" s="12"/>
      <c r="IXY84" s="12"/>
      <c r="IXZ84" s="12"/>
      <c r="IYQ84" s="12"/>
      <c r="IYR84" s="12"/>
      <c r="IZI84" s="12"/>
      <c r="IZJ84" s="12"/>
      <c r="JAA84" s="12"/>
      <c r="JAB84" s="12"/>
      <c r="JAS84" s="12"/>
      <c r="JAT84" s="12"/>
      <c r="JBK84" s="12"/>
      <c r="JBL84" s="12"/>
      <c r="JCC84" s="12"/>
      <c r="JCD84" s="12"/>
      <c r="JCU84" s="12"/>
      <c r="JCV84" s="12"/>
      <c r="JDM84" s="12"/>
      <c r="JDN84" s="12"/>
      <c r="JEE84" s="12"/>
      <c r="JEF84" s="12"/>
      <c r="JEW84" s="12"/>
      <c r="JEX84" s="12"/>
      <c r="JFO84" s="12"/>
      <c r="JFP84" s="12"/>
      <c r="JGG84" s="12"/>
      <c r="JGH84" s="12"/>
      <c r="JGY84" s="12"/>
      <c r="JGZ84" s="12"/>
      <c r="JHQ84" s="12"/>
      <c r="JHR84" s="12"/>
      <c r="JII84" s="12"/>
      <c r="JIJ84" s="12"/>
      <c r="JJA84" s="12"/>
      <c r="JJB84" s="12"/>
      <c r="JJS84" s="12"/>
      <c r="JJT84" s="12"/>
      <c r="JKK84" s="12"/>
      <c r="JKL84" s="12"/>
      <c r="JLC84" s="12"/>
      <c r="JLD84" s="12"/>
      <c r="JLU84" s="12"/>
      <c r="JLV84" s="12"/>
      <c r="JMM84" s="12"/>
      <c r="JMN84" s="12"/>
      <c r="JNE84" s="12"/>
      <c r="JNF84" s="12"/>
      <c r="JNW84" s="12"/>
      <c r="JNX84" s="12"/>
      <c r="JOO84" s="12"/>
      <c r="JOP84" s="12"/>
      <c r="JPG84" s="12"/>
      <c r="JPH84" s="12"/>
      <c r="JPY84" s="12"/>
      <c r="JPZ84" s="12"/>
      <c r="JQQ84" s="12"/>
      <c r="JQR84" s="12"/>
      <c r="JRI84" s="12"/>
      <c r="JRJ84" s="12"/>
      <c r="JSA84" s="12"/>
      <c r="JSB84" s="12"/>
      <c r="JSS84" s="12"/>
      <c r="JST84" s="12"/>
      <c r="JTK84" s="12"/>
      <c r="JTL84" s="12"/>
      <c r="JUC84" s="12"/>
      <c r="JUD84" s="12"/>
      <c r="JUU84" s="12"/>
      <c r="JUV84" s="12"/>
      <c r="JVM84" s="12"/>
      <c r="JVN84" s="12"/>
      <c r="JWE84" s="12"/>
      <c r="JWF84" s="12"/>
      <c r="JWW84" s="12"/>
      <c r="JWX84" s="12"/>
      <c r="JXO84" s="12"/>
      <c r="JXP84" s="12"/>
      <c r="JYG84" s="12"/>
      <c r="JYH84" s="12"/>
      <c r="JYY84" s="12"/>
      <c r="JYZ84" s="12"/>
      <c r="JZQ84" s="12"/>
      <c r="JZR84" s="12"/>
      <c r="KAI84" s="12"/>
      <c r="KAJ84" s="12"/>
      <c r="KBA84" s="12"/>
      <c r="KBB84" s="12"/>
      <c r="KBS84" s="12"/>
      <c r="KBT84" s="12"/>
      <c r="KCK84" s="12"/>
      <c r="KCL84" s="12"/>
      <c r="KDC84" s="12"/>
      <c r="KDD84" s="12"/>
      <c r="KDU84" s="12"/>
      <c r="KDV84" s="12"/>
      <c r="KEM84" s="12"/>
      <c r="KEN84" s="12"/>
      <c r="KFE84" s="12"/>
      <c r="KFF84" s="12"/>
      <c r="KFW84" s="12"/>
      <c r="KFX84" s="12"/>
      <c r="KGO84" s="12"/>
      <c r="KGP84" s="12"/>
      <c r="KHG84" s="12"/>
      <c r="KHH84" s="12"/>
      <c r="KHY84" s="12"/>
      <c r="KHZ84" s="12"/>
      <c r="KIQ84" s="12"/>
      <c r="KIR84" s="12"/>
      <c r="KJI84" s="12"/>
      <c r="KJJ84" s="12"/>
      <c r="KKA84" s="12"/>
      <c r="KKB84" s="12"/>
      <c r="KKS84" s="12"/>
      <c r="KKT84" s="12"/>
      <c r="KLK84" s="12"/>
      <c r="KLL84" s="12"/>
      <c r="KMC84" s="12"/>
      <c r="KMD84" s="12"/>
      <c r="KMU84" s="12"/>
      <c r="KMV84" s="12"/>
      <c r="KNM84" s="12"/>
      <c r="KNN84" s="12"/>
      <c r="KOE84" s="12"/>
      <c r="KOF84" s="12"/>
      <c r="KOW84" s="12"/>
      <c r="KOX84" s="12"/>
      <c r="KPO84" s="12"/>
      <c r="KPP84" s="12"/>
      <c r="KQG84" s="12"/>
      <c r="KQH84" s="12"/>
      <c r="KQY84" s="12"/>
      <c r="KQZ84" s="12"/>
      <c r="KRQ84" s="12"/>
      <c r="KRR84" s="12"/>
      <c r="KSI84" s="12"/>
      <c r="KSJ84" s="12"/>
      <c r="KTA84" s="12"/>
      <c r="KTB84" s="12"/>
      <c r="KTS84" s="12"/>
      <c r="KTT84" s="12"/>
      <c r="KUK84" s="12"/>
      <c r="KUL84" s="12"/>
      <c r="KVC84" s="12"/>
      <c r="KVD84" s="12"/>
      <c r="KVU84" s="12"/>
      <c r="KVV84" s="12"/>
      <c r="KWM84" s="12"/>
      <c r="KWN84" s="12"/>
      <c r="KXE84" s="12"/>
      <c r="KXF84" s="12"/>
      <c r="KXW84" s="12"/>
      <c r="KXX84" s="12"/>
      <c r="KYO84" s="12"/>
      <c r="KYP84" s="12"/>
      <c r="KZG84" s="12"/>
      <c r="KZH84" s="12"/>
      <c r="KZY84" s="12"/>
      <c r="KZZ84" s="12"/>
      <c r="LAQ84" s="12"/>
      <c r="LAR84" s="12"/>
      <c r="LBI84" s="12"/>
      <c r="LBJ84" s="12"/>
      <c r="LCA84" s="12"/>
      <c r="LCB84" s="12"/>
      <c r="LCS84" s="12"/>
      <c r="LCT84" s="12"/>
      <c r="LDK84" s="12"/>
      <c r="LDL84" s="12"/>
      <c r="LEC84" s="12"/>
      <c r="LED84" s="12"/>
      <c r="LEU84" s="12"/>
      <c r="LEV84" s="12"/>
      <c r="LFM84" s="12"/>
      <c r="LFN84" s="12"/>
      <c r="LGE84" s="12"/>
      <c r="LGF84" s="12"/>
      <c r="LGW84" s="12"/>
      <c r="LGX84" s="12"/>
      <c r="LHO84" s="12"/>
      <c r="LHP84" s="12"/>
      <c r="LIG84" s="12"/>
      <c r="LIH84" s="12"/>
      <c r="LIY84" s="12"/>
      <c r="LIZ84" s="12"/>
      <c r="LJQ84" s="12"/>
      <c r="LJR84" s="12"/>
      <c r="LKI84" s="12"/>
      <c r="LKJ84" s="12"/>
      <c r="LLA84" s="12"/>
      <c r="LLB84" s="12"/>
      <c r="LLS84" s="12"/>
      <c r="LLT84" s="12"/>
      <c r="LMK84" s="12"/>
      <c r="LML84" s="12"/>
      <c r="LNC84" s="12"/>
      <c r="LND84" s="12"/>
      <c r="LNU84" s="12"/>
      <c r="LNV84" s="12"/>
      <c r="LOM84" s="12"/>
      <c r="LON84" s="12"/>
      <c r="LPE84" s="12"/>
      <c r="LPF84" s="12"/>
      <c r="LPW84" s="12"/>
      <c r="LPX84" s="12"/>
      <c r="LQO84" s="12"/>
      <c r="LQP84" s="12"/>
      <c r="LRG84" s="12"/>
      <c r="LRH84" s="12"/>
      <c r="LRY84" s="12"/>
      <c r="LRZ84" s="12"/>
      <c r="LSQ84" s="12"/>
      <c r="LSR84" s="12"/>
      <c r="LTI84" s="12"/>
      <c r="LTJ84" s="12"/>
      <c r="LUA84" s="12"/>
      <c r="LUB84" s="12"/>
      <c r="LUS84" s="12"/>
      <c r="LUT84" s="12"/>
      <c r="LVK84" s="12"/>
      <c r="LVL84" s="12"/>
      <c r="LWC84" s="12"/>
      <c r="LWD84" s="12"/>
      <c r="LWU84" s="12"/>
      <c r="LWV84" s="12"/>
      <c r="LXM84" s="12"/>
      <c r="LXN84" s="12"/>
      <c r="LYE84" s="12"/>
      <c r="LYF84" s="12"/>
      <c r="LYW84" s="12"/>
      <c r="LYX84" s="12"/>
      <c r="LZO84" s="12"/>
      <c r="LZP84" s="12"/>
      <c r="MAG84" s="12"/>
      <c r="MAH84" s="12"/>
      <c r="MAY84" s="12"/>
      <c r="MAZ84" s="12"/>
      <c r="MBQ84" s="12"/>
      <c r="MBR84" s="12"/>
      <c r="MCI84" s="12"/>
      <c r="MCJ84" s="12"/>
      <c r="MDA84" s="12"/>
      <c r="MDB84" s="12"/>
      <c r="MDS84" s="12"/>
      <c r="MDT84" s="12"/>
      <c r="MEK84" s="12"/>
      <c r="MEL84" s="12"/>
      <c r="MFC84" s="12"/>
      <c r="MFD84" s="12"/>
      <c r="MFU84" s="12"/>
      <c r="MFV84" s="12"/>
      <c r="MGM84" s="12"/>
      <c r="MGN84" s="12"/>
      <c r="MHE84" s="12"/>
      <c r="MHF84" s="12"/>
      <c r="MHW84" s="12"/>
      <c r="MHX84" s="12"/>
      <c r="MIO84" s="12"/>
      <c r="MIP84" s="12"/>
      <c r="MJG84" s="12"/>
      <c r="MJH84" s="12"/>
      <c r="MJY84" s="12"/>
      <c r="MJZ84" s="12"/>
      <c r="MKQ84" s="12"/>
      <c r="MKR84" s="12"/>
      <c r="MLI84" s="12"/>
      <c r="MLJ84" s="12"/>
      <c r="MMA84" s="12"/>
      <c r="MMB84" s="12"/>
      <c r="MMS84" s="12"/>
      <c r="MMT84" s="12"/>
      <c r="MNK84" s="12"/>
      <c r="MNL84" s="12"/>
      <c r="MOC84" s="12"/>
      <c r="MOD84" s="12"/>
      <c r="MOU84" s="12"/>
      <c r="MOV84" s="12"/>
      <c r="MPM84" s="12"/>
      <c r="MPN84" s="12"/>
      <c r="MQE84" s="12"/>
      <c r="MQF84" s="12"/>
      <c r="MQW84" s="12"/>
      <c r="MQX84" s="12"/>
      <c r="MRO84" s="12"/>
      <c r="MRP84" s="12"/>
      <c r="MSG84" s="12"/>
      <c r="MSH84" s="12"/>
      <c r="MSY84" s="12"/>
      <c r="MSZ84" s="12"/>
      <c r="MTQ84" s="12"/>
      <c r="MTR84" s="12"/>
      <c r="MUI84" s="12"/>
      <c r="MUJ84" s="12"/>
      <c r="MVA84" s="12"/>
      <c r="MVB84" s="12"/>
      <c r="MVS84" s="12"/>
      <c r="MVT84" s="12"/>
      <c r="MWK84" s="12"/>
      <c r="MWL84" s="12"/>
      <c r="MXC84" s="12"/>
      <c r="MXD84" s="12"/>
      <c r="MXU84" s="12"/>
      <c r="MXV84" s="12"/>
      <c r="MYM84" s="12"/>
      <c r="MYN84" s="12"/>
      <c r="MZE84" s="12"/>
      <c r="MZF84" s="12"/>
      <c r="MZW84" s="12"/>
      <c r="MZX84" s="12"/>
      <c r="NAO84" s="12"/>
      <c r="NAP84" s="12"/>
      <c r="NBG84" s="12"/>
      <c r="NBH84" s="12"/>
      <c r="NBY84" s="12"/>
      <c r="NBZ84" s="12"/>
      <c r="NCQ84" s="12"/>
      <c r="NCR84" s="12"/>
      <c r="NDI84" s="12"/>
      <c r="NDJ84" s="12"/>
      <c r="NEA84" s="12"/>
      <c r="NEB84" s="12"/>
      <c r="NES84" s="12"/>
      <c r="NET84" s="12"/>
      <c r="NFK84" s="12"/>
      <c r="NFL84" s="12"/>
      <c r="NGC84" s="12"/>
      <c r="NGD84" s="12"/>
      <c r="NGU84" s="12"/>
      <c r="NGV84" s="12"/>
      <c r="NHM84" s="12"/>
      <c r="NHN84" s="12"/>
      <c r="NIE84" s="12"/>
      <c r="NIF84" s="12"/>
      <c r="NIW84" s="12"/>
      <c r="NIX84" s="12"/>
      <c r="NJO84" s="12"/>
      <c r="NJP84" s="12"/>
      <c r="NKG84" s="12"/>
      <c r="NKH84" s="12"/>
      <c r="NKY84" s="12"/>
      <c r="NKZ84" s="12"/>
      <c r="NLQ84" s="12"/>
      <c r="NLR84" s="12"/>
      <c r="NMI84" s="12"/>
      <c r="NMJ84" s="12"/>
      <c r="NNA84" s="12"/>
      <c r="NNB84" s="12"/>
      <c r="NNS84" s="12"/>
      <c r="NNT84" s="12"/>
      <c r="NOK84" s="12"/>
      <c r="NOL84" s="12"/>
      <c r="NPC84" s="12"/>
      <c r="NPD84" s="12"/>
      <c r="NPU84" s="12"/>
      <c r="NPV84" s="12"/>
      <c r="NQM84" s="12"/>
      <c r="NQN84" s="12"/>
      <c r="NRE84" s="12"/>
      <c r="NRF84" s="12"/>
      <c r="NRW84" s="12"/>
      <c r="NRX84" s="12"/>
      <c r="NSO84" s="12"/>
      <c r="NSP84" s="12"/>
      <c r="NTG84" s="12"/>
      <c r="NTH84" s="12"/>
      <c r="NTY84" s="12"/>
      <c r="NTZ84" s="12"/>
      <c r="NUQ84" s="12"/>
      <c r="NUR84" s="12"/>
      <c r="NVI84" s="12"/>
      <c r="NVJ84" s="12"/>
      <c r="NWA84" s="12"/>
      <c r="NWB84" s="12"/>
      <c r="NWS84" s="12"/>
      <c r="NWT84" s="12"/>
      <c r="NXK84" s="12"/>
      <c r="NXL84" s="12"/>
      <c r="NYC84" s="12"/>
      <c r="NYD84" s="12"/>
      <c r="NYU84" s="12"/>
      <c r="NYV84" s="12"/>
      <c r="NZM84" s="12"/>
      <c r="NZN84" s="12"/>
      <c r="OAE84" s="12"/>
      <c r="OAF84" s="12"/>
      <c r="OAW84" s="12"/>
      <c r="OAX84" s="12"/>
      <c r="OBO84" s="12"/>
      <c r="OBP84" s="12"/>
      <c r="OCG84" s="12"/>
      <c r="OCH84" s="12"/>
      <c r="OCY84" s="12"/>
      <c r="OCZ84" s="12"/>
      <c r="ODQ84" s="12"/>
      <c r="ODR84" s="12"/>
      <c r="OEI84" s="12"/>
      <c r="OEJ84" s="12"/>
      <c r="OFA84" s="12"/>
      <c r="OFB84" s="12"/>
      <c r="OFS84" s="12"/>
      <c r="OFT84" s="12"/>
      <c r="OGK84" s="12"/>
      <c r="OGL84" s="12"/>
      <c r="OHC84" s="12"/>
      <c r="OHD84" s="12"/>
      <c r="OHU84" s="12"/>
      <c r="OHV84" s="12"/>
      <c r="OIM84" s="12"/>
      <c r="OIN84" s="12"/>
      <c r="OJE84" s="12"/>
      <c r="OJF84" s="12"/>
      <c r="OJW84" s="12"/>
      <c r="OJX84" s="12"/>
      <c r="OKO84" s="12"/>
      <c r="OKP84" s="12"/>
      <c r="OLG84" s="12"/>
      <c r="OLH84" s="12"/>
      <c r="OLY84" s="12"/>
      <c r="OLZ84" s="12"/>
      <c r="OMQ84" s="12"/>
      <c r="OMR84" s="12"/>
      <c r="ONI84" s="12"/>
      <c r="ONJ84" s="12"/>
      <c r="OOA84" s="12"/>
      <c r="OOB84" s="12"/>
      <c r="OOS84" s="12"/>
      <c r="OOT84" s="12"/>
      <c r="OPK84" s="12"/>
      <c r="OPL84" s="12"/>
      <c r="OQC84" s="12"/>
      <c r="OQD84" s="12"/>
      <c r="OQU84" s="12"/>
      <c r="OQV84" s="12"/>
      <c r="ORM84" s="12"/>
      <c r="ORN84" s="12"/>
      <c r="OSE84" s="12"/>
      <c r="OSF84" s="12"/>
      <c r="OSW84" s="12"/>
      <c r="OSX84" s="12"/>
      <c r="OTO84" s="12"/>
      <c r="OTP84" s="12"/>
      <c r="OUG84" s="12"/>
      <c r="OUH84" s="12"/>
      <c r="OUY84" s="12"/>
      <c r="OUZ84" s="12"/>
      <c r="OVQ84" s="12"/>
      <c r="OVR84" s="12"/>
      <c r="OWI84" s="12"/>
      <c r="OWJ84" s="12"/>
      <c r="OXA84" s="12"/>
      <c r="OXB84" s="12"/>
      <c r="OXS84" s="12"/>
      <c r="OXT84" s="12"/>
      <c r="OYK84" s="12"/>
      <c r="OYL84" s="12"/>
      <c r="OZC84" s="12"/>
      <c r="OZD84" s="12"/>
      <c r="OZU84" s="12"/>
      <c r="OZV84" s="12"/>
      <c r="PAM84" s="12"/>
      <c r="PAN84" s="12"/>
      <c r="PBE84" s="12"/>
      <c r="PBF84" s="12"/>
      <c r="PBW84" s="12"/>
      <c r="PBX84" s="12"/>
      <c r="PCO84" s="12"/>
      <c r="PCP84" s="12"/>
      <c r="PDG84" s="12"/>
      <c r="PDH84" s="12"/>
      <c r="PDY84" s="12"/>
      <c r="PDZ84" s="12"/>
      <c r="PEQ84" s="12"/>
      <c r="PER84" s="12"/>
      <c r="PFI84" s="12"/>
      <c r="PFJ84" s="12"/>
      <c r="PGA84" s="12"/>
      <c r="PGB84" s="12"/>
      <c r="PGS84" s="12"/>
      <c r="PGT84" s="12"/>
      <c r="PHK84" s="12"/>
      <c r="PHL84" s="12"/>
      <c r="PIC84" s="12"/>
      <c r="PID84" s="12"/>
      <c r="PIU84" s="12"/>
      <c r="PIV84" s="12"/>
      <c r="PJM84" s="12"/>
      <c r="PJN84" s="12"/>
      <c r="PKE84" s="12"/>
      <c r="PKF84" s="12"/>
      <c r="PKW84" s="12"/>
      <c r="PKX84" s="12"/>
      <c r="PLO84" s="12"/>
      <c r="PLP84" s="12"/>
      <c r="PMG84" s="12"/>
      <c r="PMH84" s="12"/>
      <c r="PMY84" s="12"/>
      <c r="PMZ84" s="12"/>
      <c r="PNQ84" s="12"/>
      <c r="PNR84" s="12"/>
      <c r="POI84" s="12"/>
      <c r="POJ84" s="12"/>
      <c r="PPA84" s="12"/>
      <c r="PPB84" s="12"/>
      <c r="PPS84" s="12"/>
      <c r="PPT84" s="12"/>
      <c r="PQK84" s="12"/>
      <c r="PQL84" s="12"/>
      <c r="PRC84" s="12"/>
      <c r="PRD84" s="12"/>
      <c r="PRU84" s="12"/>
      <c r="PRV84" s="12"/>
      <c r="PSM84" s="12"/>
      <c r="PSN84" s="12"/>
      <c r="PTE84" s="12"/>
      <c r="PTF84" s="12"/>
      <c r="PTW84" s="12"/>
      <c r="PTX84" s="12"/>
      <c r="PUO84" s="12"/>
      <c r="PUP84" s="12"/>
      <c r="PVG84" s="12"/>
      <c r="PVH84" s="12"/>
      <c r="PVY84" s="12"/>
      <c r="PVZ84" s="12"/>
      <c r="PWQ84" s="12"/>
      <c r="PWR84" s="12"/>
      <c r="PXI84" s="12"/>
      <c r="PXJ84" s="12"/>
      <c r="PYA84" s="12"/>
      <c r="PYB84" s="12"/>
      <c r="PYS84" s="12"/>
      <c r="PYT84" s="12"/>
      <c r="PZK84" s="12"/>
      <c r="PZL84" s="12"/>
      <c r="QAC84" s="12"/>
      <c r="QAD84" s="12"/>
      <c r="QAU84" s="12"/>
      <c r="QAV84" s="12"/>
      <c r="QBM84" s="12"/>
      <c r="QBN84" s="12"/>
      <c r="QCE84" s="12"/>
      <c r="QCF84" s="12"/>
      <c r="QCW84" s="12"/>
      <c r="QCX84" s="12"/>
      <c r="QDO84" s="12"/>
      <c r="QDP84" s="12"/>
      <c r="QEG84" s="12"/>
      <c r="QEH84" s="12"/>
      <c r="QEY84" s="12"/>
      <c r="QEZ84" s="12"/>
      <c r="QFQ84" s="12"/>
      <c r="QFR84" s="12"/>
      <c r="QGI84" s="12"/>
      <c r="QGJ84" s="12"/>
      <c r="QHA84" s="12"/>
      <c r="QHB84" s="12"/>
      <c r="QHS84" s="12"/>
      <c r="QHT84" s="12"/>
      <c r="QIK84" s="12"/>
      <c r="QIL84" s="12"/>
      <c r="QJC84" s="12"/>
      <c r="QJD84" s="12"/>
      <c r="QJU84" s="12"/>
      <c r="QJV84" s="12"/>
      <c r="QKM84" s="12"/>
      <c r="QKN84" s="12"/>
      <c r="QLE84" s="12"/>
      <c r="QLF84" s="12"/>
      <c r="QLW84" s="12"/>
      <c r="QLX84" s="12"/>
      <c r="QMO84" s="12"/>
      <c r="QMP84" s="12"/>
      <c r="QNG84" s="12"/>
      <c r="QNH84" s="12"/>
      <c r="QNY84" s="12"/>
      <c r="QNZ84" s="12"/>
      <c r="QOQ84" s="12"/>
      <c r="QOR84" s="12"/>
      <c r="QPI84" s="12"/>
      <c r="QPJ84" s="12"/>
      <c r="QQA84" s="12"/>
      <c r="QQB84" s="12"/>
      <c r="QQS84" s="12"/>
      <c r="QQT84" s="12"/>
      <c r="QRK84" s="12"/>
      <c r="QRL84" s="12"/>
      <c r="QSC84" s="12"/>
      <c r="QSD84" s="12"/>
      <c r="QSU84" s="12"/>
      <c r="QSV84" s="12"/>
      <c r="QTM84" s="12"/>
      <c r="QTN84" s="12"/>
      <c r="QUE84" s="12"/>
      <c r="QUF84" s="12"/>
      <c r="QUW84" s="12"/>
      <c r="QUX84" s="12"/>
      <c r="QVO84" s="12"/>
      <c r="QVP84" s="12"/>
      <c r="QWG84" s="12"/>
      <c r="QWH84" s="12"/>
      <c r="QWY84" s="12"/>
      <c r="QWZ84" s="12"/>
      <c r="QXQ84" s="12"/>
      <c r="QXR84" s="12"/>
      <c r="QYI84" s="12"/>
      <c r="QYJ84" s="12"/>
      <c r="QZA84" s="12"/>
      <c r="QZB84" s="12"/>
      <c r="QZS84" s="12"/>
      <c r="QZT84" s="12"/>
      <c r="RAK84" s="12"/>
      <c r="RAL84" s="12"/>
      <c r="RBC84" s="12"/>
      <c r="RBD84" s="12"/>
      <c r="RBU84" s="12"/>
      <c r="RBV84" s="12"/>
      <c r="RCM84" s="12"/>
      <c r="RCN84" s="12"/>
      <c r="RDE84" s="12"/>
      <c r="RDF84" s="12"/>
      <c r="RDW84" s="12"/>
      <c r="RDX84" s="12"/>
      <c r="REO84" s="12"/>
      <c r="REP84" s="12"/>
      <c r="RFG84" s="12"/>
      <c r="RFH84" s="12"/>
      <c r="RFY84" s="12"/>
      <c r="RFZ84" s="12"/>
      <c r="RGQ84" s="12"/>
      <c r="RGR84" s="12"/>
      <c r="RHI84" s="12"/>
      <c r="RHJ84" s="12"/>
      <c r="RIA84" s="12"/>
      <c r="RIB84" s="12"/>
      <c r="RIS84" s="12"/>
      <c r="RIT84" s="12"/>
      <c r="RJK84" s="12"/>
      <c r="RJL84" s="12"/>
      <c r="RKC84" s="12"/>
      <c r="RKD84" s="12"/>
      <c r="RKU84" s="12"/>
      <c r="RKV84" s="12"/>
      <c r="RLM84" s="12"/>
      <c r="RLN84" s="12"/>
      <c r="RME84" s="12"/>
      <c r="RMF84" s="12"/>
      <c r="RMW84" s="12"/>
      <c r="RMX84" s="12"/>
      <c r="RNO84" s="12"/>
      <c r="RNP84" s="12"/>
      <c r="ROG84" s="12"/>
      <c r="ROH84" s="12"/>
      <c r="ROY84" s="12"/>
      <c r="ROZ84" s="12"/>
      <c r="RPQ84" s="12"/>
      <c r="RPR84" s="12"/>
      <c r="RQI84" s="12"/>
      <c r="RQJ84" s="12"/>
      <c r="RRA84" s="12"/>
      <c r="RRB84" s="12"/>
      <c r="RRS84" s="12"/>
      <c r="RRT84" s="12"/>
      <c r="RSK84" s="12"/>
      <c r="RSL84" s="12"/>
      <c r="RTC84" s="12"/>
      <c r="RTD84" s="12"/>
      <c r="RTU84" s="12"/>
      <c r="RTV84" s="12"/>
      <c r="RUM84" s="12"/>
      <c r="RUN84" s="12"/>
      <c r="RVE84" s="12"/>
      <c r="RVF84" s="12"/>
      <c r="RVW84" s="12"/>
      <c r="RVX84" s="12"/>
      <c r="RWO84" s="12"/>
      <c r="RWP84" s="12"/>
      <c r="RXG84" s="12"/>
      <c r="RXH84" s="12"/>
      <c r="RXY84" s="12"/>
      <c r="RXZ84" s="12"/>
      <c r="RYQ84" s="12"/>
      <c r="RYR84" s="12"/>
      <c r="RZI84" s="12"/>
      <c r="RZJ84" s="12"/>
      <c r="SAA84" s="12"/>
      <c r="SAB84" s="12"/>
      <c r="SAS84" s="12"/>
      <c r="SAT84" s="12"/>
      <c r="SBK84" s="12"/>
      <c r="SBL84" s="12"/>
      <c r="SCC84" s="12"/>
      <c r="SCD84" s="12"/>
      <c r="SCU84" s="12"/>
      <c r="SCV84" s="12"/>
      <c r="SDM84" s="12"/>
      <c r="SDN84" s="12"/>
      <c r="SEE84" s="12"/>
      <c r="SEF84" s="12"/>
      <c r="SEW84" s="12"/>
      <c r="SEX84" s="12"/>
      <c r="SFO84" s="12"/>
      <c r="SFP84" s="12"/>
      <c r="SGG84" s="12"/>
      <c r="SGH84" s="12"/>
      <c r="SGY84" s="12"/>
      <c r="SGZ84" s="12"/>
      <c r="SHQ84" s="12"/>
      <c r="SHR84" s="12"/>
      <c r="SII84" s="12"/>
      <c r="SIJ84" s="12"/>
      <c r="SJA84" s="12"/>
      <c r="SJB84" s="12"/>
      <c r="SJS84" s="12"/>
      <c r="SJT84" s="12"/>
      <c r="SKK84" s="12"/>
      <c r="SKL84" s="12"/>
      <c r="SLC84" s="12"/>
      <c r="SLD84" s="12"/>
      <c r="SLU84" s="12"/>
      <c r="SLV84" s="12"/>
      <c r="SMM84" s="12"/>
      <c r="SMN84" s="12"/>
      <c r="SNE84" s="12"/>
      <c r="SNF84" s="12"/>
      <c r="SNW84" s="12"/>
      <c r="SNX84" s="12"/>
      <c r="SOO84" s="12"/>
      <c r="SOP84" s="12"/>
      <c r="SPG84" s="12"/>
      <c r="SPH84" s="12"/>
      <c r="SPY84" s="12"/>
      <c r="SPZ84" s="12"/>
      <c r="SQQ84" s="12"/>
      <c r="SQR84" s="12"/>
      <c r="SRI84" s="12"/>
      <c r="SRJ84" s="12"/>
      <c r="SSA84" s="12"/>
      <c r="SSB84" s="12"/>
      <c r="SSS84" s="12"/>
      <c r="SST84" s="12"/>
      <c r="STK84" s="12"/>
      <c r="STL84" s="12"/>
      <c r="SUC84" s="12"/>
      <c r="SUD84" s="12"/>
      <c r="SUU84" s="12"/>
      <c r="SUV84" s="12"/>
      <c r="SVM84" s="12"/>
      <c r="SVN84" s="12"/>
      <c r="SWE84" s="12"/>
      <c r="SWF84" s="12"/>
      <c r="SWW84" s="12"/>
      <c r="SWX84" s="12"/>
      <c r="SXO84" s="12"/>
      <c r="SXP84" s="12"/>
      <c r="SYG84" s="12"/>
      <c r="SYH84" s="12"/>
      <c r="SYY84" s="12"/>
      <c r="SYZ84" s="12"/>
      <c r="SZQ84" s="12"/>
      <c r="SZR84" s="12"/>
      <c r="TAI84" s="12"/>
      <c r="TAJ84" s="12"/>
      <c r="TBA84" s="12"/>
      <c r="TBB84" s="12"/>
      <c r="TBS84" s="12"/>
      <c r="TBT84" s="12"/>
      <c r="TCK84" s="12"/>
      <c r="TCL84" s="12"/>
      <c r="TDC84" s="12"/>
      <c r="TDD84" s="12"/>
      <c r="TDU84" s="12"/>
      <c r="TDV84" s="12"/>
      <c r="TEM84" s="12"/>
      <c r="TEN84" s="12"/>
      <c r="TFE84" s="12"/>
      <c r="TFF84" s="12"/>
      <c r="TFW84" s="12"/>
      <c r="TFX84" s="12"/>
      <c r="TGO84" s="12"/>
      <c r="TGP84" s="12"/>
      <c r="THG84" s="12"/>
      <c r="THH84" s="12"/>
      <c r="THY84" s="12"/>
      <c r="THZ84" s="12"/>
      <c r="TIQ84" s="12"/>
      <c r="TIR84" s="12"/>
      <c r="TJI84" s="12"/>
      <c r="TJJ84" s="12"/>
      <c r="TKA84" s="12"/>
      <c r="TKB84" s="12"/>
      <c r="TKS84" s="12"/>
      <c r="TKT84" s="12"/>
      <c r="TLK84" s="12"/>
      <c r="TLL84" s="12"/>
      <c r="TMC84" s="12"/>
      <c r="TMD84" s="12"/>
      <c r="TMU84" s="12"/>
      <c r="TMV84" s="12"/>
      <c r="TNM84" s="12"/>
      <c r="TNN84" s="12"/>
      <c r="TOE84" s="12"/>
      <c r="TOF84" s="12"/>
      <c r="TOW84" s="12"/>
      <c r="TOX84" s="12"/>
      <c r="TPO84" s="12"/>
      <c r="TPP84" s="12"/>
      <c r="TQG84" s="12"/>
      <c r="TQH84" s="12"/>
      <c r="TQY84" s="12"/>
      <c r="TQZ84" s="12"/>
      <c r="TRQ84" s="12"/>
      <c r="TRR84" s="12"/>
      <c r="TSI84" s="12"/>
      <c r="TSJ84" s="12"/>
      <c r="TTA84" s="12"/>
      <c r="TTB84" s="12"/>
      <c r="TTS84" s="12"/>
      <c r="TTT84" s="12"/>
      <c r="TUK84" s="12"/>
      <c r="TUL84" s="12"/>
      <c r="TVC84" s="12"/>
      <c r="TVD84" s="12"/>
      <c r="TVU84" s="12"/>
      <c r="TVV84" s="12"/>
      <c r="TWM84" s="12"/>
      <c r="TWN84" s="12"/>
      <c r="TXE84" s="12"/>
      <c r="TXF84" s="12"/>
      <c r="TXW84" s="12"/>
      <c r="TXX84" s="12"/>
      <c r="TYO84" s="12"/>
      <c r="TYP84" s="12"/>
      <c r="TZG84" s="12"/>
      <c r="TZH84" s="12"/>
      <c r="TZY84" s="12"/>
      <c r="TZZ84" s="12"/>
      <c r="UAQ84" s="12"/>
      <c r="UAR84" s="12"/>
      <c r="UBI84" s="12"/>
      <c r="UBJ84" s="12"/>
      <c r="UCA84" s="12"/>
      <c r="UCB84" s="12"/>
      <c r="UCS84" s="12"/>
      <c r="UCT84" s="12"/>
      <c r="UDK84" s="12"/>
      <c r="UDL84" s="12"/>
      <c r="UEC84" s="12"/>
      <c r="UED84" s="12"/>
      <c r="UEU84" s="12"/>
      <c r="UEV84" s="12"/>
      <c r="UFM84" s="12"/>
      <c r="UFN84" s="12"/>
      <c r="UGE84" s="12"/>
      <c r="UGF84" s="12"/>
      <c r="UGW84" s="12"/>
      <c r="UGX84" s="12"/>
      <c r="UHO84" s="12"/>
      <c r="UHP84" s="12"/>
      <c r="UIG84" s="12"/>
      <c r="UIH84" s="12"/>
      <c r="UIY84" s="12"/>
      <c r="UIZ84" s="12"/>
      <c r="UJQ84" s="12"/>
      <c r="UJR84" s="12"/>
      <c r="UKI84" s="12"/>
      <c r="UKJ84" s="12"/>
      <c r="ULA84" s="12"/>
      <c r="ULB84" s="12"/>
      <c r="ULS84" s="12"/>
      <c r="ULT84" s="12"/>
      <c r="UMK84" s="12"/>
      <c r="UML84" s="12"/>
      <c r="UNC84" s="12"/>
      <c r="UND84" s="12"/>
      <c r="UNU84" s="12"/>
      <c r="UNV84" s="12"/>
      <c r="UOM84" s="12"/>
      <c r="UON84" s="12"/>
      <c r="UPE84" s="12"/>
      <c r="UPF84" s="12"/>
      <c r="UPW84" s="12"/>
      <c r="UPX84" s="12"/>
      <c r="UQO84" s="12"/>
      <c r="UQP84" s="12"/>
      <c r="URG84" s="12"/>
      <c r="URH84" s="12"/>
      <c r="URY84" s="12"/>
      <c r="URZ84" s="12"/>
      <c r="USQ84" s="12"/>
      <c r="USR84" s="12"/>
      <c r="UTI84" s="12"/>
      <c r="UTJ84" s="12"/>
      <c r="UUA84" s="12"/>
      <c r="UUB84" s="12"/>
      <c r="UUS84" s="12"/>
      <c r="UUT84" s="12"/>
      <c r="UVK84" s="12"/>
      <c r="UVL84" s="12"/>
      <c r="UWC84" s="12"/>
      <c r="UWD84" s="12"/>
      <c r="UWU84" s="12"/>
      <c r="UWV84" s="12"/>
      <c r="UXM84" s="12"/>
      <c r="UXN84" s="12"/>
      <c r="UYE84" s="12"/>
      <c r="UYF84" s="12"/>
      <c r="UYW84" s="12"/>
      <c r="UYX84" s="12"/>
      <c r="UZO84" s="12"/>
      <c r="UZP84" s="12"/>
      <c r="VAG84" s="12"/>
      <c r="VAH84" s="12"/>
      <c r="VAY84" s="12"/>
      <c r="VAZ84" s="12"/>
      <c r="VBQ84" s="12"/>
      <c r="VBR84" s="12"/>
      <c r="VCI84" s="12"/>
      <c r="VCJ84" s="12"/>
      <c r="VDA84" s="12"/>
      <c r="VDB84" s="12"/>
      <c r="VDS84" s="12"/>
      <c r="VDT84" s="12"/>
      <c r="VEK84" s="12"/>
      <c r="VEL84" s="12"/>
      <c r="VFC84" s="12"/>
      <c r="VFD84" s="12"/>
      <c r="VFU84" s="12"/>
      <c r="VFV84" s="12"/>
      <c r="VGM84" s="12"/>
      <c r="VGN84" s="12"/>
      <c r="VHE84" s="12"/>
      <c r="VHF84" s="12"/>
      <c r="VHW84" s="12"/>
      <c r="VHX84" s="12"/>
      <c r="VIO84" s="12"/>
      <c r="VIP84" s="12"/>
      <c r="VJG84" s="12"/>
      <c r="VJH84" s="12"/>
      <c r="VJY84" s="12"/>
      <c r="VJZ84" s="12"/>
      <c r="VKQ84" s="12"/>
      <c r="VKR84" s="12"/>
      <c r="VLI84" s="12"/>
      <c r="VLJ84" s="12"/>
      <c r="VMA84" s="12"/>
      <c r="VMB84" s="12"/>
      <c r="VMS84" s="12"/>
      <c r="VMT84" s="12"/>
      <c r="VNK84" s="12"/>
      <c r="VNL84" s="12"/>
      <c r="VOC84" s="12"/>
      <c r="VOD84" s="12"/>
      <c r="VOU84" s="12"/>
      <c r="VOV84" s="12"/>
      <c r="VPM84" s="12"/>
      <c r="VPN84" s="12"/>
      <c r="VQE84" s="12"/>
      <c r="VQF84" s="12"/>
      <c r="VQW84" s="12"/>
      <c r="VQX84" s="12"/>
      <c r="VRO84" s="12"/>
      <c r="VRP84" s="12"/>
      <c r="VSG84" s="12"/>
      <c r="VSH84" s="12"/>
      <c r="VSY84" s="12"/>
      <c r="VSZ84" s="12"/>
      <c r="VTQ84" s="12"/>
      <c r="VTR84" s="12"/>
      <c r="VUI84" s="12"/>
      <c r="VUJ84" s="12"/>
      <c r="VVA84" s="12"/>
      <c r="VVB84" s="12"/>
      <c r="VVS84" s="12"/>
      <c r="VVT84" s="12"/>
      <c r="VWK84" s="12"/>
      <c r="VWL84" s="12"/>
      <c r="VXC84" s="12"/>
      <c r="VXD84" s="12"/>
      <c r="VXU84" s="12"/>
      <c r="VXV84" s="12"/>
      <c r="VYM84" s="12"/>
      <c r="VYN84" s="12"/>
      <c r="VZE84" s="12"/>
      <c r="VZF84" s="12"/>
      <c r="VZW84" s="12"/>
      <c r="VZX84" s="12"/>
      <c r="WAO84" s="12"/>
      <c r="WAP84" s="12"/>
      <c r="WBG84" s="12"/>
      <c r="WBH84" s="12"/>
      <c r="WBY84" s="12"/>
      <c r="WBZ84" s="12"/>
      <c r="WCQ84" s="12"/>
      <c r="WCR84" s="12"/>
      <c r="WDI84" s="12"/>
      <c r="WDJ84" s="12"/>
      <c r="WEA84" s="12"/>
      <c r="WEB84" s="12"/>
      <c r="WES84" s="12"/>
      <c r="WET84" s="12"/>
      <c r="WFK84" s="12"/>
      <c r="WFL84" s="12"/>
      <c r="WGC84" s="12"/>
      <c r="WGD84" s="12"/>
      <c r="WGU84" s="12"/>
      <c r="WGV84" s="12"/>
      <c r="WHM84" s="12"/>
      <c r="WHN84" s="12"/>
      <c r="WIE84" s="12"/>
      <c r="WIF84" s="12"/>
      <c r="WIW84" s="12"/>
      <c r="WIX84" s="12"/>
      <c r="WJO84" s="12"/>
      <c r="WJP84" s="12"/>
      <c r="WKG84" s="12"/>
      <c r="WKH84" s="12"/>
      <c r="WKY84" s="12"/>
      <c r="WKZ84" s="12"/>
      <c r="WLQ84" s="12"/>
      <c r="WLR84" s="12"/>
      <c r="WMI84" s="12"/>
      <c r="WMJ84" s="12"/>
      <c r="WNA84" s="12"/>
      <c r="WNB84" s="12"/>
      <c r="WNS84" s="12"/>
      <c r="WNT84" s="12"/>
      <c r="WOK84" s="12"/>
      <c r="WOL84" s="12"/>
      <c r="WPC84" s="12"/>
      <c r="WPD84" s="12"/>
      <c r="WPU84" s="12"/>
      <c r="WPV84" s="12"/>
      <c r="WQM84" s="12"/>
      <c r="WQN84" s="12"/>
      <c r="WRE84" s="12"/>
      <c r="WRF84" s="12"/>
      <c r="WRW84" s="12"/>
      <c r="WRX84" s="12"/>
      <c r="WSO84" s="12"/>
      <c r="WSP84" s="12"/>
      <c r="WTG84" s="12"/>
      <c r="WTH84" s="12"/>
      <c r="WTY84" s="12"/>
      <c r="WTZ84" s="12"/>
      <c r="WUQ84" s="12"/>
      <c r="WUR84" s="12"/>
      <c r="WVI84" s="12"/>
      <c r="WVJ84" s="12"/>
      <c r="WWA84" s="12"/>
      <c r="WWB84" s="12"/>
      <c r="WWS84" s="12"/>
      <c r="WWT84" s="12"/>
      <c r="WXK84" s="12"/>
      <c r="WXL84" s="12"/>
      <c r="WYC84" s="12"/>
      <c r="WYD84" s="12"/>
      <c r="WYU84" s="12"/>
      <c r="WYV84" s="12"/>
      <c r="WZM84" s="12"/>
      <c r="WZN84" s="12"/>
      <c r="XAE84" s="12"/>
      <c r="XAF84" s="12"/>
      <c r="XAW84" s="12"/>
      <c r="XAX84" s="12"/>
      <c r="XBO84" s="12"/>
      <c r="XBP84" s="12"/>
      <c r="XCG84" s="12"/>
      <c r="XCH84" s="12"/>
      <c r="XCY84" s="12"/>
      <c r="XCZ84" s="12"/>
      <c r="XDQ84" s="12"/>
      <c r="XDR84" s="12"/>
      <c r="XEI84" s="12"/>
      <c r="XEJ84" s="12"/>
      <c r="XFA84" s="12"/>
      <c r="XFB84" s="12"/>
    </row>
    <row r="85" spans="1:1010 1027:2036 2053:3062 3079:4088 4105:5114 5131:6140 6157:7166 7183:8192 8209:9200 9217:10226 10243:11252 11269:12278 12295:13304 13321:14330 14347:15356 15373:16382" x14ac:dyDescent="0.35">
      <c r="A85" s="181" t="str">
        <f>'Balance Sheet - Standardized'!A87</f>
        <v xml:space="preserve">    + LT Borrowings</v>
      </c>
      <c r="B85" s="13" t="str">
        <f>'Balance Sheet - Standardized'!B87</f>
        <v>LONG_TERM_BORROWINGS_DETAILED</v>
      </c>
      <c r="C85" s="77">
        <f>IF('Balance Sheet - Standardized'!C87="",0,'Balance Sheet - Standardized'!C87)/'Balance Sheet - Standardized'!C$106</f>
        <v>0.49577025446284773</v>
      </c>
      <c r="D85" s="77">
        <f>IF('Balance Sheet - Standardized'!D87="",0,'Balance Sheet - Standardized'!D87)/'Balance Sheet - Standardized'!D$106</f>
        <v>0.49485754967645151</v>
      </c>
      <c r="E85" s="77">
        <f>IF('Balance Sheet - Standardized'!E87="",0,'Balance Sheet - Standardized'!E87)/'Balance Sheet - Standardized'!E$106</f>
        <v>0.52182282107524958</v>
      </c>
      <c r="F85" s="77">
        <f>IF('Balance Sheet - Standardized'!F87="",0,'Balance Sheet - Standardized'!F87)/'Balance Sheet - Standardized'!F$106</f>
        <v>0.49911031645160597</v>
      </c>
      <c r="G85" s="77">
        <f>IF('Balance Sheet - Standardized'!G87="",0,'Balance Sheet - Standardized'!G87)/'Balance Sheet - Standardized'!G$106</f>
        <v>0.42528896208935035</v>
      </c>
      <c r="H85" s="77">
        <f>IF('Balance Sheet - Standardized'!H87="",0,'Balance Sheet - Standardized'!H87)/'Balance Sheet - Standardized'!H$106</f>
        <v>0.38667068353752426</v>
      </c>
      <c r="I85" s="77">
        <f>IF('Balance Sheet - Standardized'!I87="",0,'Balance Sheet - Standardized'!I87)/'Balance Sheet - Standardized'!I$106</f>
        <v>0.3635134496288942</v>
      </c>
      <c r="J85" s="77">
        <f>IF('Balance Sheet - Standardized'!J87="",0,'Balance Sheet - Standardized'!J87)/'Balance Sheet - Standardized'!J$106</f>
        <v>0.39710491743359688</v>
      </c>
      <c r="K85" s="77">
        <f>IF('Balance Sheet - Standardized'!K87="",0,'Balance Sheet - Standardized'!K87)/'Balance Sheet - Standardized'!K$106</f>
        <v>0.411664679833464</v>
      </c>
      <c r="L85" s="77">
        <f>IF('Balance Sheet - Standardized'!L87="",0,'Balance Sheet - Standardized'!L87)/'Balance Sheet - Standardized'!L$106</f>
        <v>0.37277668465449731</v>
      </c>
      <c r="M85" s="106"/>
      <c r="N85" s="106"/>
      <c r="O85" s="106"/>
      <c r="P85" s="106"/>
      <c r="Q85" s="106"/>
      <c r="R85" s="106"/>
      <c r="S85" s="74"/>
      <c r="T85" s="78"/>
      <c r="U85" s="78"/>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row>
    <row r="86" spans="1:1010 1027:2036 2053:3062 3079:4088 4105:5114 5131:6140 6157:7166 7183:8192 8209:9200 9217:10226 10243:11252 11269:12278 12295:13304 13321:14330 14347:15356 15373:16382" x14ac:dyDescent="0.35">
      <c r="A86" s="181" t="str">
        <f>'Balance Sheet - Standardized'!A88</f>
        <v xml:space="preserve">    + LT Lease Liabilities</v>
      </c>
      <c r="B86" s="13" t="str">
        <f>'Balance Sheet - Standardized'!B88</f>
        <v>LT_CAPITALIZED_LEASE_LIABILITIES</v>
      </c>
      <c r="C86" s="77">
        <f>IF('Balance Sheet - Standardized'!C88="",0,'Balance Sheet - Standardized'!C88)/'Balance Sheet - Standardized'!C$106</f>
        <v>0</v>
      </c>
      <c r="D86" s="77">
        <f>IF('Balance Sheet - Standardized'!D88="",0,'Balance Sheet - Standardized'!D88)/'Balance Sheet - Standardized'!D$106</f>
        <v>0</v>
      </c>
      <c r="E86" s="77">
        <f>IF('Balance Sheet - Standardized'!E88="",0,'Balance Sheet - Standardized'!E88)/'Balance Sheet - Standardized'!E$106</f>
        <v>0</v>
      </c>
      <c r="F86" s="77">
        <f>IF('Balance Sheet - Standardized'!F88="",0,'Balance Sheet - Standardized'!F88)/'Balance Sheet - Standardized'!F$106</f>
        <v>0</v>
      </c>
      <c r="G86" s="77">
        <f>IF('Balance Sheet - Standardized'!G88="",0,'Balance Sheet - Standardized'!G88)/'Balance Sheet - Standardized'!G$106</f>
        <v>9.507808593864886E-2</v>
      </c>
      <c r="H86" s="77">
        <f>IF('Balance Sheet - Standardized'!H88="",0,'Balance Sheet - Standardized'!H88)/'Balance Sheet - Standardized'!H$106</f>
        <v>6.1260627970810728E-2</v>
      </c>
      <c r="I86" s="77">
        <f>IF('Balance Sheet - Standardized'!I88="",0,'Balance Sheet - Standardized'!I88)/'Balance Sheet - Standardized'!I$106</f>
        <v>6.2434012512015628E-2</v>
      </c>
      <c r="J86" s="77">
        <f>IF('Balance Sheet - Standardized'!J88="",0,'Balance Sheet - Standardized'!J88)/'Balance Sheet - Standardized'!J$106</f>
        <v>6.0994658786451453E-2</v>
      </c>
      <c r="K86" s="77">
        <f>IF('Balance Sheet - Standardized'!K88="",0,'Balance Sheet - Standardized'!K88)/'Balance Sheet - Standardized'!K$106</f>
        <v>5.5634909554340785E-2</v>
      </c>
      <c r="L86" s="77">
        <f>IF('Balance Sheet - Standardized'!L88="",0,'Balance Sheet - Standardized'!L88)/'Balance Sheet - Standardized'!L$106</f>
        <v>5.63467170585676E-2</v>
      </c>
      <c r="M86" s="106"/>
      <c r="N86" s="106"/>
      <c r="O86" s="106"/>
      <c r="P86" s="106"/>
      <c r="Q86" s="106"/>
      <c r="R86" s="106"/>
      <c r="S86" s="74"/>
      <c r="T86" s="78"/>
      <c r="U86" s="78"/>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row>
    <row r="87" spans="1:1010 1027:2036 2053:3062 3079:4088 4105:5114 5131:6140 6157:7166 7183:8192 8209:9200 9217:10226 10243:11252 11269:12278 12295:13304 13321:14330 14347:15356 15373:16382" x14ac:dyDescent="0.35">
      <c r="A87" s="181" t="str">
        <f>'Balance Sheet - Standardized'!A89</f>
        <v xml:space="preserve">        + LT Capital Leases</v>
      </c>
      <c r="B87" s="13" t="str">
        <f>'Balance Sheet - Standardized'!B89</f>
        <v>LT_CAPITAL_LEASE_OBLIGATIONS</v>
      </c>
      <c r="C87" s="77">
        <f>IF('Balance Sheet - Standardized'!C89="",0,'Balance Sheet - Standardized'!C89)/'Balance Sheet - Standardized'!C$106</f>
        <v>0</v>
      </c>
      <c r="D87" s="77">
        <f>IF('Balance Sheet - Standardized'!D89="",0,'Balance Sheet - Standardized'!D89)/'Balance Sheet - Standardized'!D$106</f>
        <v>0</v>
      </c>
      <c r="E87" s="77">
        <f>IF('Balance Sheet - Standardized'!E89="",0,'Balance Sheet - Standardized'!E89)/'Balance Sheet - Standardized'!E$106</f>
        <v>0</v>
      </c>
      <c r="F87" s="77">
        <f>IF('Balance Sheet - Standardized'!F89="",0,'Balance Sheet - Standardized'!F89)/'Balance Sheet - Standardized'!F$106</f>
        <v>0</v>
      </c>
      <c r="G87" s="77">
        <f>IF('Balance Sheet - Standardized'!G89="",0,'Balance Sheet - Standardized'!G89)/'Balance Sheet - Standardized'!G$106</f>
        <v>0</v>
      </c>
      <c r="H87" s="77">
        <f>IF('Balance Sheet - Standardized'!H89="",0,'Balance Sheet - Standardized'!H89)/'Balance Sheet - Standardized'!H$106</f>
        <v>0</v>
      </c>
      <c r="I87" s="77">
        <f>IF('Balance Sheet - Standardized'!I89="",0,'Balance Sheet - Standardized'!I89)/'Balance Sheet - Standardized'!I$106</f>
        <v>0</v>
      </c>
      <c r="J87" s="77">
        <f>IF('Balance Sheet - Standardized'!J89="",0,'Balance Sheet - Standardized'!J89)/'Balance Sheet - Standardized'!J$106</f>
        <v>0</v>
      </c>
      <c r="K87" s="77">
        <f>IF('Balance Sheet - Standardized'!K89="",0,'Balance Sheet - Standardized'!K89)/'Balance Sheet - Standardized'!K$106</f>
        <v>0</v>
      </c>
      <c r="L87" s="77">
        <f>IF('Balance Sheet - Standardized'!L89="",0,'Balance Sheet - Standardized'!L89)/'Balance Sheet - Standardized'!L$106</f>
        <v>0</v>
      </c>
      <c r="M87" s="106"/>
      <c r="N87" s="106"/>
      <c r="O87" s="106"/>
      <c r="P87" s="106"/>
      <c r="Q87" s="106"/>
      <c r="R87" s="106"/>
      <c r="S87" s="74"/>
      <c r="T87" s="78"/>
      <c r="U87" s="78"/>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row>
    <row r="88" spans="1:1010 1027:2036 2053:3062 3079:4088 4105:5114 5131:6140 6157:7166 7183:8192 8209:9200 9217:10226 10243:11252 11269:12278 12295:13304 13321:14330 14347:15356 15373:16382" x14ac:dyDescent="0.35">
      <c r="A88" s="181" t="str">
        <f>'Balance Sheet - Standardized'!A90</f>
        <v xml:space="preserve">        + LT Operating Leases</v>
      </c>
      <c r="B88" s="13" t="str">
        <f>'Balance Sheet - Standardized'!B90</f>
        <v>BS_LT_OPERATING_LEASE_LIABS</v>
      </c>
      <c r="C88" s="77">
        <f>IF('Balance Sheet - Standardized'!C90="",0,'Balance Sheet - Standardized'!C90)/'Balance Sheet - Standardized'!C$106</f>
        <v>0</v>
      </c>
      <c r="D88" s="77">
        <f>IF('Balance Sheet - Standardized'!D90="",0,'Balance Sheet - Standardized'!D90)/'Balance Sheet - Standardized'!D$106</f>
        <v>0</v>
      </c>
      <c r="E88" s="77">
        <f>IF('Balance Sheet - Standardized'!E90="",0,'Balance Sheet - Standardized'!E90)/'Balance Sheet - Standardized'!E$106</f>
        <v>0</v>
      </c>
      <c r="F88" s="77">
        <f>IF('Balance Sheet - Standardized'!F90="",0,'Balance Sheet - Standardized'!F90)/'Balance Sheet - Standardized'!F$106</f>
        <v>0</v>
      </c>
      <c r="G88" s="77">
        <f>IF('Balance Sheet - Standardized'!G90="",0,'Balance Sheet - Standardized'!G90)/'Balance Sheet - Standardized'!G$106</f>
        <v>9.507808593864886E-2</v>
      </c>
      <c r="H88" s="77">
        <f>IF('Balance Sheet - Standardized'!H90="",0,'Balance Sheet - Standardized'!H90)/'Balance Sheet - Standardized'!H$106</f>
        <v>6.1260627970810728E-2</v>
      </c>
      <c r="I88" s="77">
        <f>IF('Balance Sheet - Standardized'!I90="",0,'Balance Sheet - Standardized'!I90)/'Balance Sheet - Standardized'!I$106</f>
        <v>6.2434012512015628E-2</v>
      </c>
      <c r="J88" s="77">
        <f>IF('Balance Sheet - Standardized'!J90="",0,'Balance Sheet - Standardized'!J90)/'Balance Sheet - Standardized'!J$106</f>
        <v>6.0994658786451453E-2</v>
      </c>
      <c r="K88" s="77">
        <f>IF('Balance Sheet - Standardized'!K90="",0,'Balance Sheet - Standardized'!K90)/'Balance Sheet - Standardized'!K$106</f>
        <v>5.5634909554340785E-2</v>
      </c>
      <c r="L88" s="77">
        <f>IF('Balance Sheet - Standardized'!L90="",0,'Balance Sheet - Standardized'!L90)/'Balance Sheet - Standardized'!L$106</f>
        <v>5.63467170585676E-2</v>
      </c>
      <c r="M88" s="106"/>
      <c r="N88" s="106"/>
      <c r="O88" s="106"/>
      <c r="P88" s="106"/>
      <c r="Q88" s="106"/>
      <c r="R88" s="106"/>
      <c r="S88" s="74"/>
      <c r="T88" s="78"/>
      <c r="U88" s="78"/>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row>
    <row r="89" spans="1:1010 1027:2036 2053:3062 3079:4088 4105:5114 5131:6140 6157:7166 7183:8192 8209:9200 9217:10226 10243:11252 11269:12278 12295:13304 13321:14330 14347:15356 15373:16382" x14ac:dyDescent="0.35">
      <c r="A89" s="23" t="str">
        <f>'Balance Sheet - Standardized'!A91</f>
        <v>check</v>
      </c>
      <c r="B89" s="23"/>
      <c r="C89" s="79"/>
      <c r="D89" s="79"/>
      <c r="E89" s="79"/>
      <c r="F89" s="79"/>
      <c r="G89" s="79"/>
      <c r="H89" s="79"/>
      <c r="I89" s="79"/>
      <c r="J89" s="79"/>
      <c r="K89" s="79"/>
      <c r="L89" s="79"/>
      <c r="M89" s="144"/>
      <c r="N89" s="144"/>
      <c r="O89" s="144"/>
      <c r="P89" s="144"/>
      <c r="Q89" s="144"/>
      <c r="R89" s="144"/>
      <c r="S89" s="74"/>
      <c r="T89" s="78"/>
      <c r="U89" s="78"/>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row>
    <row r="90" spans="1:1010 1027:2036 2053:3062 3079:4088 4105:5114 5131:6140 6157:7166 7183:8192 8209:9200 9217:10226 10243:11252 11269:12278 12295:13304 13321:14330 14347:15356 15373:16382" s="11" customFormat="1" x14ac:dyDescent="0.35">
      <c r="A90" s="183" t="str">
        <f>'Balance Sheet - Standardized'!A92</f>
        <v xml:space="preserve">  + Other LT Liabilities</v>
      </c>
      <c r="B90" s="75" t="str">
        <f>'Balance Sheet - Standardized'!B92</f>
        <v>OTHER_NONCUR_LIABS_SUB_DETAILED</v>
      </c>
      <c r="C90" s="76">
        <f>IF('Balance Sheet - Standardized'!C92="",0,'Balance Sheet - Standardized'!C92)/'Balance Sheet - Standardized'!C$106</f>
        <v>0.13185956227643378</v>
      </c>
      <c r="D90" s="76">
        <f>IF('Balance Sheet - Standardized'!D92="",0,'Balance Sheet - Standardized'!D92)/'Balance Sheet - Standardized'!D$106</f>
        <v>0.11511715124779109</v>
      </c>
      <c r="E90" s="76">
        <f>IF('Balance Sheet - Standardized'!E92="",0,'Balance Sheet - Standardized'!E92)/'Balance Sheet - Standardized'!E$106</f>
        <v>0.11963830072966561</v>
      </c>
      <c r="F90" s="76">
        <f>IF('Balance Sheet - Standardized'!F92="",0,'Balance Sheet - Standardized'!F92)/'Balance Sheet - Standardized'!F$106</f>
        <v>0.14703690140238254</v>
      </c>
      <c r="G90" s="76">
        <f>IF('Balance Sheet - Standardized'!G92="",0,'Balance Sheet - Standardized'!G92)/'Balance Sheet - Standardized'!G$106</f>
        <v>0.10319181788770919</v>
      </c>
      <c r="H90" s="76">
        <f>IF('Balance Sheet - Standardized'!H92="",0,'Balance Sheet - Standardized'!H92)/'Balance Sheet - Standardized'!H$106</f>
        <v>8.9325165695922873E-2</v>
      </c>
      <c r="I90" s="76">
        <f>IF('Balance Sheet - Standardized'!I92="",0,'Balance Sheet - Standardized'!I92)/'Balance Sheet - Standardized'!I$106</f>
        <v>6.6821097086307693E-2</v>
      </c>
      <c r="J90" s="76">
        <f>IF('Balance Sheet - Standardized'!J92="",0,'Balance Sheet - Standardized'!J92)/'Balance Sheet - Standardized'!J$106</f>
        <v>7.2577057953373852E-2</v>
      </c>
      <c r="K90" s="76">
        <f>IF('Balance Sheet - Standardized'!K92="",0,'Balance Sheet - Standardized'!K92)/'Balance Sheet - Standardized'!K$106</f>
        <v>8.2294273266532783E-2</v>
      </c>
      <c r="L90" s="76">
        <f>IF('Balance Sheet - Standardized'!L92="",0,'Balance Sheet - Standardized'!L92)/'Balance Sheet - Standardized'!L$106</f>
        <v>0.1046476138525777</v>
      </c>
      <c r="M90" s="106"/>
      <c r="N90" s="106"/>
      <c r="O90" s="106"/>
      <c r="P90" s="106"/>
      <c r="Q90" s="106"/>
      <c r="R90" s="106"/>
      <c r="S90" s="78"/>
      <c r="T90" s="78"/>
      <c r="U90" s="106"/>
      <c r="V90" s="106"/>
      <c r="W90" s="106"/>
      <c r="X90" s="106"/>
      <c r="Y90" s="106"/>
      <c r="Z90" s="106"/>
      <c r="AA90" s="106"/>
      <c r="AB90" s="106"/>
      <c r="AC90" s="106"/>
      <c r="AD90" s="106"/>
      <c r="AE90" s="106"/>
      <c r="AF90" s="106"/>
      <c r="AG90" s="106"/>
      <c r="AH90" s="106"/>
      <c r="AI90" s="106"/>
      <c r="AJ90" s="106"/>
      <c r="AK90" s="78"/>
      <c r="AL90" s="78"/>
      <c r="AM90" s="106"/>
      <c r="AN90" s="106"/>
      <c r="AO90" s="106"/>
      <c r="AP90" s="106"/>
      <c r="AQ90" s="106"/>
      <c r="AR90" s="106"/>
      <c r="AS90" s="106"/>
      <c r="AT90" s="106"/>
      <c r="AU90" s="106"/>
      <c r="AV90" s="106"/>
      <c r="AW90" s="106"/>
      <c r="AX90" s="106"/>
      <c r="AY90" s="106"/>
      <c r="AZ90" s="106"/>
      <c r="BA90" s="106"/>
      <c r="BB90" s="106"/>
      <c r="BC90" s="78"/>
      <c r="BD90" s="78"/>
      <c r="BE90" s="106"/>
      <c r="BF90" s="106"/>
      <c r="BG90" s="106"/>
      <c r="BH90" s="106"/>
      <c r="BI90" s="106"/>
      <c r="BJ90" s="106"/>
      <c r="BU90" s="12"/>
      <c r="BV90" s="12"/>
      <c r="CM90" s="12"/>
      <c r="CN90" s="12"/>
      <c r="DE90" s="12"/>
      <c r="DF90" s="12"/>
      <c r="DW90" s="12"/>
      <c r="DX90" s="12"/>
      <c r="EO90" s="12"/>
      <c r="EP90" s="12"/>
      <c r="FG90" s="12"/>
      <c r="FH90" s="12"/>
      <c r="FY90" s="12"/>
      <c r="FZ90" s="12"/>
      <c r="GQ90" s="12"/>
      <c r="GR90" s="12"/>
      <c r="HI90" s="12"/>
      <c r="HJ90" s="12"/>
      <c r="IA90" s="12"/>
      <c r="IB90" s="12"/>
      <c r="IS90" s="12"/>
      <c r="IT90" s="12"/>
      <c r="JK90" s="12"/>
      <c r="JL90" s="12"/>
      <c r="KC90" s="12"/>
      <c r="KD90" s="12"/>
      <c r="KU90" s="12"/>
      <c r="KV90" s="12"/>
      <c r="LM90" s="12"/>
      <c r="LN90" s="12"/>
      <c r="ME90" s="12"/>
      <c r="MF90" s="12"/>
      <c r="MW90" s="12"/>
      <c r="MX90" s="12"/>
      <c r="NO90" s="12"/>
      <c r="NP90" s="12"/>
      <c r="OG90" s="12"/>
      <c r="OH90" s="12"/>
      <c r="OY90" s="12"/>
      <c r="OZ90" s="12"/>
      <c r="PQ90" s="12"/>
      <c r="PR90" s="12"/>
      <c r="QI90" s="12"/>
      <c r="QJ90" s="12"/>
      <c r="RA90" s="12"/>
      <c r="RB90" s="12"/>
      <c r="RS90" s="12"/>
      <c r="RT90" s="12"/>
      <c r="SK90" s="12"/>
      <c r="SL90" s="12"/>
      <c r="TC90" s="12"/>
      <c r="TD90" s="12"/>
      <c r="TU90" s="12"/>
      <c r="TV90" s="12"/>
      <c r="UM90" s="12"/>
      <c r="UN90" s="12"/>
      <c r="VE90" s="12"/>
      <c r="VF90" s="12"/>
      <c r="VW90" s="12"/>
      <c r="VX90" s="12"/>
      <c r="WO90" s="12"/>
      <c r="WP90" s="12"/>
      <c r="XG90" s="12"/>
      <c r="XH90" s="12"/>
      <c r="XY90" s="12"/>
      <c r="XZ90" s="12"/>
      <c r="YQ90" s="12"/>
      <c r="YR90" s="12"/>
      <c r="ZI90" s="12"/>
      <c r="ZJ90" s="12"/>
      <c r="AAA90" s="12"/>
      <c r="AAB90" s="12"/>
      <c r="AAS90" s="12"/>
      <c r="AAT90" s="12"/>
      <c r="ABK90" s="12"/>
      <c r="ABL90" s="12"/>
      <c r="ACC90" s="12"/>
      <c r="ACD90" s="12"/>
      <c r="ACU90" s="12"/>
      <c r="ACV90" s="12"/>
      <c r="ADM90" s="12"/>
      <c r="ADN90" s="12"/>
      <c r="AEE90" s="12"/>
      <c r="AEF90" s="12"/>
      <c r="AEW90" s="12"/>
      <c r="AEX90" s="12"/>
      <c r="AFO90" s="12"/>
      <c r="AFP90" s="12"/>
      <c r="AGG90" s="12"/>
      <c r="AGH90" s="12"/>
      <c r="AGY90" s="12"/>
      <c r="AGZ90" s="12"/>
      <c r="AHQ90" s="12"/>
      <c r="AHR90" s="12"/>
      <c r="AII90" s="12"/>
      <c r="AIJ90" s="12"/>
      <c r="AJA90" s="12"/>
      <c r="AJB90" s="12"/>
      <c r="AJS90" s="12"/>
      <c r="AJT90" s="12"/>
      <c r="AKK90" s="12"/>
      <c r="AKL90" s="12"/>
      <c r="ALC90" s="12"/>
      <c r="ALD90" s="12"/>
      <c r="ALU90" s="12"/>
      <c r="ALV90" s="12"/>
      <c r="AMM90" s="12"/>
      <c r="AMN90" s="12"/>
      <c r="ANE90" s="12"/>
      <c r="ANF90" s="12"/>
      <c r="ANW90" s="12"/>
      <c r="ANX90" s="12"/>
      <c r="AOO90" s="12"/>
      <c r="AOP90" s="12"/>
      <c r="APG90" s="12"/>
      <c r="APH90" s="12"/>
      <c r="APY90" s="12"/>
      <c r="APZ90" s="12"/>
      <c r="AQQ90" s="12"/>
      <c r="AQR90" s="12"/>
      <c r="ARI90" s="12"/>
      <c r="ARJ90" s="12"/>
      <c r="ASA90" s="12"/>
      <c r="ASB90" s="12"/>
      <c r="ASS90" s="12"/>
      <c r="AST90" s="12"/>
      <c r="ATK90" s="12"/>
      <c r="ATL90" s="12"/>
      <c r="AUC90" s="12"/>
      <c r="AUD90" s="12"/>
      <c r="AUU90" s="12"/>
      <c r="AUV90" s="12"/>
      <c r="AVM90" s="12"/>
      <c r="AVN90" s="12"/>
      <c r="AWE90" s="12"/>
      <c r="AWF90" s="12"/>
      <c r="AWW90" s="12"/>
      <c r="AWX90" s="12"/>
      <c r="AXO90" s="12"/>
      <c r="AXP90" s="12"/>
      <c r="AYG90" s="12"/>
      <c r="AYH90" s="12"/>
      <c r="AYY90" s="12"/>
      <c r="AYZ90" s="12"/>
      <c r="AZQ90" s="12"/>
      <c r="AZR90" s="12"/>
      <c r="BAI90" s="12"/>
      <c r="BAJ90" s="12"/>
      <c r="BBA90" s="12"/>
      <c r="BBB90" s="12"/>
      <c r="BBS90" s="12"/>
      <c r="BBT90" s="12"/>
      <c r="BCK90" s="12"/>
      <c r="BCL90" s="12"/>
      <c r="BDC90" s="12"/>
      <c r="BDD90" s="12"/>
      <c r="BDU90" s="12"/>
      <c r="BDV90" s="12"/>
      <c r="BEM90" s="12"/>
      <c r="BEN90" s="12"/>
      <c r="BFE90" s="12"/>
      <c r="BFF90" s="12"/>
      <c r="BFW90" s="12"/>
      <c r="BFX90" s="12"/>
      <c r="BGO90" s="12"/>
      <c r="BGP90" s="12"/>
      <c r="BHG90" s="12"/>
      <c r="BHH90" s="12"/>
      <c r="BHY90" s="12"/>
      <c r="BHZ90" s="12"/>
      <c r="BIQ90" s="12"/>
      <c r="BIR90" s="12"/>
      <c r="BJI90" s="12"/>
      <c r="BJJ90" s="12"/>
      <c r="BKA90" s="12"/>
      <c r="BKB90" s="12"/>
      <c r="BKS90" s="12"/>
      <c r="BKT90" s="12"/>
      <c r="BLK90" s="12"/>
      <c r="BLL90" s="12"/>
      <c r="BMC90" s="12"/>
      <c r="BMD90" s="12"/>
      <c r="BMU90" s="12"/>
      <c r="BMV90" s="12"/>
      <c r="BNM90" s="12"/>
      <c r="BNN90" s="12"/>
      <c r="BOE90" s="12"/>
      <c r="BOF90" s="12"/>
      <c r="BOW90" s="12"/>
      <c r="BOX90" s="12"/>
      <c r="BPO90" s="12"/>
      <c r="BPP90" s="12"/>
      <c r="BQG90" s="12"/>
      <c r="BQH90" s="12"/>
      <c r="BQY90" s="12"/>
      <c r="BQZ90" s="12"/>
      <c r="BRQ90" s="12"/>
      <c r="BRR90" s="12"/>
      <c r="BSI90" s="12"/>
      <c r="BSJ90" s="12"/>
      <c r="BTA90" s="12"/>
      <c r="BTB90" s="12"/>
      <c r="BTS90" s="12"/>
      <c r="BTT90" s="12"/>
      <c r="BUK90" s="12"/>
      <c r="BUL90" s="12"/>
      <c r="BVC90" s="12"/>
      <c r="BVD90" s="12"/>
      <c r="BVU90" s="12"/>
      <c r="BVV90" s="12"/>
      <c r="BWM90" s="12"/>
      <c r="BWN90" s="12"/>
      <c r="BXE90" s="12"/>
      <c r="BXF90" s="12"/>
      <c r="BXW90" s="12"/>
      <c r="BXX90" s="12"/>
      <c r="BYO90" s="12"/>
      <c r="BYP90" s="12"/>
      <c r="BZG90" s="12"/>
      <c r="BZH90" s="12"/>
      <c r="BZY90" s="12"/>
      <c r="BZZ90" s="12"/>
      <c r="CAQ90" s="12"/>
      <c r="CAR90" s="12"/>
      <c r="CBI90" s="12"/>
      <c r="CBJ90" s="12"/>
      <c r="CCA90" s="12"/>
      <c r="CCB90" s="12"/>
      <c r="CCS90" s="12"/>
      <c r="CCT90" s="12"/>
      <c r="CDK90" s="12"/>
      <c r="CDL90" s="12"/>
      <c r="CEC90" s="12"/>
      <c r="CED90" s="12"/>
      <c r="CEU90" s="12"/>
      <c r="CEV90" s="12"/>
      <c r="CFM90" s="12"/>
      <c r="CFN90" s="12"/>
      <c r="CGE90" s="12"/>
      <c r="CGF90" s="12"/>
      <c r="CGW90" s="12"/>
      <c r="CGX90" s="12"/>
      <c r="CHO90" s="12"/>
      <c r="CHP90" s="12"/>
      <c r="CIG90" s="12"/>
      <c r="CIH90" s="12"/>
      <c r="CIY90" s="12"/>
      <c r="CIZ90" s="12"/>
      <c r="CJQ90" s="12"/>
      <c r="CJR90" s="12"/>
      <c r="CKI90" s="12"/>
      <c r="CKJ90" s="12"/>
      <c r="CLA90" s="12"/>
      <c r="CLB90" s="12"/>
      <c r="CLS90" s="12"/>
      <c r="CLT90" s="12"/>
      <c r="CMK90" s="12"/>
      <c r="CML90" s="12"/>
      <c r="CNC90" s="12"/>
      <c r="CND90" s="12"/>
      <c r="CNU90" s="12"/>
      <c r="CNV90" s="12"/>
      <c r="COM90" s="12"/>
      <c r="CON90" s="12"/>
      <c r="CPE90" s="12"/>
      <c r="CPF90" s="12"/>
      <c r="CPW90" s="12"/>
      <c r="CPX90" s="12"/>
      <c r="CQO90" s="12"/>
      <c r="CQP90" s="12"/>
      <c r="CRG90" s="12"/>
      <c r="CRH90" s="12"/>
      <c r="CRY90" s="12"/>
      <c r="CRZ90" s="12"/>
      <c r="CSQ90" s="12"/>
      <c r="CSR90" s="12"/>
      <c r="CTI90" s="12"/>
      <c r="CTJ90" s="12"/>
      <c r="CUA90" s="12"/>
      <c r="CUB90" s="12"/>
      <c r="CUS90" s="12"/>
      <c r="CUT90" s="12"/>
      <c r="CVK90" s="12"/>
      <c r="CVL90" s="12"/>
      <c r="CWC90" s="12"/>
      <c r="CWD90" s="12"/>
      <c r="CWU90" s="12"/>
      <c r="CWV90" s="12"/>
      <c r="CXM90" s="12"/>
      <c r="CXN90" s="12"/>
      <c r="CYE90" s="12"/>
      <c r="CYF90" s="12"/>
      <c r="CYW90" s="12"/>
      <c r="CYX90" s="12"/>
      <c r="CZO90" s="12"/>
      <c r="CZP90" s="12"/>
      <c r="DAG90" s="12"/>
      <c r="DAH90" s="12"/>
      <c r="DAY90" s="12"/>
      <c r="DAZ90" s="12"/>
      <c r="DBQ90" s="12"/>
      <c r="DBR90" s="12"/>
      <c r="DCI90" s="12"/>
      <c r="DCJ90" s="12"/>
      <c r="DDA90" s="12"/>
      <c r="DDB90" s="12"/>
      <c r="DDS90" s="12"/>
      <c r="DDT90" s="12"/>
      <c r="DEK90" s="12"/>
      <c r="DEL90" s="12"/>
      <c r="DFC90" s="12"/>
      <c r="DFD90" s="12"/>
      <c r="DFU90" s="12"/>
      <c r="DFV90" s="12"/>
      <c r="DGM90" s="12"/>
      <c r="DGN90" s="12"/>
      <c r="DHE90" s="12"/>
      <c r="DHF90" s="12"/>
      <c r="DHW90" s="12"/>
      <c r="DHX90" s="12"/>
      <c r="DIO90" s="12"/>
      <c r="DIP90" s="12"/>
      <c r="DJG90" s="12"/>
      <c r="DJH90" s="12"/>
      <c r="DJY90" s="12"/>
      <c r="DJZ90" s="12"/>
      <c r="DKQ90" s="12"/>
      <c r="DKR90" s="12"/>
      <c r="DLI90" s="12"/>
      <c r="DLJ90" s="12"/>
      <c r="DMA90" s="12"/>
      <c r="DMB90" s="12"/>
      <c r="DMS90" s="12"/>
      <c r="DMT90" s="12"/>
      <c r="DNK90" s="12"/>
      <c r="DNL90" s="12"/>
      <c r="DOC90" s="12"/>
      <c r="DOD90" s="12"/>
      <c r="DOU90" s="12"/>
      <c r="DOV90" s="12"/>
      <c r="DPM90" s="12"/>
      <c r="DPN90" s="12"/>
      <c r="DQE90" s="12"/>
      <c r="DQF90" s="12"/>
      <c r="DQW90" s="12"/>
      <c r="DQX90" s="12"/>
      <c r="DRO90" s="12"/>
      <c r="DRP90" s="12"/>
      <c r="DSG90" s="12"/>
      <c r="DSH90" s="12"/>
      <c r="DSY90" s="12"/>
      <c r="DSZ90" s="12"/>
      <c r="DTQ90" s="12"/>
      <c r="DTR90" s="12"/>
      <c r="DUI90" s="12"/>
      <c r="DUJ90" s="12"/>
      <c r="DVA90" s="12"/>
      <c r="DVB90" s="12"/>
      <c r="DVS90" s="12"/>
      <c r="DVT90" s="12"/>
      <c r="DWK90" s="12"/>
      <c r="DWL90" s="12"/>
      <c r="DXC90" s="12"/>
      <c r="DXD90" s="12"/>
      <c r="DXU90" s="12"/>
      <c r="DXV90" s="12"/>
      <c r="DYM90" s="12"/>
      <c r="DYN90" s="12"/>
      <c r="DZE90" s="12"/>
      <c r="DZF90" s="12"/>
      <c r="DZW90" s="12"/>
      <c r="DZX90" s="12"/>
      <c r="EAO90" s="12"/>
      <c r="EAP90" s="12"/>
      <c r="EBG90" s="12"/>
      <c r="EBH90" s="12"/>
      <c r="EBY90" s="12"/>
      <c r="EBZ90" s="12"/>
      <c r="ECQ90" s="12"/>
      <c r="ECR90" s="12"/>
      <c r="EDI90" s="12"/>
      <c r="EDJ90" s="12"/>
      <c r="EEA90" s="12"/>
      <c r="EEB90" s="12"/>
      <c r="EES90" s="12"/>
      <c r="EET90" s="12"/>
      <c r="EFK90" s="12"/>
      <c r="EFL90" s="12"/>
      <c r="EGC90" s="12"/>
      <c r="EGD90" s="12"/>
      <c r="EGU90" s="12"/>
      <c r="EGV90" s="12"/>
      <c r="EHM90" s="12"/>
      <c r="EHN90" s="12"/>
      <c r="EIE90" s="12"/>
      <c r="EIF90" s="12"/>
      <c r="EIW90" s="12"/>
      <c r="EIX90" s="12"/>
      <c r="EJO90" s="12"/>
      <c r="EJP90" s="12"/>
      <c r="EKG90" s="12"/>
      <c r="EKH90" s="12"/>
      <c r="EKY90" s="12"/>
      <c r="EKZ90" s="12"/>
      <c r="ELQ90" s="12"/>
      <c r="ELR90" s="12"/>
      <c r="EMI90" s="12"/>
      <c r="EMJ90" s="12"/>
      <c r="ENA90" s="12"/>
      <c r="ENB90" s="12"/>
      <c r="ENS90" s="12"/>
      <c r="ENT90" s="12"/>
      <c r="EOK90" s="12"/>
      <c r="EOL90" s="12"/>
      <c r="EPC90" s="12"/>
      <c r="EPD90" s="12"/>
      <c r="EPU90" s="12"/>
      <c r="EPV90" s="12"/>
      <c r="EQM90" s="12"/>
      <c r="EQN90" s="12"/>
      <c r="ERE90" s="12"/>
      <c r="ERF90" s="12"/>
      <c r="ERW90" s="12"/>
      <c r="ERX90" s="12"/>
      <c r="ESO90" s="12"/>
      <c r="ESP90" s="12"/>
      <c r="ETG90" s="12"/>
      <c r="ETH90" s="12"/>
      <c r="ETY90" s="12"/>
      <c r="ETZ90" s="12"/>
      <c r="EUQ90" s="12"/>
      <c r="EUR90" s="12"/>
      <c r="EVI90" s="12"/>
      <c r="EVJ90" s="12"/>
      <c r="EWA90" s="12"/>
      <c r="EWB90" s="12"/>
      <c r="EWS90" s="12"/>
      <c r="EWT90" s="12"/>
      <c r="EXK90" s="12"/>
      <c r="EXL90" s="12"/>
      <c r="EYC90" s="12"/>
      <c r="EYD90" s="12"/>
      <c r="EYU90" s="12"/>
      <c r="EYV90" s="12"/>
      <c r="EZM90" s="12"/>
      <c r="EZN90" s="12"/>
      <c r="FAE90" s="12"/>
      <c r="FAF90" s="12"/>
      <c r="FAW90" s="12"/>
      <c r="FAX90" s="12"/>
      <c r="FBO90" s="12"/>
      <c r="FBP90" s="12"/>
      <c r="FCG90" s="12"/>
      <c r="FCH90" s="12"/>
      <c r="FCY90" s="12"/>
      <c r="FCZ90" s="12"/>
      <c r="FDQ90" s="12"/>
      <c r="FDR90" s="12"/>
      <c r="FEI90" s="12"/>
      <c r="FEJ90" s="12"/>
      <c r="FFA90" s="12"/>
      <c r="FFB90" s="12"/>
      <c r="FFS90" s="12"/>
      <c r="FFT90" s="12"/>
      <c r="FGK90" s="12"/>
      <c r="FGL90" s="12"/>
      <c r="FHC90" s="12"/>
      <c r="FHD90" s="12"/>
      <c r="FHU90" s="12"/>
      <c r="FHV90" s="12"/>
      <c r="FIM90" s="12"/>
      <c r="FIN90" s="12"/>
      <c r="FJE90" s="12"/>
      <c r="FJF90" s="12"/>
      <c r="FJW90" s="12"/>
      <c r="FJX90" s="12"/>
      <c r="FKO90" s="12"/>
      <c r="FKP90" s="12"/>
      <c r="FLG90" s="12"/>
      <c r="FLH90" s="12"/>
      <c r="FLY90" s="12"/>
      <c r="FLZ90" s="12"/>
      <c r="FMQ90" s="12"/>
      <c r="FMR90" s="12"/>
      <c r="FNI90" s="12"/>
      <c r="FNJ90" s="12"/>
      <c r="FOA90" s="12"/>
      <c r="FOB90" s="12"/>
      <c r="FOS90" s="12"/>
      <c r="FOT90" s="12"/>
      <c r="FPK90" s="12"/>
      <c r="FPL90" s="12"/>
      <c r="FQC90" s="12"/>
      <c r="FQD90" s="12"/>
      <c r="FQU90" s="12"/>
      <c r="FQV90" s="12"/>
      <c r="FRM90" s="12"/>
      <c r="FRN90" s="12"/>
      <c r="FSE90" s="12"/>
      <c r="FSF90" s="12"/>
      <c r="FSW90" s="12"/>
      <c r="FSX90" s="12"/>
      <c r="FTO90" s="12"/>
      <c r="FTP90" s="12"/>
      <c r="FUG90" s="12"/>
      <c r="FUH90" s="12"/>
      <c r="FUY90" s="12"/>
      <c r="FUZ90" s="12"/>
      <c r="FVQ90" s="12"/>
      <c r="FVR90" s="12"/>
      <c r="FWI90" s="12"/>
      <c r="FWJ90" s="12"/>
      <c r="FXA90" s="12"/>
      <c r="FXB90" s="12"/>
      <c r="FXS90" s="12"/>
      <c r="FXT90" s="12"/>
      <c r="FYK90" s="12"/>
      <c r="FYL90" s="12"/>
      <c r="FZC90" s="12"/>
      <c r="FZD90" s="12"/>
      <c r="FZU90" s="12"/>
      <c r="FZV90" s="12"/>
      <c r="GAM90" s="12"/>
      <c r="GAN90" s="12"/>
      <c r="GBE90" s="12"/>
      <c r="GBF90" s="12"/>
      <c r="GBW90" s="12"/>
      <c r="GBX90" s="12"/>
      <c r="GCO90" s="12"/>
      <c r="GCP90" s="12"/>
      <c r="GDG90" s="12"/>
      <c r="GDH90" s="12"/>
      <c r="GDY90" s="12"/>
      <c r="GDZ90" s="12"/>
      <c r="GEQ90" s="12"/>
      <c r="GER90" s="12"/>
      <c r="GFI90" s="12"/>
      <c r="GFJ90" s="12"/>
      <c r="GGA90" s="12"/>
      <c r="GGB90" s="12"/>
      <c r="GGS90" s="12"/>
      <c r="GGT90" s="12"/>
      <c r="GHK90" s="12"/>
      <c r="GHL90" s="12"/>
      <c r="GIC90" s="12"/>
      <c r="GID90" s="12"/>
      <c r="GIU90" s="12"/>
      <c r="GIV90" s="12"/>
      <c r="GJM90" s="12"/>
      <c r="GJN90" s="12"/>
      <c r="GKE90" s="12"/>
      <c r="GKF90" s="12"/>
      <c r="GKW90" s="12"/>
      <c r="GKX90" s="12"/>
      <c r="GLO90" s="12"/>
      <c r="GLP90" s="12"/>
      <c r="GMG90" s="12"/>
      <c r="GMH90" s="12"/>
      <c r="GMY90" s="12"/>
      <c r="GMZ90" s="12"/>
      <c r="GNQ90" s="12"/>
      <c r="GNR90" s="12"/>
      <c r="GOI90" s="12"/>
      <c r="GOJ90" s="12"/>
      <c r="GPA90" s="12"/>
      <c r="GPB90" s="12"/>
      <c r="GPS90" s="12"/>
      <c r="GPT90" s="12"/>
      <c r="GQK90" s="12"/>
      <c r="GQL90" s="12"/>
      <c r="GRC90" s="12"/>
      <c r="GRD90" s="12"/>
      <c r="GRU90" s="12"/>
      <c r="GRV90" s="12"/>
      <c r="GSM90" s="12"/>
      <c r="GSN90" s="12"/>
      <c r="GTE90" s="12"/>
      <c r="GTF90" s="12"/>
      <c r="GTW90" s="12"/>
      <c r="GTX90" s="12"/>
      <c r="GUO90" s="12"/>
      <c r="GUP90" s="12"/>
      <c r="GVG90" s="12"/>
      <c r="GVH90" s="12"/>
      <c r="GVY90" s="12"/>
      <c r="GVZ90" s="12"/>
      <c r="GWQ90" s="12"/>
      <c r="GWR90" s="12"/>
      <c r="GXI90" s="12"/>
      <c r="GXJ90" s="12"/>
      <c r="GYA90" s="12"/>
      <c r="GYB90" s="12"/>
      <c r="GYS90" s="12"/>
      <c r="GYT90" s="12"/>
      <c r="GZK90" s="12"/>
      <c r="GZL90" s="12"/>
      <c r="HAC90" s="12"/>
      <c r="HAD90" s="12"/>
      <c r="HAU90" s="12"/>
      <c r="HAV90" s="12"/>
      <c r="HBM90" s="12"/>
      <c r="HBN90" s="12"/>
      <c r="HCE90" s="12"/>
      <c r="HCF90" s="12"/>
      <c r="HCW90" s="12"/>
      <c r="HCX90" s="12"/>
      <c r="HDO90" s="12"/>
      <c r="HDP90" s="12"/>
      <c r="HEG90" s="12"/>
      <c r="HEH90" s="12"/>
      <c r="HEY90" s="12"/>
      <c r="HEZ90" s="12"/>
      <c r="HFQ90" s="12"/>
      <c r="HFR90" s="12"/>
      <c r="HGI90" s="12"/>
      <c r="HGJ90" s="12"/>
      <c r="HHA90" s="12"/>
      <c r="HHB90" s="12"/>
      <c r="HHS90" s="12"/>
      <c r="HHT90" s="12"/>
      <c r="HIK90" s="12"/>
      <c r="HIL90" s="12"/>
      <c r="HJC90" s="12"/>
      <c r="HJD90" s="12"/>
      <c r="HJU90" s="12"/>
      <c r="HJV90" s="12"/>
      <c r="HKM90" s="12"/>
      <c r="HKN90" s="12"/>
      <c r="HLE90" s="12"/>
      <c r="HLF90" s="12"/>
      <c r="HLW90" s="12"/>
      <c r="HLX90" s="12"/>
      <c r="HMO90" s="12"/>
      <c r="HMP90" s="12"/>
      <c r="HNG90" s="12"/>
      <c r="HNH90" s="12"/>
      <c r="HNY90" s="12"/>
      <c r="HNZ90" s="12"/>
      <c r="HOQ90" s="12"/>
      <c r="HOR90" s="12"/>
      <c r="HPI90" s="12"/>
      <c r="HPJ90" s="12"/>
      <c r="HQA90" s="12"/>
      <c r="HQB90" s="12"/>
      <c r="HQS90" s="12"/>
      <c r="HQT90" s="12"/>
      <c r="HRK90" s="12"/>
      <c r="HRL90" s="12"/>
      <c r="HSC90" s="12"/>
      <c r="HSD90" s="12"/>
      <c r="HSU90" s="12"/>
      <c r="HSV90" s="12"/>
      <c r="HTM90" s="12"/>
      <c r="HTN90" s="12"/>
      <c r="HUE90" s="12"/>
      <c r="HUF90" s="12"/>
      <c r="HUW90" s="12"/>
      <c r="HUX90" s="12"/>
      <c r="HVO90" s="12"/>
      <c r="HVP90" s="12"/>
      <c r="HWG90" s="12"/>
      <c r="HWH90" s="12"/>
      <c r="HWY90" s="12"/>
      <c r="HWZ90" s="12"/>
      <c r="HXQ90" s="12"/>
      <c r="HXR90" s="12"/>
      <c r="HYI90" s="12"/>
      <c r="HYJ90" s="12"/>
      <c r="HZA90" s="12"/>
      <c r="HZB90" s="12"/>
      <c r="HZS90" s="12"/>
      <c r="HZT90" s="12"/>
      <c r="IAK90" s="12"/>
      <c r="IAL90" s="12"/>
      <c r="IBC90" s="12"/>
      <c r="IBD90" s="12"/>
      <c r="IBU90" s="12"/>
      <c r="IBV90" s="12"/>
      <c r="ICM90" s="12"/>
      <c r="ICN90" s="12"/>
      <c r="IDE90" s="12"/>
      <c r="IDF90" s="12"/>
      <c r="IDW90" s="12"/>
      <c r="IDX90" s="12"/>
      <c r="IEO90" s="12"/>
      <c r="IEP90" s="12"/>
      <c r="IFG90" s="12"/>
      <c r="IFH90" s="12"/>
      <c r="IFY90" s="12"/>
      <c r="IFZ90" s="12"/>
      <c r="IGQ90" s="12"/>
      <c r="IGR90" s="12"/>
      <c r="IHI90" s="12"/>
      <c r="IHJ90" s="12"/>
      <c r="IIA90" s="12"/>
      <c r="IIB90" s="12"/>
      <c r="IIS90" s="12"/>
      <c r="IIT90" s="12"/>
      <c r="IJK90" s="12"/>
      <c r="IJL90" s="12"/>
      <c r="IKC90" s="12"/>
      <c r="IKD90" s="12"/>
      <c r="IKU90" s="12"/>
      <c r="IKV90" s="12"/>
      <c r="ILM90" s="12"/>
      <c r="ILN90" s="12"/>
      <c r="IME90" s="12"/>
      <c r="IMF90" s="12"/>
      <c r="IMW90" s="12"/>
      <c r="IMX90" s="12"/>
      <c r="INO90" s="12"/>
      <c r="INP90" s="12"/>
      <c r="IOG90" s="12"/>
      <c r="IOH90" s="12"/>
      <c r="IOY90" s="12"/>
      <c r="IOZ90" s="12"/>
      <c r="IPQ90" s="12"/>
      <c r="IPR90" s="12"/>
      <c r="IQI90" s="12"/>
      <c r="IQJ90" s="12"/>
      <c r="IRA90" s="12"/>
      <c r="IRB90" s="12"/>
      <c r="IRS90" s="12"/>
      <c r="IRT90" s="12"/>
      <c r="ISK90" s="12"/>
      <c r="ISL90" s="12"/>
      <c r="ITC90" s="12"/>
      <c r="ITD90" s="12"/>
      <c r="ITU90" s="12"/>
      <c r="ITV90" s="12"/>
      <c r="IUM90" s="12"/>
      <c r="IUN90" s="12"/>
      <c r="IVE90" s="12"/>
      <c r="IVF90" s="12"/>
      <c r="IVW90" s="12"/>
      <c r="IVX90" s="12"/>
      <c r="IWO90" s="12"/>
      <c r="IWP90" s="12"/>
      <c r="IXG90" s="12"/>
      <c r="IXH90" s="12"/>
      <c r="IXY90" s="12"/>
      <c r="IXZ90" s="12"/>
      <c r="IYQ90" s="12"/>
      <c r="IYR90" s="12"/>
      <c r="IZI90" s="12"/>
      <c r="IZJ90" s="12"/>
      <c r="JAA90" s="12"/>
      <c r="JAB90" s="12"/>
      <c r="JAS90" s="12"/>
      <c r="JAT90" s="12"/>
      <c r="JBK90" s="12"/>
      <c r="JBL90" s="12"/>
      <c r="JCC90" s="12"/>
      <c r="JCD90" s="12"/>
      <c r="JCU90" s="12"/>
      <c r="JCV90" s="12"/>
      <c r="JDM90" s="12"/>
      <c r="JDN90" s="12"/>
      <c r="JEE90" s="12"/>
      <c r="JEF90" s="12"/>
      <c r="JEW90" s="12"/>
      <c r="JEX90" s="12"/>
      <c r="JFO90" s="12"/>
      <c r="JFP90" s="12"/>
      <c r="JGG90" s="12"/>
      <c r="JGH90" s="12"/>
      <c r="JGY90" s="12"/>
      <c r="JGZ90" s="12"/>
      <c r="JHQ90" s="12"/>
      <c r="JHR90" s="12"/>
      <c r="JII90" s="12"/>
      <c r="JIJ90" s="12"/>
      <c r="JJA90" s="12"/>
      <c r="JJB90" s="12"/>
      <c r="JJS90" s="12"/>
      <c r="JJT90" s="12"/>
      <c r="JKK90" s="12"/>
      <c r="JKL90" s="12"/>
      <c r="JLC90" s="12"/>
      <c r="JLD90" s="12"/>
      <c r="JLU90" s="12"/>
      <c r="JLV90" s="12"/>
      <c r="JMM90" s="12"/>
      <c r="JMN90" s="12"/>
      <c r="JNE90" s="12"/>
      <c r="JNF90" s="12"/>
      <c r="JNW90" s="12"/>
      <c r="JNX90" s="12"/>
      <c r="JOO90" s="12"/>
      <c r="JOP90" s="12"/>
      <c r="JPG90" s="12"/>
      <c r="JPH90" s="12"/>
      <c r="JPY90" s="12"/>
      <c r="JPZ90" s="12"/>
      <c r="JQQ90" s="12"/>
      <c r="JQR90" s="12"/>
      <c r="JRI90" s="12"/>
      <c r="JRJ90" s="12"/>
      <c r="JSA90" s="12"/>
      <c r="JSB90" s="12"/>
      <c r="JSS90" s="12"/>
      <c r="JST90" s="12"/>
      <c r="JTK90" s="12"/>
      <c r="JTL90" s="12"/>
      <c r="JUC90" s="12"/>
      <c r="JUD90" s="12"/>
      <c r="JUU90" s="12"/>
      <c r="JUV90" s="12"/>
      <c r="JVM90" s="12"/>
      <c r="JVN90" s="12"/>
      <c r="JWE90" s="12"/>
      <c r="JWF90" s="12"/>
      <c r="JWW90" s="12"/>
      <c r="JWX90" s="12"/>
      <c r="JXO90" s="12"/>
      <c r="JXP90" s="12"/>
      <c r="JYG90" s="12"/>
      <c r="JYH90" s="12"/>
      <c r="JYY90" s="12"/>
      <c r="JYZ90" s="12"/>
      <c r="JZQ90" s="12"/>
      <c r="JZR90" s="12"/>
      <c r="KAI90" s="12"/>
      <c r="KAJ90" s="12"/>
      <c r="KBA90" s="12"/>
      <c r="KBB90" s="12"/>
      <c r="KBS90" s="12"/>
      <c r="KBT90" s="12"/>
      <c r="KCK90" s="12"/>
      <c r="KCL90" s="12"/>
      <c r="KDC90" s="12"/>
      <c r="KDD90" s="12"/>
      <c r="KDU90" s="12"/>
      <c r="KDV90" s="12"/>
      <c r="KEM90" s="12"/>
      <c r="KEN90" s="12"/>
      <c r="KFE90" s="12"/>
      <c r="KFF90" s="12"/>
      <c r="KFW90" s="12"/>
      <c r="KFX90" s="12"/>
      <c r="KGO90" s="12"/>
      <c r="KGP90" s="12"/>
      <c r="KHG90" s="12"/>
      <c r="KHH90" s="12"/>
      <c r="KHY90" s="12"/>
      <c r="KHZ90" s="12"/>
      <c r="KIQ90" s="12"/>
      <c r="KIR90" s="12"/>
      <c r="KJI90" s="12"/>
      <c r="KJJ90" s="12"/>
      <c r="KKA90" s="12"/>
      <c r="KKB90" s="12"/>
      <c r="KKS90" s="12"/>
      <c r="KKT90" s="12"/>
      <c r="KLK90" s="12"/>
      <c r="KLL90" s="12"/>
      <c r="KMC90" s="12"/>
      <c r="KMD90" s="12"/>
      <c r="KMU90" s="12"/>
      <c r="KMV90" s="12"/>
      <c r="KNM90" s="12"/>
      <c r="KNN90" s="12"/>
      <c r="KOE90" s="12"/>
      <c r="KOF90" s="12"/>
      <c r="KOW90" s="12"/>
      <c r="KOX90" s="12"/>
      <c r="KPO90" s="12"/>
      <c r="KPP90" s="12"/>
      <c r="KQG90" s="12"/>
      <c r="KQH90" s="12"/>
      <c r="KQY90" s="12"/>
      <c r="KQZ90" s="12"/>
      <c r="KRQ90" s="12"/>
      <c r="KRR90" s="12"/>
      <c r="KSI90" s="12"/>
      <c r="KSJ90" s="12"/>
      <c r="KTA90" s="12"/>
      <c r="KTB90" s="12"/>
      <c r="KTS90" s="12"/>
      <c r="KTT90" s="12"/>
      <c r="KUK90" s="12"/>
      <c r="KUL90" s="12"/>
      <c r="KVC90" s="12"/>
      <c r="KVD90" s="12"/>
      <c r="KVU90" s="12"/>
      <c r="KVV90" s="12"/>
      <c r="KWM90" s="12"/>
      <c r="KWN90" s="12"/>
      <c r="KXE90" s="12"/>
      <c r="KXF90" s="12"/>
      <c r="KXW90" s="12"/>
      <c r="KXX90" s="12"/>
      <c r="KYO90" s="12"/>
      <c r="KYP90" s="12"/>
      <c r="KZG90" s="12"/>
      <c r="KZH90" s="12"/>
      <c r="KZY90" s="12"/>
      <c r="KZZ90" s="12"/>
      <c r="LAQ90" s="12"/>
      <c r="LAR90" s="12"/>
      <c r="LBI90" s="12"/>
      <c r="LBJ90" s="12"/>
      <c r="LCA90" s="12"/>
      <c r="LCB90" s="12"/>
      <c r="LCS90" s="12"/>
      <c r="LCT90" s="12"/>
      <c r="LDK90" s="12"/>
      <c r="LDL90" s="12"/>
      <c r="LEC90" s="12"/>
      <c r="LED90" s="12"/>
      <c r="LEU90" s="12"/>
      <c r="LEV90" s="12"/>
      <c r="LFM90" s="12"/>
      <c r="LFN90" s="12"/>
      <c r="LGE90" s="12"/>
      <c r="LGF90" s="12"/>
      <c r="LGW90" s="12"/>
      <c r="LGX90" s="12"/>
      <c r="LHO90" s="12"/>
      <c r="LHP90" s="12"/>
      <c r="LIG90" s="12"/>
      <c r="LIH90" s="12"/>
      <c r="LIY90" s="12"/>
      <c r="LIZ90" s="12"/>
      <c r="LJQ90" s="12"/>
      <c r="LJR90" s="12"/>
      <c r="LKI90" s="12"/>
      <c r="LKJ90" s="12"/>
      <c r="LLA90" s="12"/>
      <c r="LLB90" s="12"/>
      <c r="LLS90" s="12"/>
      <c r="LLT90" s="12"/>
      <c r="LMK90" s="12"/>
      <c r="LML90" s="12"/>
      <c r="LNC90" s="12"/>
      <c r="LND90" s="12"/>
      <c r="LNU90" s="12"/>
      <c r="LNV90" s="12"/>
      <c r="LOM90" s="12"/>
      <c r="LON90" s="12"/>
      <c r="LPE90" s="12"/>
      <c r="LPF90" s="12"/>
      <c r="LPW90" s="12"/>
      <c r="LPX90" s="12"/>
      <c r="LQO90" s="12"/>
      <c r="LQP90" s="12"/>
      <c r="LRG90" s="12"/>
      <c r="LRH90" s="12"/>
      <c r="LRY90" s="12"/>
      <c r="LRZ90" s="12"/>
      <c r="LSQ90" s="12"/>
      <c r="LSR90" s="12"/>
      <c r="LTI90" s="12"/>
      <c r="LTJ90" s="12"/>
      <c r="LUA90" s="12"/>
      <c r="LUB90" s="12"/>
      <c r="LUS90" s="12"/>
      <c r="LUT90" s="12"/>
      <c r="LVK90" s="12"/>
      <c r="LVL90" s="12"/>
      <c r="LWC90" s="12"/>
      <c r="LWD90" s="12"/>
      <c r="LWU90" s="12"/>
      <c r="LWV90" s="12"/>
      <c r="LXM90" s="12"/>
      <c r="LXN90" s="12"/>
      <c r="LYE90" s="12"/>
      <c r="LYF90" s="12"/>
      <c r="LYW90" s="12"/>
      <c r="LYX90" s="12"/>
      <c r="LZO90" s="12"/>
      <c r="LZP90" s="12"/>
      <c r="MAG90" s="12"/>
      <c r="MAH90" s="12"/>
      <c r="MAY90" s="12"/>
      <c r="MAZ90" s="12"/>
      <c r="MBQ90" s="12"/>
      <c r="MBR90" s="12"/>
      <c r="MCI90" s="12"/>
      <c r="MCJ90" s="12"/>
      <c r="MDA90" s="12"/>
      <c r="MDB90" s="12"/>
      <c r="MDS90" s="12"/>
      <c r="MDT90" s="12"/>
      <c r="MEK90" s="12"/>
      <c r="MEL90" s="12"/>
      <c r="MFC90" s="12"/>
      <c r="MFD90" s="12"/>
      <c r="MFU90" s="12"/>
      <c r="MFV90" s="12"/>
      <c r="MGM90" s="12"/>
      <c r="MGN90" s="12"/>
      <c r="MHE90" s="12"/>
      <c r="MHF90" s="12"/>
      <c r="MHW90" s="12"/>
      <c r="MHX90" s="12"/>
      <c r="MIO90" s="12"/>
      <c r="MIP90" s="12"/>
      <c r="MJG90" s="12"/>
      <c r="MJH90" s="12"/>
      <c r="MJY90" s="12"/>
      <c r="MJZ90" s="12"/>
      <c r="MKQ90" s="12"/>
      <c r="MKR90" s="12"/>
      <c r="MLI90" s="12"/>
      <c r="MLJ90" s="12"/>
      <c r="MMA90" s="12"/>
      <c r="MMB90" s="12"/>
      <c r="MMS90" s="12"/>
      <c r="MMT90" s="12"/>
      <c r="MNK90" s="12"/>
      <c r="MNL90" s="12"/>
      <c r="MOC90" s="12"/>
      <c r="MOD90" s="12"/>
      <c r="MOU90" s="12"/>
      <c r="MOV90" s="12"/>
      <c r="MPM90" s="12"/>
      <c r="MPN90" s="12"/>
      <c r="MQE90" s="12"/>
      <c r="MQF90" s="12"/>
      <c r="MQW90" s="12"/>
      <c r="MQX90" s="12"/>
      <c r="MRO90" s="12"/>
      <c r="MRP90" s="12"/>
      <c r="MSG90" s="12"/>
      <c r="MSH90" s="12"/>
      <c r="MSY90" s="12"/>
      <c r="MSZ90" s="12"/>
      <c r="MTQ90" s="12"/>
      <c r="MTR90" s="12"/>
      <c r="MUI90" s="12"/>
      <c r="MUJ90" s="12"/>
      <c r="MVA90" s="12"/>
      <c r="MVB90" s="12"/>
      <c r="MVS90" s="12"/>
      <c r="MVT90" s="12"/>
      <c r="MWK90" s="12"/>
      <c r="MWL90" s="12"/>
      <c r="MXC90" s="12"/>
      <c r="MXD90" s="12"/>
      <c r="MXU90" s="12"/>
      <c r="MXV90" s="12"/>
      <c r="MYM90" s="12"/>
      <c r="MYN90" s="12"/>
      <c r="MZE90" s="12"/>
      <c r="MZF90" s="12"/>
      <c r="MZW90" s="12"/>
      <c r="MZX90" s="12"/>
      <c r="NAO90" s="12"/>
      <c r="NAP90" s="12"/>
      <c r="NBG90" s="12"/>
      <c r="NBH90" s="12"/>
      <c r="NBY90" s="12"/>
      <c r="NBZ90" s="12"/>
      <c r="NCQ90" s="12"/>
      <c r="NCR90" s="12"/>
      <c r="NDI90" s="12"/>
      <c r="NDJ90" s="12"/>
      <c r="NEA90" s="12"/>
      <c r="NEB90" s="12"/>
      <c r="NES90" s="12"/>
      <c r="NET90" s="12"/>
      <c r="NFK90" s="12"/>
      <c r="NFL90" s="12"/>
      <c r="NGC90" s="12"/>
      <c r="NGD90" s="12"/>
      <c r="NGU90" s="12"/>
      <c r="NGV90" s="12"/>
      <c r="NHM90" s="12"/>
      <c r="NHN90" s="12"/>
      <c r="NIE90" s="12"/>
      <c r="NIF90" s="12"/>
      <c r="NIW90" s="12"/>
      <c r="NIX90" s="12"/>
      <c r="NJO90" s="12"/>
      <c r="NJP90" s="12"/>
      <c r="NKG90" s="12"/>
      <c r="NKH90" s="12"/>
      <c r="NKY90" s="12"/>
      <c r="NKZ90" s="12"/>
      <c r="NLQ90" s="12"/>
      <c r="NLR90" s="12"/>
      <c r="NMI90" s="12"/>
      <c r="NMJ90" s="12"/>
      <c r="NNA90" s="12"/>
      <c r="NNB90" s="12"/>
      <c r="NNS90" s="12"/>
      <c r="NNT90" s="12"/>
      <c r="NOK90" s="12"/>
      <c r="NOL90" s="12"/>
      <c r="NPC90" s="12"/>
      <c r="NPD90" s="12"/>
      <c r="NPU90" s="12"/>
      <c r="NPV90" s="12"/>
      <c r="NQM90" s="12"/>
      <c r="NQN90" s="12"/>
      <c r="NRE90" s="12"/>
      <c r="NRF90" s="12"/>
      <c r="NRW90" s="12"/>
      <c r="NRX90" s="12"/>
      <c r="NSO90" s="12"/>
      <c r="NSP90" s="12"/>
      <c r="NTG90" s="12"/>
      <c r="NTH90" s="12"/>
      <c r="NTY90" s="12"/>
      <c r="NTZ90" s="12"/>
      <c r="NUQ90" s="12"/>
      <c r="NUR90" s="12"/>
      <c r="NVI90" s="12"/>
      <c r="NVJ90" s="12"/>
      <c r="NWA90" s="12"/>
      <c r="NWB90" s="12"/>
      <c r="NWS90" s="12"/>
      <c r="NWT90" s="12"/>
      <c r="NXK90" s="12"/>
      <c r="NXL90" s="12"/>
      <c r="NYC90" s="12"/>
      <c r="NYD90" s="12"/>
      <c r="NYU90" s="12"/>
      <c r="NYV90" s="12"/>
      <c r="NZM90" s="12"/>
      <c r="NZN90" s="12"/>
      <c r="OAE90" s="12"/>
      <c r="OAF90" s="12"/>
      <c r="OAW90" s="12"/>
      <c r="OAX90" s="12"/>
      <c r="OBO90" s="12"/>
      <c r="OBP90" s="12"/>
      <c r="OCG90" s="12"/>
      <c r="OCH90" s="12"/>
      <c r="OCY90" s="12"/>
      <c r="OCZ90" s="12"/>
      <c r="ODQ90" s="12"/>
      <c r="ODR90" s="12"/>
      <c r="OEI90" s="12"/>
      <c r="OEJ90" s="12"/>
      <c r="OFA90" s="12"/>
      <c r="OFB90" s="12"/>
      <c r="OFS90" s="12"/>
      <c r="OFT90" s="12"/>
      <c r="OGK90" s="12"/>
      <c r="OGL90" s="12"/>
      <c r="OHC90" s="12"/>
      <c r="OHD90" s="12"/>
      <c r="OHU90" s="12"/>
      <c r="OHV90" s="12"/>
      <c r="OIM90" s="12"/>
      <c r="OIN90" s="12"/>
      <c r="OJE90" s="12"/>
      <c r="OJF90" s="12"/>
      <c r="OJW90" s="12"/>
      <c r="OJX90" s="12"/>
      <c r="OKO90" s="12"/>
      <c r="OKP90" s="12"/>
      <c r="OLG90" s="12"/>
      <c r="OLH90" s="12"/>
      <c r="OLY90" s="12"/>
      <c r="OLZ90" s="12"/>
      <c r="OMQ90" s="12"/>
      <c r="OMR90" s="12"/>
      <c r="ONI90" s="12"/>
      <c r="ONJ90" s="12"/>
      <c r="OOA90" s="12"/>
      <c r="OOB90" s="12"/>
      <c r="OOS90" s="12"/>
      <c r="OOT90" s="12"/>
      <c r="OPK90" s="12"/>
      <c r="OPL90" s="12"/>
      <c r="OQC90" s="12"/>
      <c r="OQD90" s="12"/>
      <c r="OQU90" s="12"/>
      <c r="OQV90" s="12"/>
      <c r="ORM90" s="12"/>
      <c r="ORN90" s="12"/>
      <c r="OSE90" s="12"/>
      <c r="OSF90" s="12"/>
      <c r="OSW90" s="12"/>
      <c r="OSX90" s="12"/>
      <c r="OTO90" s="12"/>
      <c r="OTP90" s="12"/>
      <c r="OUG90" s="12"/>
      <c r="OUH90" s="12"/>
      <c r="OUY90" s="12"/>
      <c r="OUZ90" s="12"/>
      <c r="OVQ90" s="12"/>
      <c r="OVR90" s="12"/>
      <c r="OWI90" s="12"/>
      <c r="OWJ90" s="12"/>
      <c r="OXA90" s="12"/>
      <c r="OXB90" s="12"/>
      <c r="OXS90" s="12"/>
      <c r="OXT90" s="12"/>
      <c r="OYK90" s="12"/>
      <c r="OYL90" s="12"/>
      <c r="OZC90" s="12"/>
      <c r="OZD90" s="12"/>
      <c r="OZU90" s="12"/>
      <c r="OZV90" s="12"/>
      <c r="PAM90" s="12"/>
      <c r="PAN90" s="12"/>
      <c r="PBE90" s="12"/>
      <c r="PBF90" s="12"/>
      <c r="PBW90" s="12"/>
      <c r="PBX90" s="12"/>
      <c r="PCO90" s="12"/>
      <c r="PCP90" s="12"/>
      <c r="PDG90" s="12"/>
      <c r="PDH90" s="12"/>
      <c r="PDY90" s="12"/>
      <c r="PDZ90" s="12"/>
      <c r="PEQ90" s="12"/>
      <c r="PER90" s="12"/>
      <c r="PFI90" s="12"/>
      <c r="PFJ90" s="12"/>
      <c r="PGA90" s="12"/>
      <c r="PGB90" s="12"/>
      <c r="PGS90" s="12"/>
      <c r="PGT90" s="12"/>
      <c r="PHK90" s="12"/>
      <c r="PHL90" s="12"/>
      <c r="PIC90" s="12"/>
      <c r="PID90" s="12"/>
      <c r="PIU90" s="12"/>
      <c r="PIV90" s="12"/>
      <c r="PJM90" s="12"/>
      <c r="PJN90" s="12"/>
      <c r="PKE90" s="12"/>
      <c r="PKF90" s="12"/>
      <c r="PKW90" s="12"/>
      <c r="PKX90" s="12"/>
      <c r="PLO90" s="12"/>
      <c r="PLP90" s="12"/>
      <c r="PMG90" s="12"/>
      <c r="PMH90" s="12"/>
      <c r="PMY90" s="12"/>
      <c r="PMZ90" s="12"/>
      <c r="PNQ90" s="12"/>
      <c r="PNR90" s="12"/>
      <c r="POI90" s="12"/>
      <c r="POJ90" s="12"/>
      <c r="PPA90" s="12"/>
      <c r="PPB90" s="12"/>
      <c r="PPS90" s="12"/>
      <c r="PPT90" s="12"/>
      <c r="PQK90" s="12"/>
      <c r="PQL90" s="12"/>
      <c r="PRC90" s="12"/>
      <c r="PRD90" s="12"/>
      <c r="PRU90" s="12"/>
      <c r="PRV90" s="12"/>
      <c r="PSM90" s="12"/>
      <c r="PSN90" s="12"/>
      <c r="PTE90" s="12"/>
      <c r="PTF90" s="12"/>
      <c r="PTW90" s="12"/>
      <c r="PTX90" s="12"/>
      <c r="PUO90" s="12"/>
      <c r="PUP90" s="12"/>
      <c r="PVG90" s="12"/>
      <c r="PVH90" s="12"/>
      <c r="PVY90" s="12"/>
      <c r="PVZ90" s="12"/>
      <c r="PWQ90" s="12"/>
      <c r="PWR90" s="12"/>
      <c r="PXI90" s="12"/>
      <c r="PXJ90" s="12"/>
      <c r="PYA90" s="12"/>
      <c r="PYB90" s="12"/>
      <c r="PYS90" s="12"/>
      <c r="PYT90" s="12"/>
      <c r="PZK90" s="12"/>
      <c r="PZL90" s="12"/>
      <c r="QAC90" s="12"/>
      <c r="QAD90" s="12"/>
      <c r="QAU90" s="12"/>
      <c r="QAV90" s="12"/>
      <c r="QBM90" s="12"/>
      <c r="QBN90" s="12"/>
      <c r="QCE90" s="12"/>
      <c r="QCF90" s="12"/>
      <c r="QCW90" s="12"/>
      <c r="QCX90" s="12"/>
      <c r="QDO90" s="12"/>
      <c r="QDP90" s="12"/>
      <c r="QEG90" s="12"/>
      <c r="QEH90" s="12"/>
      <c r="QEY90" s="12"/>
      <c r="QEZ90" s="12"/>
      <c r="QFQ90" s="12"/>
      <c r="QFR90" s="12"/>
      <c r="QGI90" s="12"/>
      <c r="QGJ90" s="12"/>
      <c r="QHA90" s="12"/>
      <c r="QHB90" s="12"/>
      <c r="QHS90" s="12"/>
      <c r="QHT90" s="12"/>
      <c r="QIK90" s="12"/>
      <c r="QIL90" s="12"/>
      <c r="QJC90" s="12"/>
      <c r="QJD90" s="12"/>
      <c r="QJU90" s="12"/>
      <c r="QJV90" s="12"/>
      <c r="QKM90" s="12"/>
      <c r="QKN90" s="12"/>
      <c r="QLE90" s="12"/>
      <c r="QLF90" s="12"/>
      <c r="QLW90" s="12"/>
      <c r="QLX90" s="12"/>
      <c r="QMO90" s="12"/>
      <c r="QMP90" s="12"/>
      <c r="QNG90" s="12"/>
      <c r="QNH90" s="12"/>
      <c r="QNY90" s="12"/>
      <c r="QNZ90" s="12"/>
      <c r="QOQ90" s="12"/>
      <c r="QOR90" s="12"/>
      <c r="QPI90" s="12"/>
      <c r="QPJ90" s="12"/>
      <c r="QQA90" s="12"/>
      <c r="QQB90" s="12"/>
      <c r="QQS90" s="12"/>
      <c r="QQT90" s="12"/>
      <c r="QRK90" s="12"/>
      <c r="QRL90" s="12"/>
      <c r="QSC90" s="12"/>
      <c r="QSD90" s="12"/>
      <c r="QSU90" s="12"/>
      <c r="QSV90" s="12"/>
      <c r="QTM90" s="12"/>
      <c r="QTN90" s="12"/>
      <c r="QUE90" s="12"/>
      <c r="QUF90" s="12"/>
      <c r="QUW90" s="12"/>
      <c r="QUX90" s="12"/>
      <c r="QVO90" s="12"/>
      <c r="QVP90" s="12"/>
      <c r="QWG90" s="12"/>
      <c r="QWH90" s="12"/>
      <c r="QWY90" s="12"/>
      <c r="QWZ90" s="12"/>
      <c r="QXQ90" s="12"/>
      <c r="QXR90" s="12"/>
      <c r="QYI90" s="12"/>
      <c r="QYJ90" s="12"/>
      <c r="QZA90" s="12"/>
      <c r="QZB90" s="12"/>
      <c r="QZS90" s="12"/>
      <c r="QZT90" s="12"/>
      <c r="RAK90" s="12"/>
      <c r="RAL90" s="12"/>
      <c r="RBC90" s="12"/>
      <c r="RBD90" s="12"/>
      <c r="RBU90" s="12"/>
      <c r="RBV90" s="12"/>
      <c r="RCM90" s="12"/>
      <c r="RCN90" s="12"/>
      <c r="RDE90" s="12"/>
      <c r="RDF90" s="12"/>
      <c r="RDW90" s="12"/>
      <c r="RDX90" s="12"/>
      <c r="REO90" s="12"/>
      <c r="REP90" s="12"/>
      <c r="RFG90" s="12"/>
      <c r="RFH90" s="12"/>
      <c r="RFY90" s="12"/>
      <c r="RFZ90" s="12"/>
      <c r="RGQ90" s="12"/>
      <c r="RGR90" s="12"/>
      <c r="RHI90" s="12"/>
      <c r="RHJ90" s="12"/>
      <c r="RIA90" s="12"/>
      <c r="RIB90" s="12"/>
      <c r="RIS90" s="12"/>
      <c r="RIT90" s="12"/>
      <c r="RJK90" s="12"/>
      <c r="RJL90" s="12"/>
      <c r="RKC90" s="12"/>
      <c r="RKD90" s="12"/>
      <c r="RKU90" s="12"/>
      <c r="RKV90" s="12"/>
      <c r="RLM90" s="12"/>
      <c r="RLN90" s="12"/>
      <c r="RME90" s="12"/>
      <c r="RMF90" s="12"/>
      <c r="RMW90" s="12"/>
      <c r="RMX90" s="12"/>
      <c r="RNO90" s="12"/>
      <c r="RNP90" s="12"/>
      <c r="ROG90" s="12"/>
      <c r="ROH90" s="12"/>
      <c r="ROY90" s="12"/>
      <c r="ROZ90" s="12"/>
      <c r="RPQ90" s="12"/>
      <c r="RPR90" s="12"/>
      <c r="RQI90" s="12"/>
      <c r="RQJ90" s="12"/>
      <c r="RRA90" s="12"/>
      <c r="RRB90" s="12"/>
      <c r="RRS90" s="12"/>
      <c r="RRT90" s="12"/>
      <c r="RSK90" s="12"/>
      <c r="RSL90" s="12"/>
      <c r="RTC90" s="12"/>
      <c r="RTD90" s="12"/>
      <c r="RTU90" s="12"/>
      <c r="RTV90" s="12"/>
      <c r="RUM90" s="12"/>
      <c r="RUN90" s="12"/>
      <c r="RVE90" s="12"/>
      <c r="RVF90" s="12"/>
      <c r="RVW90" s="12"/>
      <c r="RVX90" s="12"/>
      <c r="RWO90" s="12"/>
      <c r="RWP90" s="12"/>
      <c r="RXG90" s="12"/>
      <c r="RXH90" s="12"/>
      <c r="RXY90" s="12"/>
      <c r="RXZ90" s="12"/>
      <c r="RYQ90" s="12"/>
      <c r="RYR90" s="12"/>
      <c r="RZI90" s="12"/>
      <c r="RZJ90" s="12"/>
      <c r="SAA90" s="12"/>
      <c r="SAB90" s="12"/>
      <c r="SAS90" s="12"/>
      <c r="SAT90" s="12"/>
      <c r="SBK90" s="12"/>
      <c r="SBL90" s="12"/>
      <c r="SCC90" s="12"/>
      <c r="SCD90" s="12"/>
      <c r="SCU90" s="12"/>
      <c r="SCV90" s="12"/>
      <c r="SDM90" s="12"/>
      <c r="SDN90" s="12"/>
      <c r="SEE90" s="12"/>
      <c r="SEF90" s="12"/>
      <c r="SEW90" s="12"/>
      <c r="SEX90" s="12"/>
      <c r="SFO90" s="12"/>
      <c r="SFP90" s="12"/>
      <c r="SGG90" s="12"/>
      <c r="SGH90" s="12"/>
      <c r="SGY90" s="12"/>
      <c r="SGZ90" s="12"/>
      <c r="SHQ90" s="12"/>
      <c r="SHR90" s="12"/>
      <c r="SII90" s="12"/>
      <c r="SIJ90" s="12"/>
      <c r="SJA90" s="12"/>
      <c r="SJB90" s="12"/>
      <c r="SJS90" s="12"/>
      <c r="SJT90" s="12"/>
      <c r="SKK90" s="12"/>
      <c r="SKL90" s="12"/>
      <c r="SLC90" s="12"/>
      <c r="SLD90" s="12"/>
      <c r="SLU90" s="12"/>
      <c r="SLV90" s="12"/>
      <c r="SMM90" s="12"/>
      <c r="SMN90" s="12"/>
      <c r="SNE90" s="12"/>
      <c r="SNF90" s="12"/>
      <c r="SNW90" s="12"/>
      <c r="SNX90" s="12"/>
      <c r="SOO90" s="12"/>
      <c r="SOP90" s="12"/>
      <c r="SPG90" s="12"/>
      <c r="SPH90" s="12"/>
      <c r="SPY90" s="12"/>
      <c r="SPZ90" s="12"/>
      <c r="SQQ90" s="12"/>
      <c r="SQR90" s="12"/>
      <c r="SRI90" s="12"/>
      <c r="SRJ90" s="12"/>
      <c r="SSA90" s="12"/>
      <c r="SSB90" s="12"/>
      <c r="SSS90" s="12"/>
      <c r="SST90" s="12"/>
      <c r="STK90" s="12"/>
      <c r="STL90" s="12"/>
      <c r="SUC90" s="12"/>
      <c r="SUD90" s="12"/>
      <c r="SUU90" s="12"/>
      <c r="SUV90" s="12"/>
      <c r="SVM90" s="12"/>
      <c r="SVN90" s="12"/>
      <c r="SWE90" s="12"/>
      <c r="SWF90" s="12"/>
      <c r="SWW90" s="12"/>
      <c r="SWX90" s="12"/>
      <c r="SXO90" s="12"/>
      <c r="SXP90" s="12"/>
      <c r="SYG90" s="12"/>
      <c r="SYH90" s="12"/>
      <c r="SYY90" s="12"/>
      <c r="SYZ90" s="12"/>
      <c r="SZQ90" s="12"/>
      <c r="SZR90" s="12"/>
      <c r="TAI90" s="12"/>
      <c r="TAJ90" s="12"/>
      <c r="TBA90" s="12"/>
      <c r="TBB90" s="12"/>
      <c r="TBS90" s="12"/>
      <c r="TBT90" s="12"/>
      <c r="TCK90" s="12"/>
      <c r="TCL90" s="12"/>
      <c r="TDC90" s="12"/>
      <c r="TDD90" s="12"/>
      <c r="TDU90" s="12"/>
      <c r="TDV90" s="12"/>
      <c r="TEM90" s="12"/>
      <c r="TEN90" s="12"/>
      <c r="TFE90" s="12"/>
      <c r="TFF90" s="12"/>
      <c r="TFW90" s="12"/>
      <c r="TFX90" s="12"/>
      <c r="TGO90" s="12"/>
      <c r="TGP90" s="12"/>
      <c r="THG90" s="12"/>
      <c r="THH90" s="12"/>
      <c r="THY90" s="12"/>
      <c r="THZ90" s="12"/>
      <c r="TIQ90" s="12"/>
      <c r="TIR90" s="12"/>
      <c r="TJI90" s="12"/>
      <c r="TJJ90" s="12"/>
      <c r="TKA90" s="12"/>
      <c r="TKB90" s="12"/>
      <c r="TKS90" s="12"/>
      <c r="TKT90" s="12"/>
      <c r="TLK90" s="12"/>
      <c r="TLL90" s="12"/>
      <c r="TMC90" s="12"/>
      <c r="TMD90" s="12"/>
      <c r="TMU90" s="12"/>
      <c r="TMV90" s="12"/>
      <c r="TNM90" s="12"/>
      <c r="TNN90" s="12"/>
      <c r="TOE90" s="12"/>
      <c r="TOF90" s="12"/>
      <c r="TOW90" s="12"/>
      <c r="TOX90" s="12"/>
      <c r="TPO90" s="12"/>
      <c r="TPP90" s="12"/>
      <c r="TQG90" s="12"/>
      <c r="TQH90" s="12"/>
      <c r="TQY90" s="12"/>
      <c r="TQZ90" s="12"/>
      <c r="TRQ90" s="12"/>
      <c r="TRR90" s="12"/>
      <c r="TSI90" s="12"/>
      <c r="TSJ90" s="12"/>
      <c r="TTA90" s="12"/>
      <c r="TTB90" s="12"/>
      <c r="TTS90" s="12"/>
      <c r="TTT90" s="12"/>
      <c r="TUK90" s="12"/>
      <c r="TUL90" s="12"/>
      <c r="TVC90" s="12"/>
      <c r="TVD90" s="12"/>
      <c r="TVU90" s="12"/>
      <c r="TVV90" s="12"/>
      <c r="TWM90" s="12"/>
      <c r="TWN90" s="12"/>
      <c r="TXE90" s="12"/>
      <c r="TXF90" s="12"/>
      <c r="TXW90" s="12"/>
      <c r="TXX90" s="12"/>
      <c r="TYO90" s="12"/>
      <c r="TYP90" s="12"/>
      <c r="TZG90" s="12"/>
      <c r="TZH90" s="12"/>
      <c r="TZY90" s="12"/>
      <c r="TZZ90" s="12"/>
      <c r="UAQ90" s="12"/>
      <c r="UAR90" s="12"/>
      <c r="UBI90" s="12"/>
      <c r="UBJ90" s="12"/>
      <c r="UCA90" s="12"/>
      <c r="UCB90" s="12"/>
      <c r="UCS90" s="12"/>
      <c r="UCT90" s="12"/>
      <c r="UDK90" s="12"/>
      <c r="UDL90" s="12"/>
      <c r="UEC90" s="12"/>
      <c r="UED90" s="12"/>
      <c r="UEU90" s="12"/>
      <c r="UEV90" s="12"/>
      <c r="UFM90" s="12"/>
      <c r="UFN90" s="12"/>
      <c r="UGE90" s="12"/>
      <c r="UGF90" s="12"/>
      <c r="UGW90" s="12"/>
      <c r="UGX90" s="12"/>
      <c r="UHO90" s="12"/>
      <c r="UHP90" s="12"/>
      <c r="UIG90" s="12"/>
      <c r="UIH90" s="12"/>
      <c r="UIY90" s="12"/>
      <c r="UIZ90" s="12"/>
      <c r="UJQ90" s="12"/>
      <c r="UJR90" s="12"/>
      <c r="UKI90" s="12"/>
      <c r="UKJ90" s="12"/>
      <c r="ULA90" s="12"/>
      <c r="ULB90" s="12"/>
      <c r="ULS90" s="12"/>
      <c r="ULT90" s="12"/>
      <c r="UMK90" s="12"/>
      <c r="UML90" s="12"/>
      <c r="UNC90" s="12"/>
      <c r="UND90" s="12"/>
      <c r="UNU90" s="12"/>
      <c r="UNV90" s="12"/>
      <c r="UOM90" s="12"/>
      <c r="UON90" s="12"/>
      <c r="UPE90" s="12"/>
      <c r="UPF90" s="12"/>
      <c r="UPW90" s="12"/>
      <c r="UPX90" s="12"/>
      <c r="UQO90" s="12"/>
      <c r="UQP90" s="12"/>
      <c r="URG90" s="12"/>
      <c r="URH90" s="12"/>
      <c r="URY90" s="12"/>
      <c r="URZ90" s="12"/>
      <c r="USQ90" s="12"/>
      <c r="USR90" s="12"/>
      <c r="UTI90" s="12"/>
      <c r="UTJ90" s="12"/>
      <c r="UUA90" s="12"/>
      <c r="UUB90" s="12"/>
      <c r="UUS90" s="12"/>
      <c r="UUT90" s="12"/>
      <c r="UVK90" s="12"/>
      <c r="UVL90" s="12"/>
      <c r="UWC90" s="12"/>
      <c r="UWD90" s="12"/>
      <c r="UWU90" s="12"/>
      <c r="UWV90" s="12"/>
      <c r="UXM90" s="12"/>
      <c r="UXN90" s="12"/>
      <c r="UYE90" s="12"/>
      <c r="UYF90" s="12"/>
      <c r="UYW90" s="12"/>
      <c r="UYX90" s="12"/>
      <c r="UZO90" s="12"/>
      <c r="UZP90" s="12"/>
      <c r="VAG90" s="12"/>
      <c r="VAH90" s="12"/>
      <c r="VAY90" s="12"/>
      <c r="VAZ90" s="12"/>
      <c r="VBQ90" s="12"/>
      <c r="VBR90" s="12"/>
      <c r="VCI90" s="12"/>
      <c r="VCJ90" s="12"/>
      <c r="VDA90" s="12"/>
      <c r="VDB90" s="12"/>
      <c r="VDS90" s="12"/>
      <c r="VDT90" s="12"/>
      <c r="VEK90" s="12"/>
      <c r="VEL90" s="12"/>
      <c r="VFC90" s="12"/>
      <c r="VFD90" s="12"/>
      <c r="VFU90" s="12"/>
      <c r="VFV90" s="12"/>
      <c r="VGM90" s="12"/>
      <c r="VGN90" s="12"/>
      <c r="VHE90" s="12"/>
      <c r="VHF90" s="12"/>
      <c r="VHW90" s="12"/>
      <c r="VHX90" s="12"/>
      <c r="VIO90" s="12"/>
      <c r="VIP90" s="12"/>
      <c r="VJG90" s="12"/>
      <c r="VJH90" s="12"/>
      <c r="VJY90" s="12"/>
      <c r="VJZ90" s="12"/>
      <c r="VKQ90" s="12"/>
      <c r="VKR90" s="12"/>
      <c r="VLI90" s="12"/>
      <c r="VLJ90" s="12"/>
      <c r="VMA90" s="12"/>
      <c r="VMB90" s="12"/>
      <c r="VMS90" s="12"/>
      <c r="VMT90" s="12"/>
      <c r="VNK90" s="12"/>
      <c r="VNL90" s="12"/>
      <c r="VOC90" s="12"/>
      <c r="VOD90" s="12"/>
      <c r="VOU90" s="12"/>
      <c r="VOV90" s="12"/>
      <c r="VPM90" s="12"/>
      <c r="VPN90" s="12"/>
      <c r="VQE90" s="12"/>
      <c r="VQF90" s="12"/>
      <c r="VQW90" s="12"/>
      <c r="VQX90" s="12"/>
      <c r="VRO90" s="12"/>
      <c r="VRP90" s="12"/>
      <c r="VSG90" s="12"/>
      <c r="VSH90" s="12"/>
      <c r="VSY90" s="12"/>
      <c r="VSZ90" s="12"/>
      <c r="VTQ90" s="12"/>
      <c r="VTR90" s="12"/>
      <c r="VUI90" s="12"/>
      <c r="VUJ90" s="12"/>
      <c r="VVA90" s="12"/>
      <c r="VVB90" s="12"/>
      <c r="VVS90" s="12"/>
      <c r="VVT90" s="12"/>
      <c r="VWK90" s="12"/>
      <c r="VWL90" s="12"/>
      <c r="VXC90" s="12"/>
      <c r="VXD90" s="12"/>
      <c r="VXU90" s="12"/>
      <c r="VXV90" s="12"/>
      <c r="VYM90" s="12"/>
      <c r="VYN90" s="12"/>
      <c r="VZE90" s="12"/>
      <c r="VZF90" s="12"/>
      <c r="VZW90" s="12"/>
      <c r="VZX90" s="12"/>
      <c r="WAO90" s="12"/>
      <c r="WAP90" s="12"/>
      <c r="WBG90" s="12"/>
      <c r="WBH90" s="12"/>
      <c r="WBY90" s="12"/>
      <c r="WBZ90" s="12"/>
      <c r="WCQ90" s="12"/>
      <c r="WCR90" s="12"/>
      <c r="WDI90" s="12"/>
      <c r="WDJ90" s="12"/>
      <c r="WEA90" s="12"/>
      <c r="WEB90" s="12"/>
      <c r="WES90" s="12"/>
      <c r="WET90" s="12"/>
      <c r="WFK90" s="12"/>
      <c r="WFL90" s="12"/>
      <c r="WGC90" s="12"/>
      <c r="WGD90" s="12"/>
      <c r="WGU90" s="12"/>
      <c r="WGV90" s="12"/>
      <c r="WHM90" s="12"/>
      <c r="WHN90" s="12"/>
      <c r="WIE90" s="12"/>
      <c r="WIF90" s="12"/>
      <c r="WIW90" s="12"/>
      <c r="WIX90" s="12"/>
      <c r="WJO90" s="12"/>
      <c r="WJP90" s="12"/>
      <c r="WKG90" s="12"/>
      <c r="WKH90" s="12"/>
      <c r="WKY90" s="12"/>
      <c r="WKZ90" s="12"/>
      <c r="WLQ90" s="12"/>
      <c r="WLR90" s="12"/>
      <c r="WMI90" s="12"/>
      <c r="WMJ90" s="12"/>
      <c r="WNA90" s="12"/>
      <c r="WNB90" s="12"/>
      <c r="WNS90" s="12"/>
      <c r="WNT90" s="12"/>
      <c r="WOK90" s="12"/>
      <c r="WOL90" s="12"/>
      <c r="WPC90" s="12"/>
      <c r="WPD90" s="12"/>
      <c r="WPU90" s="12"/>
      <c r="WPV90" s="12"/>
      <c r="WQM90" s="12"/>
      <c r="WQN90" s="12"/>
      <c r="WRE90" s="12"/>
      <c r="WRF90" s="12"/>
      <c r="WRW90" s="12"/>
      <c r="WRX90" s="12"/>
      <c r="WSO90" s="12"/>
      <c r="WSP90" s="12"/>
      <c r="WTG90" s="12"/>
      <c r="WTH90" s="12"/>
      <c r="WTY90" s="12"/>
      <c r="WTZ90" s="12"/>
      <c r="WUQ90" s="12"/>
      <c r="WUR90" s="12"/>
      <c r="WVI90" s="12"/>
      <c r="WVJ90" s="12"/>
      <c r="WWA90" s="12"/>
      <c r="WWB90" s="12"/>
      <c r="WWS90" s="12"/>
      <c r="WWT90" s="12"/>
      <c r="WXK90" s="12"/>
      <c r="WXL90" s="12"/>
      <c r="WYC90" s="12"/>
      <c r="WYD90" s="12"/>
      <c r="WYU90" s="12"/>
      <c r="WYV90" s="12"/>
      <c r="WZM90" s="12"/>
      <c r="WZN90" s="12"/>
      <c r="XAE90" s="12"/>
      <c r="XAF90" s="12"/>
      <c r="XAW90" s="12"/>
      <c r="XAX90" s="12"/>
      <c r="XBO90" s="12"/>
      <c r="XBP90" s="12"/>
      <c r="XCG90" s="12"/>
      <c r="XCH90" s="12"/>
      <c r="XCY90" s="12"/>
      <c r="XCZ90" s="12"/>
      <c r="XDQ90" s="12"/>
      <c r="XDR90" s="12"/>
      <c r="XEI90" s="12"/>
      <c r="XEJ90" s="12"/>
      <c r="XFA90" s="12"/>
      <c r="XFB90" s="12"/>
    </row>
    <row r="91" spans="1:1010 1027:2036 2053:3062 3079:4088 4105:5114 5131:6140 6157:7166 7183:8192 8209:9200 9217:10226 10243:11252 11269:12278 12295:13304 13321:14330 14347:15356 15373:16382" x14ac:dyDescent="0.35">
      <c r="A91" s="181" t="str">
        <f>'Balance Sheet - Standardized'!A93</f>
        <v xml:space="preserve">    + Accrued Liabilities</v>
      </c>
      <c r="B91" s="13" t="str">
        <f>'Balance Sheet - Standardized'!B93</f>
        <v>BS_ACCRUED_LIABILITIES</v>
      </c>
      <c r="C91" s="77">
        <f>IF('Balance Sheet - Standardized'!C93="",0,'Balance Sheet - Standardized'!C93)/'Balance Sheet - Standardized'!C$106</f>
        <v>0</v>
      </c>
      <c r="D91" s="77">
        <f>IF('Balance Sheet - Standardized'!D93="",0,'Balance Sheet - Standardized'!D93)/'Balance Sheet - Standardized'!D$106</f>
        <v>0</v>
      </c>
      <c r="E91" s="77">
        <f>IF('Balance Sheet - Standardized'!E93="",0,'Balance Sheet - Standardized'!E93)/'Balance Sheet - Standardized'!E$106</f>
        <v>0</v>
      </c>
      <c r="F91" s="77">
        <f>IF('Balance Sheet - Standardized'!F93="",0,'Balance Sheet - Standardized'!F93)/'Balance Sheet - Standardized'!F$106</f>
        <v>0</v>
      </c>
      <c r="G91" s="77">
        <f>IF('Balance Sheet - Standardized'!G93="",0,'Balance Sheet - Standardized'!G93)/'Balance Sheet - Standardized'!G$106</f>
        <v>0</v>
      </c>
      <c r="H91" s="77">
        <f>IF('Balance Sheet - Standardized'!H93="",0,'Balance Sheet - Standardized'!H93)/'Balance Sheet - Standardized'!H$106</f>
        <v>0</v>
      </c>
      <c r="I91" s="77">
        <f>IF('Balance Sheet - Standardized'!I93="",0,'Balance Sheet - Standardized'!I93)/'Balance Sheet - Standardized'!I$106</f>
        <v>0</v>
      </c>
      <c r="J91" s="77">
        <f>IF('Balance Sheet - Standardized'!J93="",0,'Balance Sheet - Standardized'!J93)/'Balance Sheet - Standardized'!J$106</f>
        <v>0</v>
      </c>
      <c r="K91" s="77">
        <f>IF('Balance Sheet - Standardized'!K93="",0,'Balance Sheet - Standardized'!K93)/'Balance Sheet - Standardized'!K$106</f>
        <v>0</v>
      </c>
      <c r="L91" s="77">
        <f>IF('Balance Sheet - Standardized'!L93="",0,'Balance Sheet - Standardized'!L93)/'Balance Sheet - Standardized'!L$106</f>
        <v>0</v>
      </c>
      <c r="M91" s="106"/>
      <c r="N91" s="106"/>
      <c r="O91" s="106"/>
      <c r="P91" s="106"/>
      <c r="Q91" s="106"/>
      <c r="R91" s="106"/>
      <c r="S91" s="74"/>
      <c r="T91" s="78"/>
      <c r="U91" s="78"/>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row>
    <row r="92" spans="1:1010 1027:2036 2053:3062 3079:4088 4105:5114 5131:6140 6157:7166 7183:8192 8209:9200 9217:10226 10243:11252 11269:12278 12295:13304 13321:14330 14347:15356 15373:16382" x14ac:dyDescent="0.35">
      <c r="A92" s="181" t="str">
        <f>'Balance Sheet - Standardized'!A94</f>
        <v xml:space="preserve">    + Pension Liabilities</v>
      </c>
      <c r="B92" s="13" t="str">
        <f>'Balance Sheet - Standardized'!B94</f>
        <v>PENSION_LIABILITIES</v>
      </c>
      <c r="C92" s="77">
        <f>IF('Balance Sheet - Standardized'!C94="",0,'Balance Sheet - Standardized'!C94)/'Balance Sheet - Standardized'!C$106</f>
        <v>2.911234678827538E-2</v>
      </c>
      <c r="D92" s="77">
        <f>IF('Balance Sheet - Standardized'!D94="",0,'Balance Sheet - Standardized'!D94)/'Balance Sheet - Standardized'!D$106</f>
        <v>2.6676328625247374E-2</v>
      </c>
      <c r="E92" s="77">
        <f>IF('Balance Sheet - Standardized'!E94="",0,'Balance Sheet - Standardized'!E94)/'Balance Sheet - Standardized'!E$106</f>
        <v>2.6294820717131476E-2</v>
      </c>
      <c r="F92" s="77">
        <f>IF('Balance Sheet - Standardized'!F94="",0,'Balance Sheet - Standardized'!F94)/'Balance Sheet - Standardized'!F$106</f>
        <v>2.5975312897180157E-2</v>
      </c>
      <c r="G92" s="77">
        <f>IF('Balance Sheet - Standardized'!G94="",0,'Balance Sheet - Standardized'!G94)/'Balance Sheet - Standardized'!G$106</f>
        <v>2.3433134319578837E-2</v>
      </c>
      <c r="H92" s="77">
        <f>IF('Balance Sheet - Standardized'!H94="",0,'Balance Sheet - Standardized'!H94)/'Balance Sheet - Standardized'!H$106</f>
        <v>1.9260895762201243E-2</v>
      </c>
      <c r="I92" s="77">
        <f>IF('Balance Sheet - Standardized'!I94="",0,'Balance Sheet - Standardized'!I94)/'Balance Sheet - Standardized'!I$106</f>
        <v>1.5417828834365497E-2</v>
      </c>
      <c r="J92" s="77">
        <f>IF('Balance Sheet - Standardized'!J94="",0,'Balance Sheet - Standardized'!J94)/'Balance Sheet - Standardized'!J$106</f>
        <v>1.5109875900403089E-2</v>
      </c>
      <c r="K92" s="77">
        <f>IF('Balance Sheet - Standardized'!K94="",0,'Balance Sheet - Standardized'!K94)/'Balance Sheet - Standardized'!K$106</f>
        <v>1.4917358478407956E-2</v>
      </c>
      <c r="L92" s="77">
        <f>IF('Balance Sheet - Standardized'!L94="",0,'Balance Sheet - Standardized'!L94)/'Balance Sheet - Standardized'!L$106</f>
        <v>1.1097907047722949E-2</v>
      </c>
      <c r="M92" s="106"/>
      <c r="N92" s="106"/>
      <c r="O92" s="106"/>
      <c r="P92" s="106"/>
      <c r="Q92" s="106"/>
      <c r="R92" s="106"/>
      <c r="S92" s="74"/>
      <c r="T92" s="78"/>
      <c r="U92" s="78"/>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row>
    <row r="93" spans="1:1010 1027:2036 2053:3062 3079:4088 4105:5114 5131:6140 6157:7166 7183:8192 8209:9200 9217:10226 10243:11252 11269:12278 12295:13304 13321:14330 14347:15356 15373:16382" x14ac:dyDescent="0.35">
      <c r="A93" s="181" t="str">
        <f>'Balance Sheet - Standardized'!A95</f>
        <v xml:space="preserve">        + Pensions</v>
      </c>
      <c r="B93" s="476" t="str">
        <f>'Balance Sheet - Standardized'!B95</f>
        <v>BS_PENSIONS_LT_LIABS</v>
      </c>
      <c r="C93" s="77">
        <f>IF('Balance Sheet - Standardized'!C95="",0,'Balance Sheet - Standardized'!C95)/'Balance Sheet - Standardized'!C$106</f>
        <v>0</v>
      </c>
      <c r="D93" s="77">
        <f>IF('Balance Sheet - Standardized'!D95="",0,'Balance Sheet - Standardized'!D95)/'Balance Sheet - Standardized'!D$106</f>
        <v>0</v>
      </c>
      <c r="E93" s="77">
        <f>IF('Balance Sheet - Standardized'!E95="",0,'Balance Sheet - Standardized'!E95)/'Balance Sheet - Standardized'!E$106</f>
        <v>0</v>
      </c>
      <c r="F93" s="77">
        <f>IF('Balance Sheet - Standardized'!F95="",0,'Balance Sheet - Standardized'!F95)/'Balance Sheet - Standardized'!F$106</f>
        <v>0</v>
      </c>
      <c r="G93" s="77">
        <f>IF('Balance Sheet - Standardized'!G95="",0,'Balance Sheet - Standardized'!G95)/'Balance Sheet - Standardized'!G$106</f>
        <v>0</v>
      </c>
      <c r="H93" s="77">
        <f>IF('Balance Sheet - Standardized'!H95="",0,'Balance Sheet - Standardized'!H95)/'Balance Sheet - Standardized'!H$106</f>
        <v>0</v>
      </c>
      <c r="I93" s="77">
        <f>IF('Balance Sheet - Standardized'!I95="",0,'Balance Sheet - Standardized'!I95)/'Balance Sheet - Standardized'!I$106</f>
        <v>0</v>
      </c>
      <c r="J93" s="77">
        <f>IF('Balance Sheet - Standardized'!J95="",0,'Balance Sheet - Standardized'!J95)/'Balance Sheet - Standardized'!J$106</f>
        <v>0</v>
      </c>
      <c r="K93" s="77">
        <f>IF('Balance Sheet - Standardized'!K95="",0,'Balance Sheet - Standardized'!K95)/'Balance Sheet - Standardized'!K$106</f>
        <v>0</v>
      </c>
      <c r="L93" s="77">
        <f>IF('Balance Sheet - Standardized'!L95="",0,'Balance Sheet - Standardized'!L95)/'Balance Sheet - Standardized'!L$106</f>
        <v>0</v>
      </c>
      <c r="M93" s="106"/>
      <c r="N93" s="106"/>
      <c r="O93" s="106"/>
      <c r="P93" s="106"/>
      <c r="Q93" s="106"/>
      <c r="R93" s="106"/>
      <c r="S93" s="74"/>
      <c r="T93" s="86"/>
      <c r="U93" s="86"/>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row>
    <row r="94" spans="1:1010 1027:2036 2053:3062 3079:4088 4105:5114 5131:6140 6157:7166 7183:8192 8209:9200 9217:10226 10243:11252 11269:12278 12295:13304 13321:14330 14347:15356 15373:16382" x14ac:dyDescent="0.35">
      <c r="A94" s="181" t="str">
        <f>'Balance Sheet - Standardized'!A96</f>
        <v xml:space="preserve">        + Other Post-Ret Benefits</v>
      </c>
      <c r="B94" s="476" t="str">
        <f>'Balance Sheet - Standardized'!B96</f>
        <v>BS_OPRB_LT_LIABS</v>
      </c>
      <c r="C94" s="77">
        <f>IF('Balance Sheet - Standardized'!C96="",0,'Balance Sheet - Standardized'!C96)/'Balance Sheet - Standardized'!C$106</f>
        <v>0</v>
      </c>
      <c r="D94" s="77">
        <f>IF('Balance Sheet - Standardized'!D96="",0,'Balance Sheet - Standardized'!D96)/'Balance Sheet - Standardized'!D$106</f>
        <v>0</v>
      </c>
      <c r="E94" s="77">
        <f>IF('Balance Sheet - Standardized'!E96="",0,'Balance Sheet - Standardized'!E96)/'Balance Sheet - Standardized'!E$106</f>
        <v>0</v>
      </c>
      <c r="F94" s="77">
        <f>IF('Balance Sheet - Standardized'!F96="",0,'Balance Sheet - Standardized'!F96)/'Balance Sheet - Standardized'!F$106</f>
        <v>0</v>
      </c>
      <c r="G94" s="77">
        <f>IF('Balance Sheet - Standardized'!G96="",0,'Balance Sheet - Standardized'!G96)/'Balance Sheet - Standardized'!G$106</f>
        <v>0</v>
      </c>
      <c r="H94" s="77">
        <f>IF('Balance Sheet - Standardized'!H96="",0,'Balance Sheet - Standardized'!H96)/'Balance Sheet - Standardized'!H$106</f>
        <v>0</v>
      </c>
      <c r="I94" s="77">
        <f>IF('Balance Sheet - Standardized'!I96="",0,'Balance Sheet - Standardized'!I96)/'Balance Sheet - Standardized'!I$106</f>
        <v>0</v>
      </c>
      <c r="J94" s="77">
        <f>IF('Balance Sheet - Standardized'!J96="",0,'Balance Sheet - Standardized'!J96)/'Balance Sheet - Standardized'!J$106</f>
        <v>0</v>
      </c>
      <c r="K94" s="77">
        <f>IF('Balance Sheet - Standardized'!K96="",0,'Balance Sheet - Standardized'!K96)/'Balance Sheet - Standardized'!K$106</f>
        <v>0</v>
      </c>
      <c r="L94" s="77">
        <f>IF('Balance Sheet - Standardized'!L96="",0,'Balance Sheet - Standardized'!L96)/'Balance Sheet - Standardized'!L$106</f>
        <v>0</v>
      </c>
      <c r="M94" s="106"/>
      <c r="N94" s="106"/>
      <c r="O94" s="106"/>
      <c r="P94" s="106"/>
      <c r="Q94" s="106"/>
      <c r="R94" s="106"/>
      <c r="S94" s="74"/>
      <c r="T94" s="86"/>
      <c r="U94" s="86"/>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row>
    <row r="95" spans="1:1010 1027:2036 2053:3062 3079:4088 4105:5114 5131:6140 6157:7166 7183:8192 8209:9200 9217:10226 10243:11252 11269:12278 12295:13304 13321:14330 14347:15356 15373:16382" x14ac:dyDescent="0.35">
      <c r="A95" s="181" t="str">
        <f>'Balance Sheet - Standardized'!A97</f>
        <v xml:space="preserve">    + Deferred Compensation</v>
      </c>
      <c r="B95" s="476" t="str">
        <f>'Balance Sheet - Standardized'!B97</f>
        <v>BS_DEFERRED_COMP_LT_LIABS</v>
      </c>
      <c r="C95" s="77">
        <f>IF('Balance Sheet - Standardized'!C97="",0,'Balance Sheet - Standardized'!C97)/'Balance Sheet - Standardized'!C$106</f>
        <v>0</v>
      </c>
      <c r="D95" s="77">
        <f>IF('Balance Sheet - Standardized'!D97="",0,'Balance Sheet - Standardized'!D97)/'Balance Sheet - Standardized'!D$106</f>
        <v>0</v>
      </c>
      <c r="E95" s="77">
        <f>IF('Balance Sheet - Standardized'!E97="",0,'Balance Sheet - Standardized'!E97)/'Balance Sheet - Standardized'!E$106</f>
        <v>0</v>
      </c>
      <c r="F95" s="77">
        <f>IF('Balance Sheet - Standardized'!F97="",0,'Balance Sheet - Standardized'!F97)/'Balance Sheet - Standardized'!F$106</f>
        <v>0</v>
      </c>
      <c r="G95" s="77">
        <f>IF('Balance Sheet - Standardized'!G97="",0,'Balance Sheet - Standardized'!G97)/'Balance Sheet - Standardized'!G$106</f>
        <v>0</v>
      </c>
      <c r="H95" s="77">
        <f>IF('Balance Sheet - Standardized'!H97="",0,'Balance Sheet - Standardized'!H97)/'Balance Sheet - Standardized'!H$106</f>
        <v>0</v>
      </c>
      <c r="I95" s="77">
        <f>IF('Balance Sheet - Standardized'!I97="",0,'Balance Sheet - Standardized'!I97)/'Balance Sheet - Standardized'!I$106</f>
        <v>0</v>
      </c>
      <c r="J95" s="77">
        <f>IF('Balance Sheet - Standardized'!J97="",0,'Balance Sheet - Standardized'!J97)/'Balance Sheet - Standardized'!J$106</f>
        <v>0</v>
      </c>
      <c r="K95" s="77">
        <f>IF('Balance Sheet - Standardized'!K97="",0,'Balance Sheet - Standardized'!K97)/'Balance Sheet - Standardized'!K$106</f>
        <v>0</v>
      </c>
      <c r="L95" s="77">
        <f>IF('Balance Sheet - Standardized'!L97="",0,'Balance Sheet - Standardized'!L97)/'Balance Sheet - Standardized'!L$106</f>
        <v>0</v>
      </c>
      <c r="M95" s="106"/>
      <c r="N95" s="106"/>
      <c r="O95" s="106"/>
      <c r="P95" s="106"/>
      <c r="Q95" s="106"/>
      <c r="R95" s="106"/>
      <c r="S95" s="74"/>
      <c r="T95" s="86"/>
      <c r="U95" s="86"/>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row>
    <row r="96" spans="1:1010 1027:2036 2053:3062 3079:4088 4105:5114 5131:6140 6157:7166 7183:8192 8209:9200 9217:10226 10243:11252 11269:12278 12295:13304 13321:14330 14347:15356 15373:16382" x14ac:dyDescent="0.35">
      <c r="A96" s="181" t="str">
        <f>'Balance Sheet - Standardized'!A98</f>
        <v xml:space="preserve">    + LT Deferred Revenue</v>
      </c>
      <c r="B96" s="13" t="str">
        <f>'Balance Sheet - Standardized'!B98</f>
        <v>LT_DEFERRED_REVENUE</v>
      </c>
      <c r="C96" s="77">
        <f>IF('Balance Sheet - Standardized'!C98="",0,'Balance Sheet - Standardized'!C98)/'Balance Sheet - Standardized'!C$106</f>
        <v>0</v>
      </c>
      <c r="D96" s="77">
        <f>IF('Balance Sheet - Standardized'!D98="",0,'Balance Sheet - Standardized'!D98)/'Balance Sheet - Standardized'!D$106</f>
        <v>0</v>
      </c>
      <c r="E96" s="77">
        <f>IF('Balance Sheet - Standardized'!E98="",0,'Balance Sheet - Standardized'!E98)/'Balance Sheet - Standardized'!E$106</f>
        <v>0</v>
      </c>
      <c r="F96" s="77">
        <f>IF('Balance Sheet - Standardized'!F98="",0,'Balance Sheet - Standardized'!F98)/'Balance Sheet - Standardized'!F$106</f>
        <v>0</v>
      </c>
      <c r="G96" s="77">
        <f>IF('Balance Sheet - Standardized'!G98="",0,'Balance Sheet - Standardized'!G98)/'Balance Sheet - Standardized'!G$106</f>
        <v>0</v>
      </c>
      <c r="H96" s="77">
        <f>IF('Balance Sheet - Standardized'!H98="",0,'Balance Sheet - Standardized'!H98)/'Balance Sheet - Standardized'!H$106</f>
        <v>0</v>
      </c>
      <c r="I96" s="77">
        <f>IF('Balance Sheet - Standardized'!I98="",0,'Balance Sheet - Standardized'!I98)/'Balance Sheet - Standardized'!I$106</f>
        <v>0</v>
      </c>
      <c r="J96" s="77">
        <f>IF('Balance Sheet - Standardized'!J98="",0,'Balance Sheet - Standardized'!J98)/'Balance Sheet - Standardized'!J$106</f>
        <v>0</v>
      </c>
      <c r="K96" s="77">
        <f>IF('Balance Sheet - Standardized'!K98="",0,'Balance Sheet - Standardized'!K98)/'Balance Sheet - Standardized'!K$106</f>
        <v>0</v>
      </c>
      <c r="L96" s="77">
        <f>IF('Balance Sheet - Standardized'!L98="",0,'Balance Sheet - Standardized'!L98)/'Balance Sheet - Standardized'!L$106</f>
        <v>0</v>
      </c>
      <c r="M96" s="106"/>
      <c r="N96" s="106"/>
      <c r="O96" s="106"/>
      <c r="P96" s="106"/>
      <c r="Q96" s="106"/>
      <c r="R96" s="106"/>
      <c r="S96" s="74"/>
      <c r="T96" s="78"/>
      <c r="U96" s="78"/>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row>
    <row r="97" spans="1:1010 1027:2036 2053:3062 3079:4088 4105:5114 5131:6140 6157:7166 7183:8192 8209:9200 9217:10226 10243:11252 11269:12278 12295:13304 13321:14330 14347:15356 15373:16382" x14ac:dyDescent="0.35">
      <c r="A97" s="181" t="str">
        <f>'Balance Sheet - Standardized'!A99</f>
        <v xml:space="preserve">    + LT Deferred Tax Liabilities</v>
      </c>
      <c r="B97" s="13" t="str">
        <f>'Balance Sheet - Standardized'!B99</f>
        <v>BS_DEFERRED_TAX_LIABILITIES_LT</v>
      </c>
      <c r="C97" s="77">
        <f>IF('Balance Sheet - Standardized'!C99="",0,'Balance Sheet - Standardized'!C99)/'Balance Sheet - Standardized'!C$106</f>
        <v>5.1833454829030125E-3</v>
      </c>
      <c r="D97" s="77">
        <f>IF('Balance Sheet - Standardized'!D99="",0,'Balance Sheet - Standardized'!D99)/'Balance Sheet - Standardized'!D$106</f>
        <v>5.0471020480809571E-3</v>
      </c>
      <c r="E97" s="77">
        <f>IF('Balance Sheet - Standardized'!E99="",0,'Balance Sheet - Standardized'!E99)/'Balance Sheet - Standardized'!E$106</f>
        <v>4.8480236357939036E-3</v>
      </c>
      <c r="F97" s="77">
        <f>IF('Balance Sheet - Standardized'!F99="",0,'Balance Sheet - Standardized'!F99)/'Balance Sheet - Standardized'!F$106</f>
        <v>3.7569203593201352E-3</v>
      </c>
      <c r="G97" s="77">
        <f>IF('Balance Sheet - Standardized'!G99="",0,'Balance Sheet - Standardized'!G99)/'Balance Sheet - Standardized'!G$106</f>
        <v>3.2682862268756806E-3</v>
      </c>
      <c r="H97" s="77">
        <f>IF('Balance Sheet - Standardized'!H99="",0,'Balance Sheet - Standardized'!H99)/'Balance Sheet - Standardized'!H$106</f>
        <v>2.7850304612706701E-3</v>
      </c>
      <c r="I97" s="77">
        <f>IF('Balance Sheet - Standardized'!I99="",0,'Balance Sheet - Standardized'!I99)/'Balance Sheet - Standardized'!I$106</f>
        <v>3.3218298428906853E-3</v>
      </c>
      <c r="J97" s="77">
        <f>IF('Balance Sheet - Standardized'!J99="",0,'Balance Sheet - Standardized'!J99)/'Balance Sheet - Standardized'!J$106</f>
        <v>2.3757883376033153E-3</v>
      </c>
      <c r="K97" s="77">
        <f>IF('Balance Sheet - Standardized'!K99="",0,'Balance Sheet - Standardized'!K99)/'Balance Sheet - Standardized'!K$106</f>
        <v>2.427158398934628E-3</v>
      </c>
      <c r="L97" s="77">
        <f>IF('Balance Sheet - Standardized'!L99="",0,'Balance Sheet - Standardized'!L99)/'Balance Sheet - Standardized'!L$106</f>
        <v>3.324826453150468E-3</v>
      </c>
      <c r="M97" s="106"/>
      <c r="N97" s="106"/>
      <c r="O97" s="106"/>
      <c r="P97" s="106"/>
      <c r="Q97" s="106"/>
      <c r="R97" s="106"/>
      <c r="S97" s="74"/>
      <c r="T97" s="78"/>
      <c r="U97" s="78"/>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row>
    <row r="98" spans="1:1010 1027:2036 2053:3062 3079:4088 4105:5114 5131:6140 6157:7166 7183:8192 8209:9200 9217:10226 10243:11252 11269:12278 12295:13304 13321:14330 14347:15356 15373:16382" x14ac:dyDescent="0.35">
      <c r="A98" s="181" t="str">
        <f>'Balance Sheet - Standardized'!A100</f>
        <v xml:space="preserve">    + LT Derivatives &amp; Hedging</v>
      </c>
      <c r="B98" s="13" t="str">
        <f>'Balance Sheet - Standardized'!B100</f>
        <v>BS_DERIVATIVE_&amp;_HEDGING_LIABS_LT</v>
      </c>
      <c r="C98" s="77">
        <f>IF('Balance Sheet - Standardized'!C100="",0,'Balance Sheet - Standardized'!C100)/'Balance Sheet - Standardized'!C$106</f>
        <v>0</v>
      </c>
      <c r="D98" s="77">
        <f>IF('Balance Sheet - Standardized'!D100="",0,'Balance Sheet - Standardized'!D100)/'Balance Sheet - Standardized'!D$106</f>
        <v>0</v>
      </c>
      <c r="E98" s="77">
        <f>IF('Balance Sheet - Standardized'!E100="",0,'Balance Sheet - Standardized'!E100)/'Balance Sheet - Standardized'!E$106</f>
        <v>0</v>
      </c>
      <c r="F98" s="77">
        <f>IF('Balance Sheet - Standardized'!F100="",0,'Balance Sheet - Standardized'!F100)/'Balance Sheet - Standardized'!F$106</f>
        <v>0</v>
      </c>
      <c r="G98" s="77">
        <f>IF('Balance Sheet - Standardized'!G100="",0,'Balance Sheet - Standardized'!G100)/'Balance Sheet - Standardized'!G$106</f>
        <v>0</v>
      </c>
      <c r="H98" s="77">
        <f>IF('Balance Sheet - Standardized'!H100="",0,'Balance Sheet - Standardized'!H100)/'Balance Sheet - Standardized'!H$106</f>
        <v>0</v>
      </c>
      <c r="I98" s="77">
        <f>IF('Balance Sheet - Standardized'!I100="",0,'Balance Sheet - Standardized'!I100)/'Balance Sheet - Standardized'!I$106</f>
        <v>0</v>
      </c>
      <c r="J98" s="77">
        <f>IF('Balance Sheet - Standardized'!J100="",0,'Balance Sheet - Standardized'!J100)/'Balance Sheet - Standardized'!J$106</f>
        <v>0</v>
      </c>
      <c r="K98" s="77">
        <f>IF('Balance Sheet - Standardized'!K100="",0,'Balance Sheet - Standardized'!K100)/'Balance Sheet - Standardized'!K$106</f>
        <v>0</v>
      </c>
      <c r="L98" s="77">
        <f>IF('Balance Sheet - Standardized'!L100="",0,'Balance Sheet - Standardized'!L100)/'Balance Sheet - Standardized'!L$106</f>
        <v>0</v>
      </c>
      <c r="M98" s="106"/>
      <c r="N98" s="106"/>
      <c r="O98" s="106"/>
      <c r="P98" s="106"/>
      <c r="Q98" s="106"/>
      <c r="R98" s="106"/>
      <c r="S98" s="74"/>
      <c r="T98" s="78"/>
      <c r="U98" s="78"/>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row>
    <row r="99" spans="1:1010 1027:2036 2053:3062 3079:4088 4105:5114 5131:6140 6157:7166 7183:8192 8209:9200 9217:10226 10243:11252 11269:12278 12295:13304 13321:14330 14347:15356 15373:16382" x14ac:dyDescent="0.35">
      <c r="A99" s="181" t="str">
        <f>'Balance Sheet - Standardized'!A101</f>
        <v xml:space="preserve">    + Liabilities of Discontinued Operations LT</v>
      </c>
      <c r="B99" s="13" t="str">
        <f>'Balance Sheet - Standardized'!B101</f>
        <v>BS_LIABS_OF_DISCONTINUED_OPS_LT</v>
      </c>
      <c r="C99" s="77">
        <f>IF('Balance Sheet - Standardized'!C101="",0,'Balance Sheet - Standardized'!C101)/'Balance Sheet - Standardized'!C$106</f>
        <v>0</v>
      </c>
      <c r="D99" s="77">
        <f>IF('Balance Sheet - Standardized'!D101="",0,'Balance Sheet - Standardized'!D101)/'Balance Sheet - Standardized'!D$106</f>
        <v>0</v>
      </c>
      <c r="E99" s="77">
        <f>IF('Balance Sheet - Standardized'!E101="",0,'Balance Sheet - Standardized'!E101)/'Balance Sheet - Standardized'!E$106</f>
        <v>0</v>
      </c>
      <c r="F99" s="77">
        <f>IF('Balance Sheet - Standardized'!F101="",0,'Balance Sheet - Standardized'!F101)/'Balance Sheet - Standardized'!F$106</f>
        <v>0</v>
      </c>
      <c r="G99" s="77">
        <f>IF('Balance Sheet - Standardized'!G101="",0,'Balance Sheet - Standardized'!G101)/'Balance Sheet - Standardized'!G$106</f>
        <v>0</v>
      </c>
      <c r="H99" s="77">
        <f>IF('Balance Sheet - Standardized'!H101="",0,'Balance Sheet - Standardized'!H101)/'Balance Sheet - Standardized'!H$106</f>
        <v>0</v>
      </c>
      <c r="I99" s="77">
        <f>IF('Balance Sheet - Standardized'!I101="",0,'Balance Sheet - Standardized'!I101)/'Balance Sheet - Standardized'!I$106</f>
        <v>0</v>
      </c>
      <c r="J99" s="77">
        <f>IF('Balance Sheet - Standardized'!J101="",0,'Balance Sheet - Standardized'!J101)/'Balance Sheet - Standardized'!J$106</f>
        <v>0</v>
      </c>
      <c r="K99" s="77">
        <f>IF('Balance Sheet - Standardized'!K101="",0,'Balance Sheet - Standardized'!K101)/'Balance Sheet - Standardized'!K$106</f>
        <v>0</v>
      </c>
      <c r="L99" s="77">
        <f>IF('Balance Sheet - Standardized'!L101="",0,'Balance Sheet - Standardized'!L101)/'Balance Sheet - Standardized'!L$106</f>
        <v>0</v>
      </c>
      <c r="M99" s="106"/>
      <c r="N99" s="106"/>
      <c r="O99" s="106"/>
      <c r="P99" s="106"/>
      <c r="Q99" s="106"/>
      <c r="R99" s="106"/>
      <c r="S99" s="74"/>
      <c r="T99" s="78"/>
      <c r="U99" s="78"/>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row>
    <row r="100" spans="1:1010 1027:2036 2053:3062 3079:4088 4105:5114 5131:6140 6157:7166 7183:8192 8209:9200 9217:10226 10243:11252 11269:12278 12295:13304 13321:14330 14347:15356 15373:16382" x14ac:dyDescent="0.35">
      <c r="A100" s="181" t="str">
        <f>'Balance Sheet - Standardized'!A102</f>
        <v xml:space="preserve">    + Misc LT Liabilities</v>
      </c>
      <c r="B100" s="13" t="str">
        <f>'Balance Sheet - Standardized'!B102</f>
        <v>OTHER_NONCURRENT_LIABS_DETAILED</v>
      </c>
      <c r="C100" s="77">
        <f>IF('Balance Sheet - Standardized'!C102="",0,'Balance Sheet - Standardized'!C102)/'Balance Sheet - Standardized'!C$106</f>
        <v>9.756387000525539E-2</v>
      </c>
      <c r="D100" s="77">
        <f>IF('Balance Sheet - Standardized'!D102="",0,'Balance Sheet - Standardized'!D102)/'Balance Sheet - Standardized'!D$106</f>
        <v>8.339372057446276E-2</v>
      </c>
      <c r="E100" s="77">
        <f>IF('Balance Sheet - Standardized'!E102="",0,'Balance Sheet - Standardized'!E102)/'Balance Sheet - Standardized'!E$106</f>
        <v>8.8495456376740222E-2</v>
      </c>
      <c r="F100" s="77">
        <f>IF('Balance Sheet - Standardized'!F102="",0,'Balance Sheet - Standardized'!F102)/'Balance Sheet - Standardized'!F$106</f>
        <v>0.11730466814588225</v>
      </c>
      <c r="G100" s="77">
        <f>IF('Balance Sheet - Standardized'!G102="",0,'Balance Sheet - Standardized'!G102)/'Balance Sheet - Standardized'!G$106</f>
        <v>7.6490397341254679E-2</v>
      </c>
      <c r="H100" s="77">
        <f>IF('Balance Sheet - Standardized'!H102="",0,'Balance Sheet - Standardized'!H102)/'Balance Sheet - Standardized'!H$106</f>
        <v>6.7279239472450958E-2</v>
      </c>
      <c r="I100" s="77">
        <f>IF('Balance Sheet - Standardized'!I102="",0,'Balance Sheet - Standardized'!I102)/'Balance Sheet - Standardized'!I$106</f>
        <v>4.8081438409051512E-2</v>
      </c>
      <c r="J100" s="77">
        <f>IF('Balance Sheet - Standardized'!J102="",0,'Balance Sheet - Standardized'!J102)/'Balance Sheet - Standardized'!J$106</f>
        <v>5.5091393715367455E-2</v>
      </c>
      <c r="K100" s="77">
        <f>IF('Balance Sheet - Standardized'!K102="",0,'Balance Sheet - Standardized'!K102)/'Balance Sheet - Standardized'!K$106</f>
        <v>6.4949756389190191E-2</v>
      </c>
      <c r="L100" s="77">
        <f>IF('Balance Sheet - Standardized'!L102="",0,'Balance Sheet - Standardized'!L102)/'Balance Sheet - Standardized'!L$106</f>
        <v>9.0224880351704298E-2</v>
      </c>
      <c r="M100" s="106"/>
      <c r="N100" s="106"/>
      <c r="O100" s="106"/>
      <c r="P100" s="106"/>
      <c r="Q100" s="106"/>
      <c r="R100" s="106"/>
      <c r="S100" s="74"/>
      <c r="T100" s="78"/>
      <c r="U100" s="78"/>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row>
    <row r="101" spans="1:1010 1027:2036 2053:3062 3079:4088 4105:5114 5131:6140 6157:7166 7183:8192 8209:9200 9217:10226 10243:11252 11269:12278 12295:13304 13321:14330 14347:15356 15373:16382" x14ac:dyDescent="0.35">
      <c r="A101" s="23" t="str">
        <f>'Balance Sheet - Standardized'!A103</f>
        <v>check</v>
      </c>
      <c r="B101" s="23"/>
      <c r="C101" s="79"/>
      <c r="D101" s="79"/>
      <c r="E101" s="79"/>
      <c r="F101" s="79"/>
      <c r="G101" s="79"/>
      <c r="H101" s="79"/>
      <c r="I101" s="79"/>
      <c r="J101" s="79"/>
      <c r="K101" s="79"/>
      <c r="L101" s="79"/>
      <c r="M101" s="144"/>
      <c r="N101" s="144"/>
      <c r="O101" s="144"/>
      <c r="P101" s="144"/>
      <c r="Q101" s="144"/>
      <c r="R101" s="144"/>
      <c r="S101" s="74"/>
      <c r="T101" s="78"/>
      <c r="U101" s="78"/>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row>
    <row r="102" spans="1:1010 1027:2036 2053:3062 3079:4088 4105:5114 5131:6140 6157:7166 7183:8192 8209:9200 9217:10226 10243:11252 11269:12278 12295:13304 13321:14330 14347:15356 15373:16382" x14ac:dyDescent="0.35">
      <c r="A102" s="51" t="str">
        <f>'Balance Sheet - Standardized'!A104</f>
        <v>Total Noncurrent Liabilities</v>
      </c>
      <c r="B102" s="51" t="str">
        <f>'Balance Sheet - Standardized'!B104</f>
        <v>NON_CUR_LIAB</v>
      </c>
      <c r="C102" s="81">
        <f>IF('Balance Sheet - Standardized'!C104="",0,'Balance Sheet - Standardized'!C104)/'Balance Sheet - Standardized'!C$106</f>
        <v>0.62762981673928153</v>
      </c>
      <c r="D102" s="81">
        <f>IF('Balance Sheet - Standardized'!D104="",0,'Balance Sheet - Standardized'!D104)/'Balance Sheet - Standardized'!D$106</f>
        <v>0.60997470092424255</v>
      </c>
      <c r="E102" s="81">
        <f>IF('Balance Sheet - Standardized'!E104="",0,'Balance Sheet - Standardized'!E104)/'Balance Sheet - Standardized'!E$106</f>
        <v>0.64146112180491521</v>
      </c>
      <c r="F102" s="81">
        <f>IF('Balance Sheet - Standardized'!F104="",0,'Balance Sheet - Standardized'!F104)/'Balance Sheet - Standardized'!F$106</f>
        <v>0.64614721785398843</v>
      </c>
      <c r="G102" s="81">
        <f>IF('Balance Sheet - Standardized'!G104="",0,'Balance Sheet - Standardized'!G104)/'Balance Sheet - Standardized'!G$106</f>
        <v>0.62355886591570842</v>
      </c>
      <c r="H102" s="81">
        <f>IF('Balance Sheet - Standardized'!H104="",0,'Balance Sheet - Standardized'!H104)/'Balance Sheet - Standardized'!H$106</f>
        <v>0.53725647720425784</v>
      </c>
      <c r="I102" s="81">
        <f>IF('Balance Sheet - Standardized'!I104="",0,'Balance Sheet - Standardized'!I104)/'Balance Sheet - Standardized'!I$106</f>
        <v>0.49276855922721757</v>
      </c>
      <c r="J102" s="81">
        <f>IF('Balance Sheet - Standardized'!J104="",0,'Balance Sheet - Standardized'!J104)/'Balance Sheet - Standardized'!J$106</f>
        <v>0.53067663417342226</v>
      </c>
      <c r="K102" s="81">
        <f>IF('Balance Sheet - Standardized'!K104="",0,'Balance Sheet - Standardized'!K104)/'Balance Sheet - Standardized'!K$106</f>
        <v>0.54959386265433752</v>
      </c>
      <c r="L102" s="81">
        <f>IF('Balance Sheet - Standardized'!L104="",0,'Balance Sheet - Standardized'!L104)/'Balance Sheet - Standardized'!L$106</f>
        <v>0.53377101556564266</v>
      </c>
      <c r="M102" s="145"/>
      <c r="N102" s="145"/>
      <c r="O102" s="145"/>
      <c r="P102" s="145"/>
      <c r="Q102" s="145"/>
      <c r="R102" s="145"/>
      <c r="S102" s="74"/>
      <c r="T102" s="82"/>
      <c r="U102" s="82"/>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row>
    <row r="103" spans="1:1010 1027:2036 2053:3062 3079:4088 4105:5114 5131:6140 6157:7166 7183:8192 8209:9200 9217:10226 10243:11252 11269:12278 12295:13304 13321:14330 14347:15356 15373:16382" x14ac:dyDescent="0.35">
      <c r="A103" s="49" t="str">
        <f>'Balance Sheet - Standardized'!A105</f>
        <v>check</v>
      </c>
      <c r="B103" s="50"/>
      <c r="C103" s="79"/>
      <c r="D103" s="79"/>
      <c r="E103" s="79"/>
      <c r="F103" s="79"/>
      <c r="G103" s="79"/>
      <c r="H103" s="79"/>
      <c r="I103" s="79"/>
      <c r="J103" s="79"/>
      <c r="K103" s="79"/>
      <c r="L103" s="79"/>
      <c r="M103" s="144"/>
      <c r="N103" s="144"/>
      <c r="O103" s="144"/>
      <c r="P103" s="144"/>
      <c r="Q103" s="144"/>
      <c r="R103" s="144"/>
      <c r="S103" s="74"/>
      <c r="T103" s="82"/>
      <c r="U103" s="82"/>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row>
    <row r="104" spans="1:1010 1027:2036 2053:3062 3079:4088 4105:5114 5131:6140 6157:7166 7183:8192 8209:9200 9217:10226 10243:11252 11269:12278 12295:13304 13321:14330 14347:15356 15373:16382" x14ac:dyDescent="0.35">
      <c r="A104" s="51" t="str">
        <f>'Balance Sheet - Standardized'!A106</f>
        <v>Total Liabilities</v>
      </c>
      <c r="B104" s="51" t="str">
        <f>'Balance Sheet - Standardized'!B106</f>
        <v>BS_TOT_LIAB2</v>
      </c>
      <c r="C104" s="81">
        <f>IF('Balance Sheet - Standardized'!C106="",0,'Balance Sheet - Standardized'!C106)/'Balance Sheet - Standardized'!C$106</f>
        <v>1</v>
      </c>
      <c r="D104" s="81">
        <f>IF('Balance Sheet - Standardized'!D106="",0,'Balance Sheet - Standardized'!D106)/'Balance Sheet - Standardized'!D$106</f>
        <v>1</v>
      </c>
      <c r="E104" s="81">
        <f>IF('Balance Sheet - Standardized'!E106="",0,'Balance Sheet - Standardized'!E106)/'Balance Sheet - Standardized'!E$106</f>
        <v>1</v>
      </c>
      <c r="F104" s="81">
        <f>IF('Balance Sheet - Standardized'!F106="",0,'Balance Sheet - Standardized'!F106)/'Balance Sheet - Standardized'!F$106</f>
        <v>1</v>
      </c>
      <c r="G104" s="81">
        <f>IF('Balance Sheet - Standardized'!G106="",0,'Balance Sheet - Standardized'!G106)/'Balance Sheet - Standardized'!G$106</f>
        <v>1</v>
      </c>
      <c r="H104" s="81">
        <f>IF('Balance Sheet - Standardized'!H106="",0,'Balance Sheet - Standardized'!H106)/'Balance Sheet - Standardized'!H$106</f>
        <v>1</v>
      </c>
      <c r="I104" s="81">
        <f>IF('Balance Sheet - Standardized'!I106="",0,'Balance Sheet - Standardized'!I106)/'Balance Sheet - Standardized'!I$106</f>
        <v>1</v>
      </c>
      <c r="J104" s="81">
        <f>IF('Balance Sheet - Standardized'!J106="",0,'Balance Sheet - Standardized'!J106)/'Balance Sheet - Standardized'!J$106</f>
        <v>1</v>
      </c>
      <c r="K104" s="81">
        <f>IF('Balance Sheet - Standardized'!K106="",0,'Balance Sheet - Standardized'!K106)/'Balance Sheet - Standardized'!K$106</f>
        <v>1</v>
      </c>
      <c r="L104" s="81">
        <f>IF('Balance Sheet - Standardized'!L106="",0,'Balance Sheet - Standardized'!L106)/'Balance Sheet - Standardized'!L$106</f>
        <v>1</v>
      </c>
      <c r="M104" s="145"/>
      <c r="N104" s="145"/>
      <c r="O104" s="145"/>
      <c r="P104" s="145"/>
      <c r="Q104" s="145"/>
      <c r="R104" s="145"/>
      <c r="S104" s="74"/>
      <c r="T104" s="82"/>
      <c r="U104" s="82"/>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row>
    <row r="105" spans="1:1010 1027:2036 2053:3062 3079:4088 4105:5114 5131:6140 6157:7166 7183:8192 8209:9200 9217:10226 10243:11252 11269:12278 12295:13304 13321:14330 14347:15356 15373:16382" x14ac:dyDescent="0.35">
      <c r="A105" s="24" t="str">
        <f>'Balance Sheet - Standardized'!A107</f>
        <v>check</v>
      </c>
      <c r="B105" s="24"/>
      <c r="C105" s="83"/>
      <c r="D105" s="83"/>
      <c r="E105" s="83"/>
      <c r="F105" s="83"/>
      <c r="G105" s="83"/>
      <c r="H105" s="83"/>
      <c r="I105" s="83"/>
      <c r="J105" s="83"/>
      <c r="K105" s="83"/>
      <c r="L105" s="83"/>
      <c r="M105" s="146"/>
      <c r="N105" s="146"/>
      <c r="O105" s="146"/>
      <c r="P105" s="146"/>
      <c r="Q105" s="146"/>
      <c r="R105" s="146"/>
      <c r="S105" s="74"/>
      <c r="T105" s="82"/>
      <c r="U105" s="82"/>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row>
    <row r="106" spans="1:1010 1027:2036 2053:3062 3079:4088 4105:5114 5131:6140 6157:7166 7183:8192 8209:9200 9217:10226 10243:11252 11269:12278 12295:13304 13321:14330 14347:15356 15373:16382" s="11" customFormat="1" x14ac:dyDescent="0.35">
      <c r="A106" s="183" t="str">
        <f>'Balance Sheet - Standardized'!A108</f>
        <v xml:space="preserve">  + Preferred Equity and Hybrid Capital</v>
      </c>
      <c r="B106" s="75" t="str">
        <f>'Balance Sheet - Standardized'!B108</f>
        <v>BS_PFD_EQTY_&amp;_HYBRID_CPTL</v>
      </c>
      <c r="C106" s="76">
        <f>IF('Balance Sheet - Standardized'!C108="",0,'Balance Sheet - Standardized'!C108)/'Balance Sheet - Standardized'!C$118</f>
        <v>0</v>
      </c>
      <c r="D106" s="76">
        <f>IF('Balance Sheet - Standardized'!D108="",0,'Balance Sheet - Standardized'!D108)/'Balance Sheet - Standardized'!D$118</f>
        <v>0</v>
      </c>
      <c r="E106" s="76">
        <f>IF('Balance Sheet - Standardized'!E108="",0,'Balance Sheet - Standardized'!E108)/'Balance Sheet - Standardized'!E$118</f>
        <v>0</v>
      </c>
      <c r="F106" s="76">
        <f>IF('Balance Sheet - Standardized'!F108="",0,'Balance Sheet - Standardized'!F108)/'Balance Sheet - Standardized'!F$118</f>
        <v>0</v>
      </c>
      <c r="G106" s="76">
        <f>IF('Balance Sheet - Standardized'!G108="",0,'Balance Sheet - Standardized'!G108)/'Balance Sheet - Standardized'!G$118</f>
        <v>0</v>
      </c>
      <c r="H106" s="76">
        <f>IF('Balance Sheet - Standardized'!H108="",0,'Balance Sheet - Standardized'!H108)/'Balance Sheet - Standardized'!H$118</f>
        <v>0</v>
      </c>
      <c r="I106" s="76">
        <f>IF('Balance Sheet - Standardized'!I108="",0,'Balance Sheet - Standardized'!I108)/'Balance Sheet - Standardized'!I$118</f>
        <v>0</v>
      </c>
      <c r="J106" s="76">
        <f>IF('Balance Sheet - Standardized'!J108="",0,'Balance Sheet - Standardized'!J108)/'Balance Sheet - Standardized'!J$118</f>
        <v>0</v>
      </c>
      <c r="K106" s="76">
        <f>IF('Balance Sheet - Standardized'!K108="",0,'Balance Sheet - Standardized'!K108)/'Balance Sheet - Standardized'!K$118</f>
        <v>0</v>
      </c>
      <c r="L106" s="76">
        <f>IF('Balance Sheet - Standardized'!L108="",0,'Balance Sheet - Standardized'!L108)/'Balance Sheet - Standardized'!L$118</f>
        <v>0</v>
      </c>
      <c r="M106" s="106"/>
      <c r="N106" s="106"/>
      <c r="O106" s="106"/>
      <c r="P106" s="106"/>
      <c r="Q106" s="106"/>
      <c r="R106" s="106"/>
      <c r="S106" s="78"/>
      <c r="T106" s="78"/>
      <c r="U106" s="106"/>
      <c r="V106" s="106"/>
      <c r="W106" s="106"/>
      <c r="X106" s="106"/>
      <c r="Y106" s="106"/>
      <c r="Z106" s="106"/>
      <c r="AA106" s="106"/>
      <c r="AB106" s="106"/>
      <c r="AC106" s="106"/>
      <c r="AD106" s="106"/>
      <c r="AE106" s="106"/>
      <c r="AF106" s="106"/>
      <c r="AG106" s="106"/>
      <c r="AH106" s="106"/>
      <c r="AI106" s="106"/>
      <c r="AJ106" s="106"/>
      <c r="AK106" s="78"/>
      <c r="AL106" s="78"/>
      <c r="AM106" s="106"/>
      <c r="AN106" s="106"/>
      <c r="AO106" s="106"/>
      <c r="AP106" s="106"/>
      <c r="AQ106" s="106"/>
      <c r="AR106" s="106"/>
      <c r="AS106" s="106"/>
      <c r="AT106" s="106"/>
      <c r="AU106" s="106"/>
      <c r="AV106" s="106"/>
      <c r="AW106" s="106"/>
      <c r="AX106" s="106"/>
      <c r="AY106" s="106"/>
      <c r="AZ106" s="106"/>
      <c r="BA106" s="106"/>
      <c r="BB106" s="106"/>
      <c r="BC106" s="78"/>
      <c r="BD106" s="78"/>
      <c r="BE106" s="106"/>
      <c r="BF106" s="106"/>
      <c r="BG106" s="106"/>
      <c r="BH106" s="106"/>
      <c r="BI106" s="106"/>
      <c r="BJ106" s="106"/>
      <c r="BU106" s="12"/>
      <c r="BV106" s="12"/>
      <c r="CM106" s="12"/>
      <c r="CN106" s="12"/>
      <c r="DE106" s="12"/>
      <c r="DF106" s="12"/>
      <c r="DW106" s="12"/>
      <c r="DX106" s="12"/>
      <c r="EO106" s="12"/>
      <c r="EP106" s="12"/>
      <c r="FG106" s="12"/>
      <c r="FH106" s="12"/>
      <c r="FY106" s="12"/>
      <c r="FZ106" s="12"/>
      <c r="GQ106" s="12"/>
      <c r="GR106" s="12"/>
      <c r="HI106" s="12"/>
      <c r="HJ106" s="12"/>
      <c r="IA106" s="12"/>
      <c r="IB106" s="12"/>
      <c r="IS106" s="12"/>
      <c r="IT106" s="12"/>
      <c r="JK106" s="12"/>
      <c r="JL106" s="12"/>
      <c r="KC106" s="12"/>
      <c r="KD106" s="12"/>
      <c r="KU106" s="12"/>
      <c r="KV106" s="12"/>
      <c r="LM106" s="12"/>
      <c r="LN106" s="12"/>
      <c r="ME106" s="12"/>
      <c r="MF106" s="12"/>
      <c r="MW106" s="12"/>
      <c r="MX106" s="12"/>
      <c r="NO106" s="12"/>
      <c r="NP106" s="12"/>
      <c r="OG106" s="12"/>
      <c r="OH106" s="12"/>
      <c r="OY106" s="12"/>
      <c r="OZ106" s="12"/>
      <c r="PQ106" s="12"/>
      <c r="PR106" s="12"/>
      <c r="QI106" s="12"/>
      <c r="QJ106" s="12"/>
      <c r="RA106" s="12"/>
      <c r="RB106" s="12"/>
      <c r="RS106" s="12"/>
      <c r="RT106" s="12"/>
      <c r="SK106" s="12"/>
      <c r="SL106" s="12"/>
      <c r="TC106" s="12"/>
      <c r="TD106" s="12"/>
      <c r="TU106" s="12"/>
      <c r="TV106" s="12"/>
      <c r="UM106" s="12"/>
      <c r="UN106" s="12"/>
      <c r="VE106" s="12"/>
      <c r="VF106" s="12"/>
      <c r="VW106" s="12"/>
      <c r="VX106" s="12"/>
      <c r="WO106" s="12"/>
      <c r="WP106" s="12"/>
      <c r="XG106" s="12"/>
      <c r="XH106" s="12"/>
      <c r="XY106" s="12"/>
      <c r="XZ106" s="12"/>
      <c r="YQ106" s="12"/>
      <c r="YR106" s="12"/>
      <c r="ZI106" s="12"/>
      <c r="ZJ106" s="12"/>
      <c r="AAA106" s="12"/>
      <c r="AAB106" s="12"/>
      <c r="AAS106" s="12"/>
      <c r="AAT106" s="12"/>
      <c r="ABK106" s="12"/>
      <c r="ABL106" s="12"/>
      <c r="ACC106" s="12"/>
      <c r="ACD106" s="12"/>
      <c r="ACU106" s="12"/>
      <c r="ACV106" s="12"/>
      <c r="ADM106" s="12"/>
      <c r="ADN106" s="12"/>
      <c r="AEE106" s="12"/>
      <c r="AEF106" s="12"/>
      <c r="AEW106" s="12"/>
      <c r="AEX106" s="12"/>
      <c r="AFO106" s="12"/>
      <c r="AFP106" s="12"/>
      <c r="AGG106" s="12"/>
      <c r="AGH106" s="12"/>
      <c r="AGY106" s="12"/>
      <c r="AGZ106" s="12"/>
      <c r="AHQ106" s="12"/>
      <c r="AHR106" s="12"/>
      <c r="AII106" s="12"/>
      <c r="AIJ106" s="12"/>
      <c r="AJA106" s="12"/>
      <c r="AJB106" s="12"/>
      <c r="AJS106" s="12"/>
      <c r="AJT106" s="12"/>
      <c r="AKK106" s="12"/>
      <c r="AKL106" s="12"/>
      <c r="ALC106" s="12"/>
      <c r="ALD106" s="12"/>
      <c r="ALU106" s="12"/>
      <c r="ALV106" s="12"/>
      <c r="AMM106" s="12"/>
      <c r="AMN106" s="12"/>
      <c r="ANE106" s="12"/>
      <c r="ANF106" s="12"/>
      <c r="ANW106" s="12"/>
      <c r="ANX106" s="12"/>
      <c r="AOO106" s="12"/>
      <c r="AOP106" s="12"/>
      <c r="APG106" s="12"/>
      <c r="APH106" s="12"/>
      <c r="APY106" s="12"/>
      <c r="APZ106" s="12"/>
      <c r="AQQ106" s="12"/>
      <c r="AQR106" s="12"/>
      <c r="ARI106" s="12"/>
      <c r="ARJ106" s="12"/>
      <c r="ASA106" s="12"/>
      <c r="ASB106" s="12"/>
      <c r="ASS106" s="12"/>
      <c r="AST106" s="12"/>
      <c r="ATK106" s="12"/>
      <c r="ATL106" s="12"/>
      <c r="AUC106" s="12"/>
      <c r="AUD106" s="12"/>
      <c r="AUU106" s="12"/>
      <c r="AUV106" s="12"/>
      <c r="AVM106" s="12"/>
      <c r="AVN106" s="12"/>
      <c r="AWE106" s="12"/>
      <c r="AWF106" s="12"/>
      <c r="AWW106" s="12"/>
      <c r="AWX106" s="12"/>
      <c r="AXO106" s="12"/>
      <c r="AXP106" s="12"/>
      <c r="AYG106" s="12"/>
      <c r="AYH106" s="12"/>
      <c r="AYY106" s="12"/>
      <c r="AYZ106" s="12"/>
      <c r="AZQ106" s="12"/>
      <c r="AZR106" s="12"/>
      <c r="BAI106" s="12"/>
      <c r="BAJ106" s="12"/>
      <c r="BBA106" s="12"/>
      <c r="BBB106" s="12"/>
      <c r="BBS106" s="12"/>
      <c r="BBT106" s="12"/>
      <c r="BCK106" s="12"/>
      <c r="BCL106" s="12"/>
      <c r="BDC106" s="12"/>
      <c r="BDD106" s="12"/>
      <c r="BDU106" s="12"/>
      <c r="BDV106" s="12"/>
      <c r="BEM106" s="12"/>
      <c r="BEN106" s="12"/>
      <c r="BFE106" s="12"/>
      <c r="BFF106" s="12"/>
      <c r="BFW106" s="12"/>
      <c r="BFX106" s="12"/>
      <c r="BGO106" s="12"/>
      <c r="BGP106" s="12"/>
      <c r="BHG106" s="12"/>
      <c r="BHH106" s="12"/>
      <c r="BHY106" s="12"/>
      <c r="BHZ106" s="12"/>
      <c r="BIQ106" s="12"/>
      <c r="BIR106" s="12"/>
      <c r="BJI106" s="12"/>
      <c r="BJJ106" s="12"/>
      <c r="BKA106" s="12"/>
      <c r="BKB106" s="12"/>
      <c r="BKS106" s="12"/>
      <c r="BKT106" s="12"/>
      <c r="BLK106" s="12"/>
      <c r="BLL106" s="12"/>
      <c r="BMC106" s="12"/>
      <c r="BMD106" s="12"/>
      <c r="BMU106" s="12"/>
      <c r="BMV106" s="12"/>
      <c r="BNM106" s="12"/>
      <c r="BNN106" s="12"/>
      <c r="BOE106" s="12"/>
      <c r="BOF106" s="12"/>
      <c r="BOW106" s="12"/>
      <c r="BOX106" s="12"/>
      <c r="BPO106" s="12"/>
      <c r="BPP106" s="12"/>
      <c r="BQG106" s="12"/>
      <c r="BQH106" s="12"/>
      <c r="BQY106" s="12"/>
      <c r="BQZ106" s="12"/>
      <c r="BRQ106" s="12"/>
      <c r="BRR106" s="12"/>
      <c r="BSI106" s="12"/>
      <c r="BSJ106" s="12"/>
      <c r="BTA106" s="12"/>
      <c r="BTB106" s="12"/>
      <c r="BTS106" s="12"/>
      <c r="BTT106" s="12"/>
      <c r="BUK106" s="12"/>
      <c r="BUL106" s="12"/>
      <c r="BVC106" s="12"/>
      <c r="BVD106" s="12"/>
      <c r="BVU106" s="12"/>
      <c r="BVV106" s="12"/>
      <c r="BWM106" s="12"/>
      <c r="BWN106" s="12"/>
      <c r="BXE106" s="12"/>
      <c r="BXF106" s="12"/>
      <c r="BXW106" s="12"/>
      <c r="BXX106" s="12"/>
      <c r="BYO106" s="12"/>
      <c r="BYP106" s="12"/>
      <c r="BZG106" s="12"/>
      <c r="BZH106" s="12"/>
      <c r="BZY106" s="12"/>
      <c r="BZZ106" s="12"/>
      <c r="CAQ106" s="12"/>
      <c r="CAR106" s="12"/>
      <c r="CBI106" s="12"/>
      <c r="CBJ106" s="12"/>
      <c r="CCA106" s="12"/>
      <c r="CCB106" s="12"/>
      <c r="CCS106" s="12"/>
      <c r="CCT106" s="12"/>
      <c r="CDK106" s="12"/>
      <c r="CDL106" s="12"/>
      <c r="CEC106" s="12"/>
      <c r="CED106" s="12"/>
      <c r="CEU106" s="12"/>
      <c r="CEV106" s="12"/>
      <c r="CFM106" s="12"/>
      <c r="CFN106" s="12"/>
      <c r="CGE106" s="12"/>
      <c r="CGF106" s="12"/>
      <c r="CGW106" s="12"/>
      <c r="CGX106" s="12"/>
      <c r="CHO106" s="12"/>
      <c r="CHP106" s="12"/>
      <c r="CIG106" s="12"/>
      <c r="CIH106" s="12"/>
      <c r="CIY106" s="12"/>
      <c r="CIZ106" s="12"/>
      <c r="CJQ106" s="12"/>
      <c r="CJR106" s="12"/>
      <c r="CKI106" s="12"/>
      <c r="CKJ106" s="12"/>
      <c r="CLA106" s="12"/>
      <c r="CLB106" s="12"/>
      <c r="CLS106" s="12"/>
      <c r="CLT106" s="12"/>
      <c r="CMK106" s="12"/>
      <c r="CML106" s="12"/>
      <c r="CNC106" s="12"/>
      <c r="CND106" s="12"/>
      <c r="CNU106" s="12"/>
      <c r="CNV106" s="12"/>
      <c r="COM106" s="12"/>
      <c r="CON106" s="12"/>
      <c r="CPE106" s="12"/>
      <c r="CPF106" s="12"/>
      <c r="CPW106" s="12"/>
      <c r="CPX106" s="12"/>
      <c r="CQO106" s="12"/>
      <c r="CQP106" s="12"/>
      <c r="CRG106" s="12"/>
      <c r="CRH106" s="12"/>
      <c r="CRY106" s="12"/>
      <c r="CRZ106" s="12"/>
      <c r="CSQ106" s="12"/>
      <c r="CSR106" s="12"/>
      <c r="CTI106" s="12"/>
      <c r="CTJ106" s="12"/>
      <c r="CUA106" s="12"/>
      <c r="CUB106" s="12"/>
      <c r="CUS106" s="12"/>
      <c r="CUT106" s="12"/>
      <c r="CVK106" s="12"/>
      <c r="CVL106" s="12"/>
      <c r="CWC106" s="12"/>
      <c r="CWD106" s="12"/>
      <c r="CWU106" s="12"/>
      <c r="CWV106" s="12"/>
      <c r="CXM106" s="12"/>
      <c r="CXN106" s="12"/>
      <c r="CYE106" s="12"/>
      <c r="CYF106" s="12"/>
      <c r="CYW106" s="12"/>
      <c r="CYX106" s="12"/>
      <c r="CZO106" s="12"/>
      <c r="CZP106" s="12"/>
      <c r="DAG106" s="12"/>
      <c r="DAH106" s="12"/>
      <c r="DAY106" s="12"/>
      <c r="DAZ106" s="12"/>
      <c r="DBQ106" s="12"/>
      <c r="DBR106" s="12"/>
      <c r="DCI106" s="12"/>
      <c r="DCJ106" s="12"/>
      <c r="DDA106" s="12"/>
      <c r="DDB106" s="12"/>
      <c r="DDS106" s="12"/>
      <c r="DDT106" s="12"/>
      <c r="DEK106" s="12"/>
      <c r="DEL106" s="12"/>
      <c r="DFC106" s="12"/>
      <c r="DFD106" s="12"/>
      <c r="DFU106" s="12"/>
      <c r="DFV106" s="12"/>
      <c r="DGM106" s="12"/>
      <c r="DGN106" s="12"/>
      <c r="DHE106" s="12"/>
      <c r="DHF106" s="12"/>
      <c r="DHW106" s="12"/>
      <c r="DHX106" s="12"/>
      <c r="DIO106" s="12"/>
      <c r="DIP106" s="12"/>
      <c r="DJG106" s="12"/>
      <c r="DJH106" s="12"/>
      <c r="DJY106" s="12"/>
      <c r="DJZ106" s="12"/>
      <c r="DKQ106" s="12"/>
      <c r="DKR106" s="12"/>
      <c r="DLI106" s="12"/>
      <c r="DLJ106" s="12"/>
      <c r="DMA106" s="12"/>
      <c r="DMB106" s="12"/>
      <c r="DMS106" s="12"/>
      <c r="DMT106" s="12"/>
      <c r="DNK106" s="12"/>
      <c r="DNL106" s="12"/>
      <c r="DOC106" s="12"/>
      <c r="DOD106" s="12"/>
      <c r="DOU106" s="12"/>
      <c r="DOV106" s="12"/>
      <c r="DPM106" s="12"/>
      <c r="DPN106" s="12"/>
      <c r="DQE106" s="12"/>
      <c r="DQF106" s="12"/>
      <c r="DQW106" s="12"/>
      <c r="DQX106" s="12"/>
      <c r="DRO106" s="12"/>
      <c r="DRP106" s="12"/>
      <c r="DSG106" s="12"/>
      <c r="DSH106" s="12"/>
      <c r="DSY106" s="12"/>
      <c r="DSZ106" s="12"/>
      <c r="DTQ106" s="12"/>
      <c r="DTR106" s="12"/>
      <c r="DUI106" s="12"/>
      <c r="DUJ106" s="12"/>
      <c r="DVA106" s="12"/>
      <c r="DVB106" s="12"/>
      <c r="DVS106" s="12"/>
      <c r="DVT106" s="12"/>
      <c r="DWK106" s="12"/>
      <c r="DWL106" s="12"/>
      <c r="DXC106" s="12"/>
      <c r="DXD106" s="12"/>
      <c r="DXU106" s="12"/>
      <c r="DXV106" s="12"/>
      <c r="DYM106" s="12"/>
      <c r="DYN106" s="12"/>
      <c r="DZE106" s="12"/>
      <c r="DZF106" s="12"/>
      <c r="DZW106" s="12"/>
      <c r="DZX106" s="12"/>
      <c r="EAO106" s="12"/>
      <c r="EAP106" s="12"/>
      <c r="EBG106" s="12"/>
      <c r="EBH106" s="12"/>
      <c r="EBY106" s="12"/>
      <c r="EBZ106" s="12"/>
      <c r="ECQ106" s="12"/>
      <c r="ECR106" s="12"/>
      <c r="EDI106" s="12"/>
      <c r="EDJ106" s="12"/>
      <c r="EEA106" s="12"/>
      <c r="EEB106" s="12"/>
      <c r="EES106" s="12"/>
      <c r="EET106" s="12"/>
      <c r="EFK106" s="12"/>
      <c r="EFL106" s="12"/>
      <c r="EGC106" s="12"/>
      <c r="EGD106" s="12"/>
      <c r="EGU106" s="12"/>
      <c r="EGV106" s="12"/>
      <c r="EHM106" s="12"/>
      <c r="EHN106" s="12"/>
      <c r="EIE106" s="12"/>
      <c r="EIF106" s="12"/>
      <c r="EIW106" s="12"/>
      <c r="EIX106" s="12"/>
      <c r="EJO106" s="12"/>
      <c r="EJP106" s="12"/>
      <c r="EKG106" s="12"/>
      <c r="EKH106" s="12"/>
      <c r="EKY106" s="12"/>
      <c r="EKZ106" s="12"/>
      <c r="ELQ106" s="12"/>
      <c r="ELR106" s="12"/>
      <c r="EMI106" s="12"/>
      <c r="EMJ106" s="12"/>
      <c r="ENA106" s="12"/>
      <c r="ENB106" s="12"/>
      <c r="ENS106" s="12"/>
      <c r="ENT106" s="12"/>
      <c r="EOK106" s="12"/>
      <c r="EOL106" s="12"/>
      <c r="EPC106" s="12"/>
      <c r="EPD106" s="12"/>
      <c r="EPU106" s="12"/>
      <c r="EPV106" s="12"/>
      <c r="EQM106" s="12"/>
      <c r="EQN106" s="12"/>
      <c r="ERE106" s="12"/>
      <c r="ERF106" s="12"/>
      <c r="ERW106" s="12"/>
      <c r="ERX106" s="12"/>
      <c r="ESO106" s="12"/>
      <c r="ESP106" s="12"/>
      <c r="ETG106" s="12"/>
      <c r="ETH106" s="12"/>
      <c r="ETY106" s="12"/>
      <c r="ETZ106" s="12"/>
      <c r="EUQ106" s="12"/>
      <c r="EUR106" s="12"/>
      <c r="EVI106" s="12"/>
      <c r="EVJ106" s="12"/>
      <c r="EWA106" s="12"/>
      <c r="EWB106" s="12"/>
      <c r="EWS106" s="12"/>
      <c r="EWT106" s="12"/>
      <c r="EXK106" s="12"/>
      <c r="EXL106" s="12"/>
      <c r="EYC106" s="12"/>
      <c r="EYD106" s="12"/>
      <c r="EYU106" s="12"/>
      <c r="EYV106" s="12"/>
      <c r="EZM106" s="12"/>
      <c r="EZN106" s="12"/>
      <c r="FAE106" s="12"/>
      <c r="FAF106" s="12"/>
      <c r="FAW106" s="12"/>
      <c r="FAX106" s="12"/>
      <c r="FBO106" s="12"/>
      <c r="FBP106" s="12"/>
      <c r="FCG106" s="12"/>
      <c r="FCH106" s="12"/>
      <c r="FCY106" s="12"/>
      <c r="FCZ106" s="12"/>
      <c r="FDQ106" s="12"/>
      <c r="FDR106" s="12"/>
      <c r="FEI106" s="12"/>
      <c r="FEJ106" s="12"/>
      <c r="FFA106" s="12"/>
      <c r="FFB106" s="12"/>
      <c r="FFS106" s="12"/>
      <c r="FFT106" s="12"/>
      <c r="FGK106" s="12"/>
      <c r="FGL106" s="12"/>
      <c r="FHC106" s="12"/>
      <c r="FHD106" s="12"/>
      <c r="FHU106" s="12"/>
      <c r="FHV106" s="12"/>
      <c r="FIM106" s="12"/>
      <c r="FIN106" s="12"/>
      <c r="FJE106" s="12"/>
      <c r="FJF106" s="12"/>
      <c r="FJW106" s="12"/>
      <c r="FJX106" s="12"/>
      <c r="FKO106" s="12"/>
      <c r="FKP106" s="12"/>
      <c r="FLG106" s="12"/>
      <c r="FLH106" s="12"/>
      <c r="FLY106" s="12"/>
      <c r="FLZ106" s="12"/>
      <c r="FMQ106" s="12"/>
      <c r="FMR106" s="12"/>
      <c r="FNI106" s="12"/>
      <c r="FNJ106" s="12"/>
      <c r="FOA106" s="12"/>
      <c r="FOB106" s="12"/>
      <c r="FOS106" s="12"/>
      <c r="FOT106" s="12"/>
      <c r="FPK106" s="12"/>
      <c r="FPL106" s="12"/>
      <c r="FQC106" s="12"/>
      <c r="FQD106" s="12"/>
      <c r="FQU106" s="12"/>
      <c r="FQV106" s="12"/>
      <c r="FRM106" s="12"/>
      <c r="FRN106" s="12"/>
      <c r="FSE106" s="12"/>
      <c r="FSF106" s="12"/>
      <c r="FSW106" s="12"/>
      <c r="FSX106" s="12"/>
      <c r="FTO106" s="12"/>
      <c r="FTP106" s="12"/>
      <c r="FUG106" s="12"/>
      <c r="FUH106" s="12"/>
      <c r="FUY106" s="12"/>
      <c r="FUZ106" s="12"/>
      <c r="FVQ106" s="12"/>
      <c r="FVR106" s="12"/>
      <c r="FWI106" s="12"/>
      <c r="FWJ106" s="12"/>
      <c r="FXA106" s="12"/>
      <c r="FXB106" s="12"/>
      <c r="FXS106" s="12"/>
      <c r="FXT106" s="12"/>
      <c r="FYK106" s="12"/>
      <c r="FYL106" s="12"/>
      <c r="FZC106" s="12"/>
      <c r="FZD106" s="12"/>
      <c r="FZU106" s="12"/>
      <c r="FZV106" s="12"/>
      <c r="GAM106" s="12"/>
      <c r="GAN106" s="12"/>
      <c r="GBE106" s="12"/>
      <c r="GBF106" s="12"/>
      <c r="GBW106" s="12"/>
      <c r="GBX106" s="12"/>
      <c r="GCO106" s="12"/>
      <c r="GCP106" s="12"/>
      <c r="GDG106" s="12"/>
      <c r="GDH106" s="12"/>
      <c r="GDY106" s="12"/>
      <c r="GDZ106" s="12"/>
      <c r="GEQ106" s="12"/>
      <c r="GER106" s="12"/>
      <c r="GFI106" s="12"/>
      <c r="GFJ106" s="12"/>
      <c r="GGA106" s="12"/>
      <c r="GGB106" s="12"/>
      <c r="GGS106" s="12"/>
      <c r="GGT106" s="12"/>
      <c r="GHK106" s="12"/>
      <c r="GHL106" s="12"/>
      <c r="GIC106" s="12"/>
      <c r="GID106" s="12"/>
      <c r="GIU106" s="12"/>
      <c r="GIV106" s="12"/>
      <c r="GJM106" s="12"/>
      <c r="GJN106" s="12"/>
      <c r="GKE106" s="12"/>
      <c r="GKF106" s="12"/>
      <c r="GKW106" s="12"/>
      <c r="GKX106" s="12"/>
      <c r="GLO106" s="12"/>
      <c r="GLP106" s="12"/>
      <c r="GMG106" s="12"/>
      <c r="GMH106" s="12"/>
      <c r="GMY106" s="12"/>
      <c r="GMZ106" s="12"/>
      <c r="GNQ106" s="12"/>
      <c r="GNR106" s="12"/>
      <c r="GOI106" s="12"/>
      <c r="GOJ106" s="12"/>
      <c r="GPA106" s="12"/>
      <c r="GPB106" s="12"/>
      <c r="GPS106" s="12"/>
      <c r="GPT106" s="12"/>
      <c r="GQK106" s="12"/>
      <c r="GQL106" s="12"/>
      <c r="GRC106" s="12"/>
      <c r="GRD106" s="12"/>
      <c r="GRU106" s="12"/>
      <c r="GRV106" s="12"/>
      <c r="GSM106" s="12"/>
      <c r="GSN106" s="12"/>
      <c r="GTE106" s="12"/>
      <c r="GTF106" s="12"/>
      <c r="GTW106" s="12"/>
      <c r="GTX106" s="12"/>
      <c r="GUO106" s="12"/>
      <c r="GUP106" s="12"/>
      <c r="GVG106" s="12"/>
      <c r="GVH106" s="12"/>
      <c r="GVY106" s="12"/>
      <c r="GVZ106" s="12"/>
      <c r="GWQ106" s="12"/>
      <c r="GWR106" s="12"/>
      <c r="GXI106" s="12"/>
      <c r="GXJ106" s="12"/>
      <c r="GYA106" s="12"/>
      <c r="GYB106" s="12"/>
      <c r="GYS106" s="12"/>
      <c r="GYT106" s="12"/>
      <c r="GZK106" s="12"/>
      <c r="GZL106" s="12"/>
      <c r="HAC106" s="12"/>
      <c r="HAD106" s="12"/>
      <c r="HAU106" s="12"/>
      <c r="HAV106" s="12"/>
      <c r="HBM106" s="12"/>
      <c r="HBN106" s="12"/>
      <c r="HCE106" s="12"/>
      <c r="HCF106" s="12"/>
      <c r="HCW106" s="12"/>
      <c r="HCX106" s="12"/>
      <c r="HDO106" s="12"/>
      <c r="HDP106" s="12"/>
      <c r="HEG106" s="12"/>
      <c r="HEH106" s="12"/>
      <c r="HEY106" s="12"/>
      <c r="HEZ106" s="12"/>
      <c r="HFQ106" s="12"/>
      <c r="HFR106" s="12"/>
      <c r="HGI106" s="12"/>
      <c r="HGJ106" s="12"/>
      <c r="HHA106" s="12"/>
      <c r="HHB106" s="12"/>
      <c r="HHS106" s="12"/>
      <c r="HHT106" s="12"/>
      <c r="HIK106" s="12"/>
      <c r="HIL106" s="12"/>
      <c r="HJC106" s="12"/>
      <c r="HJD106" s="12"/>
      <c r="HJU106" s="12"/>
      <c r="HJV106" s="12"/>
      <c r="HKM106" s="12"/>
      <c r="HKN106" s="12"/>
      <c r="HLE106" s="12"/>
      <c r="HLF106" s="12"/>
      <c r="HLW106" s="12"/>
      <c r="HLX106" s="12"/>
      <c r="HMO106" s="12"/>
      <c r="HMP106" s="12"/>
      <c r="HNG106" s="12"/>
      <c r="HNH106" s="12"/>
      <c r="HNY106" s="12"/>
      <c r="HNZ106" s="12"/>
      <c r="HOQ106" s="12"/>
      <c r="HOR106" s="12"/>
      <c r="HPI106" s="12"/>
      <c r="HPJ106" s="12"/>
      <c r="HQA106" s="12"/>
      <c r="HQB106" s="12"/>
      <c r="HQS106" s="12"/>
      <c r="HQT106" s="12"/>
      <c r="HRK106" s="12"/>
      <c r="HRL106" s="12"/>
      <c r="HSC106" s="12"/>
      <c r="HSD106" s="12"/>
      <c r="HSU106" s="12"/>
      <c r="HSV106" s="12"/>
      <c r="HTM106" s="12"/>
      <c r="HTN106" s="12"/>
      <c r="HUE106" s="12"/>
      <c r="HUF106" s="12"/>
      <c r="HUW106" s="12"/>
      <c r="HUX106" s="12"/>
      <c r="HVO106" s="12"/>
      <c r="HVP106" s="12"/>
      <c r="HWG106" s="12"/>
      <c r="HWH106" s="12"/>
      <c r="HWY106" s="12"/>
      <c r="HWZ106" s="12"/>
      <c r="HXQ106" s="12"/>
      <c r="HXR106" s="12"/>
      <c r="HYI106" s="12"/>
      <c r="HYJ106" s="12"/>
      <c r="HZA106" s="12"/>
      <c r="HZB106" s="12"/>
      <c r="HZS106" s="12"/>
      <c r="HZT106" s="12"/>
      <c r="IAK106" s="12"/>
      <c r="IAL106" s="12"/>
      <c r="IBC106" s="12"/>
      <c r="IBD106" s="12"/>
      <c r="IBU106" s="12"/>
      <c r="IBV106" s="12"/>
      <c r="ICM106" s="12"/>
      <c r="ICN106" s="12"/>
      <c r="IDE106" s="12"/>
      <c r="IDF106" s="12"/>
      <c r="IDW106" s="12"/>
      <c r="IDX106" s="12"/>
      <c r="IEO106" s="12"/>
      <c r="IEP106" s="12"/>
      <c r="IFG106" s="12"/>
      <c r="IFH106" s="12"/>
      <c r="IFY106" s="12"/>
      <c r="IFZ106" s="12"/>
      <c r="IGQ106" s="12"/>
      <c r="IGR106" s="12"/>
      <c r="IHI106" s="12"/>
      <c r="IHJ106" s="12"/>
      <c r="IIA106" s="12"/>
      <c r="IIB106" s="12"/>
      <c r="IIS106" s="12"/>
      <c r="IIT106" s="12"/>
      <c r="IJK106" s="12"/>
      <c r="IJL106" s="12"/>
      <c r="IKC106" s="12"/>
      <c r="IKD106" s="12"/>
      <c r="IKU106" s="12"/>
      <c r="IKV106" s="12"/>
      <c r="ILM106" s="12"/>
      <c r="ILN106" s="12"/>
      <c r="IME106" s="12"/>
      <c r="IMF106" s="12"/>
      <c r="IMW106" s="12"/>
      <c r="IMX106" s="12"/>
      <c r="INO106" s="12"/>
      <c r="INP106" s="12"/>
      <c r="IOG106" s="12"/>
      <c r="IOH106" s="12"/>
      <c r="IOY106" s="12"/>
      <c r="IOZ106" s="12"/>
      <c r="IPQ106" s="12"/>
      <c r="IPR106" s="12"/>
      <c r="IQI106" s="12"/>
      <c r="IQJ106" s="12"/>
      <c r="IRA106" s="12"/>
      <c r="IRB106" s="12"/>
      <c r="IRS106" s="12"/>
      <c r="IRT106" s="12"/>
      <c r="ISK106" s="12"/>
      <c r="ISL106" s="12"/>
      <c r="ITC106" s="12"/>
      <c r="ITD106" s="12"/>
      <c r="ITU106" s="12"/>
      <c r="ITV106" s="12"/>
      <c r="IUM106" s="12"/>
      <c r="IUN106" s="12"/>
      <c r="IVE106" s="12"/>
      <c r="IVF106" s="12"/>
      <c r="IVW106" s="12"/>
      <c r="IVX106" s="12"/>
      <c r="IWO106" s="12"/>
      <c r="IWP106" s="12"/>
      <c r="IXG106" s="12"/>
      <c r="IXH106" s="12"/>
      <c r="IXY106" s="12"/>
      <c r="IXZ106" s="12"/>
      <c r="IYQ106" s="12"/>
      <c r="IYR106" s="12"/>
      <c r="IZI106" s="12"/>
      <c r="IZJ106" s="12"/>
      <c r="JAA106" s="12"/>
      <c r="JAB106" s="12"/>
      <c r="JAS106" s="12"/>
      <c r="JAT106" s="12"/>
      <c r="JBK106" s="12"/>
      <c r="JBL106" s="12"/>
      <c r="JCC106" s="12"/>
      <c r="JCD106" s="12"/>
      <c r="JCU106" s="12"/>
      <c r="JCV106" s="12"/>
      <c r="JDM106" s="12"/>
      <c r="JDN106" s="12"/>
      <c r="JEE106" s="12"/>
      <c r="JEF106" s="12"/>
      <c r="JEW106" s="12"/>
      <c r="JEX106" s="12"/>
      <c r="JFO106" s="12"/>
      <c r="JFP106" s="12"/>
      <c r="JGG106" s="12"/>
      <c r="JGH106" s="12"/>
      <c r="JGY106" s="12"/>
      <c r="JGZ106" s="12"/>
      <c r="JHQ106" s="12"/>
      <c r="JHR106" s="12"/>
      <c r="JII106" s="12"/>
      <c r="JIJ106" s="12"/>
      <c r="JJA106" s="12"/>
      <c r="JJB106" s="12"/>
      <c r="JJS106" s="12"/>
      <c r="JJT106" s="12"/>
      <c r="JKK106" s="12"/>
      <c r="JKL106" s="12"/>
      <c r="JLC106" s="12"/>
      <c r="JLD106" s="12"/>
      <c r="JLU106" s="12"/>
      <c r="JLV106" s="12"/>
      <c r="JMM106" s="12"/>
      <c r="JMN106" s="12"/>
      <c r="JNE106" s="12"/>
      <c r="JNF106" s="12"/>
      <c r="JNW106" s="12"/>
      <c r="JNX106" s="12"/>
      <c r="JOO106" s="12"/>
      <c r="JOP106" s="12"/>
      <c r="JPG106" s="12"/>
      <c r="JPH106" s="12"/>
      <c r="JPY106" s="12"/>
      <c r="JPZ106" s="12"/>
      <c r="JQQ106" s="12"/>
      <c r="JQR106" s="12"/>
      <c r="JRI106" s="12"/>
      <c r="JRJ106" s="12"/>
      <c r="JSA106" s="12"/>
      <c r="JSB106" s="12"/>
      <c r="JSS106" s="12"/>
      <c r="JST106" s="12"/>
      <c r="JTK106" s="12"/>
      <c r="JTL106" s="12"/>
      <c r="JUC106" s="12"/>
      <c r="JUD106" s="12"/>
      <c r="JUU106" s="12"/>
      <c r="JUV106" s="12"/>
      <c r="JVM106" s="12"/>
      <c r="JVN106" s="12"/>
      <c r="JWE106" s="12"/>
      <c r="JWF106" s="12"/>
      <c r="JWW106" s="12"/>
      <c r="JWX106" s="12"/>
      <c r="JXO106" s="12"/>
      <c r="JXP106" s="12"/>
      <c r="JYG106" s="12"/>
      <c r="JYH106" s="12"/>
      <c r="JYY106" s="12"/>
      <c r="JYZ106" s="12"/>
      <c r="JZQ106" s="12"/>
      <c r="JZR106" s="12"/>
      <c r="KAI106" s="12"/>
      <c r="KAJ106" s="12"/>
      <c r="KBA106" s="12"/>
      <c r="KBB106" s="12"/>
      <c r="KBS106" s="12"/>
      <c r="KBT106" s="12"/>
      <c r="KCK106" s="12"/>
      <c r="KCL106" s="12"/>
      <c r="KDC106" s="12"/>
      <c r="KDD106" s="12"/>
      <c r="KDU106" s="12"/>
      <c r="KDV106" s="12"/>
      <c r="KEM106" s="12"/>
      <c r="KEN106" s="12"/>
      <c r="KFE106" s="12"/>
      <c r="KFF106" s="12"/>
      <c r="KFW106" s="12"/>
      <c r="KFX106" s="12"/>
      <c r="KGO106" s="12"/>
      <c r="KGP106" s="12"/>
      <c r="KHG106" s="12"/>
      <c r="KHH106" s="12"/>
      <c r="KHY106" s="12"/>
      <c r="KHZ106" s="12"/>
      <c r="KIQ106" s="12"/>
      <c r="KIR106" s="12"/>
      <c r="KJI106" s="12"/>
      <c r="KJJ106" s="12"/>
      <c r="KKA106" s="12"/>
      <c r="KKB106" s="12"/>
      <c r="KKS106" s="12"/>
      <c r="KKT106" s="12"/>
      <c r="KLK106" s="12"/>
      <c r="KLL106" s="12"/>
      <c r="KMC106" s="12"/>
      <c r="KMD106" s="12"/>
      <c r="KMU106" s="12"/>
      <c r="KMV106" s="12"/>
      <c r="KNM106" s="12"/>
      <c r="KNN106" s="12"/>
      <c r="KOE106" s="12"/>
      <c r="KOF106" s="12"/>
      <c r="KOW106" s="12"/>
      <c r="KOX106" s="12"/>
      <c r="KPO106" s="12"/>
      <c r="KPP106" s="12"/>
      <c r="KQG106" s="12"/>
      <c r="KQH106" s="12"/>
      <c r="KQY106" s="12"/>
      <c r="KQZ106" s="12"/>
      <c r="KRQ106" s="12"/>
      <c r="KRR106" s="12"/>
      <c r="KSI106" s="12"/>
      <c r="KSJ106" s="12"/>
      <c r="KTA106" s="12"/>
      <c r="KTB106" s="12"/>
      <c r="KTS106" s="12"/>
      <c r="KTT106" s="12"/>
      <c r="KUK106" s="12"/>
      <c r="KUL106" s="12"/>
      <c r="KVC106" s="12"/>
      <c r="KVD106" s="12"/>
      <c r="KVU106" s="12"/>
      <c r="KVV106" s="12"/>
      <c r="KWM106" s="12"/>
      <c r="KWN106" s="12"/>
      <c r="KXE106" s="12"/>
      <c r="KXF106" s="12"/>
      <c r="KXW106" s="12"/>
      <c r="KXX106" s="12"/>
      <c r="KYO106" s="12"/>
      <c r="KYP106" s="12"/>
      <c r="KZG106" s="12"/>
      <c r="KZH106" s="12"/>
      <c r="KZY106" s="12"/>
      <c r="KZZ106" s="12"/>
      <c r="LAQ106" s="12"/>
      <c r="LAR106" s="12"/>
      <c r="LBI106" s="12"/>
      <c r="LBJ106" s="12"/>
      <c r="LCA106" s="12"/>
      <c r="LCB106" s="12"/>
      <c r="LCS106" s="12"/>
      <c r="LCT106" s="12"/>
      <c r="LDK106" s="12"/>
      <c r="LDL106" s="12"/>
      <c r="LEC106" s="12"/>
      <c r="LED106" s="12"/>
      <c r="LEU106" s="12"/>
      <c r="LEV106" s="12"/>
      <c r="LFM106" s="12"/>
      <c r="LFN106" s="12"/>
      <c r="LGE106" s="12"/>
      <c r="LGF106" s="12"/>
      <c r="LGW106" s="12"/>
      <c r="LGX106" s="12"/>
      <c r="LHO106" s="12"/>
      <c r="LHP106" s="12"/>
      <c r="LIG106" s="12"/>
      <c r="LIH106" s="12"/>
      <c r="LIY106" s="12"/>
      <c r="LIZ106" s="12"/>
      <c r="LJQ106" s="12"/>
      <c r="LJR106" s="12"/>
      <c r="LKI106" s="12"/>
      <c r="LKJ106" s="12"/>
      <c r="LLA106" s="12"/>
      <c r="LLB106" s="12"/>
      <c r="LLS106" s="12"/>
      <c r="LLT106" s="12"/>
      <c r="LMK106" s="12"/>
      <c r="LML106" s="12"/>
      <c r="LNC106" s="12"/>
      <c r="LND106" s="12"/>
      <c r="LNU106" s="12"/>
      <c r="LNV106" s="12"/>
      <c r="LOM106" s="12"/>
      <c r="LON106" s="12"/>
      <c r="LPE106" s="12"/>
      <c r="LPF106" s="12"/>
      <c r="LPW106" s="12"/>
      <c r="LPX106" s="12"/>
      <c r="LQO106" s="12"/>
      <c r="LQP106" s="12"/>
      <c r="LRG106" s="12"/>
      <c r="LRH106" s="12"/>
      <c r="LRY106" s="12"/>
      <c r="LRZ106" s="12"/>
      <c r="LSQ106" s="12"/>
      <c r="LSR106" s="12"/>
      <c r="LTI106" s="12"/>
      <c r="LTJ106" s="12"/>
      <c r="LUA106" s="12"/>
      <c r="LUB106" s="12"/>
      <c r="LUS106" s="12"/>
      <c r="LUT106" s="12"/>
      <c r="LVK106" s="12"/>
      <c r="LVL106" s="12"/>
      <c r="LWC106" s="12"/>
      <c r="LWD106" s="12"/>
      <c r="LWU106" s="12"/>
      <c r="LWV106" s="12"/>
      <c r="LXM106" s="12"/>
      <c r="LXN106" s="12"/>
      <c r="LYE106" s="12"/>
      <c r="LYF106" s="12"/>
      <c r="LYW106" s="12"/>
      <c r="LYX106" s="12"/>
      <c r="LZO106" s="12"/>
      <c r="LZP106" s="12"/>
      <c r="MAG106" s="12"/>
      <c r="MAH106" s="12"/>
      <c r="MAY106" s="12"/>
      <c r="MAZ106" s="12"/>
      <c r="MBQ106" s="12"/>
      <c r="MBR106" s="12"/>
      <c r="MCI106" s="12"/>
      <c r="MCJ106" s="12"/>
      <c r="MDA106" s="12"/>
      <c r="MDB106" s="12"/>
      <c r="MDS106" s="12"/>
      <c r="MDT106" s="12"/>
      <c r="MEK106" s="12"/>
      <c r="MEL106" s="12"/>
      <c r="MFC106" s="12"/>
      <c r="MFD106" s="12"/>
      <c r="MFU106" s="12"/>
      <c r="MFV106" s="12"/>
      <c r="MGM106" s="12"/>
      <c r="MGN106" s="12"/>
      <c r="MHE106" s="12"/>
      <c r="MHF106" s="12"/>
      <c r="MHW106" s="12"/>
      <c r="MHX106" s="12"/>
      <c r="MIO106" s="12"/>
      <c r="MIP106" s="12"/>
      <c r="MJG106" s="12"/>
      <c r="MJH106" s="12"/>
      <c r="MJY106" s="12"/>
      <c r="MJZ106" s="12"/>
      <c r="MKQ106" s="12"/>
      <c r="MKR106" s="12"/>
      <c r="MLI106" s="12"/>
      <c r="MLJ106" s="12"/>
      <c r="MMA106" s="12"/>
      <c r="MMB106" s="12"/>
      <c r="MMS106" s="12"/>
      <c r="MMT106" s="12"/>
      <c r="MNK106" s="12"/>
      <c r="MNL106" s="12"/>
      <c r="MOC106" s="12"/>
      <c r="MOD106" s="12"/>
      <c r="MOU106" s="12"/>
      <c r="MOV106" s="12"/>
      <c r="MPM106" s="12"/>
      <c r="MPN106" s="12"/>
      <c r="MQE106" s="12"/>
      <c r="MQF106" s="12"/>
      <c r="MQW106" s="12"/>
      <c r="MQX106" s="12"/>
      <c r="MRO106" s="12"/>
      <c r="MRP106" s="12"/>
      <c r="MSG106" s="12"/>
      <c r="MSH106" s="12"/>
      <c r="MSY106" s="12"/>
      <c r="MSZ106" s="12"/>
      <c r="MTQ106" s="12"/>
      <c r="MTR106" s="12"/>
      <c r="MUI106" s="12"/>
      <c r="MUJ106" s="12"/>
      <c r="MVA106" s="12"/>
      <c r="MVB106" s="12"/>
      <c r="MVS106" s="12"/>
      <c r="MVT106" s="12"/>
      <c r="MWK106" s="12"/>
      <c r="MWL106" s="12"/>
      <c r="MXC106" s="12"/>
      <c r="MXD106" s="12"/>
      <c r="MXU106" s="12"/>
      <c r="MXV106" s="12"/>
      <c r="MYM106" s="12"/>
      <c r="MYN106" s="12"/>
      <c r="MZE106" s="12"/>
      <c r="MZF106" s="12"/>
      <c r="MZW106" s="12"/>
      <c r="MZX106" s="12"/>
      <c r="NAO106" s="12"/>
      <c r="NAP106" s="12"/>
      <c r="NBG106" s="12"/>
      <c r="NBH106" s="12"/>
      <c r="NBY106" s="12"/>
      <c r="NBZ106" s="12"/>
      <c r="NCQ106" s="12"/>
      <c r="NCR106" s="12"/>
      <c r="NDI106" s="12"/>
      <c r="NDJ106" s="12"/>
      <c r="NEA106" s="12"/>
      <c r="NEB106" s="12"/>
      <c r="NES106" s="12"/>
      <c r="NET106" s="12"/>
      <c r="NFK106" s="12"/>
      <c r="NFL106" s="12"/>
      <c r="NGC106" s="12"/>
      <c r="NGD106" s="12"/>
      <c r="NGU106" s="12"/>
      <c r="NGV106" s="12"/>
      <c r="NHM106" s="12"/>
      <c r="NHN106" s="12"/>
      <c r="NIE106" s="12"/>
      <c r="NIF106" s="12"/>
      <c r="NIW106" s="12"/>
      <c r="NIX106" s="12"/>
      <c r="NJO106" s="12"/>
      <c r="NJP106" s="12"/>
      <c r="NKG106" s="12"/>
      <c r="NKH106" s="12"/>
      <c r="NKY106" s="12"/>
      <c r="NKZ106" s="12"/>
      <c r="NLQ106" s="12"/>
      <c r="NLR106" s="12"/>
      <c r="NMI106" s="12"/>
      <c r="NMJ106" s="12"/>
      <c r="NNA106" s="12"/>
      <c r="NNB106" s="12"/>
      <c r="NNS106" s="12"/>
      <c r="NNT106" s="12"/>
      <c r="NOK106" s="12"/>
      <c r="NOL106" s="12"/>
      <c r="NPC106" s="12"/>
      <c r="NPD106" s="12"/>
      <c r="NPU106" s="12"/>
      <c r="NPV106" s="12"/>
      <c r="NQM106" s="12"/>
      <c r="NQN106" s="12"/>
      <c r="NRE106" s="12"/>
      <c r="NRF106" s="12"/>
      <c r="NRW106" s="12"/>
      <c r="NRX106" s="12"/>
      <c r="NSO106" s="12"/>
      <c r="NSP106" s="12"/>
      <c r="NTG106" s="12"/>
      <c r="NTH106" s="12"/>
      <c r="NTY106" s="12"/>
      <c r="NTZ106" s="12"/>
      <c r="NUQ106" s="12"/>
      <c r="NUR106" s="12"/>
      <c r="NVI106" s="12"/>
      <c r="NVJ106" s="12"/>
      <c r="NWA106" s="12"/>
      <c r="NWB106" s="12"/>
      <c r="NWS106" s="12"/>
      <c r="NWT106" s="12"/>
      <c r="NXK106" s="12"/>
      <c r="NXL106" s="12"/>
      <c r="NYC106" s="12"/>
      <c r="NYD106" s="12"/>
      <c r="NYU106" s="12"/>
      <c r="NYV106" s="12"/>
      <c r="NZM106" s="12"/>
      <c r="NZN106" s="12"/>
      <c r="OAE106" s="12"/>
      <c r="OAF106" s="12"/>
      <c r="OAW106" s="12"/>
      <c r="OAX106" s="12"/>
      <c r="OBO106" s="12"/>
      <c r="OBP106" s="12"/>
      <c r="OCG106" s="12"/>
      <c r="OCH106" s="12"/>
      <c r="OCY106" s="12"/>
      <c r="OCZ106" s="12"/>
      <c r="ODQ106" s="12"/>
      <c r="ODR106" s="12"/>
      <c r="OEI106" s="12"/>
      <c r="OEJ106" s="12"/>
      <c r="OFA106" s="12"/>
      <c r="OFB106" s="12"/>
      <c r="OFS106" s="12"/>
      <c r="OFT106" s="12"/>
      <c r="OGK106" s="12"/>
      <c r="OGL106" s="12"/>
      <c r="OHC106" s="12"/>
      <c r="OHD106" s="12"/>
      <c r="OHU106" s="12"/>
      <c r="OHV106" s="12"/>
      <c r="OIM106" s="12"/>
      <c r="OIN106" s="12"/>
      <c r="OJE106" s="12"/>
      <c r="OJF106" s="12"/>
      <c r="OJW106" s="12"/>
      <c r="OJX106" s="12"/>
      <c r="OKO106" s="12"/>
      <c r="OKP106" s="12"/>
      <c r="OLG106" s="12"/>
      <c r="OLH106" s="12"/>
      <c r="OLY106" s="12"/>
      <c r="OLZ106" s="12"/>
      <c r="OMQ106" s="12"/>
      <c r="OMR106" s="12"/>
      <c r="ONI106" s="12"/>
      <c r="ONJ106" s="12"/>
      <c r="OOA106" s="12"/>
      <c r="OOB106" s="12"/>
      <c r="OOS106" s="12"/>
      <c r="OOT106" s="12"/>
      <c r="OPK106" s="12"/>
      <c r="OPL106" s="12"/>
      <c r="OQC106" s="12"/>
      <c r="OQD106" s="12"/>
      <c r="OQU106" s="12"/>
      <c r="OQV106" s="12"/>
      <c r="ORM106" s="12"/>
      <c r="ORN106" s="12"/>
      <c r="OSE106" s="12"/>
      <c r="OSF106" s="12"/>
      <c r="OSW106" s="12"/>
      <c r="OSX106" s="12"/>
      <c r="OTO106" s="12"/>
      <c r="OTP106" s="12"/>
      <c r="OUG106" s="12"/>
      <c r="OUH106" s="12"/>
      <c r="OUY106" s="12"/>
      <c r="OUZ106" s="12"/>
      <c r="OVQ106" s="12"/>
      <c r="OVR106" s="12"/>
      <c r="OWI106" s="12"/>
      <c r="OWJ106" s="12"/>
      <c r="OXA106" s="12"/>
      <c r="OXB106" s="12"/>
      <c r="OXS106" s="12"/>
      <c r="OXT106" s="12"/>
      <c r="OYK106" s="12"/>
      <c r="OYL106" s="12"/>
      <c r="OZC106" s="12"/>
      <c r="OZD106" s="12"/>
      <c r="OZU106" s="12"/>
      <c r="OZV106" s="12"/>
      <c r="PAM106" s="12"/>
      <c r="PAN106" s="12"/>
      <c r="PBE106" s="12"/>
      <c r="PBF106" s="12"/>
      <c r="PBW106" s="12"/>
      <c r="PBX106" s="12"/>
      <c r="PCO106" s="12"/>
      <c r="PCP106" s="12"/>
      <c r="PDG106" s="12"/>
      <c r="PDH106" s="12"/>
      <c r="PDY106" s="12"/>
      <c r="PDZ106" s="12"/>
      <c r="PEQ106" s="12"/>
      <c r="PER106" s="12"/>
      <c r="PFI106" s="12"/>
      <c r="PFJ106" s="12"/>
      <c r="PGA106" s="12"/>
      <c r="PGB106" s="12"/>
      <c r="PGS106" s="12"/>
      <c r="PGT106" s="12"/>
      <c r="PHK106" s="12"/>
      <c r="PHL106" s="12"/>
      <c r="PIC106" s="12"/>
      <c r="PID106" s="12"/>
      <c r="PIU106" s="12"/>
      <c r="PIV106" s="12"/>
      <c r="PJM106" s="12"/>
      <c r="PJN106" s="12"/>
      <c r="PKE106" s="12"/>
      <c r="PKF106" s="12"/>
      <c r="PKW106" s="12"/>
      <c r="PKX106" s="12"/>
      <c r="PLO106" s="12"/>
      <c r="PLP106" s="12"/>
      <c r="PMG106" s="12"/>
      <c r="PMH106" s="12"/>
      <c r="PMY106" s="12"/>
      <c r="PMZ106" s="12"/>
      <c r="PNQ106" s="12"/>
      <c r="PNR106" s="12"/>
      <c r="POI106" s="12"/>
      <c r="POJ106" s="12"/>
      <c r="PPA106" s="12"/>
      <c r="PPB106" s="12"/>
      <c r="PPS106" s="12"/>
      <c r="PPT106" s="12"/>
      <c r="PQK106" s="12"/>
      <c r="PQL106" s="12"/>
      <c r="PRC106" s="12"/>
      <c r="PRD106" s="12"/>
      <c r="PRU106" s="12"/>
      <c r="PRV106" s="12"/>
      <c r="PSM106" s="12"/>
      <c r="PSN106" s="12"/>
      <c r="PTE106" s="12"/>
      <c r="PTF106" s="12"/>
      <c r="PTW106" s="12"/>
      <c r="PTX106" s="12"/>
      <c r="PUO106" s="12"/>
      <c r="PUP106" s="12"/>
      <c r="PVG106" s="12"/>
      <c r="PVH106" s="12"/>
      <c r="PVY106" s="12"/>
      <c r="PVZ106" s="12"/>
      <c r="PWQ106" s="12"/>
      <c r="PWR106" s="12"/>
      <c r="PXI106" s="12"/>
      <c r="PXJ106" s="12"/>
      <c r="PYA106" s="12"/>
      <c r="PYB106" s="12"/>
      <c r="PYS106" s="12"/>
      <c r="PYT106" s="12"/>
      <c r="PZK106" s="12"/>
      <c r="PZL106" s="12"/>
      <c r="QAC106" s="12"/>
      <c r="QAD106" s="12"/>
      <c r="QAU106" s="12"/>
      <c r="QAV106" s="12"/>
      <c r="QBM106" s="12"/>
      <c r="QBN106" s="12"/>
      <c r="QCE106" s="12"/>
      <c r="QCF106" s="12"/>
      <c r="QCW106" s="12"/>
      <c r="QCX106" s="12"/>
      <c r="QDO106" s="12"/>
      <c r="QDP106" s="12"/>
      <c r="QEG106" s="12"/>
      <c r="QEH106" s="12"/>
      <c r="QEY106" s="12"/>
      <c r="QEZ106" s="12"/>
      <c r="QFQ106" s="12"/>
      <c r="QFR106" s="12"/>
      <c r="QGI106" s="12"/>
      <c r="QGJ106" s="12"/>
      <c r="QHA106" s="12"/>
      <c r="QHB106" s="12"/>
      <c r="QHS106" s="12"/>
      <c r="QHT106" s="12"/>
      <c r="QIK106" s="12"/>
      <c r="QIL106" s="12"/>
      <c r="QJC106" s="12"/>
      <c r="QJD106" s="12"/>
      <c r="QJU106" s="12"/>
      <c r="QJV106" s="12"/>
      <c r="QKM106" s="12"/>
      <c r="QKN106" s="12"/>
      <c r="QLE106" s="12"/>
      <c r="QLF106" s="12"/>
      <c r="QLW106" s="12"/>
      <c r="QLX106" s="12"/>
      <c r="QMO106" s="12"/>
      <c r="QMP106" s="12"/>
      <c r="QNG106" s="12"/>
      <c r="QNH106" s="12"/>
      <c r="QNY106" s="12"/>
      <c r="QNZ106" s="12"/>
      <c r="QOQ106" s="12"/>
      <c r="QOR106" s="12"/>
      <c r="QPI106" s="12"/>
      <c r="QPJ106" s="12"/>
      <c r="QQA106" s="12"/>
      <c r="QQB106" s="12"/>
      <c r="QQS106" s="12"/>
      <c r="QQT106" s="12"/>
      <c r="QRK106" s="12"/>
      <c r="QRL106" s="12"/>
      <c r="QSC106" s="12"/>
      <c r="QSD106" s="12"/>
      <c r="QSU106" s="12"/>
      <c r="QSV106" s="12"/>
      <c r="QTM106" s="12"/>
      <c r="QTN106" s="12"/>
      <c r="QUE106" s="12"/>
      <c r="QUF106" s="12"/>
      <c r="QUW106" s="12"/>
      <c r="QUX106" s="12"/>
      <c r="QVO106" s="12"/>
      <c r="QVP106" s="12"/>
      <c r="QWG106" s="12"/>
      <c r="QWH106" s="12"/>
      <c r="QWY106" s="12"/>
      <c r="QWZ106" s="12"/>
      <c r="QXQ106" s="12"/>
      <c r="QXR106" s="12"/>
      <c r="QYI106" s="12"/>
      <c r="QYJ106" s="12"/>
      <c r="QZA106" s="12"/>
      <c r="QZB106" s="12"/>
      <c r="QZS106" s="12"/>
      <c r="QZT106" s="12"/>
      <c r="RAK106" s="12"/>
      <c r="RAL106" s="12"/>
      <c r="RBC106" s="12"/>
      <c r="RBD106" s="12"/>
      <c r="RBU106" s="12"/>
      <c r="RBV106" s="12"/>
      <c r="RCM106" s="12"/>
      <c r="RCN106" s="12"/>
      <c r="RDE106" s="12"/>
      <c r="RDF106" s="12"/>
      <c r="RDW106" s="12"/>
      <c r="RDX106" s="12"/>
      <c r="REO106" s="12"/>
      <c r="REP106" s="12"/>
      <c r="RFG106" s="12"/>
      <c r="RFH106" s="12"/>
      <c r="RFY106" s="12"/>
      <c r="RFZ106" s="12"/>
      <c r="RGQ106" s="12"/>
      <c r="RGR106" s="12"/>
      <c r="RHI106" s="12"/>
      <c r="RHJ106" s="12"/>
      <c r="RIA106" s="12"/>
      <c r="RIB106" s="12"/>
      <c r="RIS106" s="12"/>
      <c r="RIT106" s="12"/>
      <c r="RJK106" s="12"/>
      <c r="RJL106" s="12"/>
      <c r="RKC106" s="12"/>
      <c r="RKD106" s="12"/>
      <c r="RKU106" s="12"/>
      <c r="RKV106" s="12"/>
      <c r="RLM106" s="12"/>
      <c r="RLN106" s="12"/>
      <c r="RME106" s="12"/>
      <c r="RMF106" s="12"/>
      <c r="RMW106" s="12"/>
      <c r="RMX106" s="12"/>
      <c r="RNO106" s="12"/>
      <c r="RNP106" s="12"/>
      <c r="ROG106" s="12"/>
      <c r="ROH106" s="12"/>
      <c r="ROY106" s="12"/>
      <c r="ROZ106" s="12"/>
      <c r="RPQ106" s="12"/>
      <c r="RPR106" s="12"/>
      <c r="RQI106" s="12"/>
      <c r="RQJ106" s="12"/>
      <c r="RRA106" s="12"/>
      <c r="RRB106" s="12"/>
      <c r="RRS106" s="12"/>
      <c r="RRT106" s="12"/>
      <c r="RSK106" s="12"/>
      <c r="RSL106" s="12"/>
      <c r="RTC106" s="12"/>
      <c r="RTD106" s="12"/>
      <c r="RTU106" s="12"/>
      <c r="RTV106" s="12"/>
      <c r="RUM106" s="12"/>
      <c r="RUN106" s="12"/>
      <c r="RVE106" s="12"/>
      <c r="RVF106" s="12"/>
      <c r="RVW106" s="12"/>
      <c r="RVX106" s="12"/>
      <c r="RWO106" s="12"/>
      <c r="RWP106" s="12"/>
      <c r="RXG106" s="12"/>
      <c r="RXH106" s="12"/>
      <c r="RXY106" s="12"/>
      <c r="RXZ106" s="12"/>
      <c r="RYQ106" s="12"/>
      <c r="RYR106" s="12"/>
      <c r="RZI106" s="12"/>
      <c r="RZJ106" s="12"/>
      <c r="SAA106" s="12"/>
      <c r="SAB106" s="12"/>
      <c r="SAS106" s="12"/>
      <c r="SAT106" s="12"/>
      <c r="SBK106" s="12"/>
      <c r="SBL106" s="12"/>
      <c r="SCC106" s="12"/>
      <c r="SCD106" s="12"/>
      <c r="SCU106" s="12"/>
      <c r="SCV106" s="12"/>
      <c r="SDM106" s="12"/>
      <c r="SDN106" s="12"/>
      <c r="SEE106" s="12"/>
      <c r="SEF106" s="12"/>
      <c r="SEW106" s="12"/>
      <c r="SEX106" s="12"/>
      <c r="SFO106" s="12"/>
      <c r="SFP106" s="12"/>
      <c r="SGG106" s="12"/>
      <c r="SGH106" s="12"/>
      <c r="SGY106" s="12"/>
      <c r="SGZ106" s="12"/>
      <c r="SHQ106" s="12"/>
      <c r="SHR106" s="12"/>
      <c r="SII106" s="12"/>
      <c r="SIJ106" s="12"/>
      <c r="SJA106" s="12"/>
      <c r="SJB106" s="12"/>
      <c r="SJS106" s="12"/>
      <c r="SJT106" s="12"/>
      <c r="SKK106" s="12"/>
      <c r="SKL106" s="12"/>
      <c r="SLC106" s="12"/>
      <c r="SLD106" s="12"/>
      <c r="SLU106" s="12"/>
      <c r="SLV106" s="12"/>
      <c r="SMM106" s="12"/>
      <c r="SMN106" s="12"/>
      <c r="SNE106" s="12"/>
      <c r="SNF106" s="12"/>
      <c r="SNW106" s="12"/>
      <c r="SNX106" s="12"/>
      <c r="SOO106" s="12"/>
      <c r="SOP106" s="12"/>
      <c r="SPG106" s="12"/>
      <c r="SPH106" s="12"/>
      <c r="SPY106" s="12"/>
      <c r="SPZ106" s="12"/>
      <c r="SQQ106" s="12"/>
      <c r="SQR106" s="12"/>
      <c r="SRI106" s="12"/>
      <c r="SRJ106" s="12"/>
      <c r="SSA106" s="12"/>
      <c r="SSB106" s="12"/>
      <c r="SSS106" s="12"/>
      <c r="SST106" s="12"/>
      <c r="STK106" s="12"/>
      <c r="STL106" s="12"/>
      <c r="SUC106" s="12"/>
      <c r="SUD106" s="12"/>
      <c r="SUU106" s="12"/>
      <c r="SUV106" s="12"/>
      <c r="SVM106" s="12"/>
      <c r="SVN106" s="12"/>
      <c r="SWE106" s="12"/>
      <c r="SWF106" s="12"/>
      <c r="SWW106" s="12"/>
      <c r="SWX106" s="12"/>
      <c r="SXO106" s="12"/>
      <c r="SXP106" s="12"/>
      <c r="SYG106" s="12"/>
      <c r="SYH106" s="12"/>
      <c r="SYY106" s="12"/>
      <c r="SYZ106" s="12"/>
      <c r="SZQ106" s="12"/>
      <c r="SZR106" s="12"/>
      <c r="TAI106" s="12"/>
      <c r="TAJ106" s="12"/>
      <c r="TBA106" s="12"/>
      <c r="TBB106" s="12"/>
      <c r="TBS106" s="12"/>
      <c r="TBT106" s="12"/>
      <c r="TCK106" s="12"/>
      <c r="TCL106" s="12"/>
      <c r="TDC106" s="12"/>
      <c r="TDD106" s="12"/>
      <c r="TDU106" s="12"/>
      <c r="TDV106" s="12"/>
      <c r="TEM106" s="12"/>
      <c r="TEN106" s="12"/>
      <c r="TFE106" s="12"/>
      <c r="TFF106" s="12"/>
      <c r="TFW106" s="12"/>
      <c r="TFX106" s="12"/>
      <c r="TGO106" s="12"/>
      <c r="TGP106" s="12"/>
      <c r="THG106" s="12"/>
      <c r="THH106" s="12"/>
      <c r="THY106" s="12"/>
      <c r="THZ106" s="12"/>
      <c r="TIQ106" s="12"/>
      <c r="TIR106" s="12"/>
      <c r="TJI106" s="12"/>
      <c r="TJJ106" s="12"/>
      <c r="TKA106" s="12"/>
      <c r="TKB106" s="12"/>
      <c r="TKS106" s="12"/>
      <c r="TKT106" s="12"/>
      <c r="TLK106" s="12"/>
      <c r="TLL106" s="12"/>
      <c r="TMC106" s="12"/>
      <c r="TMD106" s="12"/>
      <c r="TMU106" s="12"/>
      <c r="TMV106" s="12"/>
      <c r="TNM106" s="12"/>
      <c r="TNN106" s="12"/>
      <c r="TOE106" s="12"/>
      <c r="TOF106" s="12"/>
      <c r="TOW106" s="12"/>
      <c r="TOX106" s="12"/>
      <c r="TPO106" s="12"/>
      <c r="TPP106" s="12"/>
      <c r="TQG106" s="12"/>
      <c r="TQH106" s="12"/>
      <c r="TQY106" s="12"/>
      <c r="TQZ106" s="12"/>
      <c r="TRQ106" s="12"/>
      <c r="TRR106" s="12"/>
      <c r="TSI106" s="12"/>
      <c r="TSJ106" s="12"/>
      <c r="TTA106" s="12"/>
      <c r="TTB106" s="12"/>
      <c r="TTS106" s="12"/>
      <c r="TTT106" s="12"/>
      <c r="TUK106" s="12"/>
      <c r="TUL106" s="12"/>
      <c r="TVC106" s="12"/>
      <c r="TVD106" s="12"/>
      <c r="TVU106" s="12"/>
      <c r="TVV106" s="12"/>
      <c r="TWM106" s="12"/>
      <c r="TWN106" s="12"/>
      <c r="TXE106" s="12"/>
      <c r="TXF106" s="12"/>
      <c r="TXW106" s="12"/>
      <c r="TXX106" s="12"/>
      <c r="TYO106" s="12"/>
      <c r="TYP106" s="12"/>
      <c r="TZG106" s="12"/>
      <c r="TZH106" s="12"/>
      <c r="TZY106" s="12"/>
      <c r="TZZ106" s="12"/>
      <c r="UAQ106" s="12"/>
      <c r="UAR106" s="12"/>
      <c r="UBI106" s="12"/>
      <c r="UBJ106" s="12"/>
      <c r="UCA106" s="12"/>
      <c r="UCB106" s="12"/>
      <c r="UCS106" s="12"/>
      <c r="UCT106" s="12"/>
      <c r="UDK106" s="12"/>
      <c r="UDL106" s="12"/>
      <c r="UEC106" s="12"/>
      <c r="UED106" s="12"/>
      <c r="UEU106" s="12"/>
      <c r="UEV106" s="12"/>
      <c r="UFM106" s="12"/>
      <c r="UFN106" s="12"/>
      <c r="UGE106" s="12"/>
      <c r="UGF106" s="12"/>
      <c r="UGW106" s="12"/>
      <c r="UGX106" s="12"/>
      <c r="UHO106" s="12"/>
      <c r="UHP106" s="12"/>
      <c r="UIG106" s="12"/>
      <c r="UIH106" s="12"/>
      <c r="UIY106" s="12"/>
      <c r="UIZ106" s="12"/>
      <c r="UJQ106" s="12"/>
      <c r="UJR106" s="12"/>
      <c r="UKI106" s="12"/>
      <c r="UKJ106" s="12"/>
      <c r="ULA106" s="12"/>
      <c r="ULB106" s="12"/>
      <c r="ULS106" s="12"/>
      <c r="ULT106" s="12"/>
      <c r="UMK106" s="12"/>
      <c r="UML106" s="12"/>
      <c r="UNC106" s="12"/>
      <c r="UND106" s="12"/>
      <c r="UNU106" s="12"/>
      <c r="UNV106" s="12"/>
      <c r="UOM106" s="12"/>
      <c r="UON106" s="12"/>
      <c r="UPE106" s="12"/>
      <c r="UPF106" s="12"/>
      <c r="UPW106" s="12"/>
      <c r="UPX106" s="12"/>
      <c r="UQO106" s="12"/>
      <c r="UQP106" s="12"/>
      <c r="URG106" s="12"/>
      <c r="URH106" s="12"/>
      <c r="URY106" s="12"/>
      <c r="URZ106" s="12"/>
      <c r="USQ106" s="12"/>
      <c r="USR106" s="12"/>
      <c r="UTI106" s="12"/>
      <c r="UTJ106" s="12"/>
      <c r="UUA106" s="12"/>
      <c r="UUB106" s="12"/>
      <c r="UUS106" s="12"/>
      <c r="UUT106" s="12"/>
      <c r="UVK106" s="12"/>
      <c r="UVL106" s="12"/>
      <c r="UWC106" s="12"/>
      <c r="UWD106" s="12"/>
      <c r="UWU106" s="12"/>
      <c r="UWV106" s="12"/>
      <c r="UXM106" s="12"/>
      <c r="UXN106" s="12"/>
      <c r="UYE106" s="12"/>
      <c r="UYF106" s="12"/>
      <c r="UYW106" s="12"/>
      <c r="UYX106" s="12"/>
      <c r="UZO106" s="12"/>
      <c r="UZP106" s="12"/>
      <c r="VAG106" s="12"/>
      <c r="VAH106" s="12"/>
      <c r="VAY106" s="12"/>
      <c r="VAZ106" s="12"/>
      <c r="VBQ106" s="12"/>
      <c r="VBR106" s="12"/>
      <c r="VCI106" s="12"/>
      <c r="VCJ106" s="12"/>
      <c r="VDA106" s="12"/>
      <c r="VDB106" s="12"/>
      <c r="VDS106" s="12"/>
      <c r="VDT106" s="12"/>
      <c r="VEK106" s="12"/>
      <c r="VEL106" s="12"/>
      <c r="VFC106" s="12"/>
      <c r="VFD106" s="12"/>
      <c r="VFU106" s="12"/>
      <c r="VFV106" s="12"/>
      <c r="VGM106" s="12"/>
      <c r="VGN106" s="12"/>
      <c r="VHE106" s="12"/>
      <c r="VHF106" s="12"/>
      <c r="VHW106" s="12"/>
      <c r="VHX106" s="12"/>
      <c r="VIO106" s="12"/>
      <c r="VIP106" s="12"/>
      <c r="VJG106" s="12"/>
      <c r="VJH106" s="12"/>
      <c r="VJY106" s="12"/>
      <c r="VJZ106" s="12"/>
      <c r="VKQ106" s="12"/>
      <c r="VKR106" s="12"/>
      <c r="VLI106" s="12"/>
      <c r="VLJ106" s="12"/>
      <c r="VMA106" s="12"/>
      <c r="VMB106" s="12"/>
      <c r="VMS106" s="12"/>
      <c r="VMT106" s="12"/>
      <c r="VNK106" s="12"/>
      <c r="VNL106" s="12"/>
      <c r="VOC106" s="12"/>
      <c r="VOD106" s="12"/>
      <c r="VOU106" s="12"/>
      <c r="VOV106" s="12"/>
      <c r="VPM106" s="12"/>
      <c r="VPN106" s="12"/>
      <c r="VQE106" s="12"/>
      <c r="VQF106" s="12"/>
      <c r="VQW106" s="12"/>
      <c r="VQX106" s="12"/>
      <c r="VRO106" s="12"/>
      <c r="VRP106" s="12"/>
      <c r="VSG106" s="12"/>
      <c r="VSH106" s="12"/>
      <c r="VSY106" s="12"/>
      <c r="VSZ106" s="12"/>
      <c r="VTQ106" s="12"/>
      <c r="VTR106" s="12"/>
      <c r="VUI106" s="12"/>
      <c r="VUJ106" s="12"/>
      <c r="VVA106" s="12"/>
      <c r="VVB106" s="12"/>
      <c r="VVS106" s="12"/>
      <c r="VVT106" s="12"/>
      <c r="VWK106" s="12"/>
      <c r="VWL106" s="12"/>
      <c r="VXC106" s="12"/>
      <c r="VXD106" s="12"/>
      <c r="VXU106" s="12"/>
      <c r="VXV106" s="12"/>
      <c r="VYM106" s="12"/>
      <c r="VYN106" s="12"/>
      <c r="VZE106" s="12"/>
      <c r="VZF106" s="12"/>
      <c r="VZW106" s="12"/>
      <c r="VZX106" s="12"/>
      <c r="WAO106" s="12"/>
      <c r="WAP106" s="12"/>
      <c r="WBG106" s="12"/>
      <c r="WBH106" s="12"/>
      <c r="WBY106" s="12"/>
      <c r="WBZ106" s="12"/>
      <c r="WCQ106" s="12"/>
      <c r="WCR106" s="12"/>
      <c r="WDI106" s="12"/>
      <c r="WDJ106" s="12"/>
      <c r="WEA106" s="12"/>
      <c r="WEB106" s="12"/>
      <c r="WES106" s="12"/>
      <c r="WET106" s="12"/>
      <c r="WFK106" s="12"/>
      <c r="WFL106" s="12"/>
      <c r="WGC106" s="12"/>
      <c r="WGD106" s="12"/>
      <c r="WGU106" s="12"/>
      <c r="WGV106" s="12"/>
      <c r="WHM106" s="12"/>
      <c r="WHN106" s="12"/>
      <c r="WIE106" s="12"/>
      <c r="WIF106" s="12"/>
      <c r="WIW106" s="12"/>
      <c r="WIX106" s="12"/>
      <c r="WJO106" s="12"/>
      <c r="WJP106" s="12"/>
      <c r="WKG106" s="12"/>
      <c r="WKH106" s="12"/>
      <c r="WKY106" s="12"/>
      <c r="WKZ106" s="12"/>
      <c r="WLQ106" s="12"/>
      <c r="WLR106" s="12"/>
      <c r="WMI106" s="12"/>
      <c r="WMJ106" s="12"/>
      <c r="WNA106" s="12"/>
      <c r="WNB106" s="12"/>
      <c r="WNS106" s="12"/>
      <c r="WNT106" s="12"/>
      <c r="WOK106" s="12"/>
      <c r="WOL106" s="12"/>
      <c r="WPC106" s="12"/>
      <c r="WPD106" s="12"/>
      <c r="WPU106" s="12"/>
      <c r="WPV106" s="12"/>
      <c r="WQM106" s="12"/>
      <c r="WQN106" s="12"/>
      <c r="WRE106" s="12"/>
      <c r="WRF106" s="12"/>
      <c r="WRW106" s="12"/>
      <c r="WRX106" s="12"/>
      <c r="WSO106" s="12"/>
      <c r="WSP106" s="12"/>
      <c r="WTG106" s="12"/>
      <c r="WTH106" s="12"/>
      <c r="WTY106" s="12"/>
      <c r="WTZ106" s="12"/>
      <c r="WUQ106" s="12"/>
      <c r="WUR106" s="12"/>
      <c r="WVI106" s="12"/>
      <c r="WVJ106" s="12"/>
      <c r="WWA106" s="12"/>
      <c r="WWB106" s="12"/>
      <c r="WWS106" s="12"/>
      <c r="WWT106" s="12"/>
      <c r="WXK106" s="12"/>
      <c r="WXL106" s="12"/>
      <c r="WYC106" s="12"/>
      <c r="WYD106" s="12"/>
      <c r="WYU106" s="12"/>
      <c r="WYV106" s="12"/>
      <c r="WZM106" s="12"/>
      <c r="WZN106" s="12"/>
      <c r="XAE106" s="12"/>
      <c r="XAF106" s="12"/>
      <c r="XAW106" s="12"/>
      <c r="XAX106" s="12"/>
      <c r="XBO106" s="12"/>
      <c r="XBP106" s="12"/>
      <c r="XCG106" s="12"/>
      <c r="XCH106" s="12"/>
      <c r="XCY106" s="12"/>
      <c r="XCZ106" s="12"/>
      <c r="XDQ106" s="12"/>
      <c r="XDR106" s="12"/>
      <c r="XEI106" s="12"/>
      <c r="XEJ106" s="12"/>
      <c r="XFA106" s="12"/>
      <c r="XFB106" s="12"/>
    </row>
    <row r="107" spans="1:1010 1027:2036 2053:3062 3079:4088 4105:5114 5131:6140 6157:7166 7183:8192 8209:9200 9217:10226 10243:11252 11269:12278 12295:13304 13321:14330 14347:15356 15373:16382" s="11" customFormat="1" x14ac:dyDescent="0.35">
      <c r="A107" s="183" t="str">
        <f>'Balance Sheet - Standardized'!A109</f>
        <v xml:space="preserve">  + Share Capital &amp; APIC</v>
      </c>
      <c r="B107" s="75" t="str">
        <f>'Balance Sheet - Standardized'!B109</f>
        <v>BS_SH_CAP_AND_APIC</v>
      </c>
      <c r="C107" s="76">
        <f>IF('Balance Sheet - Standardized'!C109="",0,'Balance Sheet - Standardized'!C109)/'Balance Sheet - Standardized'!C$118</f>
        <v>0.30230912639575142</v>
      </c>
      <c r="D107" s="76">
        <f>IF('Balance Sheet - Standardized'!D109="",0,'Balance Sheet - Standardized'!D109)/'Balance Sheet - Standardized'!D$118</f>
        <v>0.30284941956268169</v>
      </c>
      <c r="E107" s="76">
        <f>IF('Balance Sheet - Standardized'!E109="",0,'Balance Sheet - Standardized'!E109)/'Balance Sheet - Standardized'!E$118</f>
        <v>0.31533666105625102</v>
      </c>
      <c r="F107" s="76">
        <f>IF('Balance Sheet - Standardized'!F109="",0,'Balance Sheet - Standardized'!F109)/'Balance Sheet - Standardized'!F$118</f>
        <v>0.33762476277828113</v>
      </c>
      <c r="G107" s="76">
        <f>IF('Balance Sheet - Standardized'!G109="",0,'Balance Sheet - Standardized'!G109)/'Balance Sheet - Standardized'!G$118</f>
        <v>0.32361197649722967</v>
      </c>
      <c r="H107" s="76">
        <f>IF('Balance Sheet - Standardized'!H109="",0,'Balance Sheet - Standardized'!H109)/'Balance Sheet - Standardized'!H$118</f>
        <v>0.31167841155874665</v>
      </c>
      <c r="I107" s="76">
        <f>IF('Balance Sheet - Standardized'!I109="",0,'Balance Sheet - Standardized'!I109)/'Balance Sheet - Standardized'!I$118</f>
        <v>0.28744553307673926</v>
      </c>
      <c r="J107" s="76">
        <f>IF('Balance Sheet - Standardized'!J109="",0,'Balance Sheet - Standardized'!J109)/'Balance Sheet - Standardized'!J$118</f>
        <v>0.2580966573100904</v>
      </c>
      <c r="K107" s="76">
        <f>IF('Balance Sheet - Standardized'!K109="",0,'Balance Sheet - Standardized'!K109)/'Balance Sheet - Standardized'!K$118</f>
        <v>0.25679932958059276</v>
      </c>
      <c r="L107" s="76">
        <f>IF('Balance Sheet - Standardized'!L109="",0,'Balance Sheet - Standardized'!L109)/'Balance Sheet - Standardized'!L$118</f>
        <v>0.24811673078727597</v>
      </c>
      <c r="M107" s="106"/>
      <c r="N107" s="106"/>
      <c r="O107" s="106"/>
      <c r="P107" s="106"/>
      <c r="Q107" s="106"/>
      <c r="R107" s="106"/>
      <c r="S107" s="78"/>
      <c r="T107" s="78"/>
      <c r="U107" s="106"/>
      <c r="V107" s="106"/>
      <c r="W107" s="106"/>
      <c r="X107" s="106"/>
      <c r="Y107" s="106"/>
      <c r="Z107" s="106"/>
      <c r="AA107" s="106"/>
      <c r="AB107" s="106"/>
      <c r="AC107" s="106"/>
      <c r="AD107" s="106"/>
      <c r="AE107" s="106"/>
      <c r="AF107" s="106"/>
      <c r="AG107" s="106"/>
      <c r="AH107" s="106"/>
      <c r="AI107" s="106"/>
      <c r="AJ107" s="106"/>
      <c r="AK107" s="78"/>
      <c r="AL107" s="78"/>
      <c r="AM107" s="106"/>
      <c r="AN107" s="106"/>
      <c r="AO107" s="106"/>
      <c r="AP107" s="106"/>
      <c r="AQ107" s="106"/>
      <c r="AR107" s="106"/>
      <c r="AS107" s="106"/>
      <c r="AT107" s="106"/>
      <c r="AU107" s="106"/>
      <c r="AV107" s="106"/>
      <c r="AW107" s="106"/>
      <c r="AX107" s="106"/>
      <c r="AY107" s="106"/>
      <c r="AZ107" s="106"/>
      <c r="BA107" s="106"/>
      <c r="BB107" s="106"/>
      <c r="BC107" s="78"/>
      <c r="BD107" s="78"/>
      <c r="BE107" s="106"/>
      <c r="BF107" s="106"/>
      <c r="BG107" s="106"/>
      <c r="BH107" s="106"/>
      <c r="BI107" s="106"/>
      <c r="BJ107" s="106"/>
      <c r="BU107" s="12"/>
      <c r="BV107" s="12"/>
      <c r="CM107" s="12"/>
      <c r="CN107" s="12"/>
      <c r="DE107" s="12"/>
      <c r="DF107" s="12"/>
      <c r="DW107" s="12"/>
      <c r="DX107" s="12"/>
      <c r="EO107" s="12"/>
      <c r="EP107" s="12"/>
      <c r="FG107" s="12"/>
      <c r="FH107" s="12"/>
      <c r="FY107" s="12"/>
      <c r="FZ107" s="12"/>
      <c r="GQ107" s="12"/>
      <c r="GR107" s="12"/>
      <c r="HI107" s="12"/>
      <c r="HJ107" s="12"/>
      <c r="IA107" s="12"/>
      <c r="IB107" s="12"/>
      <c r="IS107" s="12"/>
      <c r="IT107" s="12"/>
      <c r="JK107" s="12"/>
      <c r="JL107" s="12"/>
      <c r="KC107" s="12"/>
      <c r="KD107" s="12"/>
      <c r="KU107" s="12"/>
      <c r="KV107" s="12"/>
      <c r="LM107" s="12"/>
      <c r="LN107" s="12"/>
      <c r="ME107" s="12"/>
      <c r="MF107" s="12"/>
      <c r="MW107" s="12"/>
      <c r="MX107" s="12"/>
      <c r="NO107" s="12"/>
      <c r="NP107" s="12"/>
      <c r="OG107" s="12"/>
      <c r="OH107" s="12"/>
      <c r="OY107" s="12"/>
      <c r="OZ107" s="12"/>
      <c r="PQ107" s="12"/>
      <c r="PR107" s="12"/>
      <c r="QI107" s="12"/>
      <c r="QJ107" s="12"/>
      <c r="RA107" s="12"/>
      <c r="RB107" s="12"/>
      <c r="RS107" s="12"/>
      <c r="RT107" s="12"/>
      <c r="SK107" s="12"/>
      <c r="SL107" s="12"/>
      <c r="TC107" s="12"/>
      <c r="TD107" s="12"/>
      <c r="TU107" s="12"/>
      <c r="TV107" s="12"/>
      <c r="UM107" s="12"/>
      <c r="UN107" s="12"/>
      <c r="VE107" s="12"/>
      <c r="VF107" s="12"/>
      <c r="VW107" s="12"/>
      <c r="VX107" s="12"/>
      <c r="WO107" s="12"/>
      <c r="WP107" s="12"/>
      <c r="XG107" s="12"/>
      <c r="XH107" s="12"/>
      <c r="XY107" s="12"/>
      <c r="XZ107" s="12"/>
      <c r="YQ107" s="12"/>
      <c r="YR107" s="12"/>
      <c r="ZI107" s="12"/>
      <c r="ZJ107" s="12"/>
      <c r="AAA107" s="12"/>
      <c r="AAB107" s="12"/>
      <c r="AAS107" s="12"/>
      <c r="AAT107" s="12"/>
      <c r="ABK107" s="12"/>
      <c r="ABL107" s="12"/>
      <c r="ACC107" s="12"/>
      <c r="ACD107" s="12"/>
      <c r="ACU107" s="12"/>
      <c r="ACV107" s="12"/>
      <c r="ADM107" s="12"/>
      <c r="ADN107" s="12"/>
      <c r="AEE107" s="12"/>
      <c r="AEF107" s="12"/>
      <c r="AEW107" s="12"/>
      <c r="AEX107" s="12"/>
      <c r="AFO107" s="12"/>
      <c r="AFP107" s="12"/>
      <c r="AGG107" s="12"/>
      <c r="AGH107" s="12"/>
      <c r="AGY107" s="12"/>
      <c r="AGZ107" s="12"/>
      <c r="AHQ107" s="12"/>
      <c r="AHR107" s="12"/>
      <c r="AII107" s="12"/>
      <c r="AIJ107" s="12"/>
      <c r="AJA107" s="12"/>
      <c r="AJB107" s="12"/>
      <c r="AJS107" s="12"/>
      <c r="AJT107" s="12"/>
      <c r="AKK107" s="12"/>
      <c r="AKL107" s="12"/>
      <c r="ALC107" s="12"/>
      <c r="ALD107" s="12"/>
      <c r="ALU107" s="12"/>
      <c r="ALV107" s="12"/>
      <c r="AMM107" s="12"/>
      <c r="AMN107" s="12"/>
      <c r="ANE107" s="12"/>
      <c r="ANF107" s="12"/>
      <c r="ANW107" s="12"/>
      <c r="ANX107" s="12"/>
      <c r="AOO107" s="12"/>
      <c r="AOP107" s="12"/>
      <c r="APG107" s="12"/>
      <c r="APH107" s="12"/>
      <c r="APY107" s="12"/>
      <c r="APZ107" s="12"/>
      <c r="AQQ107" s="12"/>
      <c r="AQR107" s="12"/>
      <c r="ARI107" s="12"/>
      <c r="ARJ107" s="12"/>
      <c r="ASA107" s="12"/>
      <c r="ASB107" s="12"/>
      <c r="ASS107" s="12"/>
      <c r="AST107" s="12"/>
      <c r="ATK107" s="12"/>
      <c r="ATL107" s="12"/>
      <c r="AUC107" s="12"/>
      <c r="AUD107" s="12"/>
      <c r="AUU107" s="12"/>
      <c r="AUV107" s="12"/>
      <c r="AVM107" s="12"/>
      <c r="AVN107" s="12"/>
      <c r="AWE107" s="12"/>
      <c r="AWF107" s="12"/>
      <c r="AWW107" s="12"/>
      <c r="AWX107" s="12"/>
      <c r="AXO107" s="12"/>
      <c r="AXP107" s="12"/>
      <c r="AYG107" s="12"/>
      <c r="AYH107" s="12"/>
      <c r="AYY107" s="12"/>
      <c r="AYZ107" s="12"/>
      <c r="AZQ107" s="12"/>
      <c r="AZR107" s="12"/>
      <c r="BAI107" s="12"/>
      <c r="BAJ107" s="12"/>
      <c r="BBA107" s="12"/>
      <c r="BBB107" s="12"/>
      <c r="BBS107" s="12"/>
      <c r="BBT107" s="12"/>
      <c r="BCK107" s="12"/>
      <c r="BCL107" s="12"/>
      <c r="BDC107" s="12"/>
      <c r="BDD107" s="12"/>
      <c r="BDU107" s="12"/>
      <c r="BDV107" s="12"/>
      <c r="BEM107" s="12"/>
      <c r="BEN107" s="12"/>
      <c r="BFE107" s="12"/>
      <c r="BFF107" s="12"/>
      <c r="BFW107" s="12"/>
      <c r="BFX107" s="12"/>
      <c r="BGO107" s="12"/>
      <c r="BGP107" s="12"/>
      <c r="BHG107" s="12"/>
      <c r="BHH107" s="12"/>
      <c r="BHY107" s="12"/>
      <c r="BHZ107" s="12"/>
      <c r="BIQ107" s="12"/>
      <c r="BIR107" s="12"/>
      <c r="BJI107" s="12"/>
      <c r="BJJ107" s="12"/>
      <c r="BKA107" s="12"/>
      <c r="BKB107" s="12"/>
      <c r="BKS107" s="12"/>
      <c r="BKT107" s="12"/>
      <c r="BLK107" s="12"/>
      <c r="BLL107" s="12"/>
      <c r="BMC107" s="12"/>
      <c r="BMD107" s="12"/>
      <c r="BMU107" s="12"/>
      <c r="BMV107" s="12"/>
      <c r="BNM107" s="12"/>
      <c r="BNN107" s="12"/>
      <c r="BOE107" s="12"/>
      <c r="BOF107" s="12"/>
      <c r="BOW107" s="12"/>
      <c r="BOX107" s="12"/>
      <c r="BPO107" s="12"/>
      <c r="BPP107" s="12"/>
      <c r="BQG107" s="12"/>
      <c r="BQH107" s="12"/>
      <c r="BQY107" s="12"/>
      <c r="BQZ107" s="12"/>
      <c r="BRQ107" s="12"/>
      <c r="BRR107" s="12"/>
      <c r="BSI107" s="12"/>
      <c r="BSJ107" s="12"/>
      <c r="BTA107" s="12"/>
      <c r="BTB107" s="12"/>
      <c r="BTS107" s="12"/>
      <c r="BTT107" s="12"/>
      <c r="BUK107" s="12"/>
      <c r="BUL107" s="12"/>
      <c r="BVC107" s="12"/>
      <c r="BVD107" s="12"/>
      <c r="BVU107" s="12"/>
      <c r="BVV107" s="12"/>
      <c r="BWM107" s="12"/>
      <c r="BWN107" s="12"/>
      <c r="BXE107" s="12"/>
      <c r="BXF107" s="12"/>
      <c r="BXW107" s="12"/>
      <c r="BXX107" s="12"/>
      <c r="BYO107" s="12"/>
      <c r="BYP107" s="12"/>
      <c r="BZG107" s="12"/>
      <c r="BZH107" s="12"/>
      <c r="BZY107" s="12"/>
      <c r="BZZ107" s="12"/>
      <c r="CAQ107" s="12"/>
      <c r="CAR107" s="12"/>
      <c r="CBI107" s="12"/>
      <c r="CBJ107" s="12"/>
      <c r="CCA107" s="12"/>
      <c r="CCB107" s="12"/>
      <c r="CCS107" s="12"/>
      <c r="CCT107" s="12"/>
      <c r="CDK107" s="12"/>
      <c r="CDL107" s="12"/>
      <c r="CEC107" s="12"/>
      <c r="CED107" s="12"/>
      <c r="CEU107" s="12"/>
      <c r="CEV107" s="12"/>
      <c r="CFM107" s="12"/>
      <c r="CFN107" s="12"/>
      <c r="CGE107" s="12"/>
      <c r="CGF107" s="12"/>
      <c r="CGW107" s="12"/>
      <c r="CGX107" s="12"/>
      <c r="CHO107" s="12"/>
      <c r="CHP107" s="12"/>
      <c r="CIG107" s="12"/>
      <c r="CIH107" s="12"/>
      <c r="CIY107" s="12"/>
      <c r="CIZ107" s="12"/>
      <c r="CJQ107" s="12"/>
      <c r="CJR107" s="12"/>
      <c r="CKI107" s="12"/>
      <c r="CKJ107" s="12"/>
      <c r="CLA107" s="12"/>
      <c r="CLB107" s="12"/>
      <c r="CLS107" s="12"/>
      <c r="CLT107" s="12"/>
      <c r="CMK107" s="12"/>
      <c r="CML107" s="12"/>
      <c r="CNC107" s="12"/>
      <c r="CND107" s="12"/>
      <c r="CNU107" s="12"/>
      <c r="CNV107" s="12"/>
      <c r="COM107" s="12"/>
      <c r="CON107" s="12"/>
      <c r="CPE107" s="12"/>
      <c r="CPF107" s="12"/>
      <c r="CPW107" s="12"/>
      <c r="CPX107" s="12"/>
      <c r="CQO107" s="12"/>
      <c r="CQP107" s="12"/>
      <c r="CRG107" s="12"/>
      <c r="CRH107" s="12"/>
      <c r="CRY107" s="12"/>
      <c r="CRZ107" s="12"/>
      <c r="CSQ107" s="12"/>
      <c r="CSR107" s="12"/>
      <c r="CTI107" s="12"/>
      <c r="CTJ107" s="12"/>
      <c r="CUA107" s="12"/>
      <c r="CUB107" s="12"/>
      <c r="CUS107" s="12"/>
      <c r="CUT107" s="12"/>
      <c r="CVK107" s="12"/>
      <c r="CVL107" s="12"/>
      <c r="CWC107" s="12"/>
      <c r="CWD107" s="12"/>
      <c r="CWU107" s="12"/>
      <c r="CWV107" s="12"/>
      <c r="CXM107" s="12"/>
      <c r="CXN107" s="12"/>
      <c r="CYE107" s="12"/>
      <c r="CYF107" s="12"/>
      <c r="CYW107" s="12"/>
      <c r="CYX107" s="12"/>
      <c r="CZO107" s="12"/>
      <c r="CZP107" s="12"/>
      <c r="DAG107" s="12"/>
      <c r="DAH107" s="12"/>
      <c r="DAY107" s="12"/>
      <c r="DAZ107" s="12"/>
      <c r="DBQ107" s="12"/>
      <c r="DBR107" s="12"/>
      <c r="DCI107" s="12"/>
      <c r="DCJ107" s="12"/>
      <c r="DDA107" s="12"/>
      <c r="DDB107" s="12"/>
      <c r="DDS107" s="12"/>
      <c r="DDT107" s="12"/>
      <c r="DEK107" s="12"/>
      <c r="DEL107" s="12"/>
      <c r="DFC107" s="12"/>
      <c r="DFD107" s="12"/>
      <c r="DFU107" s="12"/>
      <c r="DFV107" s="12"/>
      <c r="DGM107" s="12"/>
      <c r="DGN107" s="12"/>
      <c r="DHE107" s="12"/>
      <c r="DHF107" s="12"/>
      <c r="DHW107" s="12"/>
      <c r="DHX107" s="12"/>
      <c r="DIO107" s="12"/>
      <c r="DIP107" s="12"/>
      <c r="DJG107" s="12"/>
      <c r="DJH107" s="12"/>
      <c r="DJY107" s="12"/>
      <c r="DJZ107" s="12"/>
      <c r="DKQ107" s="12"/>
      <c r="DKR107" s="12"/>
      <c r="DLI107" s="12"/>
      <c r="DLJ107" s="12"/>
      <c r="DMA107" s="12"/>
      <c r="DMB107" s="12"/>
      <c r="DMS107" s="12"/>
      <c r="DMT107" s="12"/>
      <c r="DNK107" s="12"/>
      <c r="DNL107" s="12"/>
      <c r="DOC107" s="12"/>
      <c r="DOD107" s="12"/>
      <c r="DOU107" s="12"/>
      <c r="DOV107" s="12"/>
      <c r="DPM107" s="12"/>
      <c r="DPN107" s="12"/>
      <c r="DQE107" s="12"/>
      <c r="DQF107" s="12"/>
      <c r="DQW107" s="12"/>
      <c r="DQX107" s="12"/>
      <c r="DRO107" s="12"/>
      <c r="DRP107" s="12"/>
      <c r="DSG107" s="12"/>
      <c r="DSH107" s="12"/>
      <c r="DSY107" s="12"/>
      <c r="DSZ107" s="12"/>
      <c r="DTQ107" s="12"/>
      <c r="DTR107" s="12"/>
      <c r="DUI107" s="12"/>
      <c r="DUJ107" s="12"/>
      <c r="DVA107" s="12"/>
      <c r="DVB107" s="12"/>
      <c r="DVS107" s="12"/>
      <c r="DVT107" s="12"/>
      <c r="DWK107" s="12"/>
      <c r="DWL107" s="12"/>
      <c r="DXC107" s="12"/>
      <c r="DXD107" s="12"/>
      <c r="DXU107" s="12"/>
      <c r="DXV107" s="12"/>
      <c r="DYM107" s="12"/>
      <c r="DYN107" s="12"/>
      <c r="DZE107" s="12"/>
      <c r="DZF107" s="12"/>
      <c r="DZW107" s="12"/>
      <c r="DZX107" s="12"/>
      <c r="EAO107" s="12"/>
      <c r="EAP107" s="12"/>
      <c r="EBG107" s="12"/>
      <c r="EBH107" s="12"/>
      <c r="EBY107" s="12"/>
      <c r="EBZ107" s="12"/>
      <c r="ECQ107" s="12"/>
      <c r="ECR107" s="12"/>
      <c r="EDI107" s="12"/>
      <c r="EDJ107" s="12"/>
      <c r="EEA107" s="12"/>
      <c r="EEB107" s="12"/>
      <c r="EES107" s="12"/>
      <c r="EET107" s="12"/>
      <c r="EFK107" s="12"/>
      <c r="EFL107" s="12"/>
      <c r="EGC107" s="12"/>
      <c r="EGD107" s="12"/>
      <c r="EGU107" s="12"/>
      <c r="EGV107" s="12"/>
      <c r="EHM107" s="12"/>
      <c r="EHN107" s="12"/>
      <c r="EIE107" s="12"/>
      <c r="EIF107" s="12"/>
      <c r="EIW107" s="12"/>
      <c r="EIX107" s="12"/>
      <c r="EJO107" s="12"/>
      <c r="EJP107" s="12"/>
      <c r="EKG107" s="12"/>
      <c r="EKH107" s="12"/>
      <c r="EKY107" s="12"/>
      <c r="EKZ107" s="12"/>
      <c r="ELQ107" s="12"/>
      <c r="ELR107" s="12"/>
      <c r="EMI107" s="12"/>
      <c r="EMJ107" s="12"/>
      <c r="ENA107" s="12"/>
      <c r="ENB107" s="12"/>
      <c r="ENS107" s="12"/>
      <c r="ENT107" s="12"/>
      <c r="EOK107" s="12"/>
      <c r="EOL107" s="12"/>
      <c r="EPC107" s="12"/>
      <c r="EPD107" s="12"/>
      <c r="EPU107" s="12"/>
      <c r="EPV107" s="12"/>
      <c r="EQM107" s="12"/>
      <c r="EQN107" s="12"/>
      <c r="ERE107" s="12"/>
      <c r="ERF107" s="12"/>
      <c r="ERW107" s="12"/>
      <c r="ERX107" s="12"/>
      <c r="ESO107" s="12"/>
      <c r="ESP107" s="12"/>
      <c r="ETG107" s="12"/>
      <c r="ETH107" s="12"/>
      <c r="ETY107" s="12"/>
      <c r="ETZ107" s="12"/>
      <c r="EUQ107" s="12"/>
      <c r="EUR107" s="12"/>
      <c r="EVI107" s="12"/>
      <c r="EVJ107" s="12"/>
      <c r="EWA107" s="12"/>
      <c r="EWB107" s="12"/>
      <c r="EWS107" s="12"/>
      <c r="EWT107" s="12"/>
      <c r="EXK107" s="12"/>
      <c r="EXL107" s="12"/>
      <c r="EYC107" s="12"/>
      <c r="EYD107" s="12"/>
      <c r="EYU107" s="12"/>
      <c r="EYV107" s="12"/>
      <c r="EZM107" s="12"/>
      <c r="EZN107" s="12"/>
      <c r="FAE107" s="12"/>
      <c r="FAF107" s="12"/>
      <c r="FAW107" s="12"/>
      <c r="FAX107" s="12"/>
      <c r="FBO107" s="12"/>
      <c r="FBP107" s="12"/>
      <c r="FCG107" s="12"/>
      <c r="FCH107" s="12"/>
      <c r="FCY107" s="12"/>
      <c r="FCZ107" s="12"/>
      <c r="FDQ107" s="12"/>
      <c r="FDR107" s="12"/>
      <c r="FEI107" s="12"/>
      <c r="FEJ107" s="12"/>
      <c r="FFA107" s="12"/>
      <c r="FFB107" s="12"/>
      <c r="FFS107" s="12"/>
      <c r="FFT107" s="12"/>
      <c r="FGK107" s="12"/>
      <c r="FGL107" s="12"/>
      <c r="FHC107" s="12"/>
      <c r="FHD107" s="12"/>
      <c r="FHU107" s="12"/>
      <c r="FHV107" s="12"/>
      <c r="FIM107" s="12"/>
      <c r="FIN107" s="12"/>
      <c r="FJE107" s="12"/>
      <c r="FJF107" s="12"/>
      <c r="FJW107" s="12"/>
      <c r="FJX107" s="12"/>
      <c r="FKO107" s="12"/>
      <c r="FKP107" s="12"/>
      <c r="FLG107" s="12"/>
      <c r="FLH107" s="12"/>
      <c r="FLY107" s="12"/>
      <c r="FLZ107" s="12"/>
      <c r="FMQ107" s="12"/>
      <c r="FMR107" s="12"/>
      <c r="FNI107" s="12"/>
      <c r="FNJ107" s="12"/>
      <c r="FOA107" s="12"/>
      <c r="FOB107" s="12"/>
      <c r="FOS107" s="12"/>
      <c r="FOT107" s="12"/>
      <c r="FPK107" s="12"/>
      <c r="FPL107" s="12"/>
      <c r="FQC107" s="12"/>
      <c r="FQD107" s="12"/>
      <c r="FQU107" s="12"/>
      <c r="FQV107" s="12"/>
      <c r="FRM107" s="12"/>
      <c r="FRN107" s="12"/>
      <c r="FSE107" s="12"/>
      <c r="FSF107" s="12"/>
      <c r="FSW107" s="12"/>
      <c r="FSX107" s="12"/>
      <c r="FTO107" s="12"/>
      <c r="FTP107" s="12"/>
      <c r="FUG107" s="12"/>
      <c r="FUH107" s="12"/>
      <c r="FUY107" s="12"/>
      <c r="FUZ107" s="12"/>
      <c r="FVQ107" s="12"/>
      <c r="FVR107" s="12"/>
      <c r="FWI107" s="12"/>
      <c r="FWJ107" s="12"/>
      <c r="FXA107" s="12"/>
      <c r="FXB107" s="12"/>
      <c r="FXS107" s="12"/>
      <c r="FXT107" s="12"/>
      <c r="FYK107" s="12"/>
      <c r="FYL107" s="12"/>
      <c r="FZC107" s="12"/>
      <c r="FZD107" s="12"/>
      <c r="FZU107" s="12"/>
      <c r="FZV107" s="12"/>
      <c r="GAM107" s="12"/>
      <c r="GAN107" s="12"/>
      <c r="GBE107" s="12"/>
      <c r="GBF107" s="12"/>
      <c r="GBW107" s="12"/>
      <c r="GBX107" s="12"/>
      <c r="GCO107" s="12"/>
      <c r="GCP107" s="12"/>
      <c r="GDG107" s="12"/>
      <c r="GDH107" s="12"/>
      <c r="GDY107" s="12"/>
      <c r="GDZ107" s="12"/>
      <c r="GEQ107" s="12"/>
      <c r="GER107" s="12"/>
      <c r="GFI107" s="12"/>
      <c r="GFJ107" s="12"/>
      <c r="GGA107" s="12"/>
      <c r="GGB107" s="12"/>
      <c r="GGS107" s="12"/>
      <c r="GGT107" s="12"/>
      <c r="GHK107" s="12"/>
      <c r="GHL107" s="12"/>
      <c r="GIC107" s="12"/>
      <c r="GID107" s="12"/>
      <c r="GIU107" s="12"/>
      <c r="GIV107" s="12"/>
      <c r="GJM107" s="12"/>
      <c r="GJN107" s="12"/>
      <c r="GKE107" s="12"/>
      <c r="GKF107" s="12"/>
      <c r="GKW107" s="12"/>
      <c r="GKX107" s="12"/>
      <c r="GLO107" s="12"/>
      <c r="GLP107" s="12"/>
      <c r="GMG107" s="12"/>
      <c r="GMH107" s="12"/>
      <c r="GMY107" s="12"/>
      <c r="GMZ107" s="12"/>
      <c r="GNQ107" s="12"/>
      <c r="GNR107" s="12"/>
      <c r="GOI107" s="12"/>
      <c r="GOJ107" s="12"/>
      <c r="GPA107" s="12"/>
      <c r="GPB107" s="12"/>
      <c r="GPS107" s="12"/>
      <c r="GPT107" s="12"/>
      <c r="GQK107" s="12"/>
      <c r="GQL107" s="12"/>
      <c r="GRC107" s="12"/>
      <c r="GRD107" s="12"/>
      <c r="GRU107" s="12"/>
      <c r="GRV107" s="12"/>
      <c r="GSM107" s="12"/>
      <c r="GSN107" s="12"/>
      <c r="GTE107" s="12"/>
      <c r="GTF107" s="12"/>
      <c r="GTW107" s="12"/>
      <c r="GTX107" s="12"/>
      <c r="GUO107" s="12"/>
      <c r="GUP107" s="12"/>
      <c r="GVG107" s="12"/>
      <c r="GVH107" s="12"/>
      <c r="GVY107" s="12"/>
      <c r="GVZ107" s="12"/>
      <c r="GWQ107" s="12"/>
      <c r="GWR107" s="12"/>
      <c r="GXI107" s="12"/>
      <c r="GXJ107" s="12"/>
      <c r="GYA107" s="12"/>
      <c r="GYB107" s="12"/>
      <c r="GYS107" s="12"/>
      <c r="GYT107" s="12"/>
      <c r="GZK107" s="12"/>
      <c r="GZL107" s="12"/>
      <c r="HAC107" s="12"/>
      <c r="HAD107" s="12"/>
      <c r="HAU107" s="12"/>
      <c r="HAV107" s="12"/>
      <c r="HBM107" s="12"/>
      <c r="HBN107" s="12"/>
      <c r="HCE107" s="12"/>
      <c r="HCF107" s="12"/>
      <c r="HCW107" s="12"/>
      <c r="HCX107" s="12"/>
      <c r="HDO107" s="12"/>
      <c r="HDP107" s="12"/>
      <c r="HEG107" s="12"/>
      <c r="HEH107" s="12"/>
      <c r="HEY107" s="12"/>
      <c r="HEZ107" s="12"/>
      <c r="HFQ107" s="12"/>
      <c r="HFR107" s="12"/>
      <c r="HGI107" s="12"/>
      <c r="HGJ107" s="12"/>
      <c r="HHA107" s="12"/>
      <c r="HHB107" s="12"/>
      <c r="HHS107" s="12"/>
      <c r="HHT107" s="12"/>
      <c r="HIK107" s="12"/>
      <c r="HIL107" s="12"/>
      <c r="HJC107" s="12"/>
      <c r="HJD107" s="12"/>
      <c r="HJU107" s="12"/>
      <c r="HJV107" s="12"/>
      <c r="HKM107" s="12"/>
      <c r="HKN107" s="12"/>
      <c r="HLE107" s="12"/>
      <c r="HLF107" s="12"/>
      <c r="HLW107" s="12"/>
      <c r="HLX107" s="12"/>
      <c r="HMO107" s="12"/>
      <c r="HMP107" s="12"/>
      <c r="HNG107" s="12"/>
      <c r="HNH107" s="12"/>
      <c r="HNY107" s="12"/>
      <c r="HNZ107" s="12"/>
      <c r="HOQ107" s="12"/>
      <c r="HOR107" s="12"/>
      <c r="HPI107" s="12"/>
      <c r="HPJ107" s="12"/>
      <c r="HQA107" s="12"/>
      <c r="HQB107" s="12"/>
      <c r="HQS107" s="12"/>
      <c r="HQT107" s="12"/>
      <c r="HRK107" s="12"/>
      <c r="HRL107" s="12"/>
      <c r="HSC107" s="12"/>
      <c r="HSD107" s="12"/>
      <c r="HSU107" s="12"/>
      <c r="HSV107" s="12"/>
      <c r="HTM107" s="12"/>
      <c r="HTN107" s="12"/>
      <c r="HUE107" s="12"/>
      <c r="HUF107" s="12"/>
      <c r="HUW107" s="12"/>
      <c r="HUX107" s="12"/>
      <c r="HVO107" s="12"/>
      <c r="HVP107" s="12"/>
      <c r="HWG107" s="12"/>
      <c r="HWH107" s="12"/>
      <c r="HWY107" s="12"/>
      <c r="HWZ107" s="12"/>
      <c r="HXQ107" s="12"/>
      <c r="HXR107" s="12"/>
      <c r="HYI107" s="12"/>
      <c r="HYJ107" s="12"/>
      <c r="HZA107" s="12"/>
      <c r="HZB107" s="12"/>
      <c r="HZS107" s="12"/>
      <c r="HZT107" s="12"/>
      <c r="IAK107" s="12"/>
      <c r="IAL107" s="12"/>
      <c r="IBC107" s="12"/>
      <c r="IBD107" s="12"/>
      <c r="IBU107" s="12"/>
      <c r="IBV107" s="12"/>
      <c r="ICM107" s="12"/>
      <c r="ICN107" s="12"/>
      <c r="IDE107" s="12"/>
      <c r="IDF107" s="12"/>
      <c r="IDW107" s="12"/>
      <c r="IDX107" s="12"/>
      <c r="IEO107" s="12"/>
      <c r="IEP107" s="12"/>
      <c r="IFG107" s="12"/>
      <c r="IFH107" s="12"/>
      <c r="IFY107" s="12"/>
      <c r="IFZ107" s="12"/>
      <c r="IGQ107" s="12"/>
      <c r="IGR107" s="12"/>
      <c r="IHI107" s="12"/>
      <c r="IHJ107" s="12"/>
      <c r="IIA107" s="12"/>
      <c r="IIB107" s="12"/>
      <c r="IIS107" s="12"/>
      <c r="IIT107" s="12"/>
      <c r="IJK107" s="12"/>
      <c r="IJL107" s="12"/>
      <c r="IKC107" s="12"/>
      <c r="IKD107" s="12"/>
      <c r="IKU107" s="12"/>
      <c r="IKV107" s="12"/>
      <c r="ILM107" s="12"/>
      <c r="ILN107" s="12"/>
      <c r="IME107" s="12"/>
      <c r="IMF107" s="12"/>
      <c r="IMW107" s="12"/>
      <c r="IMX107" s="12"/>
      <c r="INO107" s="12"/>
      <c r="INP107" s="12"/>
      <c r="IOG107" s="12"/>
      <c r="IOH107" s="12"/>
      <c r="IOY107" s="12"/>
      <c r="IOZ107" s="12"/>
      <c r="IPQ107" s="12"/>
      <c r="IPR107" s="12"/>
      <c r="IQI107" s="12"/>
      <c r="IQJ107" s="12"/>
      <c r="IRA107" s="12"/>
      <c r="IRB107" s="12"/>
      <c r="IRS107" s="12"/>
      <c r="IRT107" s="12"/>
      <c r="ISK107" s="12"/>
      <c r="ISL107" s="12"/>
      <c r="ITC107" s="12"/>
      <c r="ITD107" s="12"/>
      <c r="ITU107" s="12"/>
      <c r="ITV107" s="12"/>
      <c r="IUM107" s="12"/>
      <c r="IUN107" s="12"/>
      <c r="IVE107" s="12"/>
      <c r="IVF107" s="12"/>
      <c r="IVW107" s="12"/>
      <c r="IVX107" s="12"/>
      <c r="IWO107" s="12"/>
      <c r="IWP107" s="12"/>
      <c r="IXG107" s="12"/>
      <c r="IXH107" s="12"/>
      <c r="IXY107" s="12"/>
      <c r="IXZ107" s="12"/>
      <c r="IYQ107" s="12"/>
      <c r="IYR107" s="12"/>
      <c r="IZI107" s="12"/>
      <c r="IZJ107" s="12"/>
      <c r="JAA107" s="12"/>
      <c r="JAB107" s="12"/>
      <c r="JAS107" s="12"/>
      <c r="JAT107" s="12"/>
      <c r="JBK107" s="12"/>
      <c r="JBL107" s="12"/>
      <c r="JCC107" s="12"/>
      <c r="JCD107" s="12"/>
      <c r="JCU107" s="12"/>
      <c r="JCV107" s="12"/>
      <c r="JDM107" s="12"/>
      <c r="JDN107" s="12"/>
      <c r="JEE107" s="12"/>
      <c r="JEF107" s="12"/>
      <c r="JEW107" s="12"/>
      <c r="JEX107" s="12"/>
      <c r="JFO107" s="12"/>
      <c r="JFP107" s="12"/>
      <c r="JGG107" s="12"/>
      <c r="JGH107" s="12"/>
      <c r="JGY107" s="12"/>
      <c r="JGZ107" s="12"/>
      <c r="JHQ107" s="12"/>
      <c r="JHR107" s="12"/>
      <c r="JII107" s="12"/>
      <c r="JIJ107" s="12"/>
      <c r="JJA107" s="12"/>
      <c r="JJB107" s="12"/>
      <c r="JJS107" s="12"/>
      <c r="JJT107" s="12"/>
      <c r="JKK107" s="12"/>
      <c r="JKL107" s="12"/>
      <c r="JLC107" s="12"/>
      <c r="JLD107" s="12"/>
      <c r="JLU107" s="12"/>
      <c r="JLV107" s="12"/>
      <c r="JMM107" s="12"/>
      <c r="JMN107" s="12"/>
      <c r="JNE107" s="12"/>
      <c r="JNF107" s="12"/>
      <c r="JNW107" s="12"/>
      <c r="JNX107" s="12"/>
      <c r="JOO107" s="12"/>
      <c r="JOP107" s="12"/>
      <c r="JPG107" s="12"/>
      <c r="JPH107" s="12"/>
      <c r="JPY107" s="12"/>
      <c r="JPZ107" s="12"/>
      <c r="JQQ107" s="12"/>
      <c r="JQR107" s="12"/>
      <c r="JRI107" s="12"/>
      <c r="JRJ107" s="12"/>
      <c r="JSA107" s="12"/>
      <c r="JSB107" s="12"/>
      <c r="JSS107" s="12"/>
      <c r="JST107" s="12"/>
      <c r="JTK107" s="12"/>
      <c r="JTL107" s="12"/>
      <c r="JUC107" s="12"/>
      <c r="JUD107" s="12"/>
      <c r="JUU107" s="12"/>
      <c r="JUV107" s="12"/>
      <c r="JVM107" s="12"/>
      <c r="JVN107" s="12"/>
      <c r="JWE107" s="12"/>
      <c r="JWF107" s="12"/>
      <c r="JWW107" s="12"/>
      <c r="JWX107" s="12"/>
      <c r="JXO107" s="12"/>
      <c r="JXP107" s="12"/>
      <c r="JYG107" s="12"/>
      <c r="JYH107" s="12"/>
      <c r="JYY107" s="12"/>
      <c r="JYZ107" s="12"/>
      <c r="JZQ107" s="12"/>
      <c r="JZR107" s="12"/>
      <c r="KAI107" s="12"/>
      <c r="KAJ107" s="12"/>
      <c r="KBA107" s="12"/>
      <c r="KBB107" s="12"/>
      <c r="KBS107" s="12"/>
      <c r="KBT107" s="12"/>
      <c r="KCK107" s="12"/>
      <c r="KCL107" s="12"/>
      <c r="KDC107" s="12"/>
      <c r="KDD107" s="12"/>
      <c r="KDU107" s="12"/>
      <c r="KDV107" s="12"/>
      <c r="KEM107" s="12"/>
      <c r="KEN107" s="12"/>
      <c r="KFE107" s="12"/>
      <c r="KFF107" s="12"/>
      <c r="KFW107" s="12"/>
      <c r="KFX107" s="12"/>
      <c r="KGO107" s="12"/>
      <c r="KGP107" s="12"/>
      <c r="KHG107" s="12"/>
      <c r="KHH107" s="12"/>
      <c r="KHY107" s="12"/>
      <c r="KHZ107" s="12"/>
      <c r="KIQ107" s="12"/>
      <c r="KIR107" s="12"/>
      <c r="KJI107" s="12"/>
      <c r="KJJ107" s="12"/>
      <c r="KKA107" s="12"/>
      <c r="KKB107" s="12"/>
      <c r="KKS107" s="12"/>
      <c r="KKT107" s="12"/>
      <c r="KLK107" s="12"/>
      <c r="KLL107" s="12"/>
      <c r="KMC107" s="12"/>
      <c r="KMD107" s="12"/>
      <c r="KMU107" s="12"/>
      <c r="KMV107" s="12"/>
      <c r="KNM107" s="12"/>
      <c r="KNN107" s="12"/>
      <c r="KOE107" s="12"/>
      <c r="KOF107" s="12"/>
      <c r="KOW107" s="12"/>
      <c r="KOX107" s="12"/>
      <c r="KPO107" s="12"/>
      <c r="KPP107" s="12"/>
      <c r="KQG107" s="12"/>
      <c r="KQH107" s="12"/>
      <c r="KQY107" s="12"/>
      <c r="KQZ107" s="12"/>
      <c r="KRQ107" s="12"/>
      <c r="KRR107" s="12"/>
      <c r="KSI107" s="12"/>
      <c r="KSJ107" s="12"/>
      <c r="KTA107" s="12"/>
      <c r="KTB107" s="12"/>
      <c r="KTS107" s="12"/>
      <c r="KTT107" s="12"/>
      <c r="KUK107" s="12"/>
      <c r="KUL107" s="12"/>
      <c r="KVC107" s="12"/>
      <c r="KVD107" s="12"/>
      <c r="KVU107" s="12"/>
      <c r="KVV107" s="12"/>
      <c r="KWM107" s="12"/>
      <c r="KWN107" s="12"/>
      <c r="KXE107" s="12"/>
      <c r="KXF107" s="12"/>
      <c r="KXW107" s="12"/>
      <c r="KXX107" s="12"/>
      <c r="KYO107" s="12"/>
      <c r="KYP107" s="12"/>
      <c r="KZG107" s="12"/>
      <c r="KZH107" s="12"/>
      <c r="KZY107" s="12"/>
      <c r="KZZ107" s="12"/>
      <c r="LAQ107" s="12"/>
      <c r="LAR107" s="12"/>
      <c r="LBI107" s="12"/>
      <c r="LBJ107" s="12"/>
      <c r="LCA107" s="12"/>
      <c r="LCB107" s="12"/>
      <c r="LCS107" s="12"/>
      <c r="LCT107" s="12"/>
      <c r="LDK107" s="12"/>
      <c r="LDL107" s="12"/>
      <c r="LEC107" s="12"/>
      <c r="LED107" s="12"/>
      <c r="LEU107" s="12"/>
      <c r="LEV107" s="12"/>
      <c r="LFM107" s="12"/>
      <c r="LFN107" s="12"/>
      <c r="LGE107" s="12"/>
      <c r="LGF107" s="12"/>
      <c r="LGW107" s="12"/>
      <c r="LGX107" s="12"/>
      <c r="LHO107" s="12"/>
      <c r="LHP107" s="12"/>
      <c r="LIG107" s="12"/>
      <c r="LIH107" s="12"/>
      <c r="LIY107" s="12"/>
      <c r="LIZ107" s="12"/>
      <c r="LJQ107" s="12"/>
      <c r="LJR107" s="12"/>
      <c r="LKI107" s="12"/>
      <c r="LKJ107" s="12"/>
      <c r="LLA107" s="12"/>
      <c r="LLB107" s="12"/>
      <c r="LLS107" s="12"/>
      <c r="LLT107" s="12"/>
      <c r="LMK107" s="12"/>
      <c r="LML107" s="12"/>
      <c r="LNC107" s="12"/>
      <c r="LND107" s="12"/>
      <c r="LNU107" s="12"/>
      <c r="LNV107" s="12"/>
      <c r="LOM107" s="12"/>
      <c r="LON107" s="12"/>
      <c r="LPE107" s="12"/>
      <c r="LPF107" s="12"/>
      <c r="LPW107" s="12"/>
      <c r="LPX107" s="12"/>
      <c r="LQO107" s="12"/>
      <c r="LQP107" s="12"/>
      <c r="LRG107" s="12"/>
      <c r="LRH107" s="12"/>
      <c r="LRY107" s="12"/>
      <c r="LRZ107" s="12"/>
      <c r="LSQ107" s="12"/>
      <c r="LSR107" s="12"/>
      <c r="LTI107" s="12"/>
      <c r="LTJ107" s="12"/>
      <c r="LUA107" s="12"/>
      <c r="LUB107" s="12"/>
      <c r="LUS107" s="12"/>
      <c r="LUT107" s="12"/>
      <c r="LVK107" s="12"/>
      <c r="LVL107" s="12"/>
      <c r="LWC107" s="12"/>
      <c r="LWD107" s="12"/>
      <c r="LWU107" s="12"/>
      <c r="LWV107" s="12"/>
      <c r="LXM107" s="12"/>
      <c r="LXN107" s="12"/>
      <c r="LYE107" s="12"/>
      <c r="LYF107" s="12"/>
      <c r="LYW107" s="12"/>
      <c r="LYX107" s="12"/>
      <c r="LZO107" s="12"/>
      <c r="LZP107" s="12"/>
      <c r="MAG107" s="12"/>
      <c r="MAH107" s="12"/>
      <c r="MAY107" s="12"/>
      <c r="MAZ107" s="12"/>
      <c r="MBQ107" s="12"/>
      <c r="MBR107" s="12"/>
      <c r="MCI107" s="12"/>
      <c r="MCJ107" s="12"/>
      <c r="MDA107" s="12"/>
      <c r="MDB107" s="12"/>
      <c r="MDS107" s="12"/>
      <c r="MDT107" s="12"/>
      <c r="MEK107" s="12"/>
      <c r="MEL107" s="12"/>
      <c r="MFC107" s="12"/>
      <c r="MFD107" s="12"/>
      <c r="MFU107" s="12"/>
      <c r="MFV107" s="12"/>
      <c r="MGM107" s="12"/>
      <c r="MGN107" s="12"/>
      <c r="MHE107" s="12"/>
      <c r="MHF107" s="12"/>
      <c r="MHW107" s="12"/>
      <c r="MHX107" s="12"/>
      <c r="MIO107" s="12"/>
      <c r="MIP107" s="12"/>
      <c r="MJG107" s="12"/>
      <c r="MJH107" s="12"/>
      <c r="MJY107" s="12"/>
      <c r="MJZ107" s="12"/>
      <c r="MKQ107" s="12"/>
      <c r="MKR107" s="12"/>
      <c r="MLI107" s="12"/>
      <c r="MLJ107" s="12"/>
      <c r="MMA107" s="12"/>
      <c r="MMB107" s="12"/>
      <c r="MMS107" s="12"/>
      <c r="MMT107" s="12"/>
      <c r="MNK107" s="12"/>
      <c r="MNL107" s="12"/>
      <c r="MOC107" s="12"/>
      <c r="MOD107" s="12"/>
      <c r="MOU107" s="12"/>
      <c r="MOV107" s="12"/>
      <c r="MPM107" s="12"/>
      <c r="MPN107" s="12"/>
      <c r="MQE107" s="12"/>
      <c r="MQF107" s="12"/>
      <c r="MQW107" s="12"/>
      <c r="MQX107" s="12"/>
      <c r="MRO107" s="12"/>
      <c r="MRP107" s="12"/>
      <c r="MSG107" s="12"/>
      <c r="MSH107" s="12"/>
      <c r="MSY107" s="12"/>
      <c r="MSZ107" s="12"/>
      <c r="MTQ107" s="12"/>
      <c r="MTR107" s="12"/>
      <c r="MUI107" s="12"/>
      <c r="MUJ107" s="12"/>
      <c r="MVA107" s="12"/>
      <c r="MVB107" s="12"/>
      <c r="MVS107" s="12"/>
      <c r="MVT107" s="12"/>
      <c r="MWK107" s="12"/>
      <c r="MWL107" s="12"/>
      <c r="MXC107" s="12"/>
      <c r="MXD107" s="12"/>
      <c r="MXU107" s="12"/>
      <c r="MXV107" s="12"/>
      <c r="MYM107" s="12"/>
      <c r="MYN107" s="12"/>
      <c r="MZE107" s="12"/>
      <c r="MZF107" s="12"/>
      <c r="MZW107" s="12"/>
      <c r="MZX107" s="12"/>
      <c r="NAO107" s="12"/>
      <c r="NAP107" s="12"/>
      <c r="NBG107" s="12"/>
      <c r="NBH107" s="12"/>
      <c r="NBY107" s="12"/>
      <c r="NBZ107" s="12"/>
      <c r="NCQ107" s="12"/>
      <c r="NCR107" s="12"/>
      <c r="NDI107" s="12"/>
      <c r="NDJ107" s="12"/>
      <c r="NEA107" s="12"/>
      <c r="NEB107" s="12"/>
      <c r="NES107" s="12"/>
      <c r="NET107" s="12"/>
      <c r="NFK107" s="12"/>
      <c r="NFL107" s="12"/>
      <c r="NGC107" s="12"/>
      <c r="NGD107" s="12"/>
      <c r="NGU107" s="12"/>
      <c r="NGV107" s="12"/>
      <c r="NHM107" s="12"/>
      <c r="NHN107" s="12"/>
      <c r="NIE107" s="12"/>
      <c r="NIF107" s="12"/>
      <c r="NIW107" s="12"/>
      <c r="NIX107" s="12"/>
      <c r="NJO107" s="12"/>
      <c r="NJP107" s="12"/>
      <c r="NKG107" s="12"/>
      <c r="NKH107" s="12"/>
      <c r="NKY107" s="12"/>
      <c r="NKZ107" s="12"/>
      <c r="NLQ107" s="12"/>
      <c r="NLR107" s="12"/>
      <c r="NMI107" s="12"/>
      <c r="NMJ107" s="12"/>
      <c r="NNA107" s="12"/>
      <c r="NNB107" s="12"/>
      <c r="NNS107" s="12"/>
      <c r="NNT107" s="12"/>
      <c r="NOK107" s="12"/>
      <c r="NOL107" s="12"/>
      <c r="NPC107" s="12"/>
      <c r="NPD107" s="12"/>
      <c r="NPU107" s="12"/>
      <c r="NPV107" s="12"/>
      <c r="NQM107" s="12"/>
      <c r="NQN107" s="12"/>
      <c r="NRE107" s="12"/>
      <c r="NRF107" s="12"/>
      <c r="NRW107" s="12"/>
      <c r="NRX107" s="12"/>
      <c r="NSO107" s="12"/>
      <c r="NSP107" s="12"/>
      <c r="NTG107" s="12"/>
      <c r="NTH107" s="12"/>
      <c r="NTY107" s="12"/>
      <c r="NTZ107" s="12"/>
      <c r="NUQ107" s="12"/>
      <c r="NUR107" s="12"/>
      <c r="NVI107" s="12"/>
      <c r="NVJ107" s="12"/>
      <c r="NWA107" s="12"/>
      <c r="NWB107" s="12"/>
      <c r="NWS107" s="12"/>
      <c r="NWT107" s="12"/>
      <c r="NXK107" s="12"/>
      <c r="NXL107" s="12"/>
      <c r="NYC107" s="12"/>
      <c r="NYD107" s="12"/>
      <c r="NYU107" s="12"/>
      <c r="NYV107" s="12"/>
      <c r="NZM107" s="12"/>
      <c r="NZN107" s="12"/>
      <c r="OAE107" s="12"/>
      <c r="OAF107" s="12"/>
      <c r="OAW107" s="12"/>
      <c r="OAX107" s="12"/>
      <c r="OBO107" s="12"/>
      <c r="OBP107" s="12"/>
      <c r="OCG107" s="12"/>
      <c r="OCH107" s="12"/>
      <c r="OCY107" s="12"/>
      <c r="OCZ107" s="12"/>
      <c r="ODQ107" s="12"/>
      <c r="ODR107" s="12"/>
      <c r="OEI107" s="12"/>
      <c r="OEJ107" s="12"/>
      <c r="OFA107" s="12"/>
      <c r="OFB107" s="12"/>
      <c r="OFS107" s="12"/>
      <c r="OFT107" s="12"/>
      <c r="OGK107" s="12"/>
      <c r="OGL107" s="12"/>
      <c r="OHC107" s="12"/>
      <c r="OHD107" s="12"/>
      <c r="OHU107" s="12"/>
      <c r="OHV107" s="12"/>
      <c r="OIM107" s="12"/>
      <c r="OIN107" s="12"/>
      <c r="OJE107" s="12"/>
      <c r="OJF107" s="12"/>
      <c r="OJW107" s="12"/>
      <c r="OJX107" s="12"/>
      <c r="OKO107" s="12"/>
      <c r="OKP107" s="12"/>
      <c r="OLG107" s="12"/>
      <c r="OLH107" s="12"/>
      <c r="OLY107" s="12"/>
      <c r="OLZ107" s="12"/>
      <c r="OMQ107" s="12"/>
      <c r="OMR107" s="12"/>
      <c r="ONI107" s="12"/>
      <c r="ONJ107" s="12"/>
      <c r="OOA107" s="12"/>
      <c r="OOB107" s="12"/>
      <c r="OOS107" s="12"/>
      <c r="OOT107" s="12"/>
      <c r="OPK107" s="12"/>
      <c r="OPL107" s="12"/>
      <c r="OQC107" s="12"/>
      <c r="OQD107" s="12"/>
      <c r="OQU107" s="12"/>
      <c r="OQV107" s="12"/>
      <c r="ORM107" s="12"/>
      <c r="ORN107" s="12"/>
      <c r="OSE107" s="12"/>
      <c r="OSF107" s="12"/>
      <c r="OSW107" s="12"/>
      <c r="OSX107" s="12"/>
      <c r="OTO107" s="12"/>
      <c r="OTP107" s="12"/>
      <c r="OUG107" s="12"/>
      <c r="OUH107" s="12"/>
      <c r="OUY107" s="12"/>
      <c r="OUZ107" s="12"/>
      <c r="OVQ107" s="12"/>
      <c r="OVR107" s="12"/>
      <c r="OWI107" s="12"/>
      <c r="OWJ107" s="12"/>
      <c r="OXA107" s="12"/>
      <c r="OXB107" s="12"/>
      <c r="OXS107" s="12"/>
      <c r="OXT107" s="12"/>
      <c r="OYK107" s="12"/>
      <c r="OYL107" s="12"/>
      <c r="OZC107" s="12"/>
      <c r="OZD107" s="12"/>
      <c r="OZU107" s="12"/>
      <c r="OZV107" s="12"/>
      <c r="PAM107" s="12"/>
      <c r="PAN107" s="12"/>
      <c r="PBE107" s="12"/>
      <c r="PBF107" s="12"/>
      <c r="PBW107" s="12"/>
      <c r="PBX107" s="12"/>
      <c r="PCO107" s="12"/>
      <c r="PCP107" s="12"/>
      <c r="PDG107" s="12"/>
      <c r="PDH107" s="12"/>
      <c r="PDY107" s="12"/>
      <c r="PDZ107" s="12"/>
      <c r="PEQ107" s="12"/>
      <c r="PER107" s="12"/>
      <c r="PFI107" s="12"/>
      <c r="PFJ107" s="12"/>
      <c r="PGA107" s="12"/>
      <c r="PGB107" s="12"/>
      <c r="PGS107" s="12"/>
      <c r="PGT107" s="12"/>
      <c r="PHK107" s="12"/>
      <c r="PHL107" s="12"/>
      <c r="PIC107" s="12"/>
      <c r="PID107" s="12"/>
      <c r="PIU107" s="12"/>
      <c r="PIV107" s="12"/>
      <c r="PJM107" s="12"/>
      <c r="PJN107" s="12"/>
      <c r="PKE107" s="12"/>
      <c r="PKF107" s="12"/>
      <c r="PKW107" s="12"/>
      <c r="PKX107" s="12"/>
      <c r="PLO107" s="12"/>
      <c r="PLP107" s="12"/>
      <c r="PMG107" s="12"/>
      <c r="PMH107" s="12"/>
      <c r="PMY107" s="12"/>
      <c r="PMZ107" s="12"/>
      <c r="PNQ107" s="12"/>
      <c r="PNR107" s="12"/>
      <c r="POI107" s="12"/>
      <c r="POJ107" s="12"/>
      <c r="PPA107" s="12"/>
      <c r="PPB107" s="12"/>
      <c r="PPS107" s="12"/>
      <c r="PPT107" s="12"/>
      <c r="PQK107" s="12"/>
      <c r="PQL107" s="12"/>
      <c r="PRC107" s="12"/>
      <c r="PRD107" s="12"/>
      <c r="PRU107" s="12"/>
      <c r="PRV107" s="12"/>
      <c r="PSM107" s="12"/>
      <c r="PSN107" s="12"/>
      <c r="PTE107" s="12"/>
      <c r="PTF107" s="12"/>
      <c r="PTW107" s="12"/>
      <c r="PTX107" s="12"/>
      <c r="PUO107" s="12"/>
      <c r="PUP107" s="12"/>
      <c r="PVG107" s="12"/>
      <c r="PVH107" s="12"/>
      <c r="PVY107" s="12"/>
      <c r="PVZ107" s="12"/>
      <c r="PWQ107" s="12"/>
      <c r="PWR107" s="12"/>
      <c r="PXI107" s="12"/>
      <c r="PXJ107" s="12"/>
      <c r="PYA107" s="12"/>
      <c r="PYB107" s="12"/>
      <c r="PYS107" s="12"/>
      <c r="PYT107" s="12"/>
      <c r="PZK107" s="12"/>
      <c r="PZL107" s="12"/>
      <c r="QAC107" s="12"/>
      <c r="QAD107" s="12"/>
      <c r="QAU107" s="12"/>
      <c r="QAV107" s="12"/>
      <c r="QBM107" s="12"/>
      <c r="QBN107" s="12"/>
      <c r="QCE107" s="12"/>
      <c r="QCF107" s="12"/>
      <c r="QCW107" s="12"/>
      <c r="QCX107" s="12"/>
      <c r="QDO107" s="12"/>
      <c r="QDP107" s="12"/>
      <c r="QEG107" s="12"/>
      <c r="QEH107" s="12"/>
      <c r="QEY107" s="12"/>
      <c r="QEZ107" s="12"/>
      <c r="QFQ107" s="12"/>
      <c r="QFR107" s="12"/>
      <c r="QGI107" s="12"/>
      <c r="QGJ107" s="12"/>
      <c r="QHA107" s="12"/>
      <c r="QHB107" s="12"/>
      <c r="QHS107" s="12"/>
      <c r="QHT107" s="12"/>
      <c r="QIK107" s="12"/>
      <c r="QIL107" s="12"/>
      <c r="QJC107" s="12"/>
      <c r="QJD107" s="12"/>
      <c r="QJU107" s="12"/>
      <c r="QJV107" s="12"/>
      <c r="QKM107" s="12"/>
      <c r="QKN107" s="12"/>
      <c r="QLE107" s="12"/>
      <c r="QLF107" s="12"/>
      <c r="QLW107" s="12"/>
      <c r="QLX107" s="12"/>
      <c r="QMO107" s="12"/>
      <c r="QMP107" s="12"/>
      <c r="QNG107" s="12"/>
      <c r="QNH107" s="12"/>
      <c r="QNY107" s="12"/>
      <c r="QNZ107" s="12"/>
      <c r="QOQ107" s="12"/>
      <c r="QOR107" s="12"/>
      <c r="QPI107" s="12"/>
      <c r="QPJ107" s="12"/>
      <c r="QQA107" s="12"/>
      <c r="QQB107" s="12"/>
      <c r="QQS107" s="12"/>
      <c r="QQT107" s="12"/>
      <c r="QRK107" s="12"/>
      <c r="QRL107" s="12"/>
      <c r="QSC107" s="12"/>
      <c r="QSD107" s="12"/>
      <c r="QSU107" s="12"/>
      <c r="QSV107" s="12"/>
      <c r="QTM107" s="12"/>
      <c r="QTN107" s="12"/>
      <c r="QUE107" s="12"/>
      <c r="QUF107" s="12"/>
      <c r="QUW107" s="12"/>
      <c r="QUX107" s="12"/>
      <c r="QVO107" s="12"/>
      <c r="QVP107" s="12"/>
      <c r="QWG107" s="12"/>
      <c r="QWH107" s="12"/>
      <c r="QWY107" s="12"/>
      <c r="QWZ107" s="12"/>
      <c r="QXQ107" s="12"/>
      <c r="QXR107" s="12"/>
      <c r="QYI107" s="12"/>
      <c r="QYJ107" s="12"/>
      <c r="QZA107" s="12"/>
      <c r="QZB107" s="12"/>
      <c r="QZS107" s="12"/>
      <c r="QZT107" s="12"/>
      <c r="RAK107" s="12"/>
      <c r="RAL107" s="12"/>
      <c r="RBC107" s="12"/>
      <c r="RBD107" s="12"/>
      <c r="RBU107" s="12"/>
      <c r="RBV107" s="12"/>
      <c r="RCM107" s="12"/>
      <c r="RCN107" s="12"/>
      <c r="RDE107" s="12"/>
      <c r="RDF107" s="12"/>
      <c r="RDW107" s="12"/>
      <c r="RDX107" s="12"/>
      <c r="REO107" s="12"/>
      <c r="REP107" s="12"/>
      <c r="RFG107" s="12"/>
      <c r="RFH107" s="12"/>
      <c r="RFY107" s="12"/>
      <c r="RFZ107" s="12"/>
      <c r="RGQ107" s="12"/>
      <c r="RGR107" s="12"/>
      <c r="RHI107" s="12"/>
      <c r="RHJ107" s="12"/>
      <c r="RIA107" s="12"/>
      <c r="RIB107" s="12"/>
      <c r="RIS107" s="12"/>
      <c r="RIT107" s="12"/>
      <c r="RJK107" s="12"/>
      <c r="RJL107" s="12"/>
      <c r="RKC107" s="12"/>
      <c r="RKD107" s="12"/>
      <c r="RKU107" s="12"/>
      <c r="RKV107" s="12"/>
      <c r="RLM107" s="12"/>
      <c r="RLN107" s="12"/>
      <c r="RME107" s="12"/>
      <c r="RMF107" s="12"/>
      <c r="RMW107" s="12"/>
      <c r="RMX107" s="12"/>
      <c r="RNO107" s="12"/>
      <c r="RNP107" s="12"/>
      <c r="ROG107" s="12"/>
      <c r="ROH107" s="12"/>
      <c r="ROY107" s="12"/>
      <c r="ROZ107" s="12"/>
      <c r="RPQ107" s="12"/>
      <c r="RPR107" s="12"/>
      <c r="RQI107" s="12"/>
      <c r="RQJ107" s="12"/>
      <c r="RRA107" s="12"/>
      <c r="RRB107" s="12"/>
      <c r="RRS107" s="12"/>
      <c r="RRT107" s="12"/>
      <c r="RSK107" s="12"/>
      <c r="RSL107" s="12"/>
      <c r="RTC107" s="12"/>
      <c r="RTD107" s="12"/>
      <c r="RTU107" s="12"/>
      <c r="RTV107" s="12"/>
      <c r="RUM107" s="12"/>
      <c r="RUN107" s="12"/>
      <c r="RVE107" s="12"/>
      <c r="RVF107" s="12"/>
      <c r="RVW107" s="12"/>
      <c r="RVX107" s="12"/>
      <c r="RWO107" s="12"/>
      <c r="RWP107" s="12"/>
      <c r="RXG107" s="12"/>
      <c r="RXH107" s="12"/>
      <c r="RXY107" s="12"/>
      <c r="RXZ107" s="12"/>
      <c r="RYQ107" s="12"/>
      <c r="RYR107" s="12"/>
      <c r="RZI107" s="12"/>
      <c r="RZJ107" s="12"/>
      <c r="SAA107" s="12"/>
      <c r="SAB107" s="12"/>
      <c r="SAS107" s="12"/>
      <c r="SAT107" s="12"/>
      <c r="SBK107" s="12"/>
      <c r="SBL107" s="12"/>
      <c r="SCC107" s="12"/>
      <c r="SCD107" s="12"/>
      <c r="SCU107" s="12"/>
      <c r="SCV107" s="12"/>
      <c r="SDM107" s="12"/>
      <c r="SDN107" s="12"/>
      <c r="SEE107" s="12"/>
      <c r="SEF107" s="12"/>
      <c r="SEW107" s="12"/>
      <c r="SEX107" s="12"/>
      <c r="SFO107" s="12"/>
      <c r="SFP107" s="12"/>
      <c r="SGG107" s="12"/>
      <c r="SGH107" s="12"/>
      <c r="SGY107" s="12"/>
      <c r="SGZ107" s="12"/>
      <c r="SHQ107" s="12"/>
      <c r="SHR107" s="12"/>
      <c r="SII107" s="12"/>
      <c r="SIJ107" s="12"/>
      <c r="SJA107" s="12"/>
      <c r="SJB107" s="12"/>
      <c r="SJS107" s="12"/>
      <c r="SJT107" s="12"/>
      <c r="SKK107" s="12"/>
      <c r="SKL107" s="12"/>
      <c r="SLC107" s="12"/>
      <c r="SLD107" s="12"/>
      <c r="SLU107" s="12"/>
      <c r="SLV107" s="12"/>
      <c r="SMM107" s="12"/>
      <c r="SMN107" s="12"/>
      <c r="SNE107" s="12"/>
      <c r="SNF107" s="12"/>
      <c r="SNW107" s="12"/>
      <c r="SNX107" s="12"/>
      <c r="SOO107" s="12"/>
      <c r="SOP107" s="12"/>
      <c r="SPG107" s="12"/>
      <c r="SPH107" s="12"/>
      <c r="SPY107" s="12"/>
      <c r="SPZ107" s="12"/>
      <c r="SQQ107" s="12"/>
      <c r="SQR107" s="12"/>
      <c r="SRI107" s="12"/>
      <c r="SRJ107" s="12"/>
      <c r="SSA107" s="12"/>
      <c r="SSB107" s="12"/>
      <c r="SSS107" s="12"/>
      <c r="SST107" s="12"/>
      <c r="STK107" s="12"/>
      <c r="STL107" s="12"/>
      <c r="SUC107" s="12"/>
      <c r="SUD107" s="12"/>
      <c r="SUU107" s="12"/>
      <c r="SUV107" s="12"/>
      <c r="SVM107" s="12"/>
      <c r="SVN107" s="12"/>
      <c r="SWE107" s="12"/>
      <c r="SWF107" s="12"/>
      <c r="SWW107" s="12"/>
      <c r="SWX107" s="12"/>
      <c r="SXO107" s="12"/>
      <c r="SXP107" s="12"/>
      <c r="SYG107" s="12"/>
      <c r="SYH107" s="12"/>
      <c r="SYY107" s="12"/>
      <c r="SYZ107" s="12"/>
      <c r="SZQ107" s="12"/>
      <c r="SZR107" s="12"/>
      <c r="TAI107" s="12"/>
      <c r="TAJ107" s="12"/>
      <c r="TBA107" s="12"/>
      <c r="TBB107" s="12"/>
      <c r="TBS107" s="12"/>
      <c r="TBT107" s="12"/>
      <c r="TCK107" s="12"/>
      <c r="TCL107" s="12"/>
      <c r="TDC107" s="12"/>
      <c r="TDD107" s="12"/>
      <c r="TDU107" s="12"/>
      <c r="TDV107" s="12"/>
      <c r="TEM107" s="12"/>
      <c r="TEN107" s="12"/>
      <c r="TFE107" s="12"/>
      <c r="TFF107" s="12"/>
      <c r="TFW107" s="12"/>
      <c r="TFX107" s="12"/>
      <c r="TGO107" s="12"/>
      <c r="TGP107" s="12"/>
      <c r="THG107" s="12"/>
      <c r="THH107" s="12"/>
      <c r="THY107" s="12"/>
      <c r="THZ107" s="12"/>
      <c r="TIQ107" s="12"/>
      <c r="TIR107" s="12"/>
      <c r="TJI107" s="12"/>
      <c r="TJJ107" s="12"/>
      <c r="TKA107" s="12"/>
      <c r="TKB107" s="12"/>
      <c r="TKS107" s="12"/>
      <c r="TKT107" s="12"/>
      <c r="TLK107" s="12"/>
      <c r="TLL107" s="12"/>
      <c r="TMC107" s="12"/>
      <c r="TMD107" s="12"/>
      <c r="TMU107" s="12"/>
      <c r="TMV107" s="12"/>
      <c r="TNM107" s="12"/>
      <c r="TNN107" s="12"/>
      <c r="TOE107" s="12"/>
      <c r="TOF107" s="12"/>
      <c r="TOW107" s="12"/>
      <c r="TOX107" s="12"/>
      <c r="TPO107" s="12"/>
      <c r="TPP107" s="12"/>
      <c r="TQG107" s="12"/>
      <c r="TQH107" s="12"/>
      <c r="TQY107" s="12"/>
      <c r="TQZ107" s="12"/>
      <c r="TRQ107" s="12"/>
      <c r="TRR107" s="12"/>
      <c r="TSI107" s="12"/>
      <c r="TSJ107" s="12"/>
      <c r="TTA107" s="12"/>
      <c r="TTB107" s="12"/>
      <c r="TTS107" s="12"/>
      <c r="TTT107" s="12"/>
      <c r="TUK107" s="12"/>
      <c r="TUL107" s="12"/>
      <c r="TVC107" s="12"/>
      <c r="TVD107" s="12"/>
      <c r="TVU107" s="12"/>
      <c r="TVV107" s="12"/>
      <c r="TWM107" s="12"/>
      <c r="TWN107" s="12"/>
      <c r="TXE107" s="12"/>
      <c r="TXF107" s="12"/>
      <c r="TXW107" s="12"/>
      <c r="TXX107" s="12"/>
      <c r="TYO107" s="12"/>
      <c r="TYP107" s="12"/>
      <c r="TZG107" s="12"/>
      <c r="TZH107" s="12"/>
      <c r="TZY107" s="12"/>
      <c r="TZZ107" s="12"/>
      <c r="UAQ107" s="12"/>
      <c r="UAR107" s="12"/>
      <c r="UBI107" s="12"/>
      <c r="UBJ107" s="12"/>
      <c r="UCA107" s="12"/>
      <c r="UCB107" s="12"/>
      <c r="UCS107" s="12"/>
      <c r="UCT107" s="12"/>
      <c r="UDK107" s="12"/>
      <c r="UDL107" s="12"/>
      <c r="UEC107" s="12"/>
      <c r="UED107" s="12"/>
      <c r="UEU107" s="12"/>
      <c r="UEV107" s="12"/>
      <c r="UFM107" s="12"/>
      <c r="UFN107" s="12"/>
      <c r="UGE107" s="12"/>
      <c r="UGF107" s="12"/>
      <c r="UGW107" s="12"/>
      <c r="UGX107" s="12"/>
      <c r="UHO107" s="12"/>
      <c r="UHP107" s="12"/>
      <c r="UIG107" s="12"/>
      <c r="UIH107" s="12"/>
      <c r="UIY107" s="12"/>
      <c r="UIZ107" s="12"/>
      <c r="UJQ107" s="12"/>
      <c r="UJR107" s="12"/>
      <c r="UKI107" s="12"/>
      <c r="UKJ107" s="12"/>
      <c r="ULA107" s="12"/>
      <c r="ULB107" s="12"/>
      <c r="ULS107" s="12"/>
      <c r="ULT107" s="12"/>
      <c r="UMK107" s="12"/>
      <c r="UML107" s="12"/>
      <c r="UNC107" s="12"/>
      <c r="UND107" s="12"/>
      <c r="UNU107" s="12"/>
      <c r="UNV107" s="12"/>
      <c r="UOM107" s="12"/>
      <c r="UON107" s="12"/>
      <c r="UPE107" s="12"/>
      <c r="UPF107" s="12"/>
      <c r="UPW107" s="12"/>
      <c r="UPX107" s="12"/>
      <c r="UQO107" s="12"/>
      <c r="UQP107" s="12"/>
      <c r="URG107" s="12"/>
      <c r="URH107" s="12"/>
      <c r="URY107" s="12"/>
      <c r="URZ107" s="12"/>
      <c r="USQ107" s="12"/>
      <c r="USR107" s="12"/>
      <c r="UTI107" s="12"/>
      <c r="UTJ107" s="12"/>
      <c r="UUA107" s="12"/>
      <c r="UUB107" s="12"/>
      <c r="UUS107" s="12"/>
      <c r="UUT107" s="12"/>
      <c r="UVK107" s="12"/>
      <c r="UVL107" s="12"/>
      <c r="UWC107" s="12"/>
      <c r="UWD107" s="12"/>
      <c r="UWU107" s="12"/>
      <c r="UWV107" s="12"/>
      <c r="UXM107" s="12"/>
      <c r="UXN107" s="12"/>
      <c r="UYE107" s="12"/>
      <c r="UYF107" s="12"/>
      <c r="UYW107" s="12"/>
      <c r="UYX107" s="12"/>
      <c r="UZO107" s="12"/>
      <c r="UZP107" s="12"/>
      <c r="VAG107" s="12"/>
      <c r="VAH107" s="12"/>
      <c r="VAY107" s="12"/>
      <c r="VAZ107" s="12"/>
      <c r="VBQ107" s="12"/>
      <c r="VBR107" s="12"/>
      <c r="VCI107" s="12"/>
      <c r="VCJ107" s="12"/>
      <c r="VDA107" s="12"/>
      <c r="VDB107" s="12"/>
      <c r="VDS107" s="12"/>
      <c r="VDT107" s="12"/>
      <c r="VEK107" s="12"/>
      <c r="VEL107" s="12"/>
      <c r="VFC107" s="12"/>
      <c r="VFD107" s="12"/>
      <c r="VFU107" s="12"/>
      <c r="VFV107" s="12"/>
      <c r="VGM107" s="12"/>
      <c r="VGN107" s="12"/>
      <c r="VHE107" s="12"/>
      <c r="VHF107" s="12"/>
      <c r="VHW107" s="12"/>
      <c r="VHX107" s="12"/>
      <c r="VIO107" s="12"/>
      <c r="VIP107" s="12"/>
      <c r="VJG107" s="12"/>
      <c r="VJH107" s="12"/>
      <c r="VJY107" s="12"/>
      <c r="VJZ107" s="12"/>
      <c r="VKQ107" s="12"/>
      <c r="VKR107" s="12"/>
      <c r="VLI107" s="12"/>
      <c r="VLJ107" s="12"/>
      <c r="VMA107" s="12"/>
      <c r="VMB107" s="12"/>
      <c r="VMS107" s="12"/>
      <c r="VMT107" s="12"/>
      <c r="VNK107" s="12"/>
      <c r="VNL107" s="12"/>
      <c r="VOC107" s="12"/>
      <c r="VOD107" s="12"/>
      <c r="VOU107" s="12"/>
      <c r="VOV107" s="12"/>
      <c r="VPM107" s="12"/>
      <c r="VPN107" s="12"/>
      <c r="VQE107" s="12"/>
      <c r="VQF107" s="12"/>
      <c r="VQW107" s="12"/>
      <c r="VQX107" s="12"/>
      <c r="VRO107" s="12"/>
      <c r="VRP107" s="12"/>
      <c r="VSG107" s="12"/>
      <c r="VSH107" s="12"/>
      <c r="VSY107" s="12"/>
      <c r="VSZ107" s="12"/>
      <c r="VTQ107" s="12"/>
      <c r="VTR107" s="12"/>
      <c r="VUI107" s="12"/>
      <c r="VUJ107" s="12"/>
      <c r="VVA107" s="12"/>
      <c r="VVB107" s="12"/>
      <c r="VVS107" s="12"/>
      <c r="VVT107" s="12"/>
      <c r="VWK107" s="12"/>
      <c r="VWL107" s="12"/>
      <c r="VXC107" s="12"/>
      <c r="VXD107" s="12"/>
      <c r="VXU107" s="12"/>
      <c r="VXV107" s="12"/>
      <c r="VYM107" s="12"/>
      <c r="VYN107" s="12"/>
      <c r="VZE107" s="12"/>
      <c r="VZF107" s="12"/>
      <c r="VZW107" s="12"/>
      <c r="VZX107" s="12"/>
      <c r="WAO107" s="12"/>
      <c r="WAP107" s="12"/>
      <c r="WBG107" s="12"/>
      <c r="WBH107" s="12"/>
      <c r="WBY107" s="12"/>
      <c r="WBZ107" s="12"/>
      <c r="WCQ107" s="12"/>
      <c r="WCR107" s="12"/>
      <c r="WDI107" s="12"/>
      <c r="WDJ107" s="12"/>
      <c r="WEA107" s="12"/>
      <c r="WEB107" s="12"/>
      <c r="WES107" s="12"/>
      <c r="WET107" s="12"/>
      <c r="WFK107" s="12"/>
      <c r="WFL107" s="12"/>
      <c r="WGC107" s="12"/>
      <c r="WGD107" s="12"/>
      <c r="WGU107" s="12"/>
      <c r="WGV107" s="12"/>
      <c r="WHM107" s="12"/>
      <c r="WHN107" s="12"/>
      <c r="WIE107" s="12"/>
      <c r="WIF107" s="12"/>
      <c r="WIW107" s="12"/>
      <c r="WIX107" s="12"/>
      <c r="WJO107" s="12"/>
      <c r="WJP107" s="12"/>
      <c r="WKG107" s="12"/>
      <c r="WKH107" s="12"/>
      <c r="WKY107" s="12"/>
      <c r="WKZ107" s="12"/>
      <c r="WLQ107" s="12"/>
      <c r="WLR107" s="12"/>
      <c r="WMI107" s="12"/>
      <c r="WMJ107" s="12"/>
      <c r="WNA107" s="12"/>
      <c r="WNB107" s="12"/>
      <c r="WNS107" s="12"/>
      <c r="WNT107" s="12"/>
      <c r="WOK107" s="12"/>
      <c r="WOL107" s="12"/>
      <c r="WPC107" s="12"/>
      <c r="WPD107" s="12"/>
      <c r="WPU107" s="12"/>
      <c r="WPV107" s="12"/>
      <c r="WQM107" s="12"/>
      <c r="WQN107" s="12"/>
      <c r="WRE107" s="12"/>
      <c r="WRF107" s="12"/>
      <c r="WRW107" s="12"/>
      <c r="WRX107" s="12"/>
      <c r="WSO107" s="12"/>
      <c r="WSP107" s="12"/>
      <c r="WTG107" s="12"/>
      <c r="WTH107" s="12"/>
      <c r="WTY107" s="12"/>
      <c r="WTZ107" s="12"/>
      <c r="WUQ107" s="12"/>
      <c r="WUR107" s="12"/>
      <c r="WVI107" s="12"/>
      <c r="WVJ107" s="12"/>
      <c r="WWA107" s="12"/>
      <c r="WWB107" s="12"/>
      <c r="WWS107" s="12"/>
      <c r="WWT107" s="12"/>
      <c r="WXK107" s="12"/>
      <c r="WXL107" s="12"/>
      <c r="WYC107" s="12"/>
      <c r="WYD107" s="12"/>
      <c r="WYU107" s="12"/>
      <c r="WYV107" s="12"/>
      <c r="WZM107" s="12"/>
      <c r="WZN107" s="12"/>
      <c r="XAE107" s="12"/>
      <c r="XAF107" s="12"/>
      <c r="XAW107" s="12"/>
      <c r="XAX107" s="12"/>
      <c r="XBO107" s="12"/>
      <c r="XBP107" s="12"/>
      <c r="XCG107" s="12"/>
      <c r="XCH107" s="12"/>
      <c r="XCY107" s="12"/>
      <c r="XCZ107" s="12"/>
      <c r="XDQ107" s="12"/>
      <c r="XDR107" s="12"/>
      <c r="XEI107" s="12"/>
      <c r="XEJ107" s="12"/>
      <c r="XFA107" s="12"/>
      <c r="XFB107" s="12"/>
    </row>
    <row r="108" spans="1:1010 1027:2036 2053:3062 3079:4088 4105:5114 5131:6140 6157:7166 7183:8192 8209:9200 9217:10226 10243:11252 11269:12278 12295:13304 13321:14330 14347:15356 15373:16382" x14ac:dyDescent="0.35">
      <c r="A108" s="181" t="str">
        <f>'Balance Sheet - Standardized'!A110</f>
        <v xml:space="preserve">    + Common Stock</v>
      </c>
      <c r="B108" s="13" t="str">
        <f>'Balance Sheet - Standardized'!B110</f>
        <v>BS_COMMON_STOCK</v>
      </c>
      <c r="C108" s="77">
        <f>IF('Balance Sheet - Standardized'!C110="",0,'Balance Sheet - Standardized'!C110)/'Balance Sheet - Standardized'!C$118</f>
        <v>7.438575011825875E-2</v>
      </c>
      <c r="D108" s="77">
        <f>IF('Balance Sheet - Standardized'!D110="",0,'Balance Sheet - Standardized'!D110)/'Balance Sheet - Standardized'!D$118</f>
        <v>6.9541389716909527E-2</v>
      </c>
      <c r="E108" s="77">
        <f>IF('Balance Sheet - Standardized'!E110="",0,'Balance Sheet - Standardized'!E110)/'Balance Sheet - Standardized'!E$118</f>
        <v>6.8050970505587546E-2</v>
      </c>
      <c r="F108" s="77">
        <f>IF('Balance Sheet - Standardized'!F110="",0,'Balance Sheet - Standardized'!F110)/'Balance Sheet - Standardized'!F$118</f>
        <v>7.0355580908918053E-2</v>
      </c>
      <c r="G108" s="77">
        <f>IF('Balance Sheet - Standardized'!G110="",0,'Balance Sheet - Standardized'!G110)/'Balance Sheet - Standardized'!G$118</f>
        <v>6.3373062930878549E-2</v>
      </c>
      <c r="H108" s="77">
        <f>IF('Balance Sheet - Standardized'!H110="",0,'Balance Sheet - Standardized'!H110)/'Balance Sheet - Standardized'!H$118</f>
        <v>5.611251458878104E-2</v>
      </c>
      <c r="I108" s="77">
        <f>IF('Balance Sheet - Standardized'!I110="",0,'Balance Sheet - Standardized'!I110)/'Balance Sheet - Standardized'!I$118</f>
        <v>4.846221508142709E-2</v>
      </c>
      <c r="J108" s="77">
        <f>IF('Balance Sheet - Standardized'!J110="",0,'Balance Sheet - Standardized'!J110)/'Balance Sheet - Standardized'!J$118</f>
        <v>4.1904878953409518E-2</v>
      </c>
      <c r="K108" s="77">
        <f>IF('Balance Sheet - Standardized'!K110="",0,'Balance Sheet - Standardized'!K110)/'Balance Sheet - Standardized'!K$118</f>
        <v>3.9767682207892403E-2</v>
      </c>
      <c r="L108" s="77">
        <f>IF('Balance Sheet - Standardized'!L110="",0,'Balance Sheet - Standardized'!L110)/'Balance Sheet - Standardized'!L$118</f>
        <v>3.5970723468143007E-2</v>
      </c>
      <c r="M108" s="106"/>
      <c r="N108" s="106"/>
      <c r="O108" s="106"/>
      <c r="P108" s="106"/>
      <c r="Q108" s="106"/>
      <c r="R108" s="106"/>
      <c r="S108" s="74"/>
      <c r="T108" s="78"/>
      <c r="U108" s="78"/>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row>
    <row r="109" spans="1:1010 1027:2036 2053:3062 3079:4088 4105:5114 5131:6140 6157:7166 7183:8192 8209:9200 9217:10226 10243:11252 11269:12278 12295:13304 13321:14330 14347:15356 15373:16382" x14ac:dyDescent="0.35">
      <c r="A109" s="181" t="str">
        <f>'Balance Sheet - Standardized'!A111</f>
        <v xml:space="preserve">    + Additional Paid in Capital</v>
      </c>
      <c r="B109" s="13" t="str">
        <f>'Balance Sheet - Standardized'!B111</f>
        <v>BS_ADD_PAID_IN_CAP</v>
      </c>
      <c r="C109" s="77">
        <f>IF('Balance Sheet - Standardized'!C111="",0,'Balance Sheet - Standardized'!C111)/'Balance Sheet - Standardized'!C$118</f>
        <v>0.22792337627749268</v>
      </c>
      <c r="D109" s="77">
        <f>IF('Balance Sheet - Standardized'!D111="",0,'Balance Sheet - Standardized'!D111)/'Balance Sheet - Standardized'!D$118</f>
        <v>0.23330802984577215</v>
      </c>
      <c r="E109" s="77">
        <f>IF('Balance Sheet - Standardized'!E111="",0,'Balance Sheet - Standardized'!E111)/'Balance Sheet - Standardized'!E$118</f>
        <v>0.24728569055066352</v>
      </c>
      <c r="F109" s="77">
        <f>IF('Balance Sheet - Standardized'!F111="",0,'Balance Sheet - Standardized'!F111)/'Balance Sheet - Standardized'!F$118</f>
        <v>0.26726918186936305</v>
      </c>
      <c r="G109" s="77">
        <f>IF('Balance Sheet - Standardized'!G111="",0,'Balance Sheet - Standardized'!G111)/'Balance Sheet - Standardized'!G$118</f>
        <v>0.26023891356635115</v>
      </c>
      <c r="H109" s="77">
        <f>IF('Balance Sheet - Standardized'!H111="",0,'Balance Sheet - Standardized'!H111)/'Balance Sheet - Standardized'!H$118</f>
        <v>0.25556589696996562</v>
      </c>
      <c r="I109" s="77">
        <f>IF('Balance Sheet - Standardized'!I111="",0,'Balance Sheet - Standardized'!I111)/'Balance Sheet - Standardized'!I$118</f>
        <v>0.23898331799531217</v>
      </c>
      <c r="J109" s="77">
        <f>IF('Balance Sheet - Standardized'!J111="",0,'Balance Sheet - Standardized'!J111)/'Balance Sheet - Standardized'!J$118</f>
        <v>0.21619177835668085</v>
      </c>
      <c r="K109" s="77">
        <f>IF('Balance Sheet - Standardized'!K111="",0,'Balance Sheet - Standardized'!K111)/'Balance Sheet - Standardized'!K$118</f>
        <v>0.21703164737270039</v>
      </c>
      <c r="L109" s="77">
        <f>IF('Balance Sheet - Standardized'!L111="",0,'Balance Sheet - Standardized'!L111)/'Balance Sheet - Standardized'!L$118</f>
        <v>0.21214600731913297</v>
      </c>
      <c r="M109" s="106"/>
      <c r="N109" s="106"/>
      <c r="O109" s="106"/>
      <c r="P109" s="106"/>
      <c r="Q109" s="106"/>
      <c r="R109" s="106"/>
      <c r="S109" s="74"/>
      <c r="T109" s="78"/>
      <c r="U109" s="78"/>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row>
    <row r="110" spans="1:1010 1027:2036 2053:3062 3079:4088 4105:5114 5131:6140 6157:7166 7183:8192 8209:9200 9217:10226 10243:11252 11269:12278 12295:13304 13321:14330 14347:15356 15373:16382" x14ac:dyDescent="0.35">
      <c r="A110" s="23" t="str">
        <f>'Balance Sheet - Standardized'!A112</f>
        <v>check</v>
      </c>
      <c r="B110" s="23"/>
      <c r="C110" s="79"/>
      <c r="D110" s="79"/>
      <c r="E110" s="79"/>
      <c r="F110" s="79"/>
      <c r="G110" s="79"/>
      <c r="H110" s="79"/>
      <c r="I110" s="79"/>
      <c r="J110" s="79"/>
      <c r="K110" s="79"/>
      <c r="L110" s="79"/>
      <c r="M110" s="144"/>
      <c r="N110" s="144"/>
      <c r="O110" s="144"/>
      <c r="P110" s="144"/>
      <c r="Q110" s="144"/>
      <c r="R110" s="144"/>
      <c r="S110" s="74"/>
      <c r="T110" s="78"/>
      <c r="U110" s="78"/>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row>
    <row r="111" spans="1:1010 1027:2036 2053:3062 3079:4088 4105:5114 5131:6140 6157:7166 7183:8192 8209:9200 9217:10226 10243:11252 11269:12278 12295:13304 13321:14330 14347:15356 15373:16382" s="11" customFormat="1" x14ac:dyDescent="0.35">
      <c r="A111" s="183" t="str">
        <f>'Balance Sheet - Standardized'!A113</f>
        <v xml:space="preserve">  - Treasury Stock</v>
      </c>
      <c r="B111" s="75" t="str">
        <f>'Balance Sheet - Standardized'!B113</f>
        <v>BS_AMT_OF_TSY_STOCK</v>
      </c>
      <c r="C111" s="76">
        <f>IF('Balance Sheet - Standardized'!C113="",0,'Balance Sheet - Standardized'!C113)/'Balance Sheet - Standardized'!C$118</f>
        <v>1.102044385789869</v>
      </c>
      <c r="D111" s="76">
        <f>IF('Balance Sheet - Standardized'!D113="",0,'Balance Sheet - Standardized'!D113)/'Balance Sheet - Standardized'!D$118</f>
        <v>1.0265982855344282</v>
      </c>
      <c r="E111" s="76">
        <f>IF('Balance Sheet - Standardized'!E113="",0,'Balance Sheet - Standardized'!E113)/'Balance Sheet - Standardized'!E$118</f>
        <v>1.0013436102663382</v>
      </c>
      <c r="F111" s="76">
        <f>IF('Balance Sheet - Standardized'!F113="",0,'Balance Sheet - Standardized'!F113)/'Balance Sheet - Standardized'!F$118</f>
        <v>1.0336640455763975</v>
      </c>
      <c r="G111" s="76">
        <f>IF('Balance Sheet - Standardized'!G113="",0,'Balance Sheet - Standardized'!G113)/'Balance Sheet - Standardized'!G$118</f>
        <v>0.92871451637757196</v>
      </c>
      <c r="H111" s="76">
        <f>IF('Balance Sheet - Standardized'!H113="",0,'Balance Sheet - Standardized'!H113)/'Balance Sheet - Standardized'!H$118</f>
        <v>0.81915229948736135</v>
      </c>
      <c r="I111" s="76">
        <f>IF('Balance Sheet - Standardized'!I113="",0,'Balance Sheet - Standardized'!I113)/'Balance Sheet - Standardized'!I$118</f>
        <v>0.70479817367385433</v>
      </c>
      <c r="J111" s="76">
        <f>IF('Balance Sheet - Standardized'!J113="",0,'Balance Sheet - Standardized'!J113)/'Balance Sheet - Standardized'!J$118</f>
        <v>0.60844374312796412</v>
      </c>
      <c r="K111" s="76">
        <f>IF('Balance Sheet - Standardized'!K113="",0,'Balance Sheet - Standardized'!K113)/'Balance Sheet - Standardized'!K$118</f>
        <v>0.62319892366909069</v>
      </c>
      <c r="L111" s="76">
        <f>IF('Balance Sheet - Standardized'!L113="",0,'Balance Sheet - Standardized'!L113)/'Balance Sheet - Standardized'!L$118</f>
        <v>0.58407431735009852</v>
      </c>
      <c r="M111" s="106"/>
      <c r="N111" s="106"/>
      <c r="O111" s="106"/>
      <c r="P111" s="106"/>
      <c r="Q111" s="106"/>
      <c r="R111" s="106"/>
      <c r="S111" s="78"/>
      <c r="T111" s="78"/>
      <c r="U111" s="106"/>
      <c r="V111" s="106"/>
      <c r="W111" s="106"/>
      <c r="X111" s="106"/>
      <c r="Y111" s="106"/>
      <c r="Z111" s="106"/>
      <c r="AA111" s="106"/>
      <c r="AB111" s="106"/>
      <c r="AC111" s="106"/>
      <c r="AD111" s="106"/>
      <c r="AE111" s="106"/>
      <c r="AF111" s="106"/>
      <c r="AG111" s="106"/>
      <c r="AH111" s="106"/>
      <c r="AI111" s="106"/>
      <c r="AJ111" s="106"/>
      <c r="AK111" s="78"/>
      <c r="AL111" s="78"/>
      <c r="AM111" s="106"/>
      <c r="AN111" s="106"/>
      <c r="AO111" s="106"/>
      <c r="AP111" s="106"/>
      <c r="AQ111" s="106"/>
      <c r="AR111" s="106"/>
      <c r="AS111" s="106"/>
      <c r="AT111" s="106"/>
      <c r="AU111" s="106"/>
      <c r="AV111" s="106"/>
      <c r="AW111" s="106"/>
      <c r="AX111" s="106"/>
      <c r="AY111" s="106"/>
      <c r="AZ111" s="106"/>
      <c r="BA111" s="106"/>
      <c r="BB111" s="106"/>
      <c r="BC111" s="78"/>
      <c r="BD111" s="78"/>
      <c r="BE111" s="106"/>
      <c r="BF111" s="106"/>
      <c r="BG111" s="106"/>
      <c r="BH111" s="106"/>
      <c r="BI111" s="106"/>
      <c r="BJ111" s="106"/>
      <c r="BU111" s="12"/>
      <c r="BV111" s="12"/>
      <c r="CM111" s="12"/>
      <c r="CN111" s="12"/>
      <c r="DE111" s="12"/>
      <c r="DF111" s="12"/>
      <c r="DW111" s="12"/>
      <c r="DX111" s="12"/>
      <c r="EO111" s="12"/>
      <c r="EP111" s="12"/>
      <c r="FG111" s="12"/>
      <c r="FH111" s="12"/>
      <c r="FY111" s="12"/>
      <c r="FZ111" s="12"/>
      <c r="GQ111" s="12"/>
      <c r="GR111" s="12"/>
      <c r="HI111" s="12"/>
      <c r="HJ111" s="12"/>
      <c r="IA111" s="12"/>
      <c r="IB111" s="12"/>
      <c r="IS111" s="12"/>
      <c r="IT111" s="12"/>
      <c r="JK111" s="12"/>
      <c r="JL111" s="12"/>
      <c r="KC111" s="12"/>
      <c r="KD111" s="12"/>
      <c r="KU111" s="12"/>
      <c r="KV111" s="12"/>
      <c r="LM111" s="12"/>
      <c r="LN111" s="12"/>
      <c r="ME111" s="12"/>
      <c r="MF111" s="12"/>
      <c r="MW111" s="12"/>
      <c r="MX111" s="12"/>
      <c r="NO111" s="12"/>
      <c r="NP111" s="12"/>
      <c r="OG111" s="12"/>
      <c r="OH111" s="12"/>
      <c r="OY111" s="12"/>
      <c r="OZ111" s="12"/>
      <c r="PQ111" s="12"/>
      <c r="PR111" s="12"/>
      <c r="QI111" s="12"/>
      <c r="QJ111" s="12"/>
      <c r="RA111" s="12"/>
      <c r="RB111" s="12"/>
      <c r="RS111" s="12"/>
      <c r="RT111" s="12"/>
      <c r="SK111" s="12"/>
      <c r="SL111" s="12"/>
      <c r="TC111" s="12"/>
      <c r="TD111" s="12"/>
      <c r="TU111" s="12"/>
      <c r="TV111" s="12"/>
      <c r="UM111" s="12"/>
      <c r="UN111" s="12"/>
      <c r="VE111" s="12"/>
      <c r="VF111" s="12"/>
      <c r="VW111" s="12"/>
      <c r="VX111" s="12"/>
      <c r="WO111" s="12"/>
      <c r="WP111" s="12"/>
      <c r="XG111" s="12"/>
      <c r="XH111" s="12"/>
      <c r="XY111" s="12"/>
      <c r="XZ111" s="12"/>
      <c r="YQ111" s="12"/>
      <c r="YR111" s="12"/>
      <c r="ZI111" s="12"/>
      <c r="ZJ111" s="12"/>
      <c r="AAA111" s="12"/>
      <c r="AAB111" s="12"/>
      <c r="AAS111" s="12"/>
      <c r="AAT111" s="12"/>
      <c r="ABK111" s="12"/>
      <c r="ABL111" s="12"/>
      <c r="ACC111" s="12"/>
      <c r="ACD111" s="12"/>
      <c r="ACU111" s="12"/>
      <c r="ACV111" s="12"/>
      <c r="ADM111" s="12"/>
      <c r="ADN111" s="12"/>
      <c r="AEE111" s="12"/>
      <c r="AEF111" s="12"/>
      <c r="AEW111" s="12"/>
      <c r="AEX111" s="12"/>
      <c r="AFO111" s="12"/>
      <c r="AFP111" s="12"/>
      <c r="AGG111" s="12"/>
      <c r="AGH111" s="12"/>
      <c r="AGY111" s="12"/>
      <c r="AGZ111" s="12"/>
      <c r="AHQ111" s="12"/>
      <c r="AHR111" s="12"/>
      <c r="AII111" s="12"/>
      <c r="AIJ111" s="12"/>
      <c r="AJA111" s="12"/>
      <c r="AJB111" s="12"/>
      <c r="AJS111" s="12"/>
      <c r="AJT111" s="12"/>
      <c r="AKK111" s="12"/>
      <c r="AKL111" s="12"/>
      <c r="ALC111" s="12"/>
      <c r="ALD111" s="12"/>
      <c r="ALU111" s="12"/>
      <c r="ALV111" s="12"/>
      <c r="AMM111" s="12"/>
      <c r="AMN111" s="12"/>
      <c r="ANE111" s="12"/>
      <c r="ANF111" s="12"/>
      <c r="ANW111" s="12"/>
      <c r="ANX111" s="12"/>
      <c r="AOO111" s="12"/>
      <c r="AOP111" s="12"/>
      <c r="APG111" s="12"/>
      <c r="APH111" s="12"/>
      <c r="APY111" s="12"/>
      <c r="APZ111" s="12"/>
      <c r="AQQ111" s="12"/>
      <c r="AQR111" s="12"/>
      <c r="ARI111" s="12"/>
      <c r="ARJ111" s="12"/>
      <c r="ASA111" s="12"/>
      <c r="ASB111" s="12"/>
      <c r="ASS111" s="12"/>
      <c r="AST111" s="12"/>
      <c r="ATK111" s="12"/>
      <c r="ATL111" s="12"/>
      <c r="AUC111" s="12"/>
      <c r="AUD111" s="12"/>
      <c r="AUU111" s="12"/>
      <c r="AUV111" s="12"/>
      <c r="AVM111" s="12"/>
      <c r="AVN111" s="12"/>
      <c r="AWE111" s="12"/>
      <c r="AWF111" s="12"/>
      <c r="AWW111" s="12"/>
      <c r="AWX111" s="12"/>
      <c r="AXO111" s="12"/>
      <c r="AXP111" s="12"/>
      <c r="AYG111" s="12"/>
      <c r="AYH111" s="12"/>
      <c r="AYY111" s="12"/>
      <c r="AYZ111" s="12"/>
      <c r="AZQ111" s="12"/>
      <c r="AZR111" s="12"/>
      <c r="BAI111" s="12"/>
      <c r="BAJ111" s="12"/>
      <c r="BBA111" s="12"/>
      <c r="BBB111" s="12"/>
      <c r="BBS111" s="12"/>
      <c r="BBT111" s="12"/>
      <c r="BCK111" s="12"/>
      <c r="BCL111" s="12"/>
      <c r="BDC111" s="12"/>
      <c r="BDD111" s="12"/>
      <c r="BDU111" s="12"/>
      <c r="BDV111" s="12"/>
      <c r="BEM111" s="12"/>
      <c r="BEN111" s="12"/>
      <c r="BFE111" s="12"/>
      <c r="BFF111" s="12"/>
      <c r="BFW111" s="12"/>
      <c r="BFX111" s="12"/>
      <c r="BGO111" s="12"/>
      <c r="BGP111" s="12"/>
      <c r="BHG111" s="12"/>
      <c r="BHH111" s="12"/>
      <c r="BHY111" s="12"/>
      <c r="BHZ111" s="12"/>
      <c r="BIQ111" s="12"/>
      <c r="BIR111" s="12"/>
      <c r="BJI111" s="12"/>
      <c r="BJJ111" s="12"/>
      <c r="BKA111" s="12"/>
      <c r="BKB111" s="12"/>
      <c r="BKS111" s="12"/>
      <c r="BKT111" s="12"/>
      <c r="BLK111" s="12"/>
      <c r="BLL111" s="12"/>
      <c r="BMC111" s="12"/>
      <c r="BMD111" s="12"/>
      <c r="BMU111" s="12"/>
      <c r="BMV111" s="12"/>
      <c r="BNM111" s="12"/>
      <c r="BNN111" s="12"/>
      <c r="BOE111" s="12"/>
      <c r="BOF111" s="12"/>
      <c r="BOW111" s="12"/>
      <c r="BOX111" s="12"/>
      <c r="BPO111" s="12"/>
      <c r="BPP111" s="12"/>
      <c r="BQG111" s="12"/>
      <c r="BQH111" s="12"/>
      <c r="BQY111" s="12"/>
      <c r="BQZ111" s="12"/>
      <c r="BRQ111" s="12"/>
      <c r="BRR111" s="12"/>
      <c r="BSI111" s="12"/>
      <c r="BSJ111" s="12"/>
      <c r="BTA111" s="12"/>
      <c r="BTB111" s="12"/>
      <c r="BTS111" s="12"/>
      <c r="BTT111" s="12"/>
      <c r="BUK111" s="12"/>
      <c r="BUL111" s="12"/>
      <c r="BVC111" s="12"/>
      <c r="BVD111" s="12"/>
      <c r="BVU111" s="12"/>
      <c r="BVV111" s="12"/>
      <c r="BWM111" s="12"/>
      <c r="BWN111" s="12"/>
      <c r="BXE111" s="12"/>
      <c r="BXF111" s="12"/>
      <c r="BXW111" s="12"/>
      <c r="BXX111" s="12"/>
      <c r="BYO111" s="12"/>
      <c r="BYP111" s="12"/>
      <c r="BZG111" s="12"/>
      <c r="BZH111" s="12"/>
      <c r="BZY111" s="12"/>
      <c r="BZZ111" s="12"/>
      <c r="CAQ111" s="12"/>
      <c r="CAR111" s="12"/>
      <c r="CBI111" s="12"/>
      <c r="CBJ111" s="12"/>
      <c r="CCA111" s="12"/>
      <c r="CCB111" s="12"/>
      <c r="CCS111" s="12"/>
      <c r="CCT111" s="12"/>
      <c r="CDK111" s="12"/>
      <c r="CDL111" s="12"/>
      <c r="CEC111" s="12"/>
      <c r="CED111" s="12"/>
      <c r="CEU111" s="12"/>
      <c r="CEV111" s="12"/>
      <c r="CFM111" s="12"/>
      <c r="CFN111" s="12"/>
      <c r="CGE111" s="12"/>
      <c r="CGF111" s="12"/>
      <c r="CGW111" s="12"/>
      <c r="CGX111" s="12"/>
      <c r="CHO111" s="12"/>
      <c r="CHP111" s="12"/>
      <c r="CIG111" s="12"/>
      <c r="CIH111" s="12"/>
      <c r="CIY111" s="12"/>
      <c r="CIZ111" s="12"/>
      <c r="CJQ111" s="12"/>
      <c r="CJR111" s="12"/>
      <c r="CKI111" s="12"/>
      <c r="CKJ111" s="12"/>
      <c r="CLA111" s="12"/>
      <c r="CLB111" s="12"/>
      <c r="CLS111" s="12"/>
      <c r="CLT111" s="12"/>
      <c r="CMK111" s="12"/>
      <c r="CML111" s="12"/>
      <c r="CNC111" s="12"/>
      <c r="CND111" s="12"/>
      <c r="CNU111" s="12"/>
      <c r="CNV111" s="12"/>
      <c r="COM111" s="12"/>
      <c r="CON111" s="12"/>
      <c r="CPE111" s="12"/>
      <c r="CPF111" s="12"/>
      <c r="CPW111" s="12"/>
      <c r="CPX111" s="12"/>
      <c r="CQO111" s="12"/>
      <c r="CQP111" s="12"/>
      <c r="CRG111" s="12"/>
      <c r="CRH111" s="12"/>
      <c r="CRY111" s="12"/>
      <c r="CRZ111" s="12"/>
      <c r="CSQ111" s="12"/>
      <c r="CSR111" s="12"/>
      <c r="CTI111" s="12"/>
      <c r="CTJ111" s="12"/>
      <c r="CUA111" s="12"/>
      <c r="CUB111" s="12"/>
      <c r="CUS111" s="12"/>
      <c r="CUT111" s="12"/>
      <c r="CVK111" s="12"/>
      <c r="CVL111" s="12"/>
      <c r="CWC111" s="12"/>
      <c r="CWD111" s="12"/>
      <c r="CWU111" s="12"/>
      <c r="CWV111" s="12"/>
      <c r="CXM111" s="12"/>
      <c r="CXN111" s="12"/>
      <c r="CYE111" s="12"/>
      <c r="CYF111" s="12"/>
      <c r="CYW111" s="12"/>
      <c r="CYX111" s="12"/>
      <c r="CZO111" s="12"/>
      <c r="CZP111" s="12"/>
      <c r="DAG111" s="12"/>
      <c r="DAH111" s="12"/>
      <c r="DAY111" s="12"/>
      <c r="DAZ111" s="12"/>
      <c r="DBQ111" s="12"/>
      <c r="DBR111" s="12"/>
      <c r="DCI111" s="12"/>
      <c r="DCJ111" s="12"/>
      <c r="DDA111" s="12"/>
      <c r="DDB111" s="12"/>
      <c r="DDS111" s="12"/>
      <c r="DDT111" s="12"/>
      <c r="DEK111" s="12"/>
      <c r="DEL111" s="12"/>
      <c r="DFC111" s="12"/>
      <c r="DFD111" s="12"/>
      <c r="DFU111" s="12"/>
      <c r="DFV111" s="12"/>
      <c r="DGM111" s="12"/>
      <c r="DGN111" s="12"/>
      <c r="DHE111" s="12"/>
      <c r="DHF111" s="12"/>
      <c r="DHW111" s="12"/>
      <c r="DHX111" s="12"/>
      <c r="DIO111" s="12"/>
      <c r="DIP111" s="12"/>
      <c r="DJG111" s="12"/>
      <c r="DJH111" s="12"/>
      <c r="DJY111" s="12"/>
      <c r="DJZ111" s="12"/>
      <c r="DKQ111" s="12"/>
      <c r="DKR111" s="12"/>
      <c r="DLI111" s="12"/>
      <c r="DLJ111" s="12"/>
      <c r="DMA111" s="12"/>
      <c r="DMB111" s="12"/>
      <c r="DMS111" s="12"/>
      <c r="DMT111" s="12"/>
      <c r="DNK111" s="12"/>
      <c r="DNL111" s="12"/>
      <c r="DOC111" s="12"/>
      <c r="DOD111" s="12"/>
      <c r="DOU111" s="12"/>
      <c r="DOV111" s="12"/>
      <c r="DPM111" s="12"/>
      <c r="DPN111" s="12"/>
      <c r="DQE111" s="12"/>
      <c r="DQF111" s="12"/>
      <c r="DQW111" s="12"/>
      <c r="DQX111" s="12"/>
      <c r="DRO111" s="12"/>
      <c r="DRP111" s="12"/>
      <c r="DSG111" s="12"/>
      <c r="DSH111" s="12"/>
      <c r="DSY111" s="12"/>
      <c r="DSZ111" s="12"/>
      <c r="DTQ111" s="12"/>
      <c r="DTR111" s="12"/>
      <c r="DUI111" s="12"/>
      <c r="DUJ111" s="12"/>
      <c r="DVA111" s="12"/>
      <c r="DVB111" s="12"/>
      <c r="DVS111" s="12"/>
      <c r="DVT111" s="12"/>
      <c r="DWK111" s="12"/>
      <c r="DWL111" s="12"/>
      <c r="DXC111" s="12"/>
      <c r="DXD111" s="12"/>
      <c r="DXU111" s="12"/>
      <c r="DXV111" s="12"/>
      <c r="DYM111" s="12"/>
      <c r="DYN111" s="12"/>
      <c r="DZE111" s="12"/>
      <c r="DZF111" s="12"/>
      <c r="DZW111" s="12"/>
      <c r="DZX111" s="12"/>
      <c r="EAO111" s="12"/>
      <c r="EAP111" s="12"/>
      <c r="EBG111" s="12"/>
      <c r="EBH111" s="12"/>
      <c r="EBY111" s="12"/>
      <c r="EBZ111" s="12"/>
      <c r="ECQ111" s="12"/>
      <c r="ECR111" s="12"/>
      <c r="EDI111" s="12"/>
      <c r="EDJ111" s="12"/>
      <c r="EEA111" s="12"/>
      <c r="EEB111" s="12"/>
      <c r="EES111" s="12"/>
      <c r="EET111" s="12"/>
      <c r="EFK111" s="12"/>
      <c r="EFL111" s="12"/>
      <c r="EGC111" s="12"/>
      <c r="EGD111" s="12"/>
      <c r="EGU111" s="12"/>
      <c r="EGV111" s="12"/>
      <c r="EHM111" s="12"/>
      <c r="EHN111" s="12"/>
      <c r="EIE111" s="12"/>
      <c r="EIF111" s="12"/>
      <c r="EIW111" s="12"/>
      <c r="EIX111" s="12"/>
      <c r="EJO111" s="12"/>
      <c r="EJP111" s="12"/>
      <c r="EKG111" s="12"/>
      <c r="EKH111" s="12"/>
      <c r="EKY111" s="12"/>
      <c r="EKZ111" s="12"/>
      <c r="ELQ111" s="12"/>
      <c r="ELR111" s="12"/>
      <c r="EMI111" s="12"/>
      <c r="EMJ111" s="12"/>
      <c r="ENA111" s="12"/>
      <c r="ENB111" s="12"/>
      <c r="ENS111" s="12"/>
      <c r="ENT111" s="12"/>
      <c r="EOK111" s="12"/>
      <c r="EOL111" s="12"/>
      <c r="EPC111" s="12"/>
      <c r="EPD111" s="12"/>
      <c r="EPU111" s="12"/>
      <c r="EPV111" s="12"/>
      <c r="EQM111" s="12"/>
      <c r="EQN111" s="12"/>
      <c r="ERE111" s="12"/>
      <c r="ERF111" s="12"/>
      <c r="ERW111" s="12"/>
      <c r="ERX111" s="12"/>
      <c r="ESO111" s="12"/>
      <c r="ESP111" s="12"/>
      <c r="ETG111" s="12"/>
      <c r="ETH111" s="12"/>
      <c r="ETY111" s="12"/>
      <c r="ETZ111" s="12"/>
      <c r="EUQ111" s="12"/>
      <c r="EUR111" s="12"/>
      <c r="EVI111" s="12"/>
      <c r="EVJ111" s="12"/>
      <c r="EWA111" s="12"/>
      <c r="EWB111" s="12"/>
      <c r="EWS111" s="12"/>
      <c r="EWT111" s="12"/>
      <c r="EXK111" s="12"/>
      <c r="EXL111" s="12"/>
      <c r="EYC111" s="12"/>
      <c r="EYD111" s="12"/>
      <c r="EYU111" s="12"/>
      <c r="EYV111" s="12"/>
      <c r="EZM111" s="12"/>
      <c r="EZN111" s="12"/>
      <c r="FAE111" s="12"/>
      <c r="FAF111" s="12"/>
      <c r="FAW111" s="12"/>
      <c r="FAX111" s="12"/>
      <c r="FBO111" s="12"/>
      <c r="FBP111" s="12"/>
      <c r="FCG111" s="12"/>
      <c r="FCH111" s="12"/>
      <c r="FCY111" s="12"/>
      <c r="FCZ111" s="12"/>
      <c r="FDQ111" s="12"/>
      <c r="FDR111" s="12"/>
      <c r="FEI111" s="12"/>
      <c r="FEJ111" s="12"/>
      <c r="FFA111" s="12"/>
      <c r="FFB111" s="12"/>
      <c r="FFS111" s="12"/>
      <c r="FFT111" s="12"/>
      <c r="FGK111" s="12"/>
      <c r="FGL111" s="12"/>
      <c r="FHC111" s="12"/>
      <c r="FHD111" s="12"/>
      <c r="FHU111" s="12"/>
      <c r="FHV111" s="12"/>
      <c r="FIM111" s="12"/>
      <c r="FIN111" s="12"/>
      <c r="FJE111" s="12"/>
      <c r="FJF111" s="12"/>
      <c r="FJW111" s="12"/>
      <c r="FJX111" s="12"/>
      <c r="FKO111" s="12"/>
      <c r="FKP111" s="12"/>
      <c r="FLG111" s="12"/>
      <c r="FLH111" s="12"/>
      <c r="FLY111" s="12"/>
      <c r="FLZ111" s="12"/>
      <c r="FMQ111" s="12"/>
      <c r="FMR111" s="12"/>
      <c r="FNI111" s="12"/>
      <c r="FNJ111" s="12"/>
      <c r="FOA111" s="12"/>
      <c r="FOB111" s="12"/>
      <c r="FOS111" s="12"/>
      <c r="FOT111" s="12"/>
      <c r="FPK111" s="12"/>
      <c r="FPL111" s="12"/>
      <c r="FQC111" s="12"/>
      <c r="FQD111" s="12"/>
      <c r="FQU111" s="12"/>
      <c r="FQV111" s="12"/>
      <c r="FRM111" s="12"/>
      <c r="FRN111" s="12"/>
      <c r="FSE111" s="12"/>
      <c r="FSF111" s="12"/>
      <c r="FSW111" s="12"/>
      <c r="FSX111" s="12"/>
      <c r="FTO111" s="12"/>
      <c r="FTP111" s="12"/>
      <c r="FUG111" s="12"/>
      <c r="FUH111" s="12"/>
      <c r="FUY111" s="12"/>
      <c r="FUZ111" s="12"/>
      <c r="FVQ111" s="12"/>
      <c r="FVR111" s="12"/>
      <c r="FWI111" s="12"/>
      <c r="FWJ111" s="12"/>
      <c r="FXA111" s="12"/>
      <c r="FXB111" s="12"/>
      <c r="FXS111" s="12"/>
      <c r="FXT111" s="12"/>
      <c r="FYK111" s="12"/>
      <c r="FYL111" s="12"/>
      <c r="FZC111" s="12"/>
      <c r="FZD111" s="12"/>
      <c r="FZU111" s="12"/>
      <c r="FZV111" s="12"/>
      <c r="GAM111" s="12"/>
      <c r="GAN111" s="12"/>
      <c r="GBE111" s="12"/>
      <c r="GBF111" s="12"/>
      <c r="GBW111" s="12"/>
      <c r="GBX111" s="12"/>
      <c r="GCO111" s="12"/>
      <c r="GCP111" s="12"/>
      <c r="GDG111" s="12"/>
      <c r="GDH111" s="12"/>
      <c r="GDY111" s="12"/>
      <c r="GDZ111" s="12"/>
      <c r="GEQ111" s="12"/>
      <c r="GER111" s="12"/>
      <c r="GFI111" s="12"/>
      <c r="GFJ111" s="12"/>
      <c r="GGA111" s="12"/>
      <c r="GGB111" s="12"/>
      <c r="GGS111" s="12"/>
      <c r="GGT111" s="12"/>
      <c r="GHK111" s="12"/>
      <c r="GHL111" s="12"/>
      <c r="GIC111" s="12"/>
      <c r="GID111" s="12"/>
      <c r="GIU111" s="12"/>
      <c r="GIV111" s="12"/>
      <c r="GJM111" s="12"/>
      <c r="GJN111" s="12"/>
      <c r="GKE111" s="12"/>
      <c r="GKF111" s="12"/>
      <c r="GKW111" s="12"/>
      <c r="GKX111" s="12"/>
      <c r="GLO111" s="12"/>
      <c r="GLP111" s="12"/>
      <c r="GMG111" s="12"/>
      <c r="GMH111" s="12"/>
      <c r="GMY111" s="12"/>
      <c r="GMZ111" s="12"/>
      <c r="GNQ111" s="12"/>
      <c r="GNR111" s="12"/>
      <c r="GOI111" s="12"/>
      <c r="GOJ111" s="12"/>
      <c r="GPA111" s="12"/>
      <c r="GPB111" s="12"/>
      <c r="GPS111" s="12"/>
      <c r="GPT111" s="12"/>
      <c r="GQK111" s="12"/>
      <c r="GQL111" s="12"/>
      <c r="GRC111" s="12"/>
      <c r="GRD111" s="12"/>
      <c r="GRU111" s="12"/>
      <c r="GRV111" s="12"/>
      <c r="GSM111" s="12"/>
      <c r="GSN111" s="12"/>
      <c r="GTE111" s="12"/>
      <c r="GTF111" s="12"/>
      <c r="GTW111" s="12"/>
      <c r="GTX111" s="12"/>
      <c r="GUO111" s="12"/>
      <c r="GUP111" s="12"/>
      <c r="GVG111" s="12"/>
      <c r="GVH111" s="12"/>
      <c r="GVY111" s="12"/>
      <c r="GVZ111" s="12"/>
      <c r="GWQ111" s="12"/>
      <c r="GWR111" s="12"/>
      <c r="GXI111" s="12"/>
      <c r="GXJ111" s="12"/>
      <c r="GYA111" s="12"/>
      <c r="GYB111" s="12"/>
      <c r="GYS111" s="12"/>
      <c r="GYT111" s="12"/>
      <c r="GZK111" s="12"/>
      <c r="GZL111" s="12"/>
      <c r="HAC111" s="12"/>
      <c r="HAD111" s="12"/>
      <c r="HAU111" s="12"/>
      <c r="HAV111" s="12"/>
      <c r="HBM111" s="12"/>
      <c r="HBN111" s="12"/>
      <c r="HCE111" s="12"/>
      <c r="HCF111" s="12"/>
      <c r="HCW111" s="12"/>
      <c r="HCX111" s="12"/>
      <c r="HDO111" s="12"/>
      <c r="HDP111" s="12"/>
      <c r="HEG111" s="12"/>
      <c r="HEH111" s="12"/>
      <c r="HEY111" s="12"/>
      <c r="HEZ111" s="12"/>
      <c r="HFQ111" s="12"/>
      <c r="HFR111" s="12"/>
      <c r="HGI111" s="12"/>
      <c r="HGJ111" s="12"/>
      <c r="HHA111" s="12"/>
      <c r="HHB111" s="12"/>
      <c r="HHS111" s="12"/>
      <c r="HHT111" s="12"/>
      <c r="HIK111" s="12"/>
      <c r="HIL111" s="12"/>
      <c r="HJC111" s="12"/>
      <c r="HJD111" s="12"/>
      <c r="HJU111" s="12"/>
      <c r="HJV111" s="12"/>
      <c r="HKM111" s="12"/>
      <c r="HKN111" s="12"/>
      <c r="HLE111" s="12"/>
      <c r="HLF111" s="12"/>
      <c r="HLW111" s="12"/>
      <c r="HLX111" s="12"/>
      <c r="HMO111" s="12"/>
      <c r="HMP111" s="12"/>
      <c r="HNG111" s="12"/>
      <c r="HNH111" s="12"/>
      <c r="HNY111" s="12"/>
      <c r="HNZ111" s="12"/>
      <c r="HOQ111" s="12"/>
      <c r="HOR111" s="12"/>
      <c r="HPI111" s="12"/>
      <c r="HPJ111" s="12"/>
      <c r="HQA111" s="12"/>
      <c r="HQB111" s="12"/>
      <c r="HQS111" s="12"/>
      <c r="HQT111" s="12"/>
      <c r="HRK111" s="12"/>
      <c r="HRL111" s="12"/>
      <c r="HSC111" s="12"/>
      <c r="HSD111" s="12"/>
      <c r="HSU111" s="12"/>
      <c r="HSV111" s="12"/>
      <c r="HTM111" s="12"/>
      <c r="HTN111" s="12"/>
      <c r="HUE111" s="12"/>
      <c r="HUF111" s="12"/>
      <c r="HUW111" s="12"/>
      <c r="HUX111" s="12"/>
      <c r="HVO111" s="12"/>
      <c r="HVP111" s="12"/>
      <c r="HWG111" s="12"/>
      <c r="HWH111" s="12"/>
      <c r="HWY111" s="12"/>
      <c r="HWZ111" s="12"/>
      <c r="HXQ111" s="12"/>
      <c r="HXR111" s="12"/>
      <c r="HYI111" s="12"/>
      <c r="HYJ111" s="12"/>
      <c r="HZA111" s="12"/>
      <c r="HZB111" s="12"/>
      <c r="HZS111" s="12"/>
      <c r="HZT111" s="12"/>
      <c r="IAK111" s="12"/>
      <c r="IAL111" s="12"/>
      <c r="IBC111" s="12"/>
      <c r="IBD111" s="12"/>
      <c r="IBU111" s="12"/>
      <c r="IBV111" s="12"/>
      <c r="ICM111" s="12"/>
      <c r="ICN111" s="12"/>
      <c r="IDE111" s="12"/>
      <c r="IDF111" s="12"/>
      <c r="IDW111" s="12"/>
      <c r="IDX111" s="12"/>
      <c r="IEO111" s="12"/>
      <c r="IEP111" s="12"/>
      <c r="IFG111" s="12"/>
      <c r="IFH111" s="12"/>
      <c r="IFY111" s="12"/>
      <c r="IFZ111" s="12"/>
      <c r="IGQ111" s="12"/>
      <c r="IGR111" s="12"/>
      <c r="IHI111" s="12"/>
      <c r="IHJ111" s="12"/>
      <c r="IIA111" s="12"/>
      <c r="IIB111" s="12"/>
      <c r="IIS111" s="12"/>
      <c r="IIT111" s="12"/>
      <c r="IJK111" s="12"/>
      <c r="IJL111" s="12"/>
      <c r="IKC111" s="12"/>
      <c r="IKD111" s="12"/>
      <c r="IKU111" s="12"/>
      <c r="IKV111" s="12"/>
      <c r="ILM111" s="12"/>
      <c r="ILN111" s="12"/>
      <c r="IME111" s="12"/>
      <c r="IMF111" s="12"/>
      <c r="IMW111" s="12"/>
      <c r="IMX111" s="12"/>
      <c r="INO111" s="12"/>
      <c r="INP111" s="12"/>
      <c r="IOG111" s="12"/>
      <c r="IOH111" s="12"/>
      <c r="IOY111" s="12"/>
      <c r="IOZ111" s="12"/>
      <c r="IPQ111" s="12"/>
      <c r="IPR111" s="12"/>
      <c r="IQI111" s="12"/>
      <c r="IQJ111" s="12"/>
      <c r="IRA111" s="12"/>
      <c r="IRB111" s="12"/>
      <c r="IRS111" s="12"/>
      <c r="IRT111" s="12"/>
      <c r="ISK111" s="12"/>
      <c r="ISL111" s="12"/>
      <c r="ITC111" s="12"/>
      <c r="ITD111" s="12"/>
      <c r="ITU111" s="12"/>
      <c r="ITV111" s="12"/>
      <c r="IUM111" s="12"/>
      <c r="IUN111" s="12"/>
      <c r="IVE111" s="12"/>
      <c r="IVF111" s="12"/>
      <c r="IVW111" s="12"/>
      <c r="IVX111" s="12"/>
      <c r="IWO111" s="12"/>
      <c r="IWP111" s="12"/>
      <c r="IXG111" s="12"/>
      <c r="IXH111" s="12"/>
      <c r="IXY111" s="12"/>
      <c r="IXZ111" s="12"/>
      <c r="IYQ111" s="12"/>
      <c r="IYR111" s="12"/>
      <c r="IZI111" s="12"/>
      <c r="IZJ111" s="12"/>
      <c r="JAA111" s="12"/>
      <c r="JAB111" s="12"/>
      <c r="JAS111" s="12"/>
      <c r="JAT111" s="12"/>
      <c r="JBK111" s="12"/>
      <c r="JBL111" s="12"/>
      <c r="JCC111" s="12"/>
      <c r="JCD111" s="12"/>
      <c r="JCU111" s="12"/>
      <c r="JCV111" s="12"/>
      <c r="JDM111" s="12"/>
      <c r="JDN111" s="12"/>
      <c r="JEE111" s="12"/>
      <c r="JEF111" s="12"/>
      <c r="JEW111" s="12"/>
      <c r="JEX111" s="12"/>
      <c r="JFO111" s="12"/>
      <c r="JFP111" s="12"/>
      <c r="JGG111" s="12"/>
      <c r="JGH111" s="12"/>
      <c r="JGY111" s="12"/>
      <c r="JGZ111" s="12"/>
      <c r="JHQ111" s="12"/>
      <c r="JHR111" s="12"/>
      <c r="JII111" s="12"/>
      <c r="JIJ111" s="12"/>
      <c r="JJA111" s="12"/>
      <c r="JJB111" s="12"/>
      <c r="JJS111" s="12"/>
      <c r="JJT111" s="12"/>
      <c r="JKK111" s="12"/>
      <c r="JKL111" s="12"/>
      <c r="JLC111" s="12"/>
      <c r="JLD111" s="12"/>
      <c r="JLU111" s="12"/>
      <c r="JLV111" s="12"/>
      <c r="JMM111" s="12"/>
      <c r="JMN111" s="12"/>
      <c r="JNE111" s="12"/>
      <c r="JNF111" s="12"/>
      <c r="JNW111" s="12"/>
      <c r="JNX111" s="12"/>
      <c r="JOO111" s="12"/>
      <c r="JOP111" s="12"/>
      <c r="JPG111" s="12"/>
      <c r="JPH111" s="12"/>
      <c r="JPY111" s="12"/>
      <c r="JPZ111" s="12"/>
      <c r="JQQ111" s="12"/>
      <c r="JQR111" s="12"/>
      <c r="JRI111" s="12"/>
      <c r="JRJ111" s="12"/>
      <c r="JSA111" s="12"/>
      <c r="JSB111" s="12"/>
      <c r="JSS111" s="12"/>
      <c r="JST111" s="12"/>
      <c r="JTK111" s="12"/>
      <c r="JTL111" s="12"/>
      <c r="JUC111" s="12"/>
      <c r="JUD111" s="12"/>
      <c r="JUU111" s="12"/>
      <c r="JUV111" s="12"/>
      <c r="JVM111" s="12"/>
      <c r="JVN111" s="12"/>
      <c r="JWE111" s="12"/>
      <c r="JWF111" s="12"/>
      <c r="JWW111" s="12"/>
      <c r="JWX111" s="12"/>
      <c r="JXO111" s="12"/>
      <c r="JXP111" s="12"/>
      <c r="JYG111" s="12"/>
      <c r="JYH111" s="12"/>
      <c r="JYY111" s="12"/>
      <c r="JYZ111" s="12"/>
      <c r="JZQ111" s="12"/>
      <c r="JZR111" s="12"/>
      <c r="KAI111" s="12"/>
      <c r="KAJ111" s="12"/>
      <c r="KBA111" s="12"/>
      <c r="KBB111" s="12"/>
      <c r="KBS111" s="12"/>
      <c r="KBT111" s="12"/>
      <c r="KCK111" s="12"/>
      <c r="KCL111" s="12"/>
      <c r="KDC111" s="12"/>
      <c r="KDD111" s="12"/>
      <c r="KDU111" s="12"/>
      <c r="KDV111" s="12"/>
      <c r="KEM111" s="12"/>
      <c r="KEN111" s="12"/>
      <c r="KFE111" s="12"/>
      <c r="KFF111" s="12"/>
      <c r="KFW111" s="12"/>
      <c r="KFX111" s="12"/>
      <c r="KGO111" s="12"/>
      <c r="KGP111" s="12"/>
      <c r="KHG111" s="12"/>
      <c r="KHH111" s="12"/>
      <c r="KHY111" s="12"/>
      <c r="KHZ111" s="12"/>
      <c r="KIQ111" s="12"/>
      <c r="KIR111" s="12"/>
      <c r="KJI111" s="12"/>
      <c r="KJJ111" s="12"/>
      <c r="KKA111" s="12"/>
      <c r="KKB111" s="12"/>
      <c r="KKS111" s="12"/>
      <c r="KKT111" s="12"/>
      <c r="KLK111" s="12"/>
      <c r="KLL111" s="12"/>
      <c r="KMC111" s="12"/>
      <c r="KMD111" s="12"/>
      <c r="KMU111" s="12"/>
      <c r="KMV111" s="12"/>
      <c r="KNM111" s="12"/>
      <c r="KNN111" s="12"/>
      <c r="KOE111" s="12"/>
      <c r="KOF111" s="12"/>
      <c r="KOW111" s="12"/>
      <c r="KOX111" s="12"/>
      <c r="KPO111" s="12"/>
      <c r="KPP111" s="12"/>
      <c r="KQG111" s="12"/>
      <c r="KQH111" s="12"/>
      <c r="KQY111" s="12"/>
      <c r="KQZ111" s="12"/>
      <c r="KRQ111" s="12"/>
      <c r="KRR111" s="12"/>
      <c r="KSI111" s="12"/>
      <c r="KSJ111" s="12"/>
      <c r="KTA111" s="12"/>
      <c r="KTB111" s="12"/>
      <c r="KTS111" s="12"/>
      <c r="KTT111" s="12"/>
      <c r="KUK111" s="12"/>
      <c r="KUL111" s="12"/>
      <c r="KVC111" s="12"/>
      <c r="KVD111" s="12"/>
      <c r="KVU111" s="12"/>
      <c r="KVV111" s="12"/>
      <c r="KWM111" s="12"/>
      <c r="KWN111" s="12"/>
      <c r="KXE111" s="12"/>
      <c r="KXF111" s="12"/>
      <c r="KXW111" s="12"/>
      <c r="KXX111" s="12"/>
      <c r="KYO111" s="12"/>
      <c r="KYP111" s="12"/>
      <c r="KZG111" s="12"/>
      <c r="KZH111" s="12"/>
      <c r="KZY111" s="12"/>
      <c r="KZZ111" s="12"/>
      <c r="LAQ111" s="12"/>
      <c r="LAR111" s="12"/>
      <c r="LBI111" s="12"/>
      <c r="LBJ111" s="12"/>
      <c r="LCA111" s="12"/>
      <c r="LCB111" s="12"/>
      <c r="LCS111" s="12"/>
      <c r="LCT111" s="12"/>
      <c r="LDK111" s="12"/>
      <c r="LDL111" s="12"/>
      <c r="LEC111" s="12"/>
      <c r="LED111" s="12"/>
      <c r="LEU111" s="12"/>
      <c r="LEV111" s="12"/>
      <c r="LFM111" s="12"/>
      <c r="LFN111" s="12"/>
      <c r="LGE111" s="12"/>
      <c r="LGF111" s="12"/>
      <c r="LGW111" s="12"/>
      <c r="LGX111" s="12"/>
      <c r="LHO111" s="12"/>
      <c r="LHP111" s="12"/>
      <c r="LIG111" s="12"/>
      <c r="LIH111" s="12"/>
      <c r="LIY111" s="12"/>
      <c r="LIZ111" s="12"/>
      <c r="LJQ111" s="12"/>
      <c r="LJR111" s="12"/>
      <c r="LKI111" s="12"/>
      <c r="LKJ111" s="12"/>
      <c r="LLA111" s="12"/>
      <c r="LLB111" s="12"/>
      <c r="LLS111" s="12"/>
      <c r="LLT111" s="12"/>
      <c r="LMK111" s="12"/>
      <c r="LML111" s="12"/>
      <c r="LNC111" s="12"/>
      <c r="LND111" s="12"/>
      <c r="LNU111" s="12"/>
      <c r="LNV111" s="12"/>
      <c r="LOM111" s="12"/>
      <c r="LON111" s="12"/>
      <c r="LPE111" s="12"/>
      <c r="LPF111" s="12"/>
      <c r="LPW111" s="12"/>
      <c r="LPX111" s="12"/>
      <c r="LQO111" s="12"/>
      <c r="LQP111" s="12"/>
      <c r="LRG111" s="12"/>
      <c r="LRH111" s="12"/>
      <c r="LRY111" s="12"/>
      <c r="LRZ111" s="12"/>
      <c r="LSQ111" s="12"/>
      <c r="LSR111" s="12"/>
      <c r="LTI111" s="12"/>
      <c r="LTJ111" s="12"/>
      <c r="LUA111" s="12"/>
      <c r="LUB111" s="12"/>
      <c r="LUS111" s="12"/>
      <c r="LUT111" s="12"/>
      <c r="LVK111" s="12"/>
      <c r="LVL111" s="12"/>
      <c r="LWC111" s="12"/>
      <c r="LWD111" s="12"/>
      <c r="LWU111" s="12"/>
      <c r="LWV111" s="12"/>
      <c r="LXM111" s="12"/>
      <c r="LXN111" s="12"/>
      <c r="LYE111" s="12"/>
      <c r="LYF111" s="12"/>
      <c r="LYW111" s="12"/>
      <c r="LYX111" s="12"/>
      <c r="LZO111" s="12"/>
      <c r="LZP111" s="12"/>
      <c r="MAG111" s="12"/>
      <c r="MAH111" s="12"/>
      <c r="MAY111" s="12"/>
      <c r="MAZ111" s="12"/>
      <c r="MBQ111" s="12"/>
      <c r="MBR111" s="12"/>
      <c r="MCI111" s="12"/>
      <c r="MCJ111" s="12"/>
      <c r="MDA111" s="12"/>
      <c r="MDB111" s="12"/>
      <c r="MDS111" s="12"/>
      <c r="MDT111" s="12"/>
      <c r="MEK111" s="12"/>
      <c r="MEL111" s="12"/>
      <c r="MFC111" s="12"/>
      <c r="MFD111" s="12"/>
      <c r="MFU111" s="12"/>
      <c r="MFV111" s="12"/>
      <c r="MGM111" s="12"/>
      <c r="MGN111" s="12"/>
      <c r="MHE111" s="12"/>
      <c r="MHF111" s="12"/>
      <c r="MHW111" s="12"/>
      <c r="MHX111" s="12"/>
      <c r="MIO111" s="12"/>
      <c r="MIP111" s="12"/>
      <c r="MJG111" s="12"/>
      <c r="MJH111" s="12"/>
      <c r="MJY111" s="12"/>
      <c r="MJZ111" s="12"/>
      <c r="MKQ111" s="12"/>
      <c r="MKR111" s="12"/>
      <c r="MLI111" s="12"/>
      <c r="MLJ111" s="12"/>
      <c r="MMA111" s="12"/>
      <c r="MMB111" s="12"/>
      <c r="MMS111" s="12"/>
      <c r="MMT111" s="12"/>
      <c r="MNK111" s="12"/>
      <c r="MNL111" s="12"/>
      <c r="MOC111" s="12"/>
      <c r="MOD111" s="12"/>
      <c r="MOU111" s="12"/>
      <c r="MOV111" s="12"/>
      <c r="MPM111" s="12"/>
      <c r="MPN111" s="12"/>
      <c r="MQE111" s="12"/>
      <c r="MQF111" s="12"/>
      <c r="MQW111" s="12"/>
      <c r="MQX111" s="12"/>
      <c r="MRO111" s="12"/>
      <c r="MRP111" s="12"/>
      <c r="MSG111" s="12"/>
      <c r="MSH111" s="12"/>
      <c r="MSY111" s="12"/>
      <c r="MSZ111" s="12"/>
      <c r="MTQ111" s="12"/>
      <c r="MTR111" s="12"/>
      <c r="MUI111" s="12"/>
      <c r="MUJ111" s="12"/>
      <c r="MVA111" s="12"/>
      <c r="MVB111" s="12"/>
      <c r="MVS111" s="12"/>
      <c r="MVT111" s="12"/>
      <c r="MWK111" s="12"/>
      <c r="MWL111" s="12"/>
      <c r="MXC111" s="12"/>
      <c r="MXD111" s="12"/>
      <c r="MXU111" s="12"/>
      <c r="MXV111" s="12"/>
      <c r="MYM111" s="12"/>
      <c r="MYN111" s="12"/>
      <c r="MZE111" s="12"/>
      <c r="MZF111" s="12"/>
      <c r="MZW111" s="12"/>
      <c r="MZX111" s="12"/>
      <c r="NAO111" s="12"/>
      <c r="NAP111" s="12"/>
      <c r="NBG111" s="12"/>
      <c r="NBH111" s="12"/>
      <c r="NBY111" s="12"/>
      <c r="NBZ111" s="12"/>
      <c r="NCQ111" s="12"/>
      <c r="NCR111" s="12"/>
      <c r="NDI111" s="12"/>
      <c r="NDJ111" s="12"/>
      <c r="NEA111" s="12"/>
      <c r="NEB111" s="12"/>
      <c r="NES111" s="12"/>
      <c r="NET111" s="12"/>
      <c r="NFK111" s="12"/>
      <c r="NFL111" s="12"/>
      <c r="NGC111" s="12"/>
      <c r="NGD111" s="12"/>
      <c r="NGU111" s="12"/>
      <c r="NGV111" s="12"/>
      <c r="NHM111" s="12"/>
      <c r="NHN111" s="12"/>
      <c r="NIE111" s="12"/>
      <c r="NIF111" s="12"/>
      <c r="NIW111" s="12"/>
      <c r="NIX111" s="12"/>
      <c r="NJO111" s="12"/>
      <c r="NJP111" s="12"/>
      <c r="NKG111" s="12"/>
      <c r="NKH111" s="12"/>
      <c r="NKY111" s="12"/>
      <c r="NKZ111" s="12"/>
      <c r="NLQ111" s="12"/>
      <c r="NLR111" s="12"/>
      <c r="NMI111" s="12"/>
      <c r="NMJ111" s="12"/>
      <c r="NNA111" s="12"/>
      <c r="NNB111" s="12"/>
      <c r="NNS111" s="12"/>
      <c r="NNT111" s="12"/>
      <c r="NOK111" s="12"/>
      <c r="NOL111" s="12"/>
      <c r="NPC111" s="12"/>
      <c r="NPD111" s="12"/>
      <c r="NPU111" s="12"/>
      <c r="NPV111" s="12"/>
      <c r="NQM111" s="12"/>
      <c r="NQN111" s="12"/>
      <c r="NRE111" s="12"/>
      <c r="NRF111" s="12"/>
      <c r="NRW111" s="12"/>
      <c r="NRX111" s="12"/>
      <c r="NSO111" s="12"/>
      <c r="NSP111" s="12"/>
      <c r="NTG111" s="12"/>
      <c r="NTH111" s="12"/>
      <c r="NTY111" s="12"/>
      <c r="NTZ111" s="12"/>
      <c r="NUQ111" s="12"/>
      <c r="NUR111" s="12"/>
      <c r="NVI111" s="12"/>
      <c r="NVJ111" s="12"/>
      <c r="NWA111" s="12"/>
      <c r="NWB111" s="12"/>
      <c r="NWS111" s="12"/>
      <c r="NWT111" s="12"/>
      <c r="NXK111" s="12"/>
      <c r="NXL111" s="12"/>
      <c r="NYC111" s="12"/>
      <c r="NYD111" s="12"/>
      <c r="NYU111" s="12"/>
      <c r="NYV111" s="12"/>
      <c r="NZM111" s="12"/>
      <c r="NZN111" s="12"/>
      <c r="OAE111" s="12"/>
      <c r="OAF111" s="12"/>
      <c r="OAW111" s="12"/>
      <c r="OAX111" s="12"/>
      <c r="OBO111" s="12"/>
      <c r="OBP111" s="12"/>
      <c r="OCG111" s="12"/>
      <c r="OCH111" s="12"/>
      <c r="OCY111" s="12"/>
      <c r="OCZ111" s="12"/>
      <c r="ODQ111" s="12"/>
      <c r="ODR111" s="12"/>
      <c r="OEI111" s="12"/>
      <c r="OEJ111" s="12"/>
      <c r="OFA111" s="12"/>
      <c r="OFB111" s="12"/>
      <c r="OFS111" s="12"/>
      <c r="OFT111" s="12"/>
      <c r="OGK111" s="12"/>
      <c r="OGL111" s="12"/>
      <c r="OHC111" s="12"/>
      <c r="OHD111" s="12"/>
      <c r="OHU111" s="12"/>
      <c r="OHV111" s="12"/>
      <c r="OIM111" s="12"/>
      <c r="OIN111" s="12"/>
      <c r="OJE111" s="12"/>
      <c r="OJF111" s="12"/>
      <c r="OJW111" s="12"/>
      <c r="OJX111" s="12"/>
      <c r="OKO111" s="12"/>
      <c r="OKP111" s="12"/>
      <c r="OLG111" s="12"/>
      <c r="OLH111" s="12"/>
      <c r="OLY111" s="12"/>
      <c r="OLZ111" s="12"/>
      <c r="OMQ111" s="12"/>
      <c r="OMR111" s="12"/>
      <c r="ONI111" s="12"/>
      <c r="ONJ111" s="12"/>
      <c r="OOA111" s="12"/>
      <c r="OOB111" s="12"/>
      <c r="OOS111" s="12"/>
      <c r="OOT111" s="12"/>
      <c r="OPK111" s="12"/>
      <c r="OPL111" s="12"/>
      <c r="OQC111" s="12"/>
      <c r="OQD111" s="12"/>
      <c r="OQU111" s="12"/>
      <c r="OQV111" s="12"/>
      <c r="ORM111" s="12"/>
      <c r="ORN111" s="12"/>
      <c r="OSE111" s="12"/>
      <c r="OSF111" s="12"/>
      <c r="OSW111" s="12"/>
      <c r="OSX111" s="12"/>
      <c r="OTO111" s="12"/>
      <c r="OTP111" s="12"/>
      <c r="OUG111" s="12"/>
      <c r="OUH111" s="12"/>
      <c r="OUY111" s="12"/>
      <c r="OUZ111" s="12"/>
      <c r="OVQ111" s="12"/>
      <c r="OVR111" s="12"/>
      <c r="OWI111" s="12"/>
      <c r="OWJ111" s="12"/>
      <c r="OXA111" s="12"/>
      <c r="OXB111" s="12"/>
      <c r="OXS111" s="12"/>
      <c r="OXT111" s="12"/>
      <c r="OYK111" s="12"/>
      <c r="OYL111" s="12"/>
      <c r="OZC111" s="12"/>
      <c r="OZD111" s="12"/>
      <c r="OZU111" s="12"/>
      <c r="OZV111" s="12"/>
      <c r="PAM111" s="12"/>
      <c r="PAN111" s="12"/>
      <c r="PBE111" s="12"/>
      <c r="PBF111" s="12"/>
      <c r="PBW111" s="12"/>
      <c r="PBX111" s="12"/>
      <c r="PCO111" s="12"/>
      <c r="PCP111" s="12"/>
      <c r="PDG111" s="12"/>
      <c r="PDH111" s="12"/>
      <c r="PDY111" s="12"/>
      <c r="PDZ111" s="12"/>
      <c r="PEQ111" s="12"/>
      <c r="PER111" s="12"/>
      <c r="PFI111" s="12"/>
      <c r="PFJ111" s="12"/>
      <c r="PGA111" s="12"/>
      <c r="PGB111" s="12"/>
      <c r="PGS111" s="12"/>
      <c r="PGT111" s="12"/>
      <c r="PHK111" s="12"/>
      <c r="PHL111" s="12"/>
      <c r="PIC111" s="12"/>
      <c r="PID111" s="12"/>
      <c r="PIU111" s="12"/>
      <c r="PIV111" s="12"/>
      <c r="PJM111" s="12"/>
      <c r="PJN111" s="12"/>
      <c r="PKE111" s="12"/>
      <c r="PKF111" s="12"/>
      <c r="PKW111" s="12"/>
      <c r="PKX111" s="12"/>
      <c r="PLO111" s="12"/>
      <c r="PLP111" s="12"/>
      <c r="PMG111" s="12"/>
      <c r="PMH111" s="12"/>
      <c r="PMY111" s="12"/>
      <c r="PMZ111" s="12"/>
      <c r="PNQ111" s="12"/>
      <c r="PNR111" s="12"/>
      <c r="POI111" s="12"/>
      <c r="POJ111" s="12"/>
      <c r="PPA111" s="12"/>
      <c r="PPB111" s="12"/>
      <c r="PPS111" s="12"/>
      <c r="PPT111" s="12"/>
      <c r="PQK111" s="12"/>
      <c r="PQL111" s="12"/>
      <c r="PRC111" s="12"/>
      <c r="PRD111" s="12"/>
      <c r="PRU111" s="12"/>
      <c r="PRV111" s="12"/>
      <c r="PSM111" s="12"/>
      <c r="PSN111" s="12"/>
      <c r="PTE111" s="12"/>
      <c r="PTF111" s="12"/>
      <c r="PTW111" s="12"/>
      <c r="PTX111" s="12"/>
      <c r="PUO111" s="12"/>
      <c r="PUP111" s="12"/>
      <c r="PVG111" s="12"/>
      <c r="PVH111" s="12"/>
      <c r="PVY111" s="12"/>
      <c r="PVZ111" s="12"/>
      <c r="PWQ111" s="12"/>
      <c r="PWR111" s="12"/>
      <c r="PXI111" s="12"/>
      <c r="PXJ111" s="12"/>
      <c r="PYA111" s="12"/>
      <c r="PYB111" s="12"/>
      <c r="PYS111" s="12"/>
      <c r="PYT111" s="12"/>
      <c r="PZK111" s="12"/>
      <c r="PZL111" s="12"/>
      <c r="QAC111" s="12"/>
      <c r="QAD111" s="12"/>
      <c r="QAU111" s="12"/>
      <c r="QAV111" s="12"/>
      <c r="QBM111" s="12"/>
      <c r="QBN111" s="12"/>
      <c r="QCE111" s="12"/>
      <c r="QCF111" s="12"/>
      <c r="QCW111" s="12"/>
      <c r="QCX111" s="12"/>
      <c r="QDO111" s="12"/>
      <c r="QDP111" s="12"/>
      <c r="QEG111" s="12"/>
      <c r="QEH111" s="12"/>
      <c r="QEY111" s="12"/>
      <c r="QEZ111" s="12"/>
      <c r="QFQ111" s="12"/>
      <c r="QFR111" s="12"/>
      <c r="QGI111" s="12"/>
      <c r="QGJ111" s="12"/>
      <c r="QHA111" s="12"/>
      <c r="QHB111" s="12"/>
      <c r="QHS111" s="12"/>
      <c r="QHT111" s="12"/>
      <c r="QIK111" s="12"/>
      <c r="QIL111" s="12"/>
      <c r="QJC111" s="12"/>
      <c r="QJD111" s="12"/>
      <c r="QJU111" s="12"/>
      <c r="QJV111" s="12"/>
      <c r="QKM111" s="12"/>
      <c r="QKN111" s="12"/>
      <c r="QLE111" s="12"/>
      <c r="QLF111" s="12"/>
      <c r="QLW111" s="12"/>
      <c r="QLX111" s="12"/>
      <c r="QMO111" s="12"/>
      <c r="QMP111" s="12"/>
      <c r="QNG111" s="12"/>
      <c r="QNH111" s="12"/>
      <c r="QNY111" s="12"/>
      <c r="QNZ111" s="12"/>
      <c r="QOQ111" s="12"/>
      <c r="QOR111" s="12"/>
      <c r="QPI111" s="12"/>
      <c r="QPJ111" s="12"/>
      <c r="QQA111" s="12"/>
      <c r="QQB111" s="12"/>
      <c r="QQS111" s="12"/>
      <c r="QQT111" s="12"/>
      <c r="QRK111" s="12"/>
      <c r="QRL111" s="12"/>
      <c r="QSC111" s="12"/>
      <c r="QSD111" s="12"/>
      <c r="QSU111" s="12"/>
      <c r="QSV111" s="12"/>
      <c r="QTM111" s="12"/>
      <c r="QTN111" s="12"/>
      <c r="QUE111" s="12"/>
      <c r="QUF111" s="12"/>
      <c r="QUW111" s="12"/>
      <c r="QUX111" s="12"/>
      <c r="QVO111" s="12"/>
      <c r="QVP111" s="12"/>
      <c r="QWG111" s="12"/>
      <c r="QWH111" s="12"/>
      <c r="QWY111" s="12"/>
      <c r="QWZ111" s="12"/>
      <c r="QXQ111" s="12"/>
      <c r="QXR111" s="12"/>
      <c r="QYI111" s="12"/>
      <c r="QYJ111" s="12"/>
      <c r="QZA111" s="12"/>
      <c r="QZB111" s="12"/>
      <c r="QZS111" s="12"/>
      <c r="QZT111" s="12"/>
      <c r="RAK111" s="12"/>
      <c r="RAL111" s="12"/>
      <c r="RBC111" s="12"/>
      <c r="RBD111" s="12"/>
      <c r="RBU111" s="12"/>
      <c r="RBV111" s="12"/>
      <c r="RCM111" s="12"/>
      <c r="RCN111" s="12"/>
      <c r="RDE111" s="12"/>
      <c r="RDF111" s="12"/>
      <c r="RDW111" s="12"/>
      <c r="RDX111" s="12"/>
      <c r="REO111" s="12"/>
      <c r="REP111" s="12"/>
      <c r="RFG111" s="12"/>
      <c r="RFH111" s="12"/>
      <c r="RFY111" s="12"/>
      <c r="RFZ111" s="12"/>
      <c r="RGQ111" s="12"/>
      <c r="RGR111" s="12"/>
      <c r="RHI111" s="12"/>
      <c r="RHJ111" s="12"/>
      <c r="RIA111" s="12"/>
      <c r="RIB111" s="12"/>
      <c r="RIS111" s="12"/>
      <c r="RIT111" s="12"/>
      <c r="RJK111" s="12"/>
      <c r="RJL111" s="12"/>
      <c r="RKC111" s="12"/>
      <c r="RKD111" s="12"/>
      <c r="RKU111" s="12"/>
      <c r="RKV111" s="12"/>
      <c r="RLM111" s="12"/>
      <c r="RLN111" s="12"/>
      <c r="RME111" s="12"/>
      <c r="RMF111" s="12"/>
      <c r="RMW111" s="12"/>
      <c r="RMX111" s="12"/>
      <c r="RNO111" s="12"/>
      <c r="RNP111" s="12"/>
      <c r="ROG111" s="12"/>
      <c r="ROH111" s="12"/>
      <c r="ROY111" s="12"/>
      <c r="ROZ111" s="12"/>
      <c r="RPQ111" s="12"/>
      <c r="RPR111" s="12"/>
      <c r="RQI111" s="12"/>
      <c r="RQJ111" s="12"/>
      <c r="RRA111" s="12"/>
      <c r="RRB111" s="12"/>
      <c r="RRS111" s="12"/>
      <c r="RRT111" s="12"/>
      <c r="RSK111" s="12"/>
      <c r="RSL111" s="12"/>
      <c r="RTC111" s="12"/>
      <c r="RTD111" s="12"/>
      <c r="RTU111" s="12"/>
      <c r="RTV111" s="12"/>
      <c r="RUM111" s="12"/>
      <c r="RUN111" s="12"/>
      <c r="RVE111" s="12"/>
      <c r="RVF111" s="12"/>
      <c r="RVW111" s="12"/>
      <c r="RVX111" s="12"/>
      <c r="RWO111" s="12"/>
      <c r="RWP111" s="12"/>
      <c r="RXG111" s="12"/>
      <c r="RXH111" s="12"/>
      <c r="RXY111" s="12"/>
      <c r="RXZ111" s="12"/>
      <c r="RYQ111" s="12"/>
      <c r="RYR111" s="12"/>
      <c r="RZI111" s="12"/>
      <c r="RZJ111" s="12"/>
      <c r="SAA111" s="12"/>
      <c r="SAB111" s="12"/>
      <c r="SAS111" s="12"/>
      <c r="SAT111" s="12"/>
      <c r="SBK111" s="12"/>
      <c r="SBL111" s="12"/>
      <c r="SCC111" s="12"/>
      <c r="SCD111" s="12"/>
      <c r="SCU111" s="12"/>
      <c r="SCV111" s="12"/>
      <c r="SDM111" s="12"/>
      <c r="SDN111" s="12"/>
      <c r="SEE111" s="12"/>
      <c r="SEF111" s="12"/>
      <c r="SEW111" s="12"/>
      <c r="SEX111" s="12"/>
      <c r="SFO111" s="12"/>
      <c r="SFP111" s="12"/>
      <c r="SGG111" s="12"/>
      <c r="SGH111" s="12"/>
      <c r="SGY111" s="12"/>
      <c r="SGZ111" s="12"/>
      <c r="SHQ111" s="12"/>
      <c r="SHR111" s="12"/>
      <c r="SII111" s="12"/>
      <c r="SIJ111" s="12"/>
      <c r="SJA111" s="12"/>
      <c r="SJB111" s="12"/>
      <c r="SJS111" s="12"/>
      <c r="SJT111" s="12"/>
      <c r="SKK111" s="12"/>
      <c r="SKL111" s="12"/>
      <c r="SLC111" s="12"/>
      <c r="SLD111" s="12"/>
      <c r="SLU111" s="12"/>
      <c r="SLV111" s="12"/>
      <c r="SMM111" s="12"/>
      <c r="SMN111" s="12"/>
      <c r="SNE111" s="12"/>
      <c r="SNF111" s="12"/>
      <c r="SNW111" s="12"/>
      <c r="SNX111" s="12"/>
      <c r="SOO111" s="12"/>
      <c r="SOP111" s="12"/>
      <c r="SPG111" s="12"/>
      <c r="SPH111" s="12"/>
      <c r="SPY111" s="12"/>
      <c r="SPZ111" s="12"/>
      <c r="SQQ111" s="12"/>
      <c r="SQR111" s="12"/>
      <c r="SRI111" s="12"/>
      <c r="SRJ111" s="12"/>
      <c r="SSA111" s="12"/>
      <c r="SSB111" s="12"/>
      <c r="SSS111" s="12"/>
      <c r="SST111" s="12"/>
      <c r="STK111" s="12"/>
      <c r="STL111" s="12"/>
      <c r="SUC111" s="12"/>
      <c r="SUD111" s="12"/>
      <c r="SUU111" s="12"/>
      <c r="SUV111" s="12"/>
      <c r="SVM111" s="12"/>
      <c r="SVN111" s="12"/>
      <c r="SWE111" s="12"/>
      <c r="SWF111" s="12"/>
      <c r="SWW111" s="12"/>
      <c r="SWX111" s="12"/>
      <c r="SXO111" s="12"/>
      <c r="SXP111" s="12"/>
      <c r="SYG111" s="12"/>
      <c r="SYH111" s="12"/>
      <c r="SYY111" s="12"/>
      <c r="SYZ111" s="12"/>
      <c r="SZQ111" s="12"/>
      <c r="SZR111" s="12"/>
      <c r="TAI111" s="12"/>
      <c r="TAJ111" s="12"/>
      <c r="TBA111" s="12"/>
      <c r="TBB111" s="12"/>
      <c r="TBS111" s="12"/>
      <c r="TBT111" s="12"/>
      <c r="TCK111" s="12"/>
      <c r="TCL111" s="12"/>
      <c r="TDC111" s="12"/>
      <c r="TDD111" s="12"/>
      <c r="TDU111" s="12"/>
      <c r="TDV111" s="12"/>
      <c r="TEM111" s="12"/>
      <c r="TEN111" s="12"/>
      <c r="TFE111" s="12"/>
      <c r="TFF111" s="12"/>
      <c r="TFW111" s="12"/>
      <c r="TFX111" s="12"/>
      <c r="TGO111" s="12"/>
      <c r="TGP111" s="12"/>
      <c r="THG111" s="12"/>
      <c r="THH111" s="12"/>
      <c r="THY111" s="12"/>
      <c r="THZ111" s="12"/>
      <c r="TIQ111" s="12"/>
      <c r="TIR111" s="12"/>
      <c r="TJI111" s="12"/>
      <c r="TJJ111" s="12"/>
      <c r="TKA111" s="12"/>
      <c r="TKB111" s="12"/>
      <c r="TKS111" s="12"/>
      <c r="TKT111" s="12"/>
      <c r="TLK111" s="12"/>
      <c r="TLL111" s="12"/>
      <c r="TMC111" s="12"/>
      <c r="TMD111" s="12"/>
      <c r="TMU111" s="12"/>
      <c r="TMV111" s="12"/>
      <c r="TNM111" s="12"/>
      <c r="TNN111" s="12"/>
      <c r="TOE111" s="12"/>
      <c r="TOF111" s="12"/>
      <c r="TOW111" s="12"/>
      <c r="TOX111" s="12"/>
      <c r="TPO111" s="12"/>
      <c r="TPP111" s="12"/>
      <c r="TQG111" s="12"/>
      <c r="TQH111" s="12"/>
      <c r="TQY111" s="12"/>
      <c r="TQZ111" s="12"/>
      <c r="TRQ111" s="12"/>
      <c r="TRR111" s="12"/>
      <c r="TSI111" s="12"/>
      <c r="TSJ111" s="12"/>
      <c r="TTA111" s="12"/>
      <c r="TTB111" s="12"/>
      <c r="TTS111" s="12"/>
      <c r="TTT111" s="12"/>
      <c r="TUK111" s="12"/>
      <c r="TUL111" s="12"/>
      <c r="TVC111" s="12"/>
      <c r="TVD111" s="12"/>
      <c r="TVU111" s="12"/>
      <c r="TVV111" s="12"/>
      <c r="TWM111" s="12"/>
      <c r="TWN111" s="12"/>
      <c r="TXE111" s="12"/>
      <c r="TXF111" s="12"/>
      <c r="TXW111" s="12"/>
      <c r="TXX111" s="12"/>
      <c r="TYO111" s="12"/>
      <c r="TYP111" s="12"/>
      <c r="TZG111" s="12"/>
      <c r="TZH111" s="12"/>
      <c r="TZY111" s="12"/>
      <c r="TZZ111" s="12"/>
      <c r="UAQ111" s="12"/>
      <c r="UAR111" s="12"/>
      <c r="UBI111" s="12"/>
      <c r="UBJ111" s="12"/>
      <c r="UCA111" s="12"/>
      <c r="UCB111" s="12"/>
      <c r="UCS111" s="12"/>
      <c r="UCT111" s="12"/>
      <c r="UDK111" s="12"/>
      <c r="UDL111" s="12"/>
      <c r="UEC111" s="12"/>
      <c r="UED111" s="12"/>
      <c r="UEU111" s="12"/>
      <c r="UEV111" s="12"/>
      <c r="UFM111" s="12"/>
      <c r="UFN111" s="12"/>
      <c r="UGE111" s="12"/>
      <c r="UGF111" s="12"/>
      <c r="UGW111" s="12"/>
      <c r="UGX111" s="12"/>
      <c r="UHO111" s="12"/>
      <c r="UHP111" s="12"/>
      <c r="UIG111" s="12"/>
      <c r="UIH111" s="12"/>
      <c r="UIY111" s="12"/>
      <c r="UIZ111" s="12"/>
      <c r="UJQ111" s="12"/>
      <c r="UJR111" s="12"/>
      <c r="UKI111" s="12"/>
      <c r="UKJ111" s="12"/>
      <c r="ULA111" s="12"/>
      <c r="ULB111" s="12"/>
      <c r="ULS111" s="12"/>
      <c r="ULT111" s="12"/>
      <c r="UMK111" s="12"/>
      <c r="UML111" s="12"/>
      <c r="UNC111" s="12"/>
      <c r="UND111" s="12"/>
      <c r="UNU111" s="12"/>
      <c r="UNV111" s="12"/>
      <c r="UOM111" s="12"/>
      <c r="UON111" s="12"/>
      <c r="UPE111" s="12"/>
      <c r="UPF111" s="12"/>
      <c r="UPW111" s="12"/>
      <c r="UPX111" s="12"/>
      <c r="UQO111" s="12"/>
      <c r="UQP111" s="12"/>
      <c r="URG111" s="12"/>
      <c r="URH111" s="12"/>
      <c r="URY111" s="12"/>
      <c r="URZ111" s="12"/>
      <c r="USQ111" s="12"/>
      <c r="USR111" s="12"/>
      <c r="UTI111" s="12"/>
      <c r="UTJ111" s="12"/>
      <c r="UUA111" s="12"/>
      <c r="UUB111" s="12"/>
      <c r="UUS111" s="12"/>
      <c r="UUT111" s="12"/>
      <c r="UVK111" s="12"/>
      <c r="UVL111" s="12"/>
      <c r="UWC111" s="12"/>
      <c r="UWD111" s="12"/>
      <c r="UWU111" s="12"/>
      <c r="UWV111" s="12"/>
      <c r="UXM111" s="12"/>
      <c r="UXN111" s="12"/>
      <c r="UYE111" s="12"/>
      <c r="UYF111" s="12"/>
      <c r="UYW111" s="12"/>
      <c r="UYX111" s="12"/>
      <c r="UZO111" s="12"/>
      <c r="UZP111" s="12"/>
      <c r="VAG111" s="12"/>
      <c r="VAH111" s="12"/>
      <c r="VAY111" s="12"/>
      <c r="VAZ111" s="12"/>
      <c r="VBQ111" s="12"/>
      <c r="VBR111" s="12"/>
      <c r="VCI111" s="12"/>
      <c r="VCJ111" s="12"/>
      <c r="VDA111" s="12"/>
      <c r="VDB111" s="12"/>
      <c r="VDS111" s="12"/>
      <c r="VDT111" s="12"/>
      <c r="VEK111" s="12"/>
      <c r="VEL111" s="12"/>
      <c r="VFC111" s="12"/>
      <c r="VFD111" s="12"/>
      <c r="VFU111" s="12"/>
      <c r="VFV111" s="12"/>
      <c r="VGM111" s="12"/>
      <c r="VGN111" s="12"/>
      <c r="VHE111" s="12"/>
      <c r="VHF111" s="12"/>
      <c r="VHW111" s="12"/>
      <c r="VHX111" s="12"/>
      <c r="VIO111" s="12"/>
      <c r="VIP111" s="12"/>
      <c r="VJG111" s="12"/>
      <c r="VJH111" s="12"/>
      <c r="VJY111" s="12"/>
      <c r="VJZ111" s="12"/>
      <c r="VKQ111" s="12"/>
      <c r="VKR111" s="12"/>
      <c r="VLI111" s="12"/>
      <c r="VLJ111" s="12"/>
      <c r="VMA111" s="12"/>
      <c r="VMB111" s="12"/>
      <c r="VMS111" s="12"/>
      <c r="VMT111" s="12"/>
      <c r="VNK111" s="12"/>
      <c r="VNL111" s="12"/>
      <c r="VOC111" s="12"/>
      <c r="VOD111" s="12"/>
      <c r="VOU111" s="12"/>
      <c r="VOV111" s="12"/>
      <c r="VPM111" s="12"/>
      <c r="VPN111" s="12"/>
      <c r="VQE111" s="12"/>
      <c r="VQF111" s="12"/>
      <c r="VQW111" s="12"/>
      <c r="VQX111" s="12"/>
      <c r="VRO111" s="12"/>
      <c r="VRP111" s="12"/>
      <c r="VSG111" s="12"/>
      <c r="VSH111" s="12"/>
      <c r="VSY111" s="12"/>
      <c r="VSZ111" s="12"/>
      <c r="VTQ111" s="12"/>
      <c r="VTR111" s="12"/>
      <c r="VUI111" s="12"/>
      <c r="VUJ111" s="12"/>
      <c r="VVA111" s="12"/>
      <c r="VVB111" s="12"/>
      <c r="VVS111" s="12"/>
      <c r="VVT111" s="12"/>
      <c r="VWK111" s="12"/>
      <c r="VWL111" s="12"/>
      <c r="VXC111" s="12"/>
      <c r="VXD111" s="12"/>
      <c r="VXU111" s="12"/>
      <c r="VXV111" s="12"/>
      <c r="VYM111" s="12"/>
      <c r="VYN111" s="12"/>
      <c r="VZE111" s="12"/>
      <c r="VZF111" s="12"/>
      <c r="VZW111" s="12"/>
      <c r="VZX111" s="12"/>
      <c r="WAO111" s="12"/>
      <c r="WAP111" s="12"/>
      <c r="WBG111" s="12"/>
      <c r="WBH111" s="12"/>
      <c r="WBY111" s="12"/>
      <c r="WBZ111" s="12"/>
      <c r="WCQ111" s="12"/>
      <c r="WCR111" s="12"/>
      <c r="WDI111" s="12"/>
      <c r="WDJ111" s="12"/>
      <c r="WEA111" s="12"/>
      <c r="WEB111" s="12"/>
      <c r="WES111" s="12"/>
      <c r="WET111" s="12"/>
      <c r="WFK111" s="12"/>
      <c r="WFL111" s="12"/>
      <c r="WGC111" s="12"/>
      <c r="WGD111" s="12"/>
      <c r="WGU111" s="12"/>
      <c r="WGV111" s="12"/>
      <c r="WHM111" s="12"/>
      <c r="WHN111" s="12"/>
      <c r="WIE111" s="12"/>
      <c r="WIF111" s="12"/>
      <c r="WIW111" s="12"/>
      <c r="WIX111" s="12"/>
      <c r="WJO111" s="12"/>
      <c r="WJP111" s="12"/>
      <c r="WKG111" s="12"/>
      <c r="WKH111" s="12"/>
      <c r="WKY111" s="12"/>
      <c r="WKZ111" s="12"/>
      <c r="WLQ111" s="12"/>
      <c r="WLR111" s="12"/>
      <c r="WMI111" s="12"/>
      <c r="WMJ111" s="12"/>
      <c r="WNA111" s="12"/>
      <c r="WNB111" s="12"/>
      <c r="WNS111" s="12"/>
      <c r="WNT111" s="12"/>
      <c r="WOK111" s="12"/>
      <c r="WOL111" s="12"/>
      <c r="WPC111" s="12"/>
      <c r="WPD111" s="12"/>
      <c r="WPU111" s="12"/>
      <c r="WPV111" s="12"/>
      <c r="WQM111" s="12"/>
      <c r="WQN111" s="12"/>
      <c r="WRE111" s="12"/>
      <c r="WRF111" s="12"/>
      <c r="WRW111" s="12"/>
      <c r="WRX111" s="12"/>
      <c r="WSO111" s="12"/>
      <c r="WSP111" s="12"/>
      <c r="WTG111" s="12"/>
      <c r="WTH111" s="12"/>
      <c r="WTY111" s="12"/>
      <c r="WTZ111" s="12"/>
      <c r="WUQ111" s="12"/>
      <c r="WUR111" s="12"/>
      <c r="WVI111" s="12"/>
      <c r="WVJ111" s="12"/>
      <c r="WWA111" s="12"/>
      <c r="WWB111" s="12"/>
      <c r="WWS111" s="12"/>
      <c r="WWT111" s="12"/>
      <c r="WXK111" s="12"/>
      <c r="WXL111" s="12"/>
      <c r="WYC111" s="12"/>
      <c r="WYD111" s="12"/>
      <c r="WYU111" s="12"/>
      <c r="WYV111" s="12"/>
      <c r="WZM111" s="12"/>
      <c r="WZN111" s="12"/>
      <c r="XAE111" s="12"/>
      <c r="XAF111" s="12"/>
      <c r="XAW111" s="12"/>
      <c r="XAX111" s="12"/>
      <c r="XBO111" s="12"/>
      <c r="XBP111" s="12"/>
      <c r="XCG111" s="12"/>
      <c r="XCH111" s="12"/>
      <c r="XCY111" s="12"/>
      <c r="XCZ111" s="12"/>
      <c r="XDQ111" s="12"/>
      <c r="XDR111" s="12"/>
      <c r="XEI111" s="12"/>
      <c r="XEJ111" s="12"/>
      <c r="XFA111" s="12"/>
      <c r="XFB111" s="12"/>
    </row>
    <row r="112" spans="1:1010 1027:2036 2053:3062 3079:4088 4105:5114 5131:6140 6157:7166 7183:8192 8209:9200 9217:10226 10243:11252 11269:12278 12295:13304 13321:14330 14347:15356 15373:16382" s="11" customFormat="1" x14ac:dyDescent="0.35">
      <c r="A112" s="183" t="str">
        <f>'Balance Sheet - Standardized'!A114</f>
        <v xml:space="preserve">  + Retained Earnings</v>
      </c>
      <c r="B112" s="75" t="str">
        <f>'Balance Sheet - Standardized'!B114</f>
        <v>BS_PURE_RETAINED_EARNINGS</v>
      </c>
      <c r="C112" s="76">
        <f>IF('Balance Sheet - Standardized'!C114="",0,'Balance Sheet - Standardized'!C114)/'Balance Sheet - Standardized'!C$118</f>
        <v>1.8560701522854746</v>
      </c>
      <c r="D112" s="76">
        <f>IF('Balance Sheet - Standardized'!D114="",0,'Balance Sheet - Standardized'!D114)/'Balance Sheet - Standardized'!D$118</f>
        <v>1.7685841772972173</v>
      </c>
      <c r="E112" s="76">
        <f>IF('Balance Sheet - Standardized'!E114="",0,'Balance Sheet - Standardized'!E114)/'Balance Sheet - Standardized'!E$118</f>
        <v>1.7513381924830065</v>
      </c>
      <c r="F112" s="76">
        <f>IF('Balance Sheet - Standardized'!F114="",0,'Balance Sheet - Standardized'!F114)/'Balance Sheet - Standardized'!F$118</f>
        <v>1.7700375453470987</v>
      </c>
      <c r="G112" s="76">
        <f>IF('Balance Sheet - Standardized'!G114="",0,'Balance Sheet - Standardized'!G114)/'Balance Sheet - Standardized'!G$118</f>
        <v>1.674016307224355</v>
      </c>
      <c r="H112" s="76">
        <f>IF('Balance Sheet - Standardized'!H114="",0,'Balance Sheet - Standardized'!H114)/'Balance Sheet - Standardized'!H$118</f>
        <v>1.5604603406757376</v>
      </c>
      <c r="I112" s="76">
        <f>IF('Balance Sheet - Standardized'!I114="",0,'Balance Sheet - Standardized'!I114)/'Balance Sheet - Standardized'!I$118</f>
        <v>1.4719415901036714</v>
      </c>
      <c r="J112" s="76">
        <f>IF('Balance Sheet - Standardized'!J114="",0,'Balance Sheet - Standardized'!J114)/'Balance Sheet - Standardized'!J$118</f>
        <v>1.3964569374367664</v>
      </c>
      <c r="K112" s="76">
        <f>IF('Balance Sheet - Standardized'!K114="",0,'Balance Sheet - Standardized'!K114)/'Balance Sheet - Standardized'!K$118</f>
        <v>1.4287856134316781</v>
      </c>
      <c r="L112" s="76">
        <f>IF('Balance Sheet - Standardized'!L114="",0,'Balance Sheet - Standardized'!L114)/'Balance Sheet - Standardized'!L$118</f>
        <v>1.3988871164492822</v>
      </c>
      <c r="M112" s="106"/>
      <c r="N112" s="106"/>
      <c r="O112" s="106"/>
      <c r="P112" s="106"/>
      <c r="Q112" s="106"/>
      <c r="R112" s="106"/>
      <c r="S112" s="78"/>
      <c r="T112" s="78"/>
      <c r="U112" s="106"/>
      <c r="V112" s="106"/>
      <c r="W112" s="106"/>
      <c r="X112" s="106"/>
      <c r="Y112" s="106"/>
      <c r="Z112" s="106"/>
      <c r="AA112" s="106"/>
      <c r="AB112" s="106"/>
      <c r="AC112" s="106"/>
      <c r="AD112" s="106"/>
      <c r="AE112" s="106"/>
      <c r="AF112" s="106"/>
      <c r="AG112" s="106"/>
      <c r="AH112" s="106"/>
      <c r="AI112" s="106"/>
      <c r="AJ112" s="106"/>
      <c r="AK112" s="78"/>
      <c r="AL112" s="78"/>
      <c r="AM112" s="106"/>
      <c r="AN112" s="106"/>
      <c r="AO112" s="106"/>
      <c r="AP112" s="106"/>
      <c r="AQ112" s="106"/>
      <c r="AR112" s="106"/>
      <c r="AS112" s="106"/>
      <c r="AT112" s="106"/>
      <c r="AU112" s="106"/>
      <c r="AV112" s="106"/>
      <c r="AW112" s="106"/>
      <c r="AX112" s="106"/>
      <c r="AY112" s="106"/>
      <c r="AZ112" s="106"/>
      <c r="BA112" s="106"/>
      <c r="BB112" s="106"/>
      <c r="BC112" s="78"/>
      <c r="BD112" s="78"/>
      <c r="BE112" s="106"/>
      <c r="BF112" s="106"/>
      <c r="BG112" s="106"/>
      <c r="BH112" s="106"/>
      <c r="BI112" s="106"/>
      <c r="BJ112" s="106"/>
      <c r="BU112" s="12"/>
      <c r="BV112" s="12"/>
      <c r="CM112" s="12"/>
      <c r="CN112" s="12"/>
      <c r="DE112" s="12"/>
      <c r="DF112" s="12"/>
      <c r="DW112" s="12"/>
      <c r="DX112" s="12"/>
      <c r="EO112" s="12"/>
      <c r="EP112" s="12"/>
      <c r="FG112" s="12"/>
      <c r="FH112" s="12"/>
      <c r="FY112" s="12"/>
      <c r="FZ112" s="12"/>
      <c r="GQ112" s="12"/>
      <c r="GR112" s="12"/>
      <c r="HI112" s="12"/>
      <c r="HJ112" s="12"/>
      <c r="IA112" s="12"/>
      <c r="IB112" s="12"/>
      <c r="IS112" s="12"/>
      <c r="IT112" s="12"/>
      <c r="JK112" s="12"/>
      <c r="JL112" s="12"/>
      <c r="KC112" s="12"/>
      <c r="KD112" s="12"/>
      <c r="KU112" s="12"/>
      <c r="KV112" s="12"/>
      <c r="LM112" s="12"/>
      <c r="LN112" s="12"/>
      <c r="ME112" s="12"/>
      <c r="MF112" s="12"/>
      <c r="MW112" s="12"/>
      <c r="MX112" s="12"/>
      <c r="NO112" s="12"/>
      <c r="NP112" s="12"/>
      <c r="OG112" s="12"/>
      <c r="OH112" s="12"/>
      <c r="OY112" s="12"/>
      <c r="OZ112" s="12"/>
      <c r="PQ112" s="12"/>
      <c r="PR112" s="12"/>
      <c r="QI112" s="12"/>
      <c r="QJ112" s="12"/>
      <c r="RA112" s="12"/>
      <c r="RB112" s="12"/>
      <c r="RS112" s="12"/>
      <c r="RT112" s="12"/>
      <c r="SK112" s="12"/>
      <c r="SL112" s="12"/>
      <c r="TC112" s="12"/>
      <c r="TD112" s="12"/>
      <c r="TU112" s="12"/>
      <c r="TV112" s="12"/>
      <c r="UM112" s="12"/>
      <c r="UN112" s="12"/>
      <c r="VE112" s="12"/>
      <c r="VF112" s="12"/>
      <c r="VW112" s="12"/>
      <c r="VX112" s="12"/>
      <c r="WO112" s="12"/>
      <c r="WP112" s="12"/>
      <c r="XG112" s="12"/>
      <c r="XH112" s="12"/>
      <c r="XY112" s="12"/>
      <c r="XZ112" s="12"/>
      <c r="YQ112" s="12"/>
      <c r="YR112" s="12"/>
      <c r="ZI112" s="12"/>
      <c r="ZJ112" s="12"/>
      <c r="AAA112" s="12"/>
      <c r="AAB112" s="12"/>
      <c r="AAS112" s="12"/>
      <c r="AAT112" s="12"/>
      <c r="ABK112" s="12"/>
      <c r="ABL112" s="12"/>
      <c r="ACC112" s="12"/>
      <c r="ACD112" s="12"/>
      <c r="ACU112" s="12"/>
      <c r="ACV112" s="12"/>
      <c r="ADM112" s="12"/>
      <c r="ADN112" s="12"/>
      <c r="AEE112" s="12"/>
      <c r="AEF112" s="12"/>
      <c r="AEW112" s="12"/>
      <c r="AEX112" s="12"/>
      <c r="AFO112" s="12"/>
      <c r="AFP112" s="12"/>
      <c r="AGG112" s="12"/>
      <c r="AGH112" s="12"/>
      <c r="AGY112" s="12"/>
      <c r="AGZ112" s="12"/>
      <c r="AHQ112" s="12"/>
      <c r="AHR112" s="12"/>
      <c r="AII112" s="12"/>
      <c r="AIJ112" s="12"/>
      <c r="AJA112" s="12"/>
      <c r="AJB112" s="12"/>
      <c r="AJS112" s="12"/>
      <c r="AJT112" s="12"/>
      <c r="AKK112" s="12"/>
      <c r="AKL112" s="12"/>
      <c r="ALC112" s="12"/>
      <c r="ALD112" s="12"/>
      <c r="ALU112" s="12"/>
      <c r="ALV112" s="12"/>
      <c r="AMM112" s="12"/>
      <c r="AMN112" s="12"/>
      <c r="ANE112" s="12"/>
      <c r="ANF112" s="12"/>
      <c r="ANW112" s="12"/>
      <c r="ANX112" s="12"/>
      <c r="AOO112" s="12"/>
      <c r="AOP112" s="12"/>
      <c r="APG112" s="12"/>
      <c r="APH112" s="12"/>
      <c r="APY112" s="12"/>
      <c r="APZ112" s="12"/>
      <c r="AQQ112" s="12"/>
      <c r="AQR112" s="12"/>
      <c r="ARI112" s="12"/>
      <c r="ARJ112" s="12"/>
      <c r="ASA112" s="12"/>
      <c r="ASB112" s="12"/>
      <c r="ASS112" s="12"/>
      <c r="AST112" s="12"/>
      <c r="ATK112" s="12"/>
      <c r="ATL112" s="12"/>
      <c r="AUC112" s="12"/>
      <c r="AUD112" s="12"/>
      <c r="AUU112" s="12"/>
      <c r="AUV112" s="12"/>
      <c r="AVM112" s="12"/>
      <c r="AVN112" s="12"/>
      <c r="AWE112" s="12"/>
      <c r="AWF112" s="12"/>
      <c r="AWW112" s="12"/>
      <c r="AWX112" s="12"/>
      <c r="AXO112" s="12"/>
      <c r="AXP112" s="12"/>
      <c r="AYG112" s="12"/>
      <c r="AYH112" s="12"/>
      <c r="AYY112" s="12"/>
      <c r="AYZ112" s="12"/>
      <c r="AZQ112" s="12"/>
      <c r="AZR112" s="12"/>
      <c r="BAI112" s="12"/>
      <c r="BAJ112" s="12"/>
      <c r="BBA112" s="12"/>
      <c r="BBB112" s="12"/>
      <c r="BBS112" s="12"/>
      <c r="BBT112" s="12"/>
      <c r="BCK112" s="12"/>
      <c r="BCL112" s="12"/>
      <c r="BDC112" s="12"/>
      <c r="BDD112" s="12"/>
      <c r="BDU112" s="12"/>
      <c r="BDV112" s="12"/>
      <c r="BEM112" s="12"/>
      <c r="BEN112" s="12"/>
      <c r="BFE112" s="12"/>
      <c r="BFF112" s="12"/>
      <c r="BFW112" s="12"/>
      <c r="BFX112" s="12"/>
      <c r="BGO112" s="12"/>
      <c r="BGP112" s="12"/>
      <c r="BHG112" s="12"/>
      <c r="BHH112" s="12"/>
      <c r="BHY112" s="12"/>
      <c r="BHZ112" s="12"/>
      <c r="BIQ112" s="12"/>
      <c r="BIR112" s="12"/>
      <c r="BJI112" s="12"/>
      <c r="BJJ112" s="12"/>
      <c r="BKA112" s="12"/>
      <c r="BKB112" s="12"/>
      <c r="BKS112" s="12"/>
      <c r="BKT112" s="12"/>
      <c r="BLK112" s="12"/>
      <c r="BLL112" s="12"/>
      <c r="BMC112" s="12"/>
      <c r="BMD112" s="12"/>
      <c r="BMU112" s="12"/>
      <c r="BMV112" s="12"/>
      <c r="BNM112" s="12"/>
      <c r="BNN112" s="12"/>
      <c r="BOE112" s="12"/>
      <c r="BOF112" s="12"/>
      <c r="BOW112" s="12"/>
      <c r="BOX112" s="12"/>
      <c r="BPO112" s="12"/>
      <c r="BPP112" s="12"/>
      <c r="BQG112" s="12"/>
      <c r="BQH112" s="12"/>
      <c r="BQY112" s="12"/>
      <c r="BQZ112" s="12"/>
      <c r="BRQ112" s="12"/>
      <c r="BRR112" s="12"/>
      <c r="BSI112" s="12"/>
      <c r="BSJ112" s="12"/>
      <c r="BTA112" s="12"/>
      <c r="BTB112" s="12"/>
      <c r="BTS112" s="12"/>
      <c r="BTT112" s="12"/>
      <c r="BUK112" s="12"/>
      <c r="BUL112" s="12"/>
      <c r="BVC112" s="12"/>
      <c r="BVD112" s="12"/>
      <c r="BVU112" s="12"/>
      <c r="BVV112" s="12"/>
      <c r="BWM112" s="12"/>
      <c r="BWN112" s="12"/>
      <c r="BXE112" s="12"/>
      <c r="BXF112" s="12"/>
      <c r="BXW112" s="12"/>
      <c r="BXX112" s="12"/>
      <c r="BYO112" s="12"/>
      <c r="BYP112" s="12"/>
      <c r="BZG112" s="12"/>
      <c r="BZH112" s="12"/>
      <c r="BZY112" s="12"/>
      <c r="BZZ112" s="12"/>
      <c r="CAQ112" s="12"/>
      <c r="CAR112" s="12"/>
      <c r="CBI112" s="12"/>
      <c r="CBJ112" s="12"/>
      <c r="CCA112" s="12"/>
      <c r="CCB112" s="12"/>
      <c r="CCS112" s="12"/>
      <c r="CCT112" s="12"/>
      <c r="CDK112" s="12"/>
      <c r="CDL112" s="12"/>
      <c r="CEC112" s="12"/>
      <c r="CED112" s="12"/>
      <c r="CEU112" s="12"/>
      <c r="CEV112" s="12"/>
      <c r="CFM112" s="12"/>
      <c r="CFN112" s="12"/>
      <c r="CGE112" s="12"/>
      <c r="CGF112" s="12"/>
      <c r="CGW112" s="12"/>
      <c r="CGX112" s="12"/>
      <c r="CHO112" s="12"/>
      <c r="CHP112" s="12"/>
      <c r="CIG112" s="12"/>
      <c r="CIH112" s="12"/>
      <c r="CIY112" s="12"/>
      <c r="CIZ112" s="12"/>
      <c r="CJQ112" s="12"/>
      <c r="CJR112" s="12"/>
      <c r="CKI112" s="12"/>
      <c r="CKJ112" s="12"/>
      <c r="CLA112" s="12"/>
      <c r="CLB112" s="12"/>
      <c r="CLS112" s="12"/>
      <c r="CLT112" s="12"/>
      <c r="CMK112" s="12"/>
      <c r="CML112" s="12"/>
      <c r="CNC112" s="12"/>
      <c r="CND112" s="12"/>
      <c r="CNU112" s="12"/>
      <c r="CNV112" s="12"/>
      <c r="COM112" s="12"/>
      <c r="CON112" s="12"/>
      <c r="CPE112" s="12"/>
      <c r="CPF112" s="12"/>
      <c r="CPW112" s="12"/>
      <c r="CPX112" s="12"/>
      <c r="CQO112" s="12"/>
      <c r="CQP112" s="12"/>
      <c r="CRG112" s="12"/>
      <c r="CRH112" s="12"/>
      <c r="CRY112" s="12"/>
      <c r="CRZ112" s="12"/>
      <c r="CSQ112" s="12"/>
      <c r="CSR112" s="12"/>
      <c r="CTI112" s="12"/>
      <c r="CTJ112" s="12"/>
      <c r="CUA112" s="12"/>
      <c r="CUB112" s="12"/>
      <c r="CUS112" s="12"/>
      <c r="CUT112" s="12"/>
      <c r="CVK112" s="12"/>
      <c r="CVL112" s="12"/>
      <c r="CWC112" s="12"/>
      <c r="CWD112" s="12"/>
      <c r="CWU112" s="12"/>
      <c r="CWV112" s="12"/>
      <c r="CXM112" s="12"/>
      <c r="CXN112" s="12"/>
      <c r="CYE112" s="12"/>
      <c r="CYF112" s="12"/>
      <c r="CYW112" s="12"/>
      <c r="CYX112" s="12"/>
      <c r="CZO112" s="12"/>
      <c r="CZP112" s="12"/>
      <c r="DAG112" s="12"/>
      <c r="DAH112" s="12"/>
      <c r="DAY112" s="12"/>
      <c r="DAZ112" s="12"/>
      <c r="DBQ112" s="12"/>
      <c r="DBR112" s="12"/>
      <c r="DCI112" s="12"/>
      <c r="DCJ112" s="12"/>
      <c r="DDA112" s="12"/>
      <c r="DDB112" s="12"/>
      <c r="DDS112" s="12"/>
      <c r="DDT112" s="12"/>
      <c r="DEK112" s="12"/>
      <c r="DEL112" s="12"/>
      <c r="DFC112" s="12"/>
      <c r="DFD112" s="12"/>
      <c r="DFU112" s="12"/>
      <c r="DFV112" s="12"/>
      <c r="DGM112" s="12"/>
      <c r="DGN112" s="12"/>
      <c r="DHE112" s="12"/>
      <c r="DHF112" s="12"/>
      <c r="DHW112" s="12"/>
      <c r="DHX112" s="12"/>
      <c r="DIO112" s="12"/>
      <c r="DIP112" s="12"/>
      <c r="DJG112" s="12"/>
      <c r="DJH112" s="12"/>
      <c r="DJY112" s="12"/>
      <c r="DJZ112" s="12"/>
      <c r="DKQ112" s="12"/>
      <c r="DKR112" s="12"/>
      <c r="DLI112" s="12"/>
      <c r="DLJ112" s="12"/>
      <c r="DMA112" s="12"/>
      <c r="DMB112" s="12"/>
      <c r="DMS112" s="12"/>
      <c r="DMT112" s="12"/>
      <c r="DNK112" s="12"/>
      <c r="DNL112" s="12"/>
      <c r="DOC112" s="12"/>
      <c r="DOD112" s="12"/>
      <c r="DOU112" s="12"/>
      <c r="DOV112" s="12"/>
      <c r="DPM112" s="12"/>
      <c r="DPN112" s="12"/>
      <c r="DQE112" s="12"/>
      <c r="DQF112" s="12"/>
      <c r="DQW112" s="12"/>
      <c r="DQX112" s="12"/>
      <c r="DRO112" s="12"/>
      <c r="DRP112" s="12"/>
      <c r="DSG112" s="12"/>
      <c r="DSH112" s="12"/>
      <c r="DSY112" s="12"/>
      <c r="DSZ112" s="12"/>
      <c r="DTQ112" s="12"/>
      <c r="DTR112" s="12"/>
      <c r="DUI112" s="12"/>
      <c r="DUJ112" s="12"/>
      <c r="DVA112" s="12"/>
      <c r="DVB112" s="12"/>
      <c r="DVS112" s="12"/>
      <c r="DVT112" s="12"/>
      <c r="DWK112" s="12"/>
      <c r="DWL112" s="12"/>
      <c r="DXC112" s="12"/>
      <c r="DXD112" s="12"/>
      <c r="DXU112" s="12"/>
      <c r="DXV112" s="12"/>
      <c r="DYM112" s="12"/>
      <c r="DYN112" s="12"/>
      <c r="DZE112" s="12"/>
      <c r="DZF112" s="12"/>
      <c r="DZW112" s="12"/>
      <c r="DZX112" s="12"/>
      <c r="EAO112" s="12"/>
      <c r="EAP112" s="12"/>
      <c r="EBG112" s="12"/>
      <c r="EBH112" s="12"/>
      <c r="EBY112" s="12"/>
      <c r="EBZ112" s="12"/>
      <c r="ECQ112" s="12"/>
      <c r="ECR112" s="12"/>
      <c r="EDI112" s="12"/>
      <c r="EDJ112" s="12"/>
      <c r="EEA112" s="12"/>
      <c r="EEB112" s="12"/>
      <c r="EES112" s="12"/>
      <c r="EET112" s="12"/>
      <c r="EFK112" s="12"/>
      <c r="EFL112" s="12"/>
      <c r="EGC112" s="12"/>
      <c r="EGD112" s="12"/>
      <c r="EGU112" s="12"/>
      <c r="EGV112" s="12"/>
      <c r="EHM112" s="12"/>
      <c r="EHN112" s="12"/>
      <c r="EIE112" s="12"/>
      <c r="EIF112" s="12"/>
      <c r="EIW112" s="12"/>
      <c r="EIX112" s="12"/>
      <c r="EJO112" s="12"/>
      <c r="EJP112" s="12"/>
      <c r="EKG112" s="12"/>
      <c r="EKH112" s="12"/>
      <c r="EKY112" s="12"/>
      <c r="EKZ112" s="12"/>
      <c r="ELQ112" s="12"/>
      <c r="ELR112" s="12"/>
      <c r="EMI112" s="12"/>
      <c r="EMJ112" s="12"/>
      <c r="ENA112" s="12"/>
      <c r="ENB112" s="12"/>
      <c r="ENS112" s="12"/>
      <c r="ENT112" s="12"/>
      <c r="EOK112" s="12"/>
      <c r="EOL112" s="12"/>
      <c r="EPC112" s="12"/>
      <c r="EPD112" s="12"/>
      <c r="EPU112" s="12"/>
      <c r="EPV112" s="12"/>
      <c r="EQM112" s="12"/>
      <c r="EQN112" s="12"/>
      <c r="ERE112" s="12"/>
      <c r="ERF112" s="12"/>
      <c r="ERW112" s="12"/>
      <c r="ERX112" s="12"/>
      <c r="ESO112" s="12"/>
      <c r="ESP112" s="12"/>
      <c r="ETG112" s="12"/>
      <c r="ETH112" s="12"/>
      <c r="ETY112" s="12"/>
      <c r="ETZ112" s="12"/>
      <c r="EUQ112" s="12"/>
      <c r="EUR112" s="12"/>
      <c r="EVI112" s="12"/>
      <c r="EVJ112" s="12"/>
      <c r="EWA112" s="12"/>
      <c r="EWB112" s="12"/>
      <c r="EWS112" s="12"/>
      <c r="EWT112" s="12"/>
      <c r="EXK112" s="12"/>
      <c r="EXL112" s="12"/>
      <c r="EYC112" s="12"/>
      <c r="EYD112" s="12"/>
      <c r="EYU112" s="12"/>
      <c r="EYV112" s="12"/>
      <c r="EZM112" s="12"/>
      <c r="EZN112" s="12"/>
      <c r="FAE112" s="12"/>
      <c r="FAF112" s="12"/>
      <c r="FAW112" s="12"/>
      <c r="FAX112" s="12"/>
      <c r="FBO112" s="12"/>
      <c r="FBP112" s="12"/>
      <c r="FCG112" s="12"/>
      <c r="FCH112" s="12"/>
      <c r="FCY112" s="12"/>
      <c r="FCZ112" s="12"/>
      <c r="FDQ112" s="12"/>
      <c r="FDR112" s="12"/>
      <c r="FEI112" s="12"/>
      <c r="FEJ112" s="12"/>
      <c r="FFA112" s="12"/>
      <c r="FFB112" s="12"/>
      <c r="FFS112" s="12"/>
      <c r="FFT112" s="12"/>
      <c r="FGK112" s="12"/>
      <c r="FGL112" s="12"/>
      <c r="FHC112" s="12"/>
      <c r="FHD112" s="12"/>
      <c r="FHU112" s="12"/>
      <c r="FHV112" s="12"/>
      <c r="FIM112" s="12"/>
      <c r="FIN112" s="12"/>
      <c r="FJE112" s="12"/>
      <c r="FJF112" s="12"/>
      <c r="FJW112" s="12"/>
      <c r="FJX112" s="12"/>
      <c r="FKO112" s="12"/>
      <c r="FKP112" s="12"/>
      <c r="FLG112" s="12"/>
      <c r="FLH112" s="12"/>
      <c r="FLY112" s="12"/>
      <c r="FLZ112" s="12"/>
      <c r="FMQ112" s="12"/>
      <c r="FMR112" s="12"/>
      <c r="FNI112" s="12"/>
      <c r="FNJ112" s="12"/>
      <c r="FOA112" s="12"/>
      <c r="FOB112" s="12"/>
      <c r="FOS112" s="12"/>
      <c r="FOT112" s="12"/>
      <c r="FPK112" s="12"/>
      <c r="FPL112" s="12"/>
      <c r="FQC112" s="12"/>
      <c r="FQD112" s="12"/>
      <c r="FQU112" s="12"/>
      <c r="FQV112" s="12"/>
      <c r="FRM112" s="12"/>
      <c r="FRN112" s="12"/>
      <c r="FSE112" s="12"/>
      <c r="FSF112" s="12"/>
      <c r="FSW112" s="12"/>
      <c r="FSX112" s="12"/>
      <c r="FTO112" s="12"/>
      <c r="FTP112" s="12"/>
      <c r="FUG112" s="12"/>
      <c r="FUH112" s="12"/>
      <c r="FUY112" s="12"/>
      <c r="FUZ112" s="12"/>
      <c r="FVQ112" s="12"/>
      <c r="FVR112" s="12"/>
      <c r="FWI112" s="12"/>
      <c r="FWJ112" s="12"/>
      <c r="FXA112" s="12"/>
      <c r="FXB112" s="12"/>
      <c r="FXS112" s="12"/>
      <c r="FXT112" s="12"/>
      <c r="FYK112" s="12"/>
      <c r="FYL112" s="12"/>
      <c r="FZC112" s="12"/>
      <c r="FZD112" s="12"/>
      <c r="FZU112" s="12"/>
      <c r="FZV112" s="12"/>
      <c r="GAM112" s="12"/>
      <c r="GAN112" s="12"/>
      <c r="GBE112" s="12"/>
      <c r="GBF112" s="12"/>
      <c r="GBW112" s="12"/>
      <c r="GBX112" s="12"/>
      <c r="GCO112" s="12"/>
      <c r="GCP112" s="12"/>
      <c r="GDG112" s="12"/>
      <c r="GDH112" s="12"/>
      <c r="GDY112" s="12"/>
      <c r="GDZ112" s="12"/>
      <c r="GEQ112" s="12"/>
      <c r="GER112" s="12"/>
      <c r="GFI112" s="12"/>
      <c r="GFJ112" s="12"/>
      <c r="GGA112" s="12"/>
      <c r="GGB112" s="12"/>
      <c r="GGS112" s="12"/>
      <c r="GGT112" s="12"/>
      <c r="GHK112" s="12"/>
      <c r="GHL112" s="12"/>
      <c r="GIC112" s="12"/>
      <c r="GID112" s="12"/>
      <c r="GIU112" s="12"/>
      <c r="GIV112" s="12"/>
      <c r="GJM112" s="12"/>
      <c r="GJN112" s="12"/>
      <c r="GKE112" s="12"/>
      <c r="GKF112" s="12"/>
      <c r="GKW112" s="12"/>
      <c r="GKX112" s="12"/>
      <c r="GLO112" s="12"/>
      <c r="GLP112" s="12"/>
      <c r="GMG112" s="12"/>
      <c r="GMH112" s="12"/>
      <c r="GMY112" s="12"/>
      <c r="GMZ112" s="12"/>
      <c r="GNQ112" s="12"/>
      <c r="GNR112" s="12"/>
      <c r="GOI112" s="12"/>
      <c r="GOJ112" s="12"/>
      <c r="GPA112" s="12"/>
      <c r="GPB112" s="12"/>
      <c r="GPS112" s="12"/>
      <c r="GPT112" s="12"/>
      <c r="GQK112" s="12"/>
      <c r="GQL112" s="12"/>
      <c r="GRC112" s="12"/>
      <c r="GRD112" s="12"/>
      <c r="GRU112" s="12"/>
      <c r="GRV112" s="12"/>
      <c r="GSM112" s="12"/>
      <c r="GSN112" s="12"/>
      <c r="GTE112" s="12"/>
      <c r="GTF112" s="12"/>
      <c r="GTW112" s="12"/>
      <c r="GTX112" s="12"/>
      <c r="GUO112" s="12"/>
      <c r="GUP112" s="12"/>
      <c r="GVG112" s="12"/>
      <c r="GVH112" s="12"/>
      <c r="GVY112" s="12"/>
      <c r="GVZ112" s="12"/>
      <c r="GWQ112" s="12"/>
      <c r="GWR112" s="12"/>
      <c r="GXI112" s="12"/>
      <c r="GXJ112" s="12"/>
      <c r="GYA112" s="12"/>
      <c r="GYB112" s="12"/>
      <c r="GYS112" s="12"/>
      <c r="GYT112" s="12"/>
      <c r="GZK112" s="12"/>
      <c r="GZL112" s="12"/>
      <c r="HAC112" s="12"/>
      <c r="HAD112" s="12"/>
      <c r="HAU112" s="12"/>
      <c r="HAV112" s="12"/>
      <c r="HBM112" s="12"/>
      <c r="HBN112" s="12"/>
      <c r="HCE112" s="12"/>
      <c r="HCF112" s="12"/>
      <c r="HCW112" s="12"/>
      <c r="HCX112" s="12"/>
      <c r="HDO112" s="12"/>
      <c r="HDP112" s="12"/>
      <c r="HEG112" s="12"/>
      <c r="HEH112" s="12"/>
      <c r="HEY112" s="12"/>
      <c r="HEZ112" s="12"/>
      <c r="HFQ112" s="12"/>
      <c r="HFR112" s="12"/>
      <c r="HGI112" s="12"/>
      <c r="HGJ112" s="12"/>
      <c r="HHA112" s="12"/>
      <c r="HHB112" s="12"/>
      <c r="HHS112" s="12"/>
      <c r="HHT112" s="12"/>
      <c r="HIK112" s="12"/>
      <c r="HIL112" s="12"/>
      <c r="HJC112" s="12"/>
      <c r="HJD112" s="12"/>
      <c r="HJU112" s="12"/>
      <c r="HJV112" s="12"/>
      <c r="HKM112" s="12"/>
      <c r="HKN112" s="12"/>
      <c r="HLE112" s="12"/>
      <c r="HLF112" s="12"/>
      <c r="HLW112" s="12"/>
      <c r="HLX112" s="12"/>
      <c r="HMO112" s="12"/>
      <c r="HMP112" s="12"/>
      <c r="HNG112" s="12"/>
      <c r="HNH112" s="12"/>
      <c r="HNY112" s="12"/>
      <c r="HNZ112" s="12"/>
      <c r="HOQ112" s="12"/>
      <c r="HOR112" s="12"/>
      <c r="HPI112" s="12"/>
      <c r="HPJ112" s="12"/>
      <c r="HQA112" s="12"/>
      <c r="HQB112" s="12"/>
      <c r="HQS112" s="12"/>
      <c r="HQT112" s="12"/>
      <c r="HRK112" s="12"/>
      <c r="HRL112" s="12"/>
      <c r="HSC112" s="12"/>
      <c r="HSD112" s="12"/>
      <c r="HSU112" s="12"/>
      <c r="HSV112" s="12"/>
      <c r="HTM112" s="12"/>
      <c r="HTN112" s="12"/>
      <c r="HUE112" s="12"/>
      <c r="HUF112" s="12"/>
      <c r="HUW112" s="12"/>
      <c r="HUX112" s="12"/>
      <c r="HVO112" s="12"/>
      <c r="HVP112" s="12"/>
      <c r="HWG112" s="12"/>
      <c r="HWH112" s="12"/>
      <c r="HWY112" s="12"/>
      <c r="HWZ112" s="12"/>
      <c r="HXQ112" s="12"/>
      <c r="HXR112" s="12"/>
      <c r="HYI112" s="12"/>
      <c r="HYJ112" s="12"/>
      <c r="HZA112" s="12"/>
      <c r="HZB112" s="12"/>
      <c r="HZS112" s="12"/>
      <c r="HZT112" s="12"/>
      <c r="IAK112" s="12"/>
      <c r="IAL112" s="12"/>
      <c r="IBC112" s="12"/>
      <c r="IBD112" s="12"/>
      <c r="IBU112" s="12"/>
      <c r="IBV112" s="12"/>
      <c r="ICM112" s="12"/>
      <c r="ICN112" s="12"/>
      <c r="IDE112" s="12"/>
      <c r="IDF112" s="12"/>
      <c r="IDW112" s="12"/>
      <c r="IDX112" s="12"/>
      <c r="IEO112" s="12"/>
      <c r="IEP112" s="12"/>
      <c r="IFG112" s="12"/>
      <c r="IFH112" s="12"/>
      <c r="IFY112" s="12"/>
      <c r="IFZ112" s="12"/>
      <c r="IGQ112" s="12"/>
      <c r="IGR112" s="12"/>
      <c r="IHI112" s="12"/>
      <c r="IHJ112" s="12"/>
      <c r="IIA112" s="12"/>
      <c r="IIB112" s="12"/>
      <c r="IIS112" s="12"/>
      <c r="IIT112" s="12"/>
      <c r="IJK112" s="12"/>
      <c r="IJL112" s="12"/>
      <c r="IKC112" s="12"/>
      <c r="IKD112" s="12"/>
      <c r="IKU112" s="12"/>
      <c r="IKV112" s="12"/>
      <c r="ILM112" s="12"/>
      <c r="ILN112" s="12"/>
      <c r="IME112" s="12"/>
      <c r="IMF112" s="12"/>
      <c r="IMW112" s="12"/>
      <c r="IMX112" s="12"/>
      <c r="INO112" s="12"/>
      <c r="INP112" s="12"/>
      <c r="IOG112" s="12"/>
      <c r="IOH112" s="12"/>
      <c r="IOY112" s="12"/>
      <c r="IOZ112" s="12"/>
      <c r="IPQ112" s="12"/>
      <c r="IPR112" s="12"/>
      <c r="IQI112" s="12"/>
      <c r="IQJ112" s="12"/>
      <c r="IRA112" s="12"/>
      <c r="IRB112" s="12"/>
      <c r="IRS112" s="12"/>
      <c r="IRT112" s="12"/>
      <c r="ISK112" s="12"/>
      <c r="ISL112" s="12"/>
      <c r="ITC112" s="12"/>
      <c r="ITD112" s="12"/>
      <c r="ITU112" s="12"/>
      <c r="ITV112" s="12"/>
      <c r="IUM112" s="12"/>
      <c r="IUN112" s="12"/>
      <c r="IVE112" s="12"/>
      <c r="IVF112" s="12"/>
      <c r="IVW112" s="12"/>
      <c r="IVX112" s="12"/>
      <c r="IWO112" s="12"/>
      <c r="IWP112" s="12"/>
      <c r="IXG112" s="12"/>
      <c r="IXH112" s="12"/>
      <c r="IXY112" s="12"/>
      <c r="IXZ112" s="12"/>
      <c r="IYQ112" s="12"/>
      <c r="IYR112" s="12"/>
      <c r="IZI112" s="12"/>
      <c r="IZJ112" s="12"/>
      <c r="JAA112" s="12"/>
      <c r="JAB112" s="12"/>
      <c r="JAS112" s="12"/>
      <c r="JAT112" s="12"/>
      <c r="JBK112" s="12"/>
      <c r="JBL112" s="12"/>
      <c r="JCC112" s="12"/>
      <c r="JCD112" s="12"/>
      <c r="JCU112" s="12"/>
      <c r="JCV112" s="12"/>
      <c r="JDM112" s="12"/>
      <c r="JDN112" s="12"/>
      <c r="JEE112" s="12"/>
      <c r="JEF112" s="12"/>
      <c r="JEW112" s="12"/>
      <c r="JEX112" s="12"/>
      <c r="JFO112" s="12"/>
      <c r="JFP112" s="12"/>
      <c r="JGG112" s="12"/>
      <c r="JGH112" s="12"/>
      <c r="JGY112" s="12"/>
      <c r="JGZ112" s="12"/>
      <c r="JHQ112" s="12"/>
      <c r="JHR112" s="12"/>
      <c r="JII112" s="12"/>
      <c r="JIJ112" s="12"/>
      <c r="JJA112" s="12"/>
      <c r="JJB112" s="12"/>
      <c r="JJS112" s="12"/>
      <c r="JJT112" s="12"/>
      <c r="JKK112" s="12"/>
      <c r="JKL112" s="12"/>
      <c r="JLC112" s="12"/>
      <c r="JLD112" s="12"/>
      <c r="JLU112" s="12"/>
      <c r="JLV112" s="12"/>
      <c r="JMM112" s="12"/>
      <c r="JMN112" s="12"/>
      <c r="JNE112" s="12"/>
      <c r="JNF112" s="12"/>
      <c r="JNW112" s="12"/>
      <c r="JNX112" s="12"/>
      <c r="JOO112" s="12"/>
      <c r="JOP112" s="12"/>
      <c r="JPG112" s="12"/>
      <c r="JPH112" s="12"/>
      <c r="JPY112" s="12"/>
      <c r="JPZ112" s="12"/>
      <c r="JQQ112" s="12"/>
      <c r="JQR112" s="12"/>
      <c r="JRI112" s="12"/>
      <c r="JRJ112" s="12"/>
      <c r="JSA112" s="12"/>
      <c r="JSB112" s="12"/>
      <c r="JSS112" s="12"/>
      <c r="JST112" s="12"/>
      <c r="JTK112" s="12"/>
      <c r="JTL112" s="12"/>
      <c r="JUC112" s="12"/>
      <c r="JUD112" s="12"/>
      <c r="JUU112" s="12"/>
      <c r="JUV112" s="12"/>
      <c r="JVM112" s="12"/>
      <c r="JVN112" s="12"/>
      <c r="JWE112" s="12"/>
      <c r="JWF112" s="12"/>
      <c r="JWW112" s="12"/>
      <c r="JWX112" s="12"/>
      <c r="JXO112" s="12"/>
      <c r="JXP112" s="12"/>
      <c r="JYG112" s="12"/>
      <c r="JYH112" s="12"/>
      <c r="JYY112" s="12"/>
      <c r="JYZ112" s="12"/>
      <c r="JZQ112" s="12"/>
      <c r="JZR112" s="12"/>
      <c r="KAI112" s="12"/>
      <c r="KAJ112" s="12"/>
      <c r="KBA112" s="12"/>
      <c r="KBB112" s="12"/>
      <c r="KBS112" s="12"/>
      <c r="KBT112" s="12"/>
      <c r="KCK112" s="12"/>
      <c r="KCL112" s="12"/>
      <c r="KDC112" s="12"/>
      <c r="KDD112" s="12"/>
      <c r="KDU112" s="12"/>
      <c r="KDV112" s="12"/>
      <c r="KEM112" s="12"/>
      <c r="KEN112" s="12"/>
      <c r="KFE112" s="12"/>
      <c r="KFF112" s="12"/>
      <c r="KFW112" s="12"/>
      <c r="KFX112" s="12"/>
      <c r="KGO112" s="12"/>
      <c r="KGP112" s="12"/>
      <c r="KHG112" s="12"/>
      <c r="KHH112" s="12"/>
      <c r="KHY112" s="12"/>
      <c r="KHZ112" s="12"/>
      <c r="KIQ112" s="12"/>
      <c r="KIR112" s="12"/>
      <c r="KJI112" s="12"/>
      <c r="KJJ112" s="12"/>
      <c r="KKA112" s="12"/>
      <c r="KKB112" s="12"/>
      <c r="KKS112" s="12"/>
      <c r="KKT112" s="12"/>
      <c r="KLK112" s="12"/>
      <c r="KLL112" s="12"/>
      <c r="KMC112" s="12"/>
      <c r="KMD112" s="12"/>
      <c r="KMU112" s="12"/>
      <c r="KMV112" s="12"/>
      <c r="KNM112" s="12"/>
      <c r="KNN112" s="12"/>
      <c r="KOE112" s="12"/>
      <c r="KOF112" s="12"/>
      <c r="KOW112" s="12"/>
      <c r="KOX112" s="12"/>
      <c r="KPO112" s="12"/>
      <c r="KPP112" s="12"/>
      <c r="KQG112" s="12"/>
      <c r="KQH112" s="12"/>
      <c r="KQY112" s="12"/>
      <c r="KQZ112" s="12"/>
      <c r="KRQ112" s="12"/>
      <c r="KRR112" s="12"/>
      <c r="KSI112" s="12"/>
      <c r="KSJ112" s="12"/>
      <c r="KTA112" s="12"/>
      <c r="KTB112" s="12"/>
      <c r="KTS112" s="12"/>
      <c r="KTT112" s="12"/>
      <c r="KUK112" s="12"/>
      <c r="KUL112" s="12"/>
      <c r="KVC112" s="12"/>
      <c r="KVD112" s="12"/>
      <c r="KVU112" s="12"/>
      <c r="KVV112" s="12"/>
      <c r="KWM112" s="12"/>
      <c r="KWN112" s="12"/>
      <c r="KXE112" s="12"/>
      <c r="KXF112" s="12"/>
      <c r="KXW112" s="12"/>
      <c r="KXX112" s="12"/>
      <c r="KYO112" s="12"/>
      <c r="KYP112" s="12"/>
      <c r="KZG112" s="12"/>
      <c r="KZH112" s="12"/>
      <c r="KZY112" s="12"/>
      <c r="KZZ112" s="12"/>
      <c r="LAQ112" s="12"/>
      <c r="LAR112" s="12"/>
      <c r="LBI112" s="12"/>
      <c r="LBJ112" s="12"/>
      <c r="LCA112" s="12"/>
      <c r="LCB112" s="12"/>
      <c r="LCS112" s="12"/>
      <c r="LCT112" s="12"/>
      <c r="LDK112" s="12"/>
      <c r="LDL112" s="12"/>
      <c r="LEC112" s="12"/>
      <c r="LED112" s="12"/>
      <c r="LEU112" s="12"/>
      <c r="LEV112" s="12"/>
      <c r="LFM112" s="12"/>
      <c r="LFN112" s="12"/>
      <c r="LGE112" s="12"/>
      <c r="LGF112" s="12"/>
      <c r="LGW112" s="12"/>
      <c r="LGX112" s="12"/>
      <c r="LHO112" s="12"/>
      <c r="LHP112" s="12"/>
      <c r="LIG112" s="12"/>
      <c r="LIH112" s="12"/>
      <c r="LIY112" s="12"/>
      <c r="LIZ112" s="12"/>
      <c r="LJQ112" s="12"/>
      <c r="LJR112" s="12"/>
      <c r="LKI112" s="12"/>
      <c r="LKJ112" s="12"/>
      <c r="LLA112" s="12"/>
      <c r="LLB112" s="12"/>
      <c r="LLS112" s="12"/>
      <c r="LLT112" s="12"/>
      <c r="LMK112" s="12"/>
      <c r="LML112" s="12"/>
      <c r="LNC112" s="12"/>
      <c r="LND112" s="12"/>
      <c r="LNU112" s="12"/>
      <c r="LNV112" s="12"/>
      <c r="LOM112" s="12"/>
      <c r="LON112" s="12"/>
      <c r="LPE112" s="12"/>
      <c r="LPF112" s="12"/>
      <c r="LPW112" s="12"/>
      <c r="LPX112" s="12"/>
      <c r="LQO112" s="12"/>
      <c r="LQP112" s="12"/>
      <c r="LRG112" s="12"/>
      <c r="LRH112" s="12"/>
      <c r="LRY112" s="12"/>
      <c r="LRZ112" s="12"/>
      <c r="LSQ112" s="12"/>
      <c r="LSR112" s="12"/>
      <c r="LTI112" s="12"/>
      <c r="LTJ112" s="12"/>
      <c r="LUA112" s="12"/>
      <c r="LUB112" s="12"/>
      <c r="LUS112" s="12"/>
      <c r="LUT112" s="12"/>
      <c r="LVK112" s="12"/>
      <c r="LVL112" s="12"/>
      <c r="LWC112" s="12"/>
      <c r="LWD112" s="12"/>
      <c r="LWU112" s="12"/>
      <c r="LWV112" s="12"/>
      <c r="LXM112" s="12"/>
      <c r="LXN112" s="12"/>
      <c r="LYE112" s="12"/>
      <c r="LYF112" s="12"/>
      <c r="LYW112" s="12"/>
      <c r="LYX112" s="12"/>
      <c r="LZO112" s="12"/>
      <c r="LZP112" s="12"/>
      <c r="MAG112" s="12"/>
      <c r="MAH112" s="12"/>
      <c r="MAY112" s="12"/>
      <c r="MAZ112" s="12"/>
      <c r="MBQ112" s="12"/>
      <c r="MBR112" s="12"/>
      <c r="MCI112" s="12"/>
      <c r="MCJ112" s="12"/>
      <c r="MDA112" s="12"/>
      <c r="MDB112" s="12"/>
      <c r="MDS112" s="12"/>
      <c r="MDT112" s="12"/>
      <c r="MEK112" s="12"/>
      <c r="MEL112" s="12"/>
      <c r="MFC112" s="12"/>
      <c r="MFD112" s="12"/>
      <c r="MFU112" s="12"/>
      <c r="MFV112" s="12"/>
      <c r="MGM112" s="12"/>
      <c r="MGN112" s="12"/>
      <c r="MHE112" s="12"/>
      <c r="MHF112" s="12"/>
      <c r="MHW112" s="12"/>
      <c r="MHX112" s="12"/>
      <c r="MIO112" s="12"/>
      <c r="MIP112" s="12"/>
      <c r="MJG112" s="12"/>
      <c r="MJH112" s="12"/>
      <c r="MJY112" s="12"/>
      <c r="MJZ112" s="12"/>
      <c r="MKQ112" s="12"/>
      <c r="MKR112" s="12"/>
      <c r="MLI112" s="12"/>
      <c r="MLJ112" s="12"/>
      <c r="MMA112" s="12"/>
      <c r="MMB112" s="12"/>
      <c r="MMS112" s="12"/>
      <c r="MMT112" s="12"/>
      <c r="MNK112" s="12"/>
      <c r="MNL112" s="12"/>
      <c r="MOC112" s="12"/>
      <c r="MOD112" s="12"/>
      <c r="MOU112" s="12"/>
      <c r="MOV112" s="12"/>
      <c r="MPM112" s="12"/>
      <c r="MPN112" s="12"/>
      <c r="MQE112" s="12"/>
      <c r="MQF112" s="12"/>
      <c r="MQW112" s="12"/>
      <c r="MQX112" s="12"/>
      <c r="MRO112" s="12"/>
      <c r="MRP112" s="12"/>
      <c r="MSG112" s="12"/>
      <c r="MSH112" s="12"/>
      <c r="MSY112" s="12"/>
      <c r="MSZ112" s="12"/>
      <c r="MTQ112" s="12"/>
      <c r="MTR112" s="12"/>
      <c r="MUI112" s="12"/>
      <c r="MUJ112" s="12"/>
      <c r="MVA112" s="12"/>
      <c r="MVB112" s="12"/>
      <c r="MVS112" s="12"/>
      <c r="MVT112" s="12"/>
      <c r="MWK112" s="12"/>
      <c r="MWL112" s="12"/>
      <c r="MXC112" s="12"/>
      <c r="MXD112" s="12"/>
      <c r="MXU112" s="12"/>
      <c r="MXV112" s="12"/>
      <c r="MYM112" s="12"/>
      <c r="MYN112" s="12"/>
      <c r="MZE112" s="12"/>
      <c r="MZF112" s="12"/>
      <c r="MZW112" s="12"/>
      <c r="MZX112" s="12"/>
      <c r="NAO112" s="12"/>
      <c r="NAP112" s="12"/>
      <c r="NBG112" s="12"/>
      <c r="NBH112" s="12"/>
      <c r="NBY112" s="12"/>
      <c r="NBZ112" s="12"/>
      <c r="NCQ112" s="12"/>
      <c r="NCR112" s="12"/>
      <c r="NDI112" s="12"/>
      <c r="NDJ112" s="12"/>
      <c r="NEA112" s="12"/>
      <c r="NEB112" s="12"/>
      <c r="NES112" s="12"/>
      <c r="NET112" s="12"/>
      <c r="NFK112" s="12"/>
      <c r="NFL112" s="12"/>
      <c r="NGC112" s="12"/>
      <c r="NGD112" s="12"/>
      <c r="NGU112" s="12"/>
      <c r="NGV112" s="12"/>
      <c r="NHM112" s="12"/>
      <c r="NHN112" s="12"/>
      <c r="NIE112" s="12"/>
      <c r="NIF112" s="12"/>
      <c r="NIW112" s="12"/>
      <c r="NIX112" s="12"/>
      <c r="NJO112" s="12"/>
      <c r="NJP112" s="12"/>
      <c r="NKG112" s="12"/>
      <c r="NKH112" s="12"/>
      <c r="NKY112" s="12"/>
      <c r="NKZ112" s="12"/>
      <c r="NLQ112" s="12"/>
      <c r="NLR112" s="12"/>
      <c r="NMI112" s="12"/>
      <c r="NMJ112" s="12"/>
      <c r="NNA112" s="12"/>
      <c r="NNB112" s="12"/>
      <c r="NNS112" s="12"/>
      <c r="NNT112" s="12"/>
      <c r="NOK112" s="12"/>
      <c r="NOL112" s="12"/>
      <c r="NPC112" s="12"/>
      <c r="NPD112" s="12"/>
      <c r="NPU112" s="12"/>
      <c r="NPV112" s="12"/>
      <c r="NQM112" s="12"/>
      <c r="NQN112" s="12"/>
      <c r="NRE112" s="12"/>
      <c r="NRF112" s="12"/>
      <c r="NRW112" s="12"/>
      <c r="NRX112" s="12"/>
      <c r="NSO112" s="12"/>
      <c r="NSP112" s="12"/>
      <c r="NTG112" s="12"/>
      <c r="NTH112" s="12"/>
      <c r="NTY112" s="12"/>
      <c r="NTZ112" s="12"/>
      <c r="NUQ112" s="12"/>
      <c r="NUR112" s="12"/>
      <c r="NVI112" s="12"/>
      <c r="NVJ112" s="12"/>
      <c r="NWA112" s="12"/>
      <c r="NWB112" s="12"/>
      <c r="NWS112" s="12"/>
      <c r="NWT112" s="12"/>
      <c r="NXK112" s="12"/>
      <c r="NXL112" s="12"/>
      <c r="NYC112" s="12"/>
      <c r="NYD112" s="12"/>
      <c r="NYU112" s="12"/>
      <c r="NYV112" s="12"/>
      <c r="NZM112" s="12"/>
      <c r="NZN112" s="12"/>
      <c r="OAE112" s="12"/>
      <c r="OAF112" s="12"/>
      <c r="OAW112" s="12"/>
      <c r="OAX112" s="12"/>
      <c r="OBO112" s="12"/>
      <c r="OBP112" s="12"/>
      <c r="OCG112" s="12"/>
      <c r="OCH112" s="12"/>
      <c r="OCY112" s="12"/>
      <c r="OCZ112" s="12"/>
      <c r="ODQ112" s="12"/>
      <c r="ODR112" s="12"/>
      <c r="OEI112" s="12"/>
      <c r="OEJ112" s="12"/>
      <c r="OFA112" s="12"/>
      <c r="OFB112" s="12"/>
      <c r="OFS112" s="12"/>
      <c r="OFT112" s="12"/>
      <c r="OGK112" s="12"/>
      <c r="OGL112" s="12"/>
      <c r="OHC112" s="12"/>
      <c r="OHD112" s="12"/>
      <c r="OHU112" s="12"/>
      <c r="OHV112" s="12"/>
      <c r="OIM112" s="12"/>
      <c r="OIN112" s="12"/>
      <c r="OJE112" s="12"/>
      <c r="OJF112" s="12"/>
      <c r="OJW112" s="12"/>
      <c r="OJX112" s="12"/>
      <c r="OKO112" s="12"/>
      <c r="OKP112" s="12"/>
      <c r="OLG112" s="12"/>
      <c r="OLH112" s="12"/>
      <c r="OLY112" s="12"/>
      <c r="OLZ112" s="12"/>
      <c r="OMQ112" s="12"/>
      <c r="OMR112" s="12"/>
      <c r="ONI112" s="12"/>
      <c r="ONJ112" s="12"/>
      <c r="OOA112" s="12"/>
      <c r="OOB112" s="12"/>
      <c r="OOS112" s="12"/>
      <c r="OOT112" s="12"/>
      <c r="OPK112" s="12"/>
      <c r="OPL112" s="12"/>
      <c r="OQC112" s="12"/>
      <c r="OQD112" s="12"/>
      <c r="OQU112" s="12"/>
      <c r="OQV112" s="12"/>
      <c r="ORM112" s="12"/>
      <c r="ORN112" s="12"/>
      <c r="OSE112" s="12"/>
      <c r="OSF112" s="12"/>
      <c r="OSW112" s="12"/>
      <c r="OSX112" s="12"/>
      <c r="OTO112" s="12"/>
      <c r="OTP112" s="12"/>
      <c r="OUG112" s="12"/>
      <c r="OUH112" s="12"/>
      <c r="OUY112" s="12"/>
      <c r="OUZ112" s="12"/>
      <c r="OVQ112" s="12"/>
      <c r="OVR112" s="12"/>
      <c r="OWI112" s="12"/>
      <c r="OWJ112" s="12"/>
      <c r="OXA112" s="12"/>
      <c r="OXB112" s="12"/>
      <c r="OXS112" s="12"/>
      <c r="OXT112" s="12"/>
      <c r="OYK112" s="12"/>
      <c r="OYL112" s="12"/>
      <c r="OZC112" s="12"/>
      <c r="OZD112" s="12"/>
      <c r="OZU112" s="12"/>
      <c r="OZV112" s="12"/>
      <c r="PAM112" s="12"/>
      <c r="PAN112" s="12"/>
      <c r="PBE112" s="12"/>
      <c r="PBF112" s="12"/>
      <c r="PBW112" s="12"/>
      <c r="PBX112" s="12"/>
      <c r="PCO112" s="12"/>
      <c r="PCP112" s="12"/>
      <c r="PDG112" s="12"/>
      <c r="PDH112" s="12"/>
      <c r="PDY112" s="12"/>
      <c r="PDZ112" s="12"/>
      <c r="PEQ112" s="12"/>
      <c r="PER112" s="12"/>
      <c r="PFI112" s="12"/>
      <c r="PFJ112" s="12"/>
      <c r="PGA112" s="12"/>
      <c r="PGB112" s="12"/>
      <c r="PGS112" s="12"/>
      <c r="PGT112" s="12"/>
      <c r="PHK112" s="12"/>
      <c r="PHL112" s="12"/>
      <c r="PIC112" s="12"/>
      <c r="PID112" s="12"/>
      <c r="PIU112" s="12"/>
      <c r="PIV112" s="12"/>
      <c r="PJM112" s="12"/>
      <c r="PJN112" s="12"/>
      <c r="PKE112" s="12"/>
      <c r="PKF112" s="12"/>
      <c r="PKW112" s="12"/>
      <c r="PKX112" s="12"/>
      <c r="PLO112" s="12"/>
      <c r="PLP112" s="12"/>
      <c r="PMG112" s="12"/>
      <c r="PMH112" s="12"/>
      <c r="PMY112" s="12"/>
      <c r="PMZ112" s="12"/>
      <c r="PNQ112" s="12"/>
      <c r="PNR112" s="12"/>
      <c r="POI112" s="12"/>
      <c r="POJ112" s="12"/>
      <c r="PPA112" s="12"/>
      <c r="PPB112" s="12"/>
      <c r="PPS112" s="12"/>
      <c r="PPT112" s="12"/>
      <c r="PQK112" s="12"/>
      <c r="PQL112" s="12"/>
      <c r="PRC112" s="12"/>
      <c r="PRD112" s="12"/>
      <c r="PRU112" s="12"/>
      <c r="PRV112" s="12"/>
      <c r="PSM112" s="12"/>
      <c r="PSN112" s="12"/>
      <c r="PTE112" s="12"/>
      <c r="PTF112" s="12"/>
      <c r="PTW112" s="12"/>
      <c r="PTX112" s="12"/>
      <c r="PUO112" s="12"/>
      <c r="PUP112" s="12"/>
      <c r="PVG112" s="12"/>
      <c r="PVH112" s="12"/>
      <c r="PVY112" s="12"/>
      <c r="PVZ112" s="12"/>
      <c r="PWQ112" s="12"/>
      <c r="PWR112" s="12"/>
      <c r="PXI112" s="12"/>
      <c r="PXJ112" s="12"/>
      <c r="PYA112" s="12"/>
      <c r="PYB112" s="12"/>
      <c r="PYS112" s="12"/>
      <c r="PYT112" s="12"/>
      <c r="PZK112" s="12"/>
      <c r="PZL112" s="12"/>
      <c r="QAC112" s="12"/>
      <c r="QAD112" s="12"/>
      <c r="QAU112" s="12"/>
      <c r="QAV112" s="12"/>
      <c r="QBM112" s="12"/>
      <c r="QBN112" s="12"/>
      <c r="QCE112" s="12"/>
      <c r="QCF112" s="12"/>
      <c r="QCW112" s="12"/>
      <c r="QCX112" s="12"/>
      <c r="QDO112" s="12"/>
      <c r="QDP112" s="12"/>
      <c r="QEG112" s="12"/>
      <c r="QEH112" s="12"/>
      <c r="QEY112" s="12"/>
      <c r="QEZ112" s="12"/>
      <c r="QFQ112" s="12"/>
      <c r="QFR112" s="12"/>
      <c r="QGI112" s="12"/>
      <c r="QGJ112" s="12"/>
      <c r="QHA112" s="12"/>
      <c r="QHB112" s="12"/>
      <c r="QHS112" s="12"/>
      <c r="QHT112" s="12"/>
      <c r="QIK112" s="12"/>
      <c r="QIL112" s="12"/>
      <c r="QJC112" s="12"/>
      <c r="QJD112" s="12"/>
      <c r="QJU112" s="12"/>
      <c r="QJV112" s="12"/>
      <c r="QKM112" s="12"/>
      <c r="QKN112" s="12"/>
      <c r="QLE112" s="12"/>
      <c r="QLF112" s="12"/>
      <c r="QLW112" s="12"/>
      <c r="QLX112" s="12"/>
      <c r="QMO112" s="12"/>
      <c r="QMP112" s="12"/>
      <c r="QNG112" s="12"/>
      <c r="QNH112" s="12"/>
      <c r="QNY112" s="12"/>
      <c r="QNZ112" s="12"/>
      <c r="QOQ112" s="12"/>
      <c r="QOR112" s="12"/>
      <c r="QPI112" s="12"/>
      <c r="QPJ112" s="12"/>
      <c r="QQA112" s="12"/>
      <c r="QQB112" s="12"/>
      <c r="QQS112" s="12"/>
      <c r="QQT112" s="12"/>
      <c r="QRK112" s="12"/>
      <c r="QRL112" s="12"/>
      <c r="QSC112" s="12"/>
      <c r="QSD112" s="12"/>
      <c r="QSU112" s="12"/>
      <c r="QSV112" s="12"/>
      <c r="QTM112" s="12"/>
      <c r="QTN112" s="12"/>
      <c r="QUE112" s="12"/>
      <c r="QUF112" s="12"/>
      <c r="QUW112" s="12"/>
      <c r="QUX112" s="12"/>
      <c r="QVO112" s="12"/>
      <c r="QVP112" s="12"/>
      <c r="QWG112" s="12"/>
      <c r="QWH112" s="12"/>
      <c r="QWY112" s="12"/>
      <c r="QWZ112" s="12"/>
      <c r="QXQ112" s="12"/>
      <c r="QXR112" s="12"/>
      <c r="QYI112" s="12"/>
      <c r="QYJ112" s="12"/>
      <c r="QZA112" s="12"/>
      <c r="QZB112" s="12"/>
      <c r="QZS112" s="12"/>
      <c r="QZT112" s="12"/>
      <c r="RAK112" s="12"/>
      <c r="RAL112" s="12"/>
      <c r="RBC112" s="12"/>
      <c r="RBD112" s="12"/>
      <c r="RBU112" s="12"/>
      <c r="RBV112" s="12"/>
      <c r="RCM112" s="12"/>
      <c r="RCN112" s="12"/>
      <c r="RDE112" s="12"/>
      <c r="RDF112" s="12"/>
      <c r="RDW112" s="12"/>
      <c r="RDX112" s="12"/>
      <c r="REO112" s="12"/>
      <c r="REP112" s="12"/>
      <c r="RFG112" s="12"/>
      <c r="RFH112" s="12"/>
      <c r="RFY112" s="12"/>
      <c r="RFZ112" s="12"/>
      <c r="RGQ112" s="12"/>
      <c r="RGR112" s="12"/>
      <c r="RHI112" s="12"/>
      <c r="RHJ112" s="12"/>
      <c r="RIA112" s="12"/>
      <c r="RIB112" s="12"/>
      <c r="RIS112" s="12"/>
      <c r="RIT112" s="12"/>
      <c r="RJK112" s="12"/>
      <c r="RJL112" s="12"/>
      <c r="RKC112" s="12"/>
      <c r="RKD112" s="12"/>
      <c r="RKU112" s="12"/>
      <c r="RKV112" s="12"/>
      <c r="RLM112" s="12"/>
      <c r="RLN112" s="12"/>
      <c r="RME112" s="12"/>
      <c r="RMF112" s="12"/>
      <c r="RMW112" s="12"/>
      <c r="RMX112" s="12"/>
      <c r="RNO112" s="12"/>
      <c r="RNP112" s="12"/>
      <c r="ROG112" s="12"/>
      <c r="ROH112" s="12"/>
      <c r="ROY112" s="12"/>
      <c r="ROZ112" s="12"/>
      <c r="RPQ112" s="12"/>
      <c r="RPR112" s="12"/>
      <c r="RQI112" s="12"/>
      <c r="RQJ112" s="12"/>
      <c r="RRA112" s="12"/>
      <c r="RRB112" s="12"/>
      <c r="RRS112" s="12"/>
      <c r="RRT112" s="12"/>
      <c r="RSK112" s="12"/>
      <c r="RSL112" s="12"/>
      <c r="RTC112" s="12"/>
      <c r="RTD112" s="12"/>
      <c r="RTU112" s="12"/>
      <c r="RTV112" s="12"/>
      <c r="RUM112" s="12"/>
      <c r="RUN112" s="12"/>
      <c r="RVE112" s="12"/>
      <c r="RVF112" s="12"/>
      <c r="RVW112" s="12"/>
      <c r="RVX112" s="12"/>
      <c r="RWO112" s="12"/>
      <c r="RWP112" s="12"/>
      <c r="RXG112" s="12"/>
      <c r="RXH112" s="12"/>
      <c r="RXY112" s="12"/>
      <c r="RXZ112" s="12"/>
      <c r="RYQ112" s="12"/>
      <c r="RYR112" s="12"/>
      <c r="RZI112" s="12"/>
      <c r="RZJ112" s="12"/>
      <c r="SAA112" s="12"/>
      <c r="SAB112" s="12"/>
      <c r="SAS112" s="12"/>
      <c r="SAT112" s="12"/>
      <c r="SBK112" s="12"/>
      <c r="SBL112" s="12"/>
      <c r="SCC112" s="12"/>
      <c r="SCD112" s="12"/>
      <c r="SCU112" s="12"/>
      <c r="SCV112" s="12"/>
      <c r="SDM112" s="12"/>
      <c r="SDN112" s="12"/>
      <c r="SEE112" s="12"/>
      <c r="SEF112" s="12"/>
      <c r="SEW112" s="12"/>
      <c r="SEX112" s="12"/>
      <c r="SFO112" s="12"/>
      <c r="SFP112" s="12"/>
      <c r="SGG112" s="12"/>
      <c r="SGH112" s="12"/>
      <c r="SGY112" s="12"/>
      <c r="SGZ112" s="12"/>
      <c r="SHQ112" s="12"/>
      <c r="SHR112" s="12"/>
      <c r="SII112" s="12"/>
      <c r="SIJ112" s="12"/>
      <c r="SJA112" s="12"/>
      <c r="SJB112" s="12"/>
      <c r="SJS112" s="12"/>
      <c r="SJT112" s="12"/>
      <c r="SKK112" s="12"/>
      <c r="SKL112" s="12"/>
      <c r="SLC112" s="12"/>
      <c r="SLD112" s="12"/>
      <c r="SLU112" s="12"/>
      <c r="SLV112" s="12"/>
      <c r="SMM112" s="12"/>
      <c r="SMN112" s="12"/>
      <c r="SNE112" s="12"/>
      <c r="SNF112" s="12"/>
      <c r="SNW112" s="12"/>
      <c r="SNX112" s="12"/>
      <c r="SOO112" s="12"/>
      <c r="SOP112" s="12"/>
      <c r="SPG112" s="12"/>
      <c r="SPH112" s="12"/>
      <c r="SPY112" s="12"/>
      <c r="SPZ112" s="12"/>
      <c r="SQQ112" s="12"/>
      <c r="SQR112" s="12"/>
      <c r="SRI112" s="12"/>
      <c r="SRJ112" s="12"/>
      <c r="SSA112" s="12"/>
      <c r="SSB112" s="12"/>
      <c r="SSS112" s="12"/>
      <c r="SST112" s="12"/>
      <c r="STK112" s="12"/>
      <c r="STL112" s="12"/>
      <c r="SUC112" s="12"/>
      <c r="SUD112" s="12"/>
      <c r="SUU112" s="12"/>
      <c r="SUV112" s="12"/>
      <c r="SVM112" s="12"/>
      <c r="SVN112" s="12"/>
      <c r="SWE112" s="12"/>
      <c r="SWF112" s="12"/>
      <c r="SWW112" s="12"/>
      <c r="SWX112" s="12"/>
      <c r="SXO112" s="12"/>
      <c r="SXP112" s="12"/>
      <c r="SYG112" s="12"/>
      <c r="SYH112" s="12"/>
      <c r="SYY112" s="12"/>
      <c r="SYZ112" s="12"/>
      <c r="SZQ112" s="12"/>
      <c r="SZR112" s="12"/>
      <c r="TAI112" s="12"/>
      <c r="TAJ112" s="12"/>
      <c r="TBA112" s="12"/>
      <c r="TBB112" s="12"/>
      <c r="TBS112" s="12"/>
      <c r="TBT112" s="12"/>
      <c r="TCK112" s="12"/>
      <c r="TCL112" s="12"/>
      <c r="TDC112" s="12"/>
      <c r="TDD112" s="12"/>
      <c r="TDU112" s="12"/>
      <c r="TDV112" s="12"/>
      <c r="TEM112" s="12"/>
      <c r="TEN112" s="12"/>
      <c r="TFE112" s="12"/>
      <c r="TFF112" s="12"/>
      <c r="TFW112" s="12"/>
      <c r="TFX112" s="12"/>
      <c r="TGO112" s="12"/>
      <c r="TGP112" s="12"/>
      <c r="THG112" s="12"/>
      <c r="THH112" s="12"/>
      <c r="THY112" s="12"/>
      <c r="THZ112" s="12"/>
      <c r="TIQ112" s="12"/>
      <c r="TIR112" s="12"/>
      <c r="TJI112" s="12"/>
      <c r="TJJ112" s="12"/>
      <c r="TKA112" s="12"/>
      <c r="TKB112" s="12"/>
      <c r="TKS112" s="12"/>
      <c r="TKT112" s="12"/>
      <c r="TLK112" s="12"/>
      <c r="TLL112" s="12"/>
      <c r="TMC112" s="12"/>
      <c r="TMD112" s="12"/>
      <c r="TMU112" s="12"/>
      <c r="TMV112" s="12"/>
      <c r="TNM112" s="12"/>
      <c r="TNN112" s="12"/>
      <c r="TOE112" s="12"/>
      <c r="TOF112" s="12"/>
      <c r="TOW112" s="12"/>
      <c r="TOX112" s="12"/>
      <c r="TPO112" s="12"/>
      <c r="TPP112" s="12"/>
      <c r="TQG112" s="12"/>
      <c r="TQH112" s="12"/>
      <c r="TQY112" s="12"/>
      <c r="TQZ112" s="12"/>
      <c r="TRQ112" s="12"/>
      <c r="TRR112" s="12"/>
      <c r="TSI112" s="12"/>
      <c r="TSJ112" s="12"/>
      <c r="TTA112" s="12"/>
      <c r="TTB112" s="12"/>
      <c r="TTS112" s="12"/>
      <c r="TTT112" s="12"/>
      <c r="TUK112" s="12"/>
      <c r="TUL112" s="12"/>
      <c r="TVC112" s="12"/>
      <c r="TVD112" s="12"/>
      <c r="TVU112" s="12"/>
      <c r="TVV112" s="12"/>
      <c r="TWM112" s="12"/>
      <c r="TWN112" s="12"/>
      <c r="TXE112" s="12"/>
      <c r="TXF112" s="12"/>
      <c r="TXW112" s="12"/>
      <c r="TXX112" s="12"/>
      <c r="TYO112" s="12"/>
      <c r="TYP112" s="12"/>
      <c r="TZG112" s="12"/>
      <c r="TZH112" s="12"/>
      <c r="TZY112" s="12"/>
      <c r="TZZ112" s="12"/>
      <c r="UAQ112" s="12"/>
      <c r="UAR112" s="12"/>
      <c r="UBI112" s="12"/>
      <c r="UBJ112" s="12"/>
      <c r="UCA112" s="12"/>
      <c r="UCB112" s="12"/>
      <c r="UCS112" s="12"/>
      <c r="UCT112" s="12"/>
      <c r="UDK112" s="12"/>
      <c r="UDL112" s="12"/>
      <c r="UEC112" s="12"/>
      <c r="UED112" s="12"/>
      <c r="UEU112" s="12"/>
      <c r="UEV112" s="12"/>
      <c r="UFM112" s="12"/>
      <c r="UFN112" s="12"/>
      <c r="UGE112" s="12"/>
      <c r="UGF112" s="12"/>
      <c r="UGW112" s="12"/>
      <c r="UGX112" s="12"/>
      <c r="UHO112" s="12"/>
      <c r="UHP112" s="12"/>
      <c r="UIG112" s="12"/>
      <c r="UIH112" s="12"/>
      <c r="UIY112" s="12"/>
      <c r="UIZ112" s="12"/>
      <c r="UJQ112" s="12"/>
      <c r="UJR112" s="12"/>
      <c r="UKI112" s="12"/>
      <c r="UKJ112" s="12"/>
      <c r="ULA112" s="12"/>
      <c r="ULB112" s="12"/>
      <c r="ULS112" s="12"/>
      <c r="ULT112" s="12"/>
      <c r="UMK112" s="12"/>
      <c r="UML112" s="12"/>
      <c r="UNC112" s="12"/>
      <c r="UND112" s="12"/>
      <c r="UNU112" s="12"/>
      <c r="UNV112" s="12"/>
      <c r="UOM112" s="12"/>
      <c r="UON112" s="12"/>
      <c r="UPE112" s="12"/>
      <c r="UPF112" s="12"/>
      <c r="UPW112" s="12"/>
      <c r="UPX112" s="12"/>
      <c r="UQO112" s="12"/>
      <c r="UQP112" s="12"/>
      <c r="URG112" s="12"/>
      <c r="URH112" s="12"/>
      <c r="URY112" s="12"/>
      <c r="URZ112" s="12"/>
      <c r="USQ112" s="12"/>
      <c r="USR112" s="12"/>
      <c r="UTI112" s="12"/>
      <c r="UTJ112" s="12"/>
      <c r="UUA112" s="12"/>
      <c r="UUB112" s="12"/>
      <c r="UUS112" s="12"/>
      <c r="UUT112" s="12"/>
      <c r="UVK112" s="12"/>
      <c r="UVL112" s="12"/>
      <c r="UWC112" s="12"/>
      <c r="UWD112" s="12"/>
      <c r="UWU112" s="12"/>
      <c r="UWV112" s="12"/>
      <c r="UXM112" s="12"/>
      <c r="UXN112" s="12"/>
      <c r="UYE112" s="12"/>
      <c r="UYF112" s="12"/>
      <c r="UYW112" s="12"/>
      <c r="UYX112" s="12"/>
      <c r="UZO112" s="12"/>
      <c r="UZP112" s="12"/>
      <c r="VAG112" s="12"/>
      <c r="VAH112" s="12"/>
      <c r="VAY112" s="12"/>
      <c r="VAZ112" s="12"/>
      <c r="VBQ112" s="12"/>
      <c r="VBR112" s="12"/>
      <c r="VCI112" s="12"/>
      <c r="VCJ112" s="12"/>
      <c r="VDA112" s="12"/>
      <c r="VDB112" s="12"/>
      <c r="VDS112" s="12"/>
      <c r="VDT112" s="12"/>
      <c r="VEK112" s="12"/>
      <c r="VEL112" s="12"/>
      <c r="VFC112" s="12"/>
      <c r="VFD112" s="12"/>
      <c r="VFU112" s="12"/>
      <c r="VFV112" s="12"/>
      <c r="VGM112" s="12"/>
      <c r="VGN112" s="12"/>
      <c r="VHE112" s="12"/>
      <c r="VHF112" s="12"/>
      <c r="VHW112" s="12"/>
      <c r="VHX112" s="12"/>
      <c r="VIO112" s="12"/>
      <c r="VIP112" s="12"/>
      <c r="VJG112" s="12"/>
      <c r="VJH112" s="12"/>
      <c r="VJY112" s="12"/>
      <c r="VJZ112" s="12"/>
      <c r="VKQ112" s="12"/>
      <c r="VKR112" s="12"/>
      <c r="VLI112" s="12"/>
      <c r="VLJ112" s="12"/>
      <c r="VMA112" s="12"/>
      <c r="VMB112" s="12"/>
      <c r="VMS112" s="12"/>
      <c r="VMT112" s="12"/>
      <c r="VNK112" s="12"/>
      <c r="VNL112" s="12"/>
      <c r="VOC112" s="12"/>
      <c r="VOD112" s="12"/>
      <c r="VOU112" s="12"/>
      <c r="VOV112" s="12"/>
      <c r="VPM112" s="12"/>
      <c r="VPN112" s="12"/>
      <c r="VQE112" s="12"/>
      <c r="VQF112" s="12"/>
      <c r="VQW112" s="12"/>
      <c r="VQX112" s="12"/>
      <c r="VRO112" s="12"/>
      <c r="VRP112" s="12"/>
      <c r="VSG112" s="12"/>
      <c r="VSH112" s="12"/>
      <c r="VSY112" s="12"/>
      <c r="VSZ112" s="12"/>
      <c r="VTQ112" s="12"/>
      <c r="VTR112" s="12"/>
      <c r="VUI112" s="12"/>
      <c r="VUJ112" s="12"/>
      <c r="VVA112" s="12"/>
      <c r="VVB112" s="12"/>
      <c r="VVS112" s="12"/>
      <c r="VVT112" s="12"/>
      <c r="VWK112" s="12"/>
      <c r="VWL112" s="12"/>
      <c r="VXC112" s="12"/>
      <c r="VXD112" s="12"/>
      <c r="VXU112" s="12"/>
      <c r="VXV112" s="12"/>
      <c r="VYM112" s="12"/>
      <c r="VYN112" s="12"/>
      <c r="VZE112" s="12"/>
      <c r="VZF112" s="12"/>
      <c r="VZW112" s="12"/>
      <c r="VZX112" s="12"/>
      <c r="WAO112" s="12"/>
      <c r="WAP112" s="12"/>
      <c r="WBG112" s="12"/>
      <c r="WBH112" s="12"/>
      <c r="WBY112" s="12"/>
      <c r="WBZ112" s="12"/>
      <c r="WCQ112" s="12"/>
      <c r="WCR112" s="12"/>
      <c r="WDI112" s="12"/>
      <c r="WDJ112" s="12"/>
      <c r="WEA112" s="12"/>
      <c r="WEB112" s="12"/>
      <c r="WES112" s="12"/>
      <c r="WET112" s="12"/>
      <c r="WFK112" s="12"/>
      <c r="WFL112" s="12"/>
      <c r="WGC112" s="12"/>
      <c r="WGD112" s="12"/>
      <c r="WGU112" s="12"/>
      <c r="WGV112" s="12"/>
      <c r="WHM112" s="12"/>
      <c r="WHN112" s="12"/>
      <c r="WIE112" s="12"/>
      <c r="WIF112" s="12"/>
      <c r="WIW112" s="12"/>
      <c r="WIX112" s="12"/>
      <c r="WJO112" s="12"/>
      <c r="WJP112" s="12"/>
      <c r="WKG112" s="12"/>
      <c r="WKH112" s="12"/>
      <c r="WKY112" s="12"/>
      <c r="WKZ112" s="12"/>
      <c r="WLQ112" s="12"/>
      <c r="WLR112" s="12"/>
      <c r="WMI112" s="12"/>
      <c r="WMJ112" s="12"/>
      <c r="WNA112" s="12"/>
      <c r="WNB112" s="12"/>
      <c r="WNS112" s="12"/>
      <c r="WNT112" s="12"/>
      <c r="WOK112" s="12"/>
      <c r="WOL112" s="12"/>
      <c r="WPC112" s="12"/>
      <c r="WPD112" s="12"/>
      <c r="WPU112" s="12"/>
      <c r="WPV112" s="12"/>
      <c r="WQM112" s="12"/>
      <c r="WQN112" s="12"/>
      <c r="WRE112" s="12"/>
      <c r="WRF112" s="12"/>
      <c r="WRW112" s="12"/>
      <c r="WRX112" s="12"/>
      <c r="WSO112" s="12"/>
      <c r="WSP112" s="12"/>
      <c r="WTG112" s="12"/>
      <c r="WTH112" s="12"/>
      <c r="WTY112" s="12"/>
      <c r="WTZ112" s="12"/>
      <c r="WUQ112" s="12"/>
      <c r="WUR112" s="12"/>
      <c r="WVI112" s="12"/>
      <c r="WVJ112" s="12"/>
      <c r="WWA112" s="12"/>
      <c r="WWB112" s="12"/>
      <c r="WWS112" s="12"/>
      <c r="WWT112" s="12"/>
      <c r="WXK112" s="12"/>
      <c r="WXL112" s="12"/>
      <c r="WYC112" s="12"/>
      <c r="WYD112" s="12"/>
      <c r="WYU112" s="12"/>
      <c r="WYV112" s="12"/>
      <c r="WZM112" s="12"/>
      <c r="WZN112" s="12"/>
      <c r="XAE112" s="12"/>
      <c r="XAF112" s="12"/>
      <c r="XAW112" s="12"/>
      <c r="XAX112" s="12"/>
      <c r="XBO112" s="12"/>
      <c r="XBP112" s="12"/>
      <c r="XCG112" s="12"/>
      <c r="XCH112" s="12"/>
      <c r="XCY112" s="12"/>
      <c r="XCZ112" s="12"/>
      <c r="XDQ112" s="12"/>
      <c r="XDR112" s="12"/>
      <c r="XEI112" s="12"/>
      <c r="XEJ112" s="12"/>
      <c r="XFA112" s="12"/>
      <c r="XFB112" s="12"/>
    </row>
    <row r="113" spans="1:1010 1027:2036 2053:3062 3079:4088 4105:5114 5131:6140 6157:7166 7183:8192 8209:9200 9217:10226 10243:11252 11269:12278 12295:13304 13321:14330 14347:15356 15373:16382" s="11" customFormat="1" x14ac:dyDescent="0.35">
      <c r="A113" s="183" t="str">
        <f>'Balance Sheet - Standardized'!A115</f>
        <v xml:space="preserve">  + Other Equity</v>
      </c>
      <c r="B113" s="75" t="str">
        <f>'Balance Sheet - Standardized'!B115</f>
        <v>OTHER_INS_RES_TO_SHRHLDR_EQY</v>
      </c>
      <c r="C113" s="76">
        <f>IF('Balance Sheet - Standardized'!C115="",0,'Balance Sheet - Standardized'!C115)/'Balance Sheet - Standardized'!C$118</f>
        <v>-5.6334892891356972E-2</v>
      </c>
      <c r="D113" s="76">
        <f>IF('Balance Sheet - Standardized'!D115="",0,'Balance Sheet - Standardized'!D115)/'Balance Sheet - Standardized'!D$118</f>
        <v>-4.4835311325470736E-2</v>
      </c>
      <c r="E113" s="76">
        <f>IF('Balance Sheet - Standardized'!E115="",0,'Balance Sheet - Standardized'!E115)/'Balance Sheet - Standardized'!E$118</f>
        <v>-6.5331243272919032E-2</v>
      </c>
      <c r="F113" s="76">
        <f>IF('Balance Sheet - Standardized'!F115="",0,'Balance Sheet - Standardized'!F115)/'Balance Sheet - Standardized'!F$118</f>
        <v>-7.3998262548982327E-2</v>
      </c>
      <c r="G113" s="76">
        <f>IF('Balance Sheet - Standardized'!G115="",0,'Balance Sheet - Standardized'!G115)/'Balance Sheet - Standardized'!G$118</f>
        <v>-6.8913767344012763E-2</v>
      </c>
      <c r="H113" s="76">
        <f>IF('Balance Sheet - Standardized'!H115="",0,'Balance Sheet - Standardized'!H115)/'Balance Sheet - Standardized'!H$118</f>
        <v>-5.2986452747122874E-2</v>
      </c>
      <c r="I113" s="76">
        <f>IF('Balance Sheet - Standardized'!I115="",0,'Balance Sheet - Standardized'!I115)/'Balance Sheet - Standardized'!I$118</f>
        <v>-5.4588949506556364E-2</v>
      </c>
      <c r="J113" s="76">
        <f>IF('Balance Sheet - Standardized'!J115="",0,'Balance Sheet - Standardized'!J115)/'Balance Sheet - Standardized'!J$118</f>
        <v>-4.6109851618892535E-2</v>
      </c>
      <c r="K113" s="76">
        <f>IF('Balance Sheet - Standardized'!K115="",0,'Balance Sheet - Standardized'!K115)/'Balance Sheet - Standardized'!K$118</f>
        <v>-6.2386019343180298E-2</v>
      </c>
      <c r="L113" s="76">
        <f>IF('Balance Sheet - Standardized'!L115="",0,'Balance Sheet - Standardized'!L115)/'Balance Sheet - Standardized'!L$118</f>
        <v>-6.2929529886459598E-2</v>
      </c>
      <c r="M113" s="106"/>
      <c r="N113" s="106"/>
      <c r="O113" s="106"/>
      <c r="P113" s="106"/>
      <c r="Q113" s="106"/>
      <c r="R113" s="106"/>
      <c r="S113" s="78"/>
      <c r="T113" s="78"/>
      <c r="U113" s="106"/>
      <c r="V113" s="106"/>
      <c r="W113" s="106"/>
      <c r="X113" s="106"/>
      <c r="Y113" s="106"/>
      <c r="Z113" s="106"/>
      <c r="AA113" s="106"/>
      <c r="AB113" s="106"/>
      <c r="AC113" s="106"/>
      <c r="AD113" s="106"/>
      <c r="AE113" s="106"/>
      <c r="AF113" s="106"/>
      <c r="AG113" s="106"/>
      <c r="AH113" s="106"/>
      <c r="AI113" s="106"/>
      <c r="AJ113" s="106"/>
      <c r="AK113" s="78"/>
      <c r="AL113" s="78"/>
      <c r="AM113" s="106"/>
      <c r="AN113" s="106"/>
      <c r="AO113" s="106"/>
      <c r="AP113" s="106"/>
      <c r="AQ113" s="106"/>
      <c r="AR113" s="106"/>
      <c r="AS113" s="106"/>
      <c r="AT113" s="106"/>
      <c r="AU113" s="106"/>
      <c r="AV113" s="106"/>
      <c r="AW113" s="106"/>
      <c r="AX113" s="106"/>
      <c r="AY113" s="106"/>
      <c r="AZ113" s="106"/>
      <c r="BA113" s="106"/>
      <c r="BB113" s="106"/>
      <c r="BC113" s="78"/>
      <c r="BD113" s="78"/>
      <c r="BE113" s="106"/>
      <c r="BF113" s="106"/>
      <c r="BG113" s="106"/>
      <c r="BH113" s="106"/>
      <c r="BI113" s="106"/>
      <c r="BJ113" s="106"/>
      <c r="BU113" s="12"/>
      <c r="BV113" s="12"/>
      <c r="CM113" s="12"/>
      <c r="CN113" s="12"/>
      <c r="DE113" s="12"/>
      <c r="DF113" s="12"/>
      <c r="DW113" s="12"/>
      <c r="DX113" s="12"/>
      <c r="EO113" s="12"/>
      <c r="EP113" s="12"/>
      <c r="FG113" s="12"/>
      <c r="FH113" s="12"/>
      <c r="FY113" s="12"/>
      <c r="FZ113" s="12"/>
      <c r="GQ113" s="12"/>
      <c r="GR113" s="12"/>
      <c r="HI113" s="12"/>
      <c r="HJ113" s="12"/>
      <c r="IA113" s="12"/>
      <c r="IB113" s="12"/>
      <c r="IS113" s="12"/>
      <c r="IT113" s="12"/>
      <c r="JK113" s="12"/>
      <c r="JL113" s="12"/>
      <c r="KC113" s="12"/>
      <c r="KD113" s="12"/>
      <c r="KU113" s="12"/>
      <c r="KV113" s="12"/>
      <c r="LM113" s="12"/>
      <c r="LN113" s="12"/>
      <c r="ME113" s="12"/>
      <c r="MF113" s="12"/>
      <c r="MW113" s="12"/>
      <c r="MX113" s="12"/>
      <c r="NO113" s="12"/>
      <c r="NP113" s="12"/>
      <c r="OG113" s="12"/>
      <c r="OH113" s="12"/>
      <c r="OY113" s="12"/>
      <c r="OZ113" s="12"/>
      <c r="PQ113" s="12"/>
      <c r="PR113" s="12"/>
      <c r="QI113" s="12"/>
      <c r="QJ113" s="12"/>
      <c r="RA113" s="12"/>
      <c r="RB113" s="12"/>
      <c r="RS113" s="12"/>
      <c r="RT113" s="12"/>
      <c r="SK113" s="12"/>
      <c r="SL113" s="12"/>
      <c r="TC113" s="12"/>
      <c r="TD113" s="12"/>
      <c r="TU113" s="12"/>
      <c r="TV113" s="12"/>
      <c r="UM113" s="12"/>
      <c r="UN113" s="12"/>
      <c r="VE113" s="12"/>
      <c r="VF113" s="12"/>
      <c r="VW113" s="12"/>
      <c r="VX113" s="12"/>
      <c r="WO113" s="12"/>
      <c r="WP113" s="12"/>
      <c r="XG113" s="12"/>
      <c r="XH113" s="12"/>
      <c r="XY113" s="12"/>
      <c r="XZ113" s="12"/>
      <c r="YQ113" s="12"/>
      <c r="YR113" s="12"/>
      <c r="ZI113" s="12"/>
      <c r="ZJ113" s="12"/>
      <c r="AAA113" s="12"/>
      <c r="AAB113" s="12"/>
      <c r="AAS113" s="12"/>
      <c r="AAT113" s="12"/>
      <c r="ABK113" s="12"/>
      <c r="ABL113" s="12"/>
      <c r="ACC113" s="12"/>
      <c r="ACD113" s="12"/>
      <c r="ACU113" s="12"/>
      <c r="ACV113" s="12"/>
      <c r="ADM113" s="12"/>
      <c r="ADN113" s="12"/>
      <c r="AEE113" s="12"/>
      <c r="AEF113" s="12"/>
      <c r="AEW113" s="12"/>
      <c r="AEX113" s="12"/>
      <c r="AFO113" s="12"/>
      <c r="AFP113" s="12"/>
      <c r="AGG113" s="12"/>
      <c r="AGH113" s="12"/>
      <c r="AGY113" s="12"/>
      <c r="AGZ113" s="12"/>
      <c r="AHQ113" s="12"/>
      <c r="AHR113" s="12"/>
      <c r="AII113" s="12"/>
      <c r="AIJ113" s="12"/>
      <c r="AJA113" s="12"/>
      <c r="AJB113" s="12"/>
      <c r="AJS113" s="12"/>
      <c r="AJT113" s="12"/>
      <c r="AKK113" s="12"/>
      <c r="AKL113" s="12"/>
      <c r="ALC113" s="12"/>
      <c r="ALD113" s="12"/>
      <c r="ALU113" s="12"/>
      <c r="ALV113" s="12"/>
      <c r="AMM113" s="12"/>
      <c r="AMN113" s="12"/>
      <c r="ANE113" s="12"/>
      <c r="ANF113" s="12"/>
      <c r="ANW113" s="12"/>
      <c r="ANX113" s="12"/>
      <c r="AOO113" s="12"/>
      <c r="AOP113" s="12"/>
      <c r="APG113" s="12"/>
      <c r="APH113" s="12"/>
      <c r="APY113" s="12"/>
      <c r="APZ113" s="12"/>
      <c r="AQQ113" s="12"/>
      <c r="AQR113" s="12"/>
      <c r="ARI113" s="12"/>
      <c r="ARJ113" s="12"/>
      <c r="ASA113" s="12"/>
      <c r="ASB113" s="12"/>
      <c r="ASS113" s="12"/>
      <c r="AST113" s="12"/>
      <c r="ATK113" s="12"/>
      <c r="ATL113" s="12"/>
      <c r="AUC113" s="12"/>
      <c r="AUD113" s="12"/>
      <c r="AUU113" s="12"/>
      <c r="AUV113" s="12"/>
      <c r="AVM113" s="12"/>
      <c r="AVN113" s="12"/>
      <c r="AWE113" s="12"/>
      <c r="AWF113" s="12"/>
      <c r="AWW113" s="12"/>
      <c r="AWX113" s="12"/>
      <c r="AXO113" s="12"/>
      <c r="AXP113" s="12"/>
      <c r="AYG113" s="12"/>
      <c r="AYH113" s="12"/>
      <c r="AYY113" s="12"/>
      <c r="AYZ113" s="12"/>
      <c r="AZQ113" s="12"/>
      <c r="AZR113" s="12"/>
      <c r="BAI113" s="12"/>
      <c r="BAJ113" s="12"/>
      <c r="BBA113" s="12"/>
      <c r="BBB113" s="12"/>
      <c r="BBS113" s="12"/>
      <c r="BBT113" s="12"/>
      <c r="BCK113" s="12"/>
      <c r="BCL113" s="12"/>
      <c r="BDC113" s="12"/>
      <c r="BDD113" s="12"/>
      <c r="BDU113" s="12"/>
      <c r="BDV113" s="12"/>
      <c r="BEM113" s="12"/>
      <c r="BEN113" s="12"/>
      <c r="BFE113" s="12"/>
      <c r="BFF113" s="12"/>
      <c r="BFW113" s="12"/>
      <c r="BFX113" s="12"/>
      <c r="BGO113" s="12"/>
      <c r="BGP113" s="12"/>
      <c r="BHG113" s="12"/>
      <c r="BHH113" s="12"/>
      <c r="BHY113" s="12"/>
      <c r="BHZ113" s="12"/>
      <c r="BIQ113" s="12"/>
      <c r="BIR113" s="12"/>
      <c r="BJI113" s="12"/>
      <c r="BJJ113" s="12"/>
      <c r="BKA113" s="12"/>
      <c r="BKB113" s="12"/>
      <c r="BKS113" s="12"/>
      <c r="BKT113" s="12"/>
      <c r="BLK113" s="12"/>
      <c r="BLL113" s="12"/>
      <c r="BMC113" s="12"/>
      <c r="BMD113" s="12"/>
      <c r="BMU113" s="12"/>
      <c r="BMV113" s="12"/>
      <c r="BNM113" s="12"/>
      <c r="BNN113" s="12"/>
      <c r="BOE113" s="12"/>
      <c r="BOF113" s="12"/>
      <c r="BOW113" s="12"/>
      <c r="BOX113" s="12"/>
      <c r="BPO113" s="12"/>
      <c r="BPP113" s="12"/>
      <c r="BQG113" s="12"/>
      <c r="BQH113" s="12"/>
      <c r="BQY113" s="12"/>
      <c r="BQZ113" s="12"/>
      <c r="BRQ113" s="12"/>
      <c r="BRR113" s="12"/>
      <c r="BSI113" s="12"/>
      <c r="BSJ113" s="12"/>
      <c r="BTA113" s="12"/>
      <c r="BTB113" s="12"/>
      <c r="BTS113" s="12"/>
      <c r="BTT113" s="12"/>
      <c r="BUK113" s="12"/>
      <c r="BUL113" s="12"/>
      <c r="BVC113" s="12"/>
      <c r="BVD113" s="12"/>
      <c r="BVU113" s="12"/>
      <c r="BVV113" s="12"/>
      <c r="BWM113" s="12"/>
      <c r="BWN113" s="12"/>
      <c r="BXE113" s="12"/>
      <c r="BXF113" s="12"/>
      <c r="BXW113" s="12"/>
      <c r="BXX113" s="12"/>
      <c r="BYO113" s="12"/>
      <c r="BYP113" s="12"/>
      <c r="BZG113" s="12"/>
      <c r="BZH113" s="12"/>
      <c r="BZY113" s="12"/>
      <c r="BZZ113" s="12"/>
      <c r="CAQ113" s="12"/>
      <c r="CAR113" s="12"/>
      <c r="CBI113" s="12"/>
      <c r="CBJ113" s="12"/>
      <c r="CCA113" s="12"/>
      <c r="CCB113" s="12"/>
      <c r="CCS113" s="12"/>
      <c r="CCT113" s="12"/>
      <c r="CDK113" s="12"/>
      <c r="CDL113" s="12"/>
      <c r="CEC113" s="12"/>
      <c r="CED113" s="12"/>
      <c r="CEU113" s="12"/>
      <c r="CEV113" s="12"/>
      <c r="CFM113" s="12"/>
      <c r="CFN113" s="12"/>
      <c r="CGE113" s="12"/>
      <c r="CGF113" s="12"/>
      <c r="CGW113" s="12"/>
      <c r="CGX113" s="12"/>
      <c r="CHO113" s="12"/>
      <c r="CHP113" s="12"/>
      <c r="CIG113" s="12"/>
      <c r="CIH113" s="12"/>
      <c r="CIY113" s="12"/>
      <c r="CIZ113" s="12"/>
      <c r="CJQ113" s="12"/>
      <c r="CJR113" s="12"/>
      <c r="CKI113" s="12"/>
      <c r="CKJ113" s="12"/>
      <c r="CLA113" s="12"/>
      <c r="CLB113" s="12"/>
      <c r="CLS113" s="12"/>
      <c r="CLT113" s="12"/>
      <c r="CMK113" s="12"/>
      <c r="CML113" s="12"/>
      <c r="CNC113" s="12"/>
      <c r="CND113" s="12"/>
      <c r="CNU113" s="12"/>
      <c r="CNV113" s="12"/>
      <c r="COM113" s="12"/>
      <c r="CON113" s="12"/>
      <c r="CPE113" s="12"/>
      <c r="CPF113" s="12"/>
      <c r="CPW113" s="12"/>
      <c r="CPX113" s="12"/>
      <c r="CQO113" s="12"/>
      <c r="CQP113" s="12"/>
      <c r="CRG113" s="12"/>
      <c r="CRH113" s="12"/>
      <c r="CRY113" s="12"/>
      <c r="CRZ113" s="12"/>
      <c r="CSQ113" s="12"/>
      <c r="CSR113" s="12"/>
      <c r="CTI113" s="12"/>
      <c r="CTJ113" s="12"/>
      <c r="CUA113" s="12"/>
      <c r="CUB113" s="12"/>
      <c r="CUS113" s="12"/>
      <c r="CUT113" s="12"/>
      <c r="CVK113" s="12"/>
      <c r="CVL113" s="12"/>
      <c r="CWC113" s="12"/>
      <c r="CWD113" s="12"/>
      <c r="CWU113" s="12"/>
      <c r="CWV113" s="12"/>
      <c r="CXM113" s="12"/>
      <c r="CXN113" s="12"/>
      <c r="CYE113" s="12"/>
      <c r="CYF113" s="12"/>
      <c r="CYW113" s="12"/>
      <c r="CYX113" s="12"/>
      <c r="CZO113" s="12"/>
      <c r="CZP113" s="12"/>
      <c r="DAG113" s="12"/>
      <c r="DAH113" s="12"/>
      <c r="DAY113" s="12"/>
      <c r="DAZ113" s="12"/>
      <c r="DBQ113" s="12"/>
      <c r="DBR113" s="12"/>
      <c r="DCI113" s="12"/>
      <c r="DCJ113" s="12"/>
      <c r="DDA113" s="12"/>
      <c r="DDB113" s="12"/>
      <c r="DDS113" s="12"/>
      <c r="DDT113" s="12"/>
      <c r="DEK113" s="12"/>
      <c r="DEL113" s="12"/>
      <c r="DFC113" s="12"/>
      <c r="DFD113" s="12"/>
      <c r="DFU113" s="12"/>
      <c r="DFV113" s="12"/>
      <c r="DGM113" s="12"/>
      <c r="DGN113" s="12"/>
      <c r="DHE113" s="12"/>
      <c r="DHF113" s="12"/>
      <c r="DHW113" s="12"/>
      <c r="DHX113" s="12"/>
      <c r="DIO113" s="12"/>
      <c r="DIP113" s="12"/>
      <c r="DJG113" s="12"/>
      <c r="DJH113" s="12"/>
      <c r="DJY113" s="12"/>
      <c r="DJZ113" s="12"/>
      <c r="DKQ113" s="12"/>
      <c r="DKR113" s="12"/>
      <c r="DLI113" s="12"/>
      <c r="DLJ113" s="12"/>
      <c r="DMA113" s="12"/>
      <c r="DMB113" s="12"/>
      <c r="DMS113" s="12"/>
      <c r="DMT113" s="12"/>
      <c r="DNK113" s="12"/>
      <c r="DNL113" s="12"/>
      <c r="DOC113" s="12"/>
      <c r="DOD113" s="12"/>
      <c r="DOU113" s="12"/>
      <c r="DOV113" s="12"/>
      <c r="DPM113" s="12"/>
      <c r="DPN113" s="12"/>
      <c r="DQE113" s="12"/>
      <c r="DQF113" s="12"/>
      <c r="DQW113" s="12"/>
      <c r="DQX113" s="12"/>
      <c r="DRO113" s="12"/>
      <c r="DRP113" s="12"/>
      <c r="DSG113" s="12"/>
      <c r="DSH113" s="12"/>
      <c r="DSY113" s="12"/>
      <c r="DSZ113" s="12"/>
      <c r="DTQ113" s="12"/>
      <c r="DTR113" s="12"/>
      <c r="DUI113" s="12"/>
      <c r="DUJ113" s="12"/>
      <c r="DVA113" s="12"/>
      <c r="DVB113" s="12"/>
      <c r="DVS113" s="12"/>
      <c r="DVT113" s="12"/>
      <c r="DWK113" s="12"/>
      <c r="DWL113" s="12"/>
      <c r="DXC113" s="12"/>
      <c r="DXD113" s="12"/>
      <c r="DXU113" s="12"/>
      <c r="DXV113" s="12"/>
      <c r="DYM113" s="12"/>
      <c r="DYN113" s="12"/>
      <c r="DZE113" s="12"/>
      <c r="DZF113" s="12"/>
      <c r="DZW113" s="12"/>
      <c r="DZX113" s="12"/>
      <c r="EAO113" s="12"/>
      <c r="EAP113" s="12"/>
      <c r="EBG113" s="12"/>
      <c r="EBH113" s="12"/>
      <c r="EBY113" s="12"/>
      <c r="EBZ113" s="12"/>
      <c r="ECQ113" s="12"/>
      <c r="ECR113" s="12"/>
      <c r="EDI113" s="12"/>
      <c r="EDJ113" s="12"/>
      <c r="EEA113" s="12"/>
      <c r="EEB113" s="12"/>
      <c r="EES113" s="12"/>
      <c r="EET113" s="12"/>
      <c r="EFK113" s="12"/>
      <c r="EFL113" s="12"/>
      <c r="EGC113" s="12"/>
      <c r="EGD113" s="12"/>
      <c r="EGU113" s="12"/>
      <c r="EGV113" s="12"/>
      <c r="EHM113" s="12"/>
      <c r="EHN113" s="12"/>
      <c r="EIE113" s="12"/>
      <c r="EIF113" s="12"/>
      <c r="EIW113" s="12"/>
      <c r="EIX113" s="12"/>
      <c r="EJO113" s="12"/>
      <c r="EJP113" s="12"/>
      <c r="EKG113" s="12"/>
      <c r="EKH113" s="12"/>
      <c r="EKY113" s="12"/>
      <c r="EKZ113" s="12"/>
      <c r="ELQ113" s="12"/>
      <c r="ELR113" s="12"/>
      <c r="EMI113" s="12"/>
      <c r="EMJ113" s="12"/>
      <c r="ENA113" s="12"/>
      <c r="ENB113" s="12"/>
      <c r="ENS113" s="12"/>
      <c r="ENT113" s="12"/>
      <c r="EOK113" s="12"/>
      <c r="EOL113" s="12"/>
      <c r="EPC113" s="12"/>
      <c r="EPD113" s="12"/>
      <c r="EPU113" s="12"/>
      <c r="EPV113" s="12"/>
      <c r="EQM113" s="12"/>
      <c r="EQN113" s="12"/>
      <c r="ERE113" s="12"/>
      <c r="ERF113" s="12"/>
      <c r="ERW113" s="12"/>
      <c r="ERX113" s="12"/>
      <c r="ESO113" s="12"/>
      <c r="ESP113" s="12"/>
      <c r="ETG113" s="12"/>
      <c r="ETH113" s="12"/>
      <c r="ETY113" s="12"/>
      <c r="ETZ113" s="12"/>
      <c r="EUQ113" s="12"/>
      <c r="EUR113" s="12"/>
      <c r="EVI113" s="12"/>
      <c r="EVJ113" s="12"/>
      <c r="EWA113" s="12"/>
      <c r="EWB113" s="12"/>
      <c r="EWS113" s="12"/>
      <c r="EWT113" s="12"/>
      <c r="EXK113" s="12"/>
      <c r="EXL113" s="12"/>
      <c r="EYC113" s="12"/>
      <c r="EYD113" s="12"/>
      <c r="EYU113" s="12"/>
      <c r="EYV113" s="12"/>
      <c r="EZM113" s="12"/>
      <c r="EZN113" s="12"/>
      <c r="FAE113" s="12"/>
      <c r="FAF113" s="12"/>
      <c r="FAW113" s="12"/>
      <c r="FAX113" s="12"/>
      <c r="FBO113" s="12"/>
      <c r="FBP113" s="12"/>
      <c r="FCG113" s="12"/>
      <c r="FCH113" s="12"/>
      <c r="FCY113" s="12"/>
      <c r="FCZ113" s="12"/>
      <c r="FDQ113" s="12"/>
      <c r="FDR113" s="12"/>
      <c r="FEI113" s="12"/>
      <c r="FEJ113" s="12"/>
      <c r="FFA113" s="12"/>
      <c r="FFB113" s="12"/>
      <c r="FFS113" s="12"/>
      <c r="FFT113" s="12"/>
      <c r="FGK113" s="12"/>
      <c r="FGL113" s="12"/>
      <c r="FHC113" s="12"/>
      <c r="FHD113" s="12"/>
      <c r="FHU113" s="12"/>
      <c r="FHV113" s="12"/>
      <c r="FIM113" s="12"/>
      <c r="FIN113" s="12"/>
      <c r="FJE113" s="12"/>
      <c r="FJF113" s="12"/>
      <c r="FJW113" s="12"/>
      <c r="FJX113" s="12"/>
      <c r="FKO113" s="12"/>
      <c r="FKP113" s="12"/>
      <c r="FLG113" s="12"/>
      <c r="FLH113" s="12"/>
      <c r="FLY113" s="12"/>
      <c r="FLZ113" s="12"/>
      <c r="FMQ113" s="12"/>
      <c r="FMR113" s="12"/>
      <c r="FNI113" s="12"/>
      <c r="FNJ113" s="12"/>
      <c r="FOA113" s="12"/>
      <c r="FOB113" s="12"/>
      <c r="FOS113" s="12"/>
      <c r="FOT113" s="12"/>
      <c r="FPK113" s="12"/>
      <c r="FPL113" s="12"/>
      <c r="FQC113" s="12"/>
      <c r="FQD113" s="12"/>
      <c r="FQU113" s="12"/>
      <c r="FQV113" s="12"/>
      <c r="FRM113" s="12"/>
      <c r="FRN113" s="12"/>
      <c r="FSE113" s="12"/>
      <c r="FSF113" s="12"/>
      <c r="FSW113" s="12"/>
      <c r="FSX113" s="12"/>
      <c r="FTO113" s="12"/>
      <c r="FTP113" s="12"/>
      <c r="FUG113" s="12"/>
      <c r="FUH113" s="12"/>
      <c r="FUY113" s="12"/>
      <c r="FUZ113" s="12"/>
      <c r="FVQ113" s="12"/>
      <c r="FVR113" s="12"/>
      <c r="FWI113" s="12"/>
      <c r="FWJ113" s="12"/>
      <c r="FXA113" s="12"/>
      <c r="FXB113" s="12"/>
      <c r="FXS113" s="12"/>
      <c r="FXT113" s="12"/>
      <c r="FYK113" s="12"/>
      <c r="FYL113" s="12"/>
      <c r="FZC113" s="12"/>
      <c r="FZD113" s="12"/>
      <c r="FZU113" s="12"/>
      <c r="FZV113" s="12"/>
      <c r="GAM113" s="12"/>
      <c r="GAN113" s="12"/>
      <c r="GBE113" s="12"/>
      <c r="GBF113" s="12"/>
      <c r="GBW113" s="12"/>
      <c r="GBX113" s="12"/>
      <c r="GCO113" s="12"/>
      <c r="GCP113" s="12"/>
      <c r="GDG113" s="12"/>
      <c r="GDH113" s="12"/>
      <c r="GDY113" s="12"/>
      <c r="GDZ113" s="12"/>
      <c r="GEQ113" s="12"/>
      <c r="GER113" s="12"/>
      <c r="GFI113" s="12"/>
      <c r="GFJ113" s="12"/>
      <c r="GGA113" s="12"/>
      <c r="GGB113" s="12"/>
      <c r="GGS113" s="12"/>
      <c r="GGT113" s="12"/>
      <c r="GHK113" s="12"/>
      <c r="GHL113" s="12"/>
      <c r="GIC113" s="12"/>
      <c r="GID113" s="12"/>
      <c r="GIU113" s="12"/>
      <c r="GIV113" s="12"/>
      <c r="GJM113" s="12"/>
      <c r="GJN113" s="12"/>
      <c r="GKE113" s="12"/>
      <c r="GKF113" s="12"/>
      <c r="GKW113" s="12"/>
      <c r="GKX113" s="12"/>
      <c r="GLO113" s="12"/>
      <c r="GLP113" s="12"/>
      <c r="GMG113" s="12"/>
      <c r="GMH113" s="12"/>
      <c r="GMY113" s="12"/>
      <c r="GMZ113" s="12"/>
      <c r="GNQ113" s="12"/>
      <c r="GNR113" s="12"/>
      <c r="GOI113" s="12"/>
      <c r="GOJ113" s="12"/>
      <c r="GPA113" s="12"/>
      <c r="GPB113" s="12"/>
      <c r="GPS113" s="12"/>
      <c r="GPT113" s="12"/>
      <c r="GQK113" s="12"/>
      <c r="GQL113" s="12"/>
      <c r="GRC113" s="12"/>
      <c r="GRD113" s="12"/>
      <c r="GRU113" s="12"/>
      <c r="GRV113" s="12"/>
      <c r="GSM113" s="12"/>
      <c r="GSN113" s="12"/>
      <c r="GTE113" s="12"/>
      <c r="GTF113" s="12"/>
      <c r="GTW113" s="12"/>
      <c r="GTX113" s="12"/>
      <c r="GUO113" s="12"/>
      <c r="GUP113" s="12"/>
      <c r="GVG113" s="12"/>
      <c r="GVH113" s="12"/>
      <c r="GVY113" s="12"/>
      <c r="GVZ113" s="12"/>
      <c r="GWQ113" s="12"/>
      <c r="GWR113" s="12"/>
      <c r="GXI113" s="12"/>
      <c r="GXJ113" s="12"/>
      <c r="GYA113" s="12"/>
      <c r="GYB113" s="12"/>
      <c r="GYS113" s="12"/>
      <c r="GYT113" s="12"/>
      <c r="GZK113" s="12"/>
      <c r="GZL113" s="12"/>
      <c r="HAC113" s="12"/>
      <c r="HAD113" s="12"/>
      <c r="HAU113" s="12"/>
      <c r="HAV113" s="12"/>
      <c r="HBM113" s="12"/>
      <c r="HBN113" s="12"/>
      <c r="HCE113" s="12"/>
      <c r="HCF113" s="12"/>
      <c r="HCW113" s="12"/>
      <c r="HCX113" s="12"/>
      <c r="HDO113" s="12"/>
      <c r="HDP113" s="12"/>
      <c r="HEG113" s="12"/>
      <c r="HEH113" s="12"/>
      <c r="HEY113" s="12"/>
      <c r="HEZ113" s="12"/>
      <c r="HFQ113" s="12"/>
      <c r="HFR113" s="12"/>
      <c r="HGI113" s="12"/>
      <c r="HGJ113" s="12"/>
      <c r="HHA113" s="12"/>
      <c r="HHB113" s="12"/>
      <c r="HHS113" s="12"/>
      <c r="HHT113" s="12"/>
      <c r="HIK113" s="12"/>
      <c r="HIL113" s="12"/>
      <c r="HJC113" s="12"/>
      <c r="HJD113" s="12"/>
      <c r="HJU113" s="12"/>
      <c r="HJV113" s="12"/>
      <c r="HKM113" s="12"/>
      <c r="HKN113" s="12"/>
      <c r="HLE113" s="12"/>
      <c r="HLF113" s="12"/>
      <c r="HLW113" s="12"/>
      <c r="HLX113" s="12"/>
      <c r="HMO113" s="12"/>
      <c r="HMP113" s="12"/>
      <c r="HNG113" s="12"/>
      <c r="HNH113" s="12"/>
      <c r="HNY113" s="12"/>
      <c r="HNZ113" s="12"/>
      <c r="HOQ113" s="12"/>
      <c r="HOR113" s="12"/>
      <c r="HPI113" s="12"/>
      <c r="HPJ113" s="12"/>
      <c r="HQA113" s="12"/>
      <c r="HQB113" s="12"/>
      <c r="HQS113" s="12"/>
      <c r="HQT113" s="12"/>
      <c r="HRK113" s="12"/>
      <c r="HRL113" s="12"/>
      <c r="HSC113" s="12"/>
      <c r="HSD113" s="12"/>
      <c r="HSU113" s="12"/>
      <c r="HSV113" s="12"/>
      <c r="HTM113" s="12"/>
      <c r="HTN113" s="12"/>
      <c r="HUE113" s="12"/>
      <c r="HUF113" s="12"/>
      <c r="HUW113" s="12"/>
      <c r="HUX113" s="12"/>
      <c r="HVO113" s="12"/>
      <c r="HVP113" s="12"/>
      <c r="HWG113" s="12"/>
      <c r="HWH113" s="12"/>
      <c r="HWY113" s="12"/>
      <c r="HWZ113" s="12"/>
      <c r="HXQ113" s="12"/>
      <c r="HXR113" s="12"/>
      <c r="HYI113" s="12"/>
      <c r="HYJ113" s="12"/>
      <c r="HZA113" s="12"/>
      <c r="HZB113" s="12"/>
      <c r="HZS113" s="12"/>
      <c r="HZT113" s="12"/>
      <c r="IAK113" s="12"/>
      <c r="IAL113" s="12"/>
      <c r="IBC113" s="12"/>
      <c r="IBD113" s="12"/>
      <c r="IBU113" s="12"/>
      <c r="IBV113" s="12"/>
      <c r="ICM113" s="12"/>
      <c r="ICN113" s="12"/>
      <c r="IDE113" s="12"/>
      <c r="IDF113" s="12"/>
      <c r="IDW113" s="12"/>
      <c r="IDX113" s="12"/>
      <c r="IEO113" s="12"/>
      <c r="IEP113" s="12"/>
      <c r="IFG113" s="12"/>
      <c r="IFH113" s="12"/>
      <c r="IFY113" s="12"/>
      <c r="IFZ113" s="12"/>
      <c r="IGQ113" s="12"/>
      <c r="IGR113" s="12"/>
      <c r="IHI113" s="12"/>
      <c r="IHJ113" s="12"/>
      <c r="IIA113" s="12"/>
      <c r="IIB113" s="12"/>
      <c r="IIS113" s="12"/>
      <c r="IIT113" s="12"/>
      <c r="IJK113" s="12"/>
      <c r="IJL113" s="12"/>
      <c r="IKC113" s="12"/>
      <c r="IKD113" s="12"/>
      <c r="IKU113" s="12"/>
      <c r="IKV113" s="12"/>
      <c r="ILM113" s="12"/>
      <c r="ILN113" s="12"/>
      <c r="IME113" s="12"/>
      <c r="IMF113" s="12"/>
      <c r="IMW113" s="12"/>
      <c r="IMX113" s="12"/>
      <c r="INO113" s="12"/>
      <c r="INP113" s="12"/>
      <c r="IOG113" s="12"/>
      <c r="IOH113" s="12"/>
      <c r="IOY113" s="12"/>
      <c r="IOZ113" s="12"/>
      <c r="IPQ113" s="12"/>
      <c r="IPR113" s="12"/>
      <c r="IQI113" s="12"/>
      <c r="IQJ113" s="12"/>
      <c r="IRA113" s="12"/>
      <c r="IRB113" s="12"/>
      <c r="IRS113" s="12"/>
      <c r="IRT113" s="12"/>
      <c r="ISK113" s="12"/>
      <c r="ISL113" s="12"/>
      <c r="ITC113" s="12"/>
      <c r="ITD113" s="12"/>
      <c r="ITU113" s="12"/>
      <c r="ITV113" s="12"/>
      <c r="IUM113" s="12"/>
      <c r="IUN113" s="12"/>
      <c r="IVE113" s="12"/>
      <c r="IVF113" s="12"/>
      <c r="IVW113" s="12"/>
      <c r="IVX113" s="12"/>
      <c r="IWO113" s="12"/>
      <c r="IWP113" s="12"/>
      <c r="IXG113" s="12"/>
      <c r="IXH113" s="12"/>
      <c r="IXY113" s="12"/>
      <c r="IXZ113" s="12"/>
      <c r="IYQ113" s="12"/>
      <c r="IYR113" s="12"/>
      <c r="IZI113" s="12"/>
      <c r="IZJ113" s="12"/>
      <c r="JAA113" s="12"/>
      <c r="JAB113" s="12"/>
      <c r="JAS113" s="12"/>
      <c r="JAT113" s="12"/>
      <c r="JBK113" s="12"/>
      <c r="JBL113" s="12"/>
      <c r="JCC113" s="12"/>
      <c r="JCD113" s="12"/>
      <c r="JCU113" s="12"/>
      <c r="JCV113" s="12"/>
      <c r="JDM113" s="12"/>
      <c r="JDN113" s="12"/>
      <c r="JEE113" s="12"/>
      <c r="JEF113" s="12"/>
      <c r="JEW113" s="12"/>
      <c r="JEX113" s="12"/>
      <c r="JFO113" s="12"/>
      <c r="JFP113" s="12"/>
      <c r="JGG113" s="12"/>
      <c r="JGH113" s="12"/>
      <c r="JGY113" s="12"/>
      <c r="JGZ113" s="12"/>
      <c r="JHQ113" s="12"/>
      <c r="JHR113" s="12"/>
      <c r="JII113" s="12"/>
      <c r="JIJ113" s="12"/>
      <c r="JJA113" s="12"/>
      <c r="JJB113" s="12"/>
      <c r="JJS113" s="12"/>
      <c r="JJT113" s="12"/>
      <c r="JKK113" s="12"/>
      <c r="JKL113" s="12"/>
      <c r="JLC113" s="12"/>
      <c r="JLD113" s="12"/>
      <c r="JLU113" s="12"/>
      <c r="JLV113" s="12"/>
      <c r="JMM113" s="12"/>
      <c r="JMN113" s="12"/>
      <c r="JNE113" s="12"/>
      <c r="JNF113" s="12"/>
      <c r="JNW113" s="12"/>
      <c r="JNX113" s="12"/>
      <c r="JOO113" s="12"/>
      <c r="JOP113" s="12"/>
      <c r="JPG113" s="12"/>
      <c r="JPH113" s="12"/>
      <c r="JPY113" s="12"/>
      <c r="JPZ113" s="12"/>
      <c r="JQQ113" s="12"/>
      <c r="JQR113" s="12"/>
      <c r="JRI113" s="12"/>
      <c r="JRJ113" s="12"/>
      <c r="JSA113" s="12"/>
      <c r="JSB113" s="12"/>
      <c r="JSS113" s="12"/>
      <c r="JST113" s="12"/>
      <c r="JTK113" s="12"/>
      <c r="JTL113" s="12"/>
      <c r="JUC113" s="12"/>
      <c r="JUD113" s="12"/>
      <c r="JUU113" s="12"/>
      <c r="JUV113" s="12"/>
      <c r="JVM113" s="12"/>
      <c r="JVN113" s="12"/>
      <c r="JWE113" s="12"/>
      <c r="JWF113" s="12"/>
      <c r="JWW113" s="12"/>
      <c r="JWX113" s="12"/>
      <c r="JXO113" s="12"/>
      <c r="JXP113" s="12"/>
      <c r="JYG113" s="12"/>
      <c r="JYH113" s="12"/>
      <c r="JYY113" s="12"/>
      <c r="JYZ113" s="12"/>
      <c r="JZQ113" s="12"/>
      <c r="JZR113" s="12"/>
      <c r="KAI113" s="12"/>
      <c r="KAJ113" s="12"/>
      <c r="KBA113" s="12"/>
      <c r="KBB113" s="12"/>
      <c r="KBS113" s="12"/>
      <c r="KBT113" s="12"/>
      <c r="KCK113" s="12"/>
      <c r="KCL113" s="12"/>
      <c r="KDC113" s="12"/>
      <c r="KDD113" s="12"/>
      <c r="KDU113" s="12"/>
      <c r="KDV113" s="12"/>
      <c r="KEM113" s="12"/>
      <c r="KEN113" s="12"/>
      <c r="KFE113" s="12"/>
      <c r="KFF113" s="12"/>
      <c r="KFW113" s="12"/>
      <c r="KFX113" s="12"/>
      <c r="KGO113" s="12"/>
      <c r="KGP113" s="12"/>
      <c r="KHG113" s="12"/>
      <c r="KHH113" s="12"/>
      <c r="KHY113" s="12"/>
      <c r="KHZ113" s="12"/>
      <c r="KIQ113" s="12"/>
      <c r="KIR113" s="12"/>
      <c r="KJI113" s="12"/>
      <c r="KJJ113" s="12"/>
      <c r="KKA113" s="12"/>
      <c r="KKB113" s="12"/>
      <c r="KKS113" s="12"/>
      <c r="KKT113" s="12"/>
      <c r="KLK113" s="12"/>
      <c r="KLL113" s="12"/>
      <c r="KMC113" s="12"/>
      <c r="KMD113" s="12"/>
      <c r="KMU113" s="12"/>
      <c r="KMV113" s="12"/>
      <c r="KNM113" s="12"/>
      <c r="KNN113" s="12"/>
      <c r="KOE113" s="12"/>
      <c r="KOF113" s="12"/>
      <c r="KOW113" s="12"/>
      <c r="KOX113" s="12"/>
      <c r="KPO113" s="12"/>
      <c r="KPP113" s="12"/>
      <c r="KQG113" s="12"/>
      <c r="KQH113" s="12"/>
      <c r="KQY113" s="12"/>
      <c r="KQZ113" s="12"/>
      <c r="KRQ113" s="12"/>
      <c r="KRR113" s="12"/>
      <c r="KSI113" s="12"/>
      <c r="KSJ113" s="12"/>
      <c r="KTA113" s="12"/>
      <c r="KTB113" s="12"/>
      <c r="KTS113" s="12"/>
      <c r="KTT113" s="12"/>
      <c r="KUK113" s="12"/>
      <c r="KUL113" s="12"/>
      <c r="KVC113" s="12"/>
      <c r="KVD113" s="12"/>
      <c r="KVU113" s="12"/>
      <c r="KVV113" s="12"/>
      <c r="KWM113" s="12"/>
      <c r="KWN113" s="12"/>
      <c r="KXE113" s="12"/>
      <c r="KXF113" s="12"/>
      <c r="KXW113" s="12"/>
      <c r="KXX113" s="12"/>
      <c r="KYO113" s="12"/>
      <c r="KYP113" s="12"/>
      <c r="KZG113" s="12"/>
      <c r="KZH113" s="12"/>
      <c r="KZY113" s="12"/>
      <c r="KZZ113" s="12"/>
      <c r="LAQ113" s="12"/>
      <c r="LAR113" s="12"/>
      <c r="LBI113" s="12"/>
      <c r="LBJ113" s="12"/>
      <c r="LCA113" s="12"/>
      <c r="LCB113" s="12"/>
      <c r="LCS113" s="12"/>
      <c r="LCT113" s="12"/>
      <c r="LDK113" s="12"/>
      <c r="LDL113" s="12"/>
      <c r="LEC113" s="12"/>
      <c r="LED113" s="12"/>
      <c r="LEU113" s="12"/>
      <c r="LEV113" s="12"/>
      <c r="LFM113" s="12"/>
      <c r="LFN113" s="12"/>
      <c r="LGE113" s="12"/>
      <c r="LGF113" s="12"/>
      <c r="LGW113" s="12"/>
      <c r="LGX113" s="12"/>
      <c r="LHO113" s="12"/>
      <c r="LHP113" s="12"/>
      <c r="LIG113" s="12"/>
      <c r="LIH113" s="12"/>
      <c r="LIY113" s="12"/>
      <c r="LIZ113" s="12"/>
      <c r="LJQ113" s="12"/>
      <c r="LJR113" s="12"/>
      <c r="LKI113" s="12"/>
      <c r="LKJ113" s="12"/>
      <c r="LLA113" s="12"/>
      <c r="LLB113" s="12"/>
      <c r="LLS113" s="12"/>
      <c r="LLT113" s="12"/>
      <c r="LMK113" s="12"/>
      <c r="LML113" s="12"/>
      <c r="LNC113" s="12"/>
      <c r="LND113" s="12"/>
      <c r="LNU113" s="12"/>
      <c r="LNV113" s="12"/>
      <c r="LOM113" s="12"/>
      <c r="LON113" s="12"/>
      <c r="LPE113" s="12"/>
      <c r="LPF113" s="12"/>
      <c r="LPW113" s="12"/>
      <c r="LPX113" s="12"/>
      <c r="LQO113" s="12"/>
      <c r="LQP113" s="12"/>
      <c r="LRG113" s="12"/>
      <c r="LRH113" s="12"/>
      <c r="LRY113" s="12"/>
      <c r="LRZ113" s="12"/>
      <c r="LSQ113" s="12"/>
      <c r="LSR113" s="12"/>
      <c r="LTI113" s="12"/>
      <c r="LTJ113" s="12"/>
      <c r="LUA113" s="12"/>
      <c r="LUB113" s="12"/>
      <c r="LUS113" s="12"/>
      <c r="LUT113" s="12"/>
      <c r="LVK113" s="12"/>
      <c r="LVL113" s="12"/>
      <c r="LWC113" s="12"/>
      <c r="LWD113" s="12"/>
      <c r="LWU113" s="12"/>
      <c r="LWV113" s="12"/>
      <c r="LXM113" s="12"/>
      <c r="LXN113" s="12"/>
      <c r="LYE113" s="12"/>
      <c r="LYF113" s="12"/>
      <c r="LYW113" s="12"/>
      <c r="LYX113" s="12"/>
      <c r="LZO113" s="12"/>
      <c r="LZP113" s="12"/>
      <c r="MAG113" s="12"/>
      <c r="MAH113" s="12"/>
      <c r="MAY113" s="12"/>
      <c r="MAZ113" s="12"/>
      <c r="MBQ113" s="12"/>
      <c r="MBR113" s="12"/>
      <c r="MCI113" s="12"/>
      <c r="MCJ113" s="12"/>
      <c r="MDA113" s="12"/>
      <c r="MDB113" s="12"/>
      <c r="MDS113" s="12"/>
      <c r="MDT113" s="12"/>
      <c r="MEK113" s="12"/>
      <c r="MEL113" s="12"/>
      <c r="MFC113" s="12"/>
      <c r="MFD113" s="12"/>
      <c r="MFU113" s="12"/>
      <c r="MFV113" s="12"/>
      <c r="MGM113" s="12"/>
      <c r="MGN113" s="12"/>
      <c r="MHE113" s="12"/>
      <c r="MHF113" s="12"/>
      <c r="MHW113" s="12"/>
      <c r="MHX113" s="12"/>
      <c r="MIO113" s="12"/>
      <c r="MIP113" s="12"/>
      <c r="MJG113" s="12"/>
      <c r="MJH113" s="12"/>
      <c r="MJY113" s="12"/>
      <c r="MJZ113" s="12"/>
      <c r="MKQ113" s="12"/>
      <c r="MKR113" s="12"/>
      <c r="MLI113" s="12"/>
      <c r="MLJ113" s="12"/>
      <c r="MMA113" s="12"/>
      <c r="MMB113" s="12"/>
      <c r="MMS113" s="12"/>
      <c r="MMT113" s="12"/>
      <c r="MNK113" s="12"/>
      <c r="MNL113" s="12"/>
      <c r="MOC113" s="12"/>
      <c r="MOD113" s="12"/>
      <c r="MOU113" s="12"/>
      <c r="MOV113" s="12"/>
      <c r="MPM113" s="12"/>
      <c r="MPN113" s="12"/>
      <c r="MQE113" s="12"/>
      <c r="MQF113" s="12"/>
      <c r="MQW113" s="12"/>
      <c r="MQX113" s="12"/>
      <c r="MRO113" s="12"/>
      <c r="MRP113" s="12"/>
      <c r="MSG113" s="12"/>
      <c r="MSH113" s="12"/>
      <c r="MSY113" s="12"/>
      <c r="MSZ113" s="12"/>
      <c r="MTQ113" s="12"/>
      <c r="MTR113" s="12"/>
      <c r="MUI113" s="12"/>
      <c r="MUJ113" s="12"/>
      <c r="MVA113" s="12"/>
      <c r="MVB113" s="12"/>
      <c r="MVS113" s="12"/>
      <c r="MVT113" s="12"/>
      <c r="MWK113" s="12"/>
      <c r="MWL113" s="12"/>
      <c r="MXC113" s="12"/>
      <c r="MXD113" s="12"/>
      <c r="MXU113" s="12"/>
      <c r="MXV113" s="12"/>
      <c r="MYM113" s="12"/>
      <c r="MYN113" s="12"/>
      <c r="MZE113" s="12"/>
      <c r="MZF113" s="12"/>
      <c r="MZW113" s="12"/>
      <c r="MZX113" s="12"/>
      <c r="NAO113" s="12"/>
      <c r="NAP113" s="12"/>
      <c r="NBG113" s="12"/>
      <c r="NBH113" s="12"/>
      <c r="NBY113" s="12"/>
      <c r="NBZ113" s="12"/>
      <c r="NCQ113" s="12"/>
      <c r="NCR113" s="12"/>
      <c r="NDI113" s="12"/>
      <c r="NDJ113" s="12"/>
      <c r="NEA113" s="12"/>
      <c r="NEB113" s="12"/>
      <c r="NES113" s="12"/>
      <c r="NET113" s="12"/>
      <c r="NFK113" s="12"/>
      <c r="NFL113" s="12"/>
      <c r="NGC113" s="12"/>
      <c r="NGD113" s="12"/>
      <c r="NGU113" s="12"/>
      <c r="NGV113" s="12"/>
      <c r="NHM113" s="12"/>
      <c r="NHN113" s="12"/>
      <c r="NIE113" s="12"/>
      <c r="NIF113" s="12"/>
      <c r="NIW113" s="12"/>
      <c r="NIX113" s="12"/>
      <c r="NJO113" s="12"/>
      <c r="NJP113" s="12"/>
      <c r="NKG113" s="12"/>
      <c r="NKH113" s="12"/>
      <c r="NKY113" s="12"/>
      <c r="NKZ113" s="12"/>
      <c r="NLQ113" s="12"/>
      <c r="NLR113" s="12"/>
      <c r="NMI113" s="12"/>
      <c r="NMJ113" s="12"/>
      <c r="NNA113" s="12"/>
      <c r="NNB113" s="12"/>
      <c r="NNS113" s="12"/>
      <c r="NNT113" s="12"/>
      <c r="NOK113" s="12"/>
      <c r="NOL113" s="12"/>
      <c r="NPC113" s="12"/>
      <c r="NPD113" s="12"/>
      <c r="NPU113" s="12"/>
      <c r="NPV113" s="12"/>
      <c r="NQM113" s="12"/>
      <c r="NQN113" s="12"/>
      <c r="NRE113" s="12"/>
      <c r="NRF113" s="12"/>
      <c r="NRW113" s="12"/>
      <c r="NRX113" s="12"/>
      <c r="NSO113" s="12"/>
      <c r="NSP113" s="12"/>
      <c r="NTG113" s="12"/>
      <c r="NTH113" s="12"/>
      <c r="NTY113" s="12"/>
      <c r="NTZ113" s="12"/>
      <c r="NUQ113" s="12"/>
      <c r="NUR113" s="12"/>
      <c r="NVI113" s="12"/>
      <c r="NVJ113" s="12"/>
      <c r="NWA113" s="12"/>
      <c r="NWB113" s="12"/>
      <c r="NWS113" s="12"/>
      <c r="NWT113" s="12"/>
      <c r="NXK113" s="12"/>
      <c r="NXL113" s="12"/>
      <c r="NYC113" s="12"/>
      <c r="NYD113" s="12"/>
      <c r="NYU113" s="12"/>
      <c r="NYV113" s="12"/>
      <c r="NZM113" s="12"/>
      <c r="NZN113" s="12"/>
      <c r="OAE113" s="12"/>
      <c r="OAF113" s="12"/>
      <c r="OAW113" s="12"/>
      <c r="OAX113" s="12"/>
      <c r="OBO113" s="12"/>
      <c r="OBP113" s="12"/>
      <c r="OCG113" s="12"/>
      <c r="OCH113" s="12"/>
      <c r="OCY113" s="12"/>
      <c r="OCZ113" s="12"/>
      <c r="ODQ113" s="12"/>
      <c r="ODR113" s="12"/>
      <c r="OEI113" s="12"/>
      <c r="OEJ113" s="12"/>
      <c r="OFA113" s="12"/>
      <c r="OFB113" s="12"/>
      <c r="OFS113" s="12"/>
      <c r="OFT113" s="12"/>
      <c r="OGK113" s="12"/>
      <c r="OGL113" s="12"/>
      <c r="OHC113" s="12"/>
      <c r="OHD113" s="12"/>
      <c r="OHU113" s="12"/>
      <c r="OHV113" s="12"/>
      <c r="OIM113" s="12"/>
      <c r="OIN113" s="12"/>
      <c r="OJE113" s="12"/>
      <c r="OJF113" s="12"/>
      <c r="OJW113" s="12"/>
      <c r="OJX113" s="12"/>
      <c r="OKO113" s="12"/>
      <c r="OKP113" s="12"/>
      <c r="OLG113" s="12"/>
      <c r="OLH113" s="12"/>
      <c r="OLY113" s="12"/>
      <c r="OLZ113" s="12"/>
      <c r="OMQ113" s="12"/>
      <c r="OMR113" s="12"/>
      <c r="ONI113" s="12"/>
      <c r="ONJ113" s="12"/>
      <c r="OOA113" s="12"/>
      <c r="OOB113" s="12"/>
      <c r="OOS113" s="12"/>
      <c r="OOT113" s="12"/>
      <c r="OPK113" s="12"/>
      <c r="OPL113" s="12"/>
      <c r="OQC113" s="12"/>
      <c r="OQD113" s="12"/>
      <c r="OQU113" s="12"/>
      <c r="OQV113" s="12"/>
      <c r="ORM113" s="12"/>
      <c r="ORN113" s="12"/>
      <c r="OSE113" s="12"/>
      <c r="OSF113" s="12"/>
      <c r="OSW113" s="12"/>
      <c r="OSX113" s="12"/>
      <c r="OTO113" s="12"/>
      <c r="OTP113" s="12"/>
      <c r="OUG113" s="12"/>
      <c r="OUH113" s="12"/>
      <c r="OUY113" s="12"/>
      <c r="OUZ113" s="12"/>
      <c r="OVQ113" s="12"/>
      <c r="OVR113" s="12"/>
      <c r="OWI113" s="12"/>
      <c r="OWJ113" s="12"/>
      <c r="OXA113" s="12"/>
      <c r="OXB113" s="12"/>
      <c r="OXS113" s="12"/>
      <c r="OXT113" s="12"/>
      <c r="OYK113" s="12"/>
      <c r="OYL113" s="12"/>
      <c r="OZC113" s="12"/>
      <c r="OZD113" s="12"/>
      <c r="OZU113" s="12"/>
      <c r="OZV113" s="12"/>
      <c r="PAM113" s="12"/>
      <c r="PAN113" s="12"/>
      <c r="PBE113" s="12"/>
      <c r="PBF113" s="12"/>
      <c r="PBW113" s="12"/>
      <c r="PBX113" s="12"/>
      <c r="PCO113" s="12"/>
      <c r="PCP113" s="12"/>
      <c r="PDG113" s="12"/>
      <c r="PDH113" s="12"/>
      <c r="PDY113" s="12"/>
      <c r="PDZ113" s="12"/>
      <c r="PEQ113" s="12"/>
      <c r="PER113" s="12"/>
      <c r="PFI113" s="12"/>
      <c r="PFJ113" s="12"/>
      <c r="PGA113" s="12"/>
      <c r="PGB113" s="12"/>
      <c r="PGS113" s="12"/>
      <c r="PGT113" s="12"/>
      <c r="PHK113" s="12"/>
      <c r="PHL113" s="12"/>
      <c r="PIC113" s="12"/>
      <c r="PID113" s="12"/>
      <c r="PIU113" s="12"/>
      <c r="PIV113" s="12"/>
      <c r="PJM113" s="12"/>
      <c r="PJN113" s="12"/>
      <c r="PKE113" s="12"/>
      <c r="PKF113" s="12"/>
      <c r="PKW113" s="12"/>
      <c r="PKX113" s="12"/>
      <c r="PLO113" s="12"/>
      <c r="PLP113" s="12"/>
      <c r="PMG113" s="12"/>
      <c r="PMH113" s="12"/>
      <c r="PMY113" s="12"/>
      <c r="PMZ113" s="12"/>
      <c r="PNQ113" s="12"/>
      <c r="PNR113" s="12"/>
      <c r="POI113" s="12"/>
      <c r="POJ113" s="12"/>
      <c r="PPA113" s="12"/>
      <c r="PPB113" s="12"/>
      <c r="PPS113" s="12"/>
      <c r="PPT113" s="12"/>
      <c r="PQK113" s="12"/>
      <c r="PQL113" s="12"/>
      <c r="PRC113" s="12"/>
      <c r="PRD113" s="12"/>
      <c r="PRU113" s="12"/>
      <c r="PRV113" s="12"/>
      <c r="PSM113" s="12"/>
      <c r="PSN113" s="12"/>
      <c r="PTE113" s="12"/>
      <c r="PTF113" s="12"/>
      <c r="PTW113" s="12"/>
      <c r="PTX113" s="12"/>
      <c r="PUO113" s="12"/>
      <c r="PUP113" s="12"/>
      <c r="PVG113" s="12"/>
      <c r="PVH113" s="12"/>
      <c r="PVY113" s="12"/>
      <c r="PVZ113" s="12"/>
      <c r="PWQ113" s="12"/>
      <c r="PWR113" s="12"/>
      <c r="PXI113" s="12"/>
      <c r="PXJ113" s="12"/>
      <c r="PYA113" s="12"/>
      <c r="PYB113" s="12"/>
      <c r="PYS113" s="12"/>
      <c r="PYT113" s="12"/>
      <c r="PZK113" s="12"/>
      <c r="PZL113" s="12"/>
      <c r="QAC113" s="12"/>
      <c r="QAD113" s="12"/>
      <c r="QAU113" s="12"/>
      <c r="QAV113" s="12"/>
      <c r="QBM113" s="12"/>
      <c r="QBN113" s="12"/>
      <c r="QCE113" s="12"/>
      <c r="QCF113" s="12"/>
      <c r="QCW113" s="12"/>
      <c r="QCX113" s="12"/>
      <c r="QDO113" s="12"/>
      <c r="QDP113" s="12"/>
      <c r="QEG113" s="12"/>
      <c r="QEH113" s="12"/>
      <c r="QEY113" s="12"/>
      <c r="QEZ113" s="12"/>
      <c r="QFQ113" s="12"/>
      <c r="QFR113" s="12"/>
      <c r="QGI113" s="12"/>
      <c r="QGJ113" s="12"/>
      <c r="QHA113" s="12"/>
      <c r="QHB113" s="12"/>
      <c r="QHS113" s="12"/>
      <c r="QHT113" s="12"/>
      <c r="QIK113" s="12"/>
      <c r="QIL113" s="12"/>
      <c r="QJC113" s="12"/>
      <c r="QJD113" s="12"/>
      <c r="QJU113" s="12"/>
      <c r="QJV113" s="12"/>
      <c r="QKM113" s="12"/>
      <c r="QKN113" s="12"/>
      <c r="QLE113" s="12"/>
      <c r="QLF113" s="12"/>
      <c r="QLW113" s="12"/>
      <c r="QLX113" s="12"/>
      <c r="QMO113" s="12"/>
      <c r="QMP113" s="12"/>
      <c r="QNG113" s="12"/>
      <c r="QNH113" s="12"/>
      <c r="QNY113" s="12"/>
      <c r="QNZ113" s="12"/>
      <c r="QOQ113" s="12"/>
      <c r="QOR113" s="12"/>
      <c r="QPI113" s="12"/>
      <c r="QPJ113" s="12"/>
      <c r="QQA113" s="12"/>
      <c r="QQB113" s="12"/>
      <c r="QQS113" s="12"/>
      <c r="QQT113" s="12"/>
      <c r="QRK113" s="12"/>
      <c r="QRL113" s="12"/>
      <c r="QSC113" s="12"/>
      <c r="QSD113" s="12"/>
      <c r="QSU113" s="12"/>
      <c r="QSV113" s="12"/>
      <c r="QTM113" s="12"/>
      <c r="QTN113" s="12"/>
      <c r="QUE113" s="12"/>
      <c r="QUF113" s="12"/>
      <c r="QUW113" s="12"/>
      <c r="QUX113" s="12"/>
      <c r="QVO113" s="12"/>
      <c r="QVP113" s="12"/>
      <c r="QWG113" s="12"/>
      <c r="QWH113" s="12"/>
      <c r="QWY113" s="12"/>
      <c r="QWZ113" s="12"/>
      <c r="QXQ113" s="12"/>
      <c r="QXR113" s="12"/>
      <c r="QYI113" s="12"/>
      <c r="QYJ113" s="12"/>
      <c r="QZA113" s="12"/>
      <c r="QZB113" s="12"/>
      <c r="QZS113" s="12"/>
      <c r="QZT113" s="12"/>
      <c r="RAK113" s="12"/>
      <c r="RAL113" s="12"/>
      <c r="RBC113" s="12"/>
      <c r="RBD113" s="12"/>
      <c r="RBU113" s="12"/>
      <c r="RBV113" s="12"/>
      <c r="RCM113" s="12"/>
      <c r="RCN113" s="12"/>
      <c r="RDE113" s="12"/>
      <c r="RDF113" s="12"/>
      <c r="RDW113" s="12"/>
      <c r="RDX113" s="12"/>
      <c r="REO113" s="12"/>
      <c r="REP113" s="12"/>
      <c r="RFG113" s="12"/>
      <c r="RFH113" s="12"/>
      <c r="RFY113" s="12"/>
      <c r="RFZ113" s="12"/>
      <c r="RGQ113" s="12"/>
      <c r="RGR113" s="12"/>
      <c r="RHI113" s="12"/>
      <c r="RHJ113" s="12"/>
      <c r="RIA113" s="12"/>
      <c r="RIB113" s="12"/>
      <c r="RIS113" s="12"/>
      <c r="RIT113" s="12"/>
      <c r="RJK113" s="12"/>
      <c r="RJL113" s="12"/>
      <c r="RKC113" s="12"/>
      <c r="RKD113" s="12"/>
      <c r="RKU113" s="12"/>
      <c r="RKV113" s="12"/>
      <c r="RLM113" s="12"/>
      <c r="RLN113" s="12"/>
      <c r="RME113" s="12"/>
      <c r="RMF113" s="12"/>
      <c r="RMW113" s="12"/>
      <c r="RMX113" s="12"/>
      <c r="RNO113" s="12"/>
      <c r="RNP113" s="12"/>
      <c r="ROG113" s="12"/>
      <c r="ROH113" s="12"/>
      <c r="ROY113" s="12"/>
      <c r="ROZ113" s="12"/>
      <c r="RPQ113" s="12"/>
      <c r="RPR113" s="12"/>
      <c r="RQI113" s="12"/>
      <c r="RQJ113" s="12"/>
      <c r="RRA113" s="12"/>
      <c r="RRB113" s="12"/>
      <c r="RRS113" s="12"/>
      <c r="RRT113" s="12"/>
      <c r="RSK113" s="12"/>
      <c r="RSL113" s="12"/>
      <c r="RTC113" s="12"/>
      <c r="RTD113" s="12"/>
      <c r="RTU113" s="12"/>
      <c r="RTV113" s="12"/>
      <c r="RUM113" s="12"/>
      <c r="RUN113" s="12"/>
      <c r="RVE113" s="12"/>
      <c r="RVF113" s="12"/>
      <c r="RVW113" s="12"/>
      <c r="RVX113" s="12"/>
      <c r="RWO113" s="12"/>
      <c r="RWP113" s="12"/>
      <c r="RXG113" s="12"/>
      <c r="RXH113" s="12"/>
      <c r="RXY113" s="12"/>
      <c r="RXZ113" s="12"/>
      <c r="RYQ113" s="12"/>
      <c r="RYR113" s="12"/>
      <c r="RZI113" s="12"/>
      <c r="RZJ113" s="12"/>
      <c r="SAA113" s="12"/>
      <c r="SAB113" s="12"/>
      <c r="SAS113" s="12"/>
      <c r="SAT113" s="12"/>
      <c r="SBK113" s="12"/>
      <c r="SBL113" s="12"/>
      <c r="SCC113" s="12"/>
      <c r="SCD113" s="12"/>
      <c r="SCU113" s="12"/>
      <c r="SCV113" s="12"/>
      <c r="SDM113" s="12"/>
      <c r="SDN113" s="12"/>
      <c r="SEE113" s="12"/>
      <c r="SEF113" s="12"/>
      <c r="SEW113" s="12"/>
      <c r="SEX113" s="12"/>
      <c r="SFO113" s="12"/>
      <c r="SFP113" s="12"/>
      <c r="SGG113" s="12"/>
      <c r="SGH113" s="12"/>
      <c r="SGY113" s="12"/>
      <c r="SGZ113" s="12"/>
      <c r="SHQ113" s="12"/>
      <c r="SHR113" s="12"/>
      <c r="SII113" s="12"/>
      <c r="SIJ113" s="12"/>
      <c r="SJA113" s="12"/>
      <c r="SJB113" s="12"/>
      <c r="SJS113" s="12"/>
      <c r="SJT113" s="12"/>
      <c r="SKK113" s="12"/>
      <c r="SKL113" s="12"/>
      <c r="SLC113" s="12"/>
      <c r="SLD113" s="12"/>
      <c r="SLU113" s="12"/>
      <c r="SLV113" s="12"/>
      <c r="SMM113" s="12"/>
      <c r="SMN113" s="12"/>
      <c r="SNE113" s="12"/>
      <c r="SNF113" s="12"/>
      <c r="SNW113" s="12"/>
      <c r="SNX113" s="12"/>
      <c r="SOO113" s="12"/>
      <c r="SOP113" s="12"/>
      <c r="SPG113" s="12"/>
      <c r="SPH113" s="12"/>
      <c r="SPY113" s="12"/>
      <c r="SPZ113" s="12"/>
      <c r="SQQ113" s="12"/>
      <c r="SQR113" s="12"/>
      <c r="SRI113" s="12"/>
      <c r="SRJ113" s="12"/>
      <c r="SSA113" s="12"/>
      <c r="SSB113" s="12"/>
      <c r="SSS113" s="12"/>
      <c r="SST113" s="12"/>
      <c r="STK113" s="12"/>
      <c r="STL113" s="12"/>
      <c r="SUC113" s="12"/>
      <c r="SUD113" s="12"/>
      <c r="SUU113" s="12"/>
      <c r="SUV113" s="12"/>
      <c r="SVM113" s="12"/>
      <c r="SVN113" s="12"/>
      <c r="SWE113" s="12"/>
      <c r="SWF113" s="12"/>
      <c r="SWW113" s="12"/>
      <c r="SWX113" s="12"/>
      <c r="SXO113" s="12"/>
      <c r="SXP113" s="12"/>
      <c r="SYG113" s="12"/>
      <c r="SYH113" s="12"/>
      <c r="SYY113" s="12"/>
      <c r="SYZ113" s="12"/>
      <c r="SZQ113" s="12"/>
      <c r="SZR113" s="12"/>
      <c r="TAI113" s="12"/>
      <c r="TAJ113" s="12"/>
      <c r="TBA113" s="12"/>
      <c r="TBB113" s="12"/>
      <c r="TBS113" s="12"/>
      <c r="TBT113" s="12"/>
      <c r="TCK113" s="12"/>
      <c r="TCL113" s="12"/>
      <c r="TDC113" s="12"/>
      <c r="TDD113" s="12"/>
      <c r="TDU113" s="12"/>
      <c r="TDV113" s="12"/>
      <c r="TEM113" s="12"/>
      <c r="TEN113" s="12"/>
      <c r="TFE113" s="12"/>
      <c r="TFF113" s="12"/>
      <c r="TFW113" s="12"/>
      <c r="TFX113" s="12"/>
      <c r="TGO113" s="12"/>
      <c r="TGP113" s="12"/>
      <c r="THG113" s="12"/>
      <c r="THH113" s="12"/>
      <c r="THY113" s="12"/>
      <c r="THZ113" s="12"/>
      <c r="TIQ113" s="12"/>
      <c r="TIR113" s="12"/>
      <c r="TJI113" s="12"/>
      <c r="TJJ113" s="12"/>
      <c r="TKA113" s="12"/>
      <c r="TKB113" s="12"/>
      <c r="TKS113" s="12"/>
      <c r="TKT113" s="12"/>
      <c r="TLK113" s="12"/>
      <c r="TLL113" s="12"/>
      <c r="TMC113" s="12"/>
      <c r="TMD113" s="12"/>
      <c r="TMU113" s="12"/>
      <c r="TMV113" s="12"/>
      <c r="TNM113" s="12"/>
      <c r="TNN113" s="12"/>
      <c r="TOE113" s="12"/>
      <c r="TOF113" s="12"/>
      <c r="TOW113" s="12"/>
      <c r="TOX113" s="12"/>
      <c r="TPO113" s="12"/>
      <c r="TPP113" s="12"/>
      <c r="TQG113" s="12"/>
      <c r="TQH113" s="12"/>
      <c r="TQY113" s="12"/>
      <c r="TQZ113" s="12"/>
      <c r="TRQ113" s="12"/>
      <c r="TRR113" s="12"/>
      <c r="TSI113" s="12"/>
      <c r="TSJ113" s="12"/>
      <c r="TTA113" s="12"/>
      <c r="TTB113" s="12"/>
      <c r="TTS113" s="12"/>
      <c r="TTT113" s="12"/>
      <c r="TUK113" s="12"/>
      <c r="TUL113" s="12"/>
      <c r="TVC113" s="12"/>
      <c r="TVD113" s="12"/>
      <c r="TVU113" s="12"/>
      <c r="TVV113" s="12"/>
      <c r="TWM113" s="12"/>
      <c r="TWN113" s="12"/>
      <c r="TXE113" s="12"/>
      <c r="TXF113" s="12"/>
      <c r="TXW113" s="12"/>
      <c r="TXX113" s="12"/>
      <c r="TYO113" s="12"/>
      <c r="TYP113" s="12"/>
      <c r="TZG113" s="12"/>
      <c r="TZH113" s="12"/>
      <c r="TZY113" s="12"/>
      <c r="TZZ113" s="12"/>
      <c r="UAQ113" s="12"/>
      <c r="UAR113" s="12"/>
      <c r="UBI113" s="12"/>
      <c r="UBJ113" s="12"/>
      <c r="UCA113" s="12"/>
      <c r="UCB113" s="12"/>
      <c r="UCS113" s="12"/>
      <c r="UCT113" s="12"/>
      <c r="UDK113" s="12"/>
      <c r="UDL113" s="12"/>
      <c r="UEC113" s="12"/>
      <c r="UED113" s="12"/>
      <c r="UEU113" s="12"/>
      <c r="UEV113" s="12"/>
      <c r="UFM113" s="12"/>
      <c r="UFN113" s="12"/>
      <c r="UGE113" s="12"/>
      <c r="UGF113" s="12"/>
      <c r="UGW113" s="12"/>
      <c r="UGX113" s="12"/>
      <c r="UHO113" s="12"/>
      <c r="UHP113" s="12"/>
      <c r="UIG113" s="12"/>
      <c r="UIH113" s="12"/>
      <c r="UIY113" s="12"/>
      <c r="UIZ113" s="12"/>
      <c r="UJQ113" s="12"/>
      <c r="UJR113" s="12"/>
      <c r="UKI113" s="12"/>
      <c r="UKJ113" s="12"/>
      <c r="ULA113" s="12"/>
      <c r="ULB113" s="12"/>
      <c r="ULS113" s="12"/>
      <c r="ULT113" s="12"/>
      <c r="UMK113" s="12"/>
      <c r="UML113" s="12"/>
      <c r="UNC113" s="12"/>
      <c r="UND113" s="12"/>
      <c r="UNU113" s="12"/>
      <c r="UNV113" s="12"/>
      <c r="UOM113" s="12"/>
      <c r="UON113" s="12"/>
      <c r="UPE113" s="12"/>
      <c r="UPF113" s="12"/>
      <c r="UPW113" s="12"/>
      <c r="UPX113" s="12"/>
      <c r="UQO113" s="12"/>
      <c r="UQP113" s="12"/>
      <c r="URG113" s="12"/>
      <c r="URH113" s="12"/>
      <c r="URY113" s="12"/>
      <c r="URZ113" s="12"/>
      <c r="USQ113" s="12"/>
      <c r="USR113" s="12"/>
      <c r="UTI113" s="12"/>
      <c r="UTJ113" s="12"/>
      <c r="UUA113" s="12"/>
      <c r="UUB113" s="12"/>
      <c r="UUS113" s="12"/>
      <c r="UUT113" s="12"/>
      <c r="UVK113" s="12"/>
      <c r="UVL113" s="12"/>
      <c r="UWC113" s="12"/>
      <c r="UWD113" s="12"/>
      <c r="UWU113" s="12"/>
      <c r="UWV113" s="12"/>
      <c r="UXM113" s="12"/>
      <c r="UXN113" s="12"/>
      <c r="UYE113" s="12"/>
      <c r="UYF113" s="12"/>
      <c r="UYW113" s="12"/>
      <c r="UYX113" s="12"/>
      <c r="UZO113" s="12"/>
      <c r="UZP113" s="12"/>
      <c r="VAG113" s="12"/>
      <c r="VAH113" s="12"/>
      <c r="VAY113" s="12"/>
      <c r="VAZ113" s="12"/>
      <c r="VBQ113" s="12"/>
      <c r="VBR113" s="12"/>
      <c r="VCI113" s="12"/>
      <c r="VCJ113" s="12"/>
      <c r="VDA113" s="12"/>
      <c r="VDB113" s="12"/>
      <c r="VDS113" s="12"/>
      <c r="VDT113" s="12"/>
      <c r="VEK113" s="12"/>
      <c r="VEL113" s="12"/>
      <c r="VFC113" s="12"/>
      <c r="VFD113" s="12"/>
      <c r="VFU113" s="12"/>
      <c r="VFV113" s="12"/>
      <c r="VGM113" s="12"/>
      <c r="VGN113" s="12"/>
      <c r="VHE113" s="12"/>
      <c r="VHF113" s="12"/>
      <c r="VHW113" s="12"/>
      <c r="VHX113" s="12"/>
      <c r="VIO113" s="12"/>
      <c r="VIP113" s="12"/>
      <c r="VJG113" s="12"/>
      <c r="VJH113" s="12"/>
      <c r="VJY113" s="12"/>
      <c r="VJZ113" s="12"/>
      <c r="VKQ113" s="12"/>
      <c r="VKR113" s="12"/>
      <c r="VLI113" s="12"/>
      <c r="VLJ113" s="12"/>
      <c r="VMA113" s="12"/>
      <c r="VMB113" s="12"/>
      <c r="VMS113" s="12"/>
      <c r="VMT113" s="12"/>
      <c r="VNK113" s="12"/>
      <c r="VNL113" s="12"/>
      <c r="VOC113" s="12"/>
      <c r="VOD113" s="12"/>
      <c r="VOU113" s="12"/>
      <c r="VOV113" s="12"/>
      <c r="VPM113" s="12"/>
      <c r="VPN113" s="12"/>
      <c r="VQE113" s="12"/>
      <c r="VQF113" s="12"/>
      <c r="VQW113" s="12"/>
      <c r="VQX113" s="12"/>
      <c r="VRO113" s="12"/>
      <c r="VRP113" s="12"/>
      <c r="VSG113" s="12"/>
      <c r="VSH113" s="12"/>
      <c r="VSY113" s="12"/>
      <c r="VSZ113" s="12"/>
      <c r="VTQ113" s="12"/>
      <c r="VTR113" s="12"/>
      <c r="VUI113" s="12"/>
      <c r="VUJ113" s="12"/>
      <c r="VVA113" s="12"/>
      <c r="VVB113" s="12"/>
      <c r="VVS113" s="12"/>
      <c r="VVT113" s="12"/>
      <c r="VWK113" s="12"/>
      <c r="VWL113" s="12"/>
      <c r="VXC113" s="12"/>
      <c r="VXD113" s="12"/>
      <c r="VXU113" s="12"/>
      <c r="VXV113" s="12"/>
      <c r="VYM113" s="12"/>
      <c r="VYN113" s="12"/>
      <c r="VZE113" s="12"/>
      <c r="VZF113" s="12"/>
      <c r="VZW113" s="12"/>
      <c r="VZX113" s="12"/>
      <c r="WAO113" s="12"/>
      <c r="WAP113" s="12"/>
      <c r="WBG113" s="12"/>
      <c r="WBH113" s="12"/>
      <c r="WBY113" s="12"/>
      <c r="WBZ113" s="12"/>
      <c r="WCQ113" s="12"/>
      <c r="WCR113" s="12"/>
      <c r="WDI113" s="12"/>
      <c r="WDJ113" s="12"/>
      <c r="WEA113" s="12"/>
      <c r="WEB113" s="12"/>
      <c r="WES113" s="12"/>
      <c r="WET113" s="12"/>
      <c r="WFK113" s="12"/>
      <c r="WFL113" s="12"/>
      <c r="WGC113" s="12"/>
      <c r="WGD113" s="12"/>
      <c r="WGU113" s="12"/>
      <c r="WGV113" s="12"/>
      <c r="WHM113" s="12"/>
      <c r="WHN113" s="12"/>
      <c r="WIE113" s="12"/>
      <c r="WIF113" s="12"/>
      <c r="WIW113" s="12"/>
      <c r="WIX113" s="12"/>
      <c r="WJO113" s="12"/>
      <c r="WJP113" s="12"/>
      <c r="WKG113" s="12"/>
      <c r="WKH113" s="12"/>
      <c r="WKY113" s="12"/>
      <c r="WKZ113" s="12"/>
      <c r="WLQ113" s="12"/>
      <c r="WLR113" s="12"/>
      <c r="WMI113" s="12"/>
      <c r="WMJ113" s="12"/>
      <c r="WNA113" s="12"/>
      <c r="WNB113" s="12"/>
      <c r="WNS113" s="12"/>
      <c r="WNT113" s="12"/>
      <c r="WOK113" s="12"/>
      <c r="WOL113" s="12"/>
      <c r="WPC113" s="12"/>
      <c r="WPD113" s="12"/>
      <c r="WPU113" s="12"/>
      <c r="WPV113" s="12"/>
      <c r="WQM113" s="12"/>
      <c r="WQN113" s="12"/>
      <c r="WRE113" s="12"/>
      <c r="WRF113" s="12"/>
      <c r="WRW113" s="12"/>
      <c r="WRX113" s="12"/>
      <c r="WSO113" s="12"/>
      <c r="WSP113" s="12"/>
      <c r="WTG113" s="12"/>
      <c r="WTH113" s="12"/>
      <c r="WTY113" s="12"/>
      <c r="WTZ113" s="12"/>
      <c r="WUQ113" s="12"/>
      <c r="WUR113" s="12"/>
      <c r="WVI113" s="12"/>
      <c r="WVJ113" s="12"/>
      <c r="WWA113" s="12"/>
      <c r="WWB113" s="12"/>
      <c r="WWS113" s="12"/>
      <c r="WWT113" s="12"/>
      <c r="WXK113" s="12"/>
      <c r="WXL113" s="12"/>
      <c r="WYC113" s="12"/>
      <c r="WYD113" s="12"/>
      <c r="WYU113" s="12"/>
      <c r="WYV113" s="12"/>
      <c r="WZM113" s="12"/>
      <c r="WZN113" s="12"/>
      <c r="XAE113" s="12"/>
      <c r="XAF113" s="12"/>
      <c r="XAW113" s="12"/>
      <c r="XAX113" s="12"/>
      <c r="XBO113" s="12"/>
      <c r="XBP113" s="12"/>
      <c r="XCG113" s="12"/>
      <c r="XCH113" s="12"/>
      <c r="XCY113" s="12"/>
      <c r="XCZ113" s="12"/>
      <c r="XDQ113" s="12"/>
      <c r="XDR113" s="12"/>
      <c r="XEI113" s="12"/>
      <c r="XEJ113" s="12"/>
      <c r="XFA113" s="12"/>
      <c r="XFB113" s="12"/>
    </row>
    <row r="114" spans="1:1010 1027:2036 2053:3062 3079:4088 4105:5114 5131:6140 6157:7166 7183:8192 8209:9200 9217:10226 10243:11252 11269:12278 12295:13304 13321:14330 14347:15356 15373:16382" x14ac:dyDescent="0.35">
      <c r="A114" s="15" t="str">
        <f>'Balance Sheet - Standardized'!A116</f>
        <v>Equity Before Minority Interest</v>
      </c>
      <c r="B114" s="15" t="str">
        <f>'Balance Sheet - Standardized'!B116</f>
        <v>EQTY_BEF_MINORITY_INT_DETAILED</v>
      </c>
      <c r="C114" s="85">
        <f>IF('Balance Sheet - Standardized'!C116="",0,'Balance Sheet - Standardized'!C116)/'Balance Sheet - Standardized'!C$118</f>
        <v>1</v>
      </c>
      <c r="D114" s="85">
        <f>IF('Balance Sheet - Standardized'!D116="",0,'Balance Sheet - Standardized'!D116)/'Balance Sheet - Standardized'!D$118</f>
        <v>1</v>
      </c>
      <c r="E114" s="85">
        <f>IF('Balance Sheet - Standardized'!E116="",0,'Balance Sheet - Standardized'!E116)/'Balance Sheet - Standardized'!E$118</f>
        <v>1</v>
      </c>
      <c r="F114" s="85">
        <f>IF('Balance Sheet - Standardized'!F116="",0,'Balance Sheet - Standardized'!F116)/'Balance Sheet - Standardized'!F$118</f>
        <v>1</v>
      </c>
      <c r="G114" s="85">
        <f>IF('Balance Sheet - Standardized'!G116="",0,'Balance Sheet - Standardized'!G116)/'Balance Sheet - Standardized'!G$118</f>
        <v>1</v>
      </c>
      <c r="H114" s="85">
        <f>IF('Balance Sheet - Standardized'!H116="",0,'Balance Sheet - Standardized'!H116)/'Balance Sheet - Standardized'!H$118</f>
        <v>1</v>
      </c>
      <c r="I114" s="85">
        <f>IF('Balance Sheet - Standardized'!I116="",0,'Balance Sheet - Standardized'!I116)/'Balance Sheet - Standardized'!I$118</f>
        <v>1</v>
      </c>
      <c r="J114" s="85">
        <f>IF('Balance Sheet - Standardized'!J116="",0,'Balance Sheet - Standardized'!J116)/'Balance Sheet - Standardized'!J$118</f>
        <v>1</v>
      </c>
      <c r="K114" s="85">
        <f>IF('Balance Sheet - Standardized'!K116="",0,'Balance Sheet - Standardized'!K116)/'Balance Sheet - Standardized'!K$118</f>
        <v>1</v>
      </c>
      <c r="L114" s="85">
        <f>IF('Balance Sheet - Standardized'!L116="",0,'Balance Sheet - Standardized'!L116)/'Balance Sheet - Standardized'!L$118</f>
        <v>1</v>
      </c>
      <c r="M114" s="145"/>
      <c r="N114" s="145"/>
      <c r="O114" s="145"/>
      <c r="P114" s="145"/>
      <c r="Q114" s="145"/>
      <c r="R114" s="145"/>
      <c r="S114" s="74"/>
      <c r="T114" s="82"/>
      <c r="U114" s="82"/>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row>
    <row r="115" spans="1:1010 1027:2036 2053:3062 3079:4088 4105:5114 5131:6140 6157:7166 7183:8192 8209:9200 9217:10226 10243:11252 11269:12278 12295:13304 13321:14330 14347:15356 15373:16382" s="11" customFormat="1" x14ac:dyDescent="0.35">
      <c r="A115" s="183" t="str">
        <f>'Balance Sheet - Standardized'!A117</f>
        <v xml:space="preserve">  + Minority/Non Controlling Interest</v>
      </c>
      <c r="B115" s="75" t="str">
        <f>'Balance Sheet - Standardized'!B117</f>
        <v>MINORITY_NONCONTROLLING_INTEREST</v>
      </c>
      <c r="C115" s="76">
        <f>IF('Balance Sheet - Standardized'!C117="",0,'Balance Sheet - Standardized'!C117)/'Balance Sheet - Standardized'!C$118</f>
        <v>0</v>
      </c>
      <c r="D115" s="76">
        <f>IF('Balance Sheet - Standardized'!D117="",0,'Balance Sheet - Standardized'!D117)/'Balance Sheet - Standardized'!D$118</f>
        <v>0</v>
      </c>
      <c r="E115" s="76">
        <f>IF('Balance Sheet - Standardized'!E117="",0,'Balance Sheet - Standardized'!E117)/'Balance Sheet - Standardized'!E$118</f>
        <v>0</v>
      </c>
      <c r="F115" s="76">
        <f>IF('Balance Sheet - Standardized'!F117="",0,'Balance Sheet - Standardized'!F117)/'Balance Sheet - Standardized'!F$118</f>
        <v>0</v>
      </c>
      <c r="G115" s="76">
        <f>IF('Balance Sheet - Standardized'!G117="",0,'Balance Sheet - Standardized'!G117)/'Balance Sheet - Standardized'!G$118</f>
        <v>0</v>
      </c>
      <c r="H115" s="76">
        <f>IF('Balance Sheet - Standardized'!H117="",0,'Balance Sheet - Standardized'!H117)/'Balance Sheet - Standardized'!H$118</f>
        <v>0</v>
      </c>
      <c r="I115" s="76">
        <f>IF('Balance Sheet - Standardized'!I117="",0,'Balance Sheet - Standardized'!I117)/'Balance Sheet - Standardized'!I$118</f>
        <v>0</v>
      </c>
      <c r="J115" s="76">
        <f>IF('Balance Sheet - Standardized'!J117="",0,'Balance Sheet - Standardized'!J117)/'Balance Sheet - Standardized'!J$118</f>
        <v>0</v>
      </c>
      <c r="K115" s="76">
        <f>IF('Balance Sheet - Standardized'!K117="",0,'Balance Sheet - Standardized'!K117)/'Balance Sheet - Standardized'!K$118</f>
        <v>0</v>
      </c>
      <c r="L115" s="76">
        <f>IF('Balance Sheet - Standardized'!L117="",0,'Balance Sheet - Standardized'!L117)/'Balance Sheet - Standardized'!L$118</f>
        <v>0</v>
      </c>
      <c r="M115" s="106"/>
      <c r="N115" s="106"/>
      <c r="O115" s="106"/>
      <c r="P115" s="106"/>
      <c r="Q115" s="106"/>
      <c r="R115" s="106"/>
      <c r="S115" s="78"/>
      <c r="T115" s="78"/>
      <c r="U115" s="106"/>
      <c r="V115" s="106"/>
      <c r="W115" s="106"/>
      <c r="X115" s="106"/>
      <c r="Y115" s="106"/>
      <c r="Z115" s="106"/>
      <c r="AA115" s="106"/>
      <c r="AB115" s="106"/>
      <c r="AC115" s="106"/>
      <c r="AD115" s="106"/>
      <c r="AE115" s="106"/>
      <c r="AF115" s="106"/>
      <c r="AG115" s="106"/>
      <c r="AH115" s="106"/>
      <c r="AI115" s="106"/>
      <c r="AJ115" s="106"/>
      <c r="AK115" s="78"/>
      <c r="AL115" s="78"/>
      <c r="AM115" s="106"/>
      <c r="AN115" s="106"/>
      <c r="AO115" s="106"/>
      <c r="AP115" s="106"/>
      <c r="AQ115" s="106"/>
      <c r="AR115" s="106"/>
      <c r="AS115" s="106"/>
      <c r="AT115" s="106"/>
      <c r="AU115" s="106"/>
      <c r="AV115" s="106"/>
      <c r="AW115" s="106"/>
      <c r="AX115" s="106"/>
      <c r="AY115" s="106"/>
      <c r="AZ115" s="106"/>
      <c r="BA115" s="106"/>
      <c r="BB115" s="106"/>
      <c r="BC115" s="78"/>
      <c r="BD115" s="78"/>
      <c r="BE115" s="106"/>
      <c r="BF115" s="106"/>
      <c r="BG115" s="106"/>
      <c r="BH115" s="106"/>
      <c r="BI115" s="106"/>
      <c r="BJ115" s="106"/>
      <c r="BU115" s="12"/>
      <c r="BV115" s="12"/>
      <c r="CM115" s="12"/>
      <c r="CN115" s="12"/>
      <c r="DE115" s="12"/>
      <c r="DF115" s="12"/>
      <c r="DW115" s="12"/>
      <c r="DX115" s="12"/>
      <c r="EO115" s="12"/>
      <c r="EP115" s="12"/>
      <c r="FG115" s="12"/>
      <c r="FH115" s="12"/>
      <c r="FY115" s="12"/>
      <c r="FZ115" s="12"/>
      <c r="GQ115" s="12"/>
      <c r="GR115" s="12"/>
      <c r="HI115" s="12"/>
      <c r="HJ115" s="12"/>
      <c r="IA115" s="12"/>
      <c r="IB115" s="12"/>
      <c r="IS115" s="12"/>
      <c r="IT115" s="12"/>
      <c r="JK115" s="12"/>
      <c r="JL115" s="12"/>
      <c r="KC115" s="12"/>
      <c r="KD115" s="12"/>
      <c r="KU115" s="12"/>
      <c r="KV115" s="12"/>
      <c r="LM115" s="12"/>
      <c r="LN115" s="12"/>
      <c r="ME115" s="12"/>
      <c r="MF115" s="12"/>
      <c r="MW115" s="12"/>
      <c r="MX115" s="12"/>
      <c r="NO115" s="12"/>
      <c r="NP115" s="12"/>
      <c r="OG115" s="12"/>
      <c r="OH115" s="12"/>
      <c r="OY115" s="12"/>
      <c r="OZ115" s="12"/>
      <c r="PQ115" s="12"/>
      <c r="PR115" s="12"/>
      <c r="QI115" s="12"/>
      <c r="QJ115" s="12"/>
      <c r="RA115" s="12"/>
      <c r="RB115" s="12"/>
      <c r="RS115" s="12"/>
      <c r="RT115" s="12"/>
      <c r="SK115" s="12"/>
      <c r="SL115" s="12"/>
      <c r="TC115" s="12"/>
      <c r="TD115" s="12"/>
      <c r="TU115" s="12"/>
      <c r="TV115" s="12"/>
      <c r="UM115" s="12"/>
      <c r="UN115" s="12"/>
      <c r="VE115" s="12"/>
      <c r="VF115" s="12"/>
      <c r="VW115" s="12"/>
      <c r="VX115" s="12"/>
      <c r="WO115" s="12"/>
      <c r="WP115" s="12"/>
      <c r="XG115" s="12"/>
      <c r="XH115" s="12"/>
      <c r="XY115" s="12"/>
      <c r="XZ115" s="12"/>
      <c r="YQ115" s="12"/>
      <c r="YR115" s="12"/>
      <c r="ZI115" s="12"/>
      <c r="ZJ115" s="12"/>
      <c r="AAA115" s="12"/>
      <c r="AAB115" s="12"/>
      <c r="AAS115" s="12"/>
      <c r="AAT115" s="12"/>
      <c r="ABK115" s="12"/>
      <c r="ABL115" s="12"/>
      <c r="ACC115" s="12"/>
      <c r="ACD115" s="12"/>
      <c r="ACU115" s="12"/>
      <c r="ACV115" s="12"/>
      <c r="ADM115" s="12"/>
      <c r="ADN115" s="12"/>
      <c r="AEE115" s="12"/>
      <c r="AEF115" s="12"/>
      <c r="AEW115" s="12"/>
      <c r="AEX115" s="12"/>
      <c r="AFO115" s="12"/>
      <c r="AFP115" s="12"/>
      <c r="AGG115" s="12"/>
      <c r="AGH115" s="12"/>
      <c r="AGY115" s="12"/>
      <c r="AGZ115" s="12"/>
      <c r="AHQ115" s="12"/>
      <c r="AHR115" s="12"/>
      <c r="AII115" s="12"/>
      <c r="AIJ115" s="12"/>
      <c r="AJA115" s="12"/>
      <c r="AJB115" s="12"/>
      <c r="AJS115" s="12"/>
      <c r="AJT115" s="12"/>
      <c r="AKK115" s="12"/>
      <c r="AKL115" s="12"/>
      <c r="ALC115" s="12"/>
      <c r="ALD115" s="12"/>
      <c r="ALU115" s="12"/>
      <c r="ALV115" s="12"/>
      <c r="AMM115" s="12"/>
      <c r="AMN115" s="12"/>
      <c r="ANE115" s="12"/>
      <c r="ANF115" s="12"/>
      <c r="ANW115" s="12"/>
      <c r="ANX115" s="12"/>
      <c r="AOO115" s="12"/>
      <c r="AOP115" s="12"/>
      <c r="APG115" s="12"/>
      <c r="APH115" s="12"/>
      <c r="APY115" s="12"/>
      <c r="APZ115" s="12"/>
      <c r="AQQ115" s="12"/>
      <c r="AQR115" s="12"/>
      <c r="ARI115" s="12"/>
      <c r="ARJ115" s="12"/>
      <c r="ASA115" s="12"/>
      <c r="ASB115" s="12"/>
      <c r="ASS115" s="12"/>
      <c r="AST115" s="12"/>
      <c r="ATK115" s="12"/>
      <c r="ATL115" s="12"/>
      <c r="AUC115" s="12"/>
      <c r="AUD115" s="12"/>
      <c r="AUU115" s="12"/>
      <c r="AUV115" s="12"/>
      <c r="AVM115" s="12"/>
      <c r="AVN115" s="12"/>
      <c r="AWE115" s="12"/>
      <c r="AWF115" s="12"/>
      <c r="AWW115" s="12"/>
      <c r="AWX115" s="12"/>
      <c r="AXO115" s="12"/>
      <c r="AXP115" s="12"/>
      <c r="AYG115" s="12"/>
      <c r="AYH115" s="12"/>
      <c r="AYY115" s="12"/>
      <c r="AYZ115" s="12"/>
      <c r="AZQ115" s="12"/>
      <c r="AZR115" s="12"/>
      <c r="BAI115" s="12"/>
      <c r="BAJ115" s="12"/>
      <c r="BBA115" s="12"/>
      <c r="BBB115" s="12"/>
      <c r="BBS115" s="12"/>
      <c r="BBT115" s="12"/>
      <c r="BCK115" s="12"/>
      <c r="BCL115" s="12"/>
      <c r="BDC115" s="12"/>
      <c r="BDD115" s="12"/>
      <c r="BDU115" s="12"/>
      <c r="BDV115" s="12"/>
      <c r="BEM115" s="12"/>
      <c r="BEN115" s="12"/>
      <c r="BFE115" s="12"/>
      <c r="BFF115" s="12"/>
      <c r="BFW115" s="12"/>
      <c r="BFX115" s="12"/>
      <c r="BGO115" s="12"/>
      <c r="BGP115" s="12"/>
      <c r="BHG115" s="12"/>
      <c r="BHH115" s="12"/>
      <c r="BHY115" s="12"/>
      <c r="BHZ115" s="12"/>
      <c r="BIQ115" s="12"/>
      <c r="BIR115" s="12"/>
      <c r="BJI115" s="12"/>
      <c r="BJJ115" s="12"/>
      <c r="BKA115" s="12"/>
      <c r="BKB115" s="12"/>
      <c r="BKS115" s="12"/>
      <c r="BKT115" s="12"/>
      <c r="BLK115" s="12"/>
      <c r="BLL115" s="12"/>
      <c r="BMC115" s="12"/>
      <c r="BMD115" s="12"/>
      <c r="BMU115" s="12"/>
      <c r="BMV115" s="12"/>
      <c r="BNM115" s="12"/>
      <c r="BNN115" s="12"/>
      <c r="BOE115" s="12"/>
      <c r="BOF115" s="12"/>
      <c r="BOW115" s="12"/>
      <c r="BOX115" s="12"/>
      <c r="BPO115" s="12"/>
      <c r="BPP115" s="12"/>
      <c r="BQG115" s="12"/>
      <c r="BQH115" s="12"/>
      <c r="BQY115" s="12"/>
      <c r="BQZ115" s="12"/>
      <c r="BRQ115" s="12"/>
      <c r="BRR115" s="12"/>
      <c r="BSI115" s="12"/>
      <c r="BSJ115" s="12"/>
      <c r="BTA115" s="12"/>
      <c r="BTB115" s="12"/>
      <c r="BTS115" s="12"/>
      <c r="BTT115" s="12"/>
      <c r="BUK115" s="12"/>
      <c r="BUL115" s="12"/>
      <c r="BVC115" s="12"/>
      <c r="BVD115" s="12"/>
      <c r="BVU115" s="12"/>
      <c r="BVV115" s="12"/>
      <c r="BWM115" s="12"/>
      <c r="BWN115" s="12"/>
      <c r="BXE115" s="12"/>
      <c r="BXF115" s="12"/>
      <c r="BXW115" s="12"/>
      <c r="BXX115" s="12"/>
      <c r="BYO115" s="12"/>
      <c r="BYP115" s="12"/>
      <c r="BZG115" s="12"/>
      <c r="BZH115" s="12"/>
      <c r="BZY115" s="12"/>
      <c r="BZZ115" s="12"/>
      <c r="CAQ115" s="12"/>
      <c r="CAR115" s="12"/>
      <c r="CBI115" s="12"/>
      <c r="CBJ115" s="12"/>
      <c r="CCA115" s="12"/>
      <c r="CCB115" s="12"/>
      <c r="CCS115" s="12"/>
      <c r="CCT115" s="12"/>
      <c r="CDK115" s="12"/>
      <c r="CDL115" s="12"/>
      <c r="CEC115" s="12"/>
      <c r="CED115" s="12"/>
      <c r="CEU115" s="12"/>
      <c r="CEV115" s="12"/>
      <c r="CFM115" s="12"/>
      <c r="CFN115" s="12"/>
      <c r="CGE115" s="12"/>
      <c r="CGF115" s="12"/>
      <c r="CGW115" s="12"/>
      <c r="CGX115" s="12"/>
      <c r="CHO115" s="12"/>
      <c r="CHP115" s="12"/>
      <c r="CIG115" s="12"/>
      <c r="CIH115" s="12"/>
      <c r="CIY115" s="12"/>
      <c r="CIZ115" s="12"/>
      <c r="CJQ115" s="12"/>
      <c r="CJR115" s="12"/>
      <c r="CKI115" s="12"/>
      <c r="CKJ115" s="12"/>
      <c r="CLA115" s="12"/>
      <c r="CLB115" s="12"/>
      <c r="CLS115" s="12"/>
      <c r="CLT115" s="12"/>
      <c r="CMK115" s="12"/>
      <c r="CML115" s="12"/>
      <c r="CNC115" s="12"/>
      <c r="CND115" s="12"/>
      <c r="CNU115" s="12"/>
      <c r="CNV115" s="12"/>
      <c r="COM115" s="12"/>
      <c r="CON115" s="12"/>
      <c r="CPE115" s="12"/>
      <c r="CPF115" s="12"/>
      <c r="CPW115" s="12"/>
      <c r="CPX115" s="12"/>
      <c r="CQO115" s="12"/>
      <c r="CQP115" s="12"/>
      <c r="CRG115" s="12"/>
      <c r="CRH115" s="12"/>
      <c r="CRY115" s="12"/>
      <c r="CRZ115" s="12"/>
      <c r="CSQ115" s="12"/>
      <c r="CSR115" s="12"/>
      <c r="CTI115" s="12"/>
      <c r="CTJ115" s="12"/>
      <c r="CUA115" s="12"/>
      <c r="CUB115" s="12"/>
      <c r="CUS115" s="12"/>
      <c r="CUT115" s="12"/>
      <c r="CVK115" s="12"/>
      <c r="CVL115" s="12"/>
      <c r="CWC115" s="12"/>
      <c r="CWD115" s="12"/>
      <c r="CWU115" s="12"/>
      <c r="CWV115" s="12"/>
      <c r="CXM115" s="12"/>
      <c r="CXN115" s="12"/>
      <c r="CYE115" s="12"/>
      <c r="CYF115" s="12"/>
      <c r="CYW115" s="12"/>
      <c r="CYX115" s="12"/>
      <c r="CZO115" s="12"/>
      <c r="CZP115" s="12"/>
      <c r="DAG115" s="12"/>
      <c r="DAH115" s="12"/>
      <c r="DAY115" s="12"/>
      <c r="DAZ115" s="12"/>
      <c r="DBQ115" s="12"/>
      <c r="DBR115" s="12"/>
      <c r="DCI115" s="12"/>
      <c r="DCJ115" s="12"/>
      <c r="DDA115" s="12"/>
      <c r="DDB115" s="12"/>
      <c r="DDS115" s="12"/>
      <c r="DDT115" s="12"/>
      <c r="DEK115" s="12"/>
      <c r="DEL115" s="12"/>
      <c r="DFC115" s="12"/>
      <c r="DFD115" s="12"/>
      <c r="DFU115" s="12"/>
      <c r="DFV115" s="12"/>
      <c r="DGM115" s="12"/>
      <c r="DGN115" s="12"/>
      <c r="DHE115" s="12"/>
      <c r="DHF115" s="12"/>
      <c r="DHW115" s="12"/>
      <c r="DHX115" s="12"/>
      <c r="DIO115" s="12"/>
      <c r="DIP115" s="12"/>
      <c r="DJG115" s="12"/>
      <c r="DJH115" s="12"/>
      <c r="DJY115" s="12"/>
      <c r="DJZ115" s="12"/>
      <c r="DKQ115" s="12"/>
      <c r="DKR115" s="12"/>
      <c r="DLI115" s="12"/>
      <c r="DLJ115" s="12"/>
      <c r="DMA115" s="12"/>
      <c r="DMB115" s="12"/>
      <c r="DMS115" s="12"/>
      <c r="DMT115" s="12"/>
      <c r="DNK115" s="12"/>
      <c r="DNL115" s="12"/>
      <c r="DOC115" s="12"/>
      <c r="DOD115" s="12"/>
      <c r="DOU115" s="12"/>
      <c r="DOV115" s="12"/>
      <c r="DPM115" s="12"/>
      <c r="DPN115" s="12"/>
      <c r="DQE115" s="12"/>
      <c r="DQF115" s="12"/>
      <c r="DQW115" s="12"/>
      <c r="DQX115" s="12"/>
      <c r="DRO115" s="12"/>
      <c r="DRP115" s="12"/>
      <c r="DSG115" s="12"/>
      <c r="DSH115" s="12"/>
      <c r="DSY115" s="12"/>
      <c r="DSZ115" s="12"/>
      <c r="DTQ115" s="12"/>
      <c r="DTR115" s="12"/>
      <c r="DUI115" s="12"/>
      <c r="DUJ115" s="12"/>
      <c r="DVA115" s="12"/>
      <c r="DVB115" s="12"/>
      <c r="DVS115" s="12"/>
      <c r="DVT115" s="12"/>
      <c r="DWK115" s="12"/>
      <c r="DWL115" s="12"/>
      <c r="DXC115" s="12"/>
      <c r="DXD115" s="12"/>
      <c r="DXU115" s="12"/>
      <c r="DXV115" s="12"/>
      <c r="DYM115" s="12"/>
      <c r="DYN115" s="12"/>
      <c r="DZE115" s="12"/>
      <c r="DZF115" s="12"/>
      <c r="DZW115" s="12"/>
      <c r="DZX115" s="12"/>
      <c r="EAO115" s="12"/>
      <c r="EAP115" s="12"/>
      <c r="EBG115" s="12"/>
      <c r="EBH115" s="12"/>
      <c r="EBY115" s="12"/>
      <c r="EBZ115" s="12"/>
      <c r="ECQ115" s="12"/>
      <c r="ECR115" s="12"/>
      <c r="EDI115" s="12"/>
      <c r="EDJ115" s="12"/>
      <c r="EEA115" s="12"/>
      <c r="EEB115" s="12"/>
      <c r="EES115" s="12"/>
      <c r="EET115" s="12"/>
      <c r="EFK115" s="12"/>
      <c r="EFL115" s="12"/>
      <c r="EGC115" s="12"/>
      <c r="EGD115" s="12"/>
      <c r="EGU115" s="12"/>
      <c r="EGV115" s="12"/>
      <c r="EHM115" s="12"/>
      <c r="EHN115" s="12"/>
      <c r="EIE115" s="12"/>
      <c r="EIF115" s="12"/>
      <c r="EIW115" s="12"/>
      <c r="EIX115" s="12"/>
      <c r="EJO115" s="12"/>
      <c r="EJP115" s="12"/>
      <c r="EKG115" s="12"/>
      <c r="EKH115" s="12"/>
      <c r="EKY115" s="12"/>
      <c r="EKZ115" s="12"/>
      <c r="ELQ115" s="12"/>
      <c r="ELR115" s="12"/>
      <c r="EMI115" s="12"/>
      <c r="EMJ115" s="12"/>
      <c r="ENA115" s="12"/>
      <c r="ENB115" s="12"/>
      <c r="ENS115" s="12"/>
      <c r="ENT115" s="12"/>
      <c r="EOK115" s="12"/>
      <c r="EOL115" s="12"/>
      <c r="EPC115" s="12"/>
      <c r="EPD115" s="12"/>
      <c r="EPU115" s="12"/>
      <c r="EPV115" s="12"/>
      <c r="EQM115" s="12"/>
      <c r="EQN115" s="12"/>
      <c r="ERE115" s="12"/>
      <c r="ERF115" s="12"/>
      <c r="ERW115" s="12"/>
      <c r="ERX115" s="12"/>
      <c r="ESO115" s="12"/>
      <c r="ESP115" s="12"/>
      <c r="ETG115" s="12"/>
      <c r="ETH115" s="12"/>
      <c r="ETY115" s="12"/>
      <c r="ETZ115" s="12"/>
      <c r="EUQ115" s="12"/>
      <c r="EUR115" s="12"/>
      <c r="EVI115" s="12"/>
      <c r="EVJ115" s="12"/>
      <c r="EWA115" s="12"/>
      <c r="EWB115" s="12"/>
      <c r="EWS115" s="12"/>
      <c r="EWT115" s="12"/>
      <c r="EXK115" s="12"/>
      <c r="EXL115" s="12"/>
      <c r="EYC115" s="12"/>
      <c r="EYD115" s="12"/>
      <c r="EYU115" s="12"/>
      <c r="EYV115" s="12"/>
      <c r="EZM115" s="12"/>
      <c r="EZN115" s="12"/>
      <c r="FAE115" s="12"/>
      <c r="FAF115" s="12"/>
      <c r="FAW115" s="12"/>
      <c r="FAX115" s="12"/>
      <c r="FBO115" s="12"/>
      <c r="FBP115" s="12"/>
      <c r="FCG115" s="12"/>
      <c r="FCH115" s="12"/>
      <c r="FCY115" s="12"/>
      <c r="FCZ115" s="12"/>
      <c r="FDQ115" s="12"/>
      <c r="FDR115" s="12"/>
      <c r="FEI115" s="12"/>
      <c r="FEJ115" s="12"/>
      <c r="FFA115" s="12"/>
      <c r="FFB115" s="12"/>
      <c r="FFS115" s="12"/>
      <c r="FFT115" s="12"/>
      <c r="FGK115" s="12"/>
      <c r="FGL115" s="12"/>
      <c r="FHC115" s="12"/>
      <c r="FHD115" s="12"/>
      <c r="FHU115" s="12"/>
      <c r="FHV115" s="12"/>
      <c r="FIM115" s="12"/>
      <c r="FIN115" s="12"/>
      <c r="FJE115" s="12"/>
      <c r="FJF115" s="12"/>
      <c r="FJW115" s="12"/>
      <c r="FJX115" s="12"/>
      <c r="FKO115" s="12"/>
      <c r="FKP115" s="12"/>
      <c r="FLG115" s="12"/>
      <c r="FLH115" s="12"/>
      <c r="FLY115" s="12"/>
      <c r="FLZ115" s="12"/>
      <c r="FMQ115" s="12"/>
      <c r="FMR115" s="12"/>
      <c r="FNI115" s="12"/>
      <c r="FNJ115" s="12"/>
      <c r="FOA115" s="12"/>
      <c r="FOB115" s="12"/>
      <c r="FOS115" s="12"/>
      <c r="FOT115" s="12"/>
      <c r="FPK115" s="12"/>
      <c r="FPL115" s="12"/>
      <c r="FQC115" s="12"/>
      <c r="FQD115" s="12"/>
      <c r="FQU115" s="12"/>
      <c r="FQV115" s="12"/>
      <c r="FRM115" s="12"/>
      <c r="FRN115" s="12"/>
      <c r="FSE115" s="12"/>
      <c r="FSF115" s="12"/>
      <c r="FSW115" s="12"/>
      <c r="FSX115" s="12"/>
      <c r="FTO115" s="12"/>
      <c r="FTP115" s="12"/>
      <c r="FUG115" s="12"/>
      <c r="FUH115" s="12"/>
      <c r="FUY115" s="12"/>
      <c r="FUZ115" s="12"/>
      <c r="FVQ115" s="12"/>
      <c r="FVR115" s="12"/>
      <c r="FWI115" s="12"/>
      <c r="FWJ115" s="12"/>
      <c r="FXA115" s="12"/>
      <c r="FXB115" s="12"/>
      <c r="FXS115" s="12"/>
      <c r="FXT115" s="12"/>
      <c r="FYK115" s="12"/>
      <c r="FYL115" s="12"/>
      <c r="FZC115" s="12"/>
      <c r="FZD115" s="12"/>
      <c r="FZU115" s="12"/>
      <c r="FZV115" s="12"/>
      <c r="GAM115" s="12"/>
      <c r="GAN115" s="12"/>
      <c r="GBE115" s="12"/>
      <c r="GBF115" s="12"/>
      <c r="GBW115" s="12"/>
      <c r="GBX115" s="12"/>
      <c r="GCO115" s="12"/>
      <c r="GCP115" s="12"/>
      <c r="GDG115" s="12"/>
      <c r="GDH115" s="12"/>
      <c r="GDY115" s="12"/>
      <c r="GDZ115" s="12"/>
      <c r="GEQ115" s="12"/>
      <c r="GER115" s="12"/>
      <c r="GFI115" s="12"/>
      <c r="GFJ115" s="12"/>
      <c r="GGA115" s="12"/>
      <c r="GGB115" s="12"/>
      <c r="GGS115" s="12"/>
      <c r="GGT115" s="12"/>
      <c r="GHK115" s="12"/>
      <c r="GHL115" s="12"/>
      <c r="GIC115" s="12"/>
      <c r="GID115" s="12"/>
      <c r="GIU115" s="12"/>
      <c r="GIV115" s="12"/>
      <c r="GJM115" s="12"/>
      <c r="GJN115" s="12"/>
      <c r="GKE115" s="12"/>
      <c r="GKF115" s="12"/>
      <c r="GKW115" s="12"/>
      <c r="GKX115" s="12"/>
      <c r="GLO115" s="12"/>
      <c r="GLP115" s="12"/>
      <c r="GMG115" s="12"/>
      <c r="GMH115" s="12"/>
      <c r="GMY115" s="12"/>
      <c r="GMZ115" s="12"/>
      <c r="GNQ115" s="12"/>
      <c r="GNR115" s="12"/>
      <c r="GOI115" s="12"/>
      <c r="GOJ115" s="12"/>
      <c r="GPA115" s="12"/>
      <c r="GPB115" s="12"/>
      <c r="GPS115" s="12"/>
      <c r="GPT115" s="12"/>
      <c r="GQK115" s="12"/>
      <c r="GQL115" s="12"/>
      <c r="GRC115" s="12"/>
      <c r="GRD115" s="12"/>
      <c r="GRU115" s="12"/>
      <c r="GRV115" s="12"/>
      <c r="GSM115" s="12"/>
      <c r="GSN115" s="12"/>
      <c r="GTE115" s="12"/>
      <c r="GTF115" s="12"/>
      <c r="GTW115" s="12"/>
      <c r="GTX115" s="12"/>
      <c r="GUO115" s="12"/>
      <c r="GUP115" s="12"/>
      <c r="GVG115" s="12"/>
      <c r="GVH115" s="12"/>
      <c r="GVY115" s="12"/>
      <c r="GVZ115" s="12"/>
      <c r="GWQ115" s="12"/>
      <c r="GWR115" s="12"/>
      <c r="GXI115" s="12"/>
      <c r="GXJ115" s="12"/>
      <c r="GYA115" s="12"/>
      <c r="GYB115" s="12"/>
      <c r="GYS115" s="12"/>
      <c r="GYT115" s="12"/>
      <c r="GZK115" s="12"/>
      <c r="GZL115" s="12"/>
      <c r="HAC115" s="12"/>
      <c r="HAD115" s="12"/>
      <c r="HAU115" s="12"/>
      <c r="HAV115" s="12"/>
      <c r="HBM115" s="12"/>
      <c r="HBN115" s="12"/>
      <c r="HCE115" s="12"/>
      <c r="HCF115" s="12"/>
      <c r="HCW115" s="12"/>
      <c r="HCX115" s="12"/>
      <c r="HDO115" s="12"/>
      <c r="HDP115" s="12"/>
      <c r="HEG115" s="12"/>
      <c r="HEH115" s="12"/>
      <c r="HEY115" s="12"/>
      <c r="HEZ115" s="12"/>
      <c r="HFQ115" s="12"/>
      <c r="HFR115" s="12"/>
      <c r="HGI115" s="12"/>
      <c r="HGJ115" s="12"/>
      <c r="HHA115" s="12"/>
      <c r="HHB115" s="12"/>
      <c r="HHS115" s="12"/>
      <c r="HHT115" s="12"/>
      <c r="HIK115" s="12"/>
      <c r="HIL115" s="12"/>
      <c r="HJC115" s="12"/>
      <c r="HJD115" s="12"/>
      <c r="HJU115" s="12"/>
      <c r="HJV115" s="12"/>
      <c r="HKM115" s="12"/>
      <c r="HKN115" s="12"/>
      <c r="HLE115" s="12"/>
      <c r="HLF115" s="12"/>
      <c r="HLW115" s="12"/>
      <c r="HLX115" s="12"/>
      <c r="HMO115" s="12"/>
      <c r="HMP115" s="12"/>
      <c r="HNG115" s="12"/>
      <c r="HNH115" s="12"/>
      <c r="HNY115" s="12"/>
      <c r="HNZ115" s="12"/>
      <c r="HOQ115" s="12"/>
      <c r="HOR115" s="12"/>
      <c r="HPI115" s="12"/>
      <c r="HPJ115" s="12"/>
      <c r="HQA115" s="12"/>
      <c r="HQB115" s="12"/>
      <c r="HQS115" s="12"/>
      <c r="HQT115" s="12"/>
      <c r="HRK115" s="12"/>
      <c r="HRL115" s="12"/>
      <c r="HSC115" s="12"/>
      <c r="HSD115" s="12"/>
      <c r="HSU115" s="12"/>
      <c r="HSV115" s="12"/>
      <c r="HTM115" s="12"/>
      <c r="HTN115" s="12"/>
      <c r="HUE115" s="12"/>
      <c r="HUF115" s="12"/>
      <c r="HUW115" s="12"/>
      <c r="HUX115" s="12"/>
      <c r="HVO115" s="12"/>
      <c r="HVP115" s="12"/>
      <c r="HWG115" s="12"/>
      <c r="HWH115" s="12"/>
      <c r="HWY115" s="12"/>
      <c r="HWZ115" s="12"/>
      <c r="HXQ115" s="12"/>
      <c r="HXR115" s="12"/>
      <c r="HYI115" s="12"/>
      <c r="HYJ115" s="12"/>
      <c r="HZA115" s="12"/>
      <c r="HZB115" s="12"/>
      <c r="HZS115" s="12"/>
      <c r="HZT115" s="12"/>
      <c r="IAK115" s="12"/>
      <c r="IAL115" s="12"/>
      <c r="IBC115" s="12"/>
      <c r="IBD115" s="12"/>
      <c r="IBU115" s="12"/>
      <c r="IBV115" s="12"/>
      <c r="ICM115" s="12"/>
      <c r="ICN115" s="12"/>
      <c r="IDE115" s="12"/>
      <c r="IDF115" s="12"/>
      <c r="IDW115" s="12"/>
      <c r="IDX115" s="12"/>
      <c r="IEO115" s="12"/>
      <c r="IEP115" s="12"/>
      <c r="IFG115" s="12"/>
      <c r="IFH115" s="12"/>
      <c r="IFY115" s="12"/>
      <c r="IFZ115" s="12"/>
      <c r="IGQ115" s="12"/>
      <c r="IGR115" s="12"/>
      <c r="IHI115" s="12"/>
      <c r="IHJ115" s="12"/>
      <c r="IIA115" s="12"/>
      <c r="IIB115" s="12"/>
      <c r="IIS115" s="12"/>
      <c r="IIT115" s="12"/>
      <c r="IJK115" s="12"/>
      <c r="IJL115" s="12"/>
      <c r="IKC115" s="12"/>
      <c r="IKD115" s="12"/>
      <c r="IKU115" s="12"/>
      <c r="IKV115" s="12"/>
      <c r="ILM115" s="12"/>
      <c r="ILN115" s="12"/>
      <c r="IME115" s="12"/>
      <c r="IMF115" s="12"/>
      <c r="IMW115" s="12"/>
      <c r="IMX115" s="12"/>
      <c r="INO115" s="12"/>
      <c r="INP115" s="12"/>
      <c r="IOG115" s="12"/>
      <c r="IOH115" s="12"/>
      <c r="IOY115" s="12"/>
      <c r="IOZ115" s="12"/>
      <c r="IPQ115" s="12"/>
      <c r="IPR115" s="12"/>
      <c r="IQI115" s="12"/>
      <c r="IQJ115" s="12"/>
      <c r="IRA115" s="12"/>
      <c r="IRB115" s="12"/>
      <c r="IRS115" s="12"/>
      <c r="IRT115" s="12"/>
      <c r="ISK115" s="12"/>
      <c r="ISL115" s="12"/>
      <c r="ITC115" s="12"/>
      <c r="ITD115" s="12"/>
      <c r="ITU115" s="12"/>
      <c r="ITV115" s="12"/>
      <c r="IUM115" s="12"/>
      <c r="IUN115" s="12"/>
      <c r="IVE115" s="12"/>
      <c r="IVF115" s="12"/>
      <c r="IVW115" s="12"/>
      <c r="IVX115" s="12"/>
      <c r="IWO115" s="12"/>
      <c r="IWP115" s="12"/>
      <c r="IXG115" s="12"/>
      <c r="IXH115" s="12"/>
      <c r="IXY115" s="12"/>
      <c r="IXZ115" s="12"/>
      <c r="IYQ115" s="12"/>
      <c r="IYR115" s="12"/>
      <c r="IZI115" s="12"/>
      <c r="IZJ115" s="12"/>
      <c r="JAA115" s="12"/>
      <c r="JAB115" s="12"/>
      <c r="JAS115" s="12"/>
      <c r="JAT115" s="12"/>
      <c r="JBK115" s="12"/>
      <c r="JBL115" s="12"/>
      <c r="JCC115" s="12"/>
      <c r="JCD115" s="12"/>
      <c r="JCU115" s="12"/>
      <c r="JCV115" s="12"/>
      <c r="JDM115" s="12"/>
      <c r="JDN115" s="12"/>
      <c r="JEE115" s="12"/>
      <c r="JEF115" s="12"/>
      <c r="JEW115" s="12"/>
      <c r="JEX115" s="12"/>
      <c r="JFO115" s="12"/>
      <c r="JFP115" s="12"/>
      <c r="JGG115" s="12"/>
      <c r="JGH115" s="12"/>
      <c r="JGY115" s="12"/>
      <c r="JGZ115" s="12"/>
      <c r="JHQ115" s="12"/>
      <c r="JHR115" s="12"/>
      <c r="JII115" s="12"/>
      <c r="JIJ115" s="12"/>
      <c r="JJA115" s="12"/>
      <c r="JJB115" s="12"/>
      <c r="JJS115" s="12"/>
      <c r="JJT115" s="12"/>
      <c r="JKK115" s="12"/>
      <c r="JKL115" s="12"/>
      <c r="JLC115" s="12"/>
      <c r="JLD115" s="12"/>
      <c r="JLU115" s="12"/>
      <c r="JLV115" s="12"/>
      <c r="JMM115" s="12"/>
      <c r="JMN115" s="12"/>
      <c r="JNE115" s="12"/>
      <c r="JNF115" s="12"/>
      <c r="JNW115" s="12"/>
      <c r="JNX115" s="12"/>
      <c r="JOO115" s="12"/>
      <c r="JOP115" s="12"/>
      <c r="JPG115" s="12"/>
      <c r="JPH115" s="12"/>
      <c r="JPY115" s="12"/>
      <c r="JPZ115" s="12"/>
      <c r="JQQ115" s="12"/>
      <c r="JQR115" s="12"/>
      <c r="JRI115" s="12"/>
      <c r="JRJ115" s="12"/>
      <c r="JSA115" s="12"/>
      <c r="JSB115" s="12"/>
      <c r="JSS115" s="12"/>
      <c r="JST115" s="12"/>
      <c r="JTK115" s="12"/>
      <c r="JTL115" s="12"/>
      <c r="JUC115" s="12"/>
      <c r="JUD115" s="12"/>
      <c r="JUU115" s="12"/>
      <c r="JUV115" s="12"/>
      <c r="JVM115" s="12"/>
      <c r="JVN115" s="12"/>
      <c r="JWE115" s="12"/>
      <c r="JWF115" s="12"/>
      <c r="JWW115" s="12"/>
      <c r="JWX115" s="12"/>
      <c r="JXO115" s="12"/>
      <c r="JXP115" s="12"/>
      <c r="JYG115" s="12"/>
      <c r="JYH115" s="12"/>
      <c r="JYY115" s="12"/>
      <c r="JYZ115" s="12"/>
      <c r="JZQ115" s="12"/>
      <c r="JZR115" s="12"/>
      <c r="KAI115" s="12"/>
      <c r="KAJ115" s="12"/>
      <c r="KBA115" s="12"/>
      <c r="KBB115" s="12"/>
      <c r="KBS115" s="12"/>
      <c r="KBT115" s="12"/>
      <c r="KCK115" s="12"/>
      <c r="KCL115" s="12"/>
      <c r="KDC115" s="12"/>
      <c r="KDD115" s="12"/>
      <c r="KDU115" s="12"/>
      <c r="KDV115" s="12"/>
      <c r="KEM115" s="12"/>
      <c r="KEN115" s="12"/>
      <c r="KFE115" s="12"/>
      <c r="KFF115" s="12"/>
      <c r="KFW115" s="12"/>
      <c r="KFX115" s="12"/>
      <c r="KGO115" s="12"/>
      <c r="KGP115" s="12"/>
      <c r="KHG115" s="12"/>
      <c r="KHH115" s="12"/>
      <c r="KHY115" s="12"/>
      <c r="KHZ115" s="12"/>
      <c r="KIQ115" s="12"/>
      <c r="KIR115" s="12"/>
      <c r="KJI115" s="12"/>
      <c r="KJJ115" s="12"/>
      <c r="KKA115" s="12"/>
      <c r="KKB115" s="12"/>
      <c r="KKS115" s="12"/>
      <c r="KKT115" s="12"/>
      <c r="KLK115" s="12"/>
      <c r="KLL115" s="12"/>
      <c r="KMC115" s="12"/>
      <c r="KMD115" s="12"/>
      <c r="KMU115" s="12"/>
      <c r="KMV115" s="12"/>
      <c r="KNM115" s="12"/>
      <c r="KNN115" s="12"/>
      <c r="KOE115" s="12"/>
      <c r="KOF115" s="12"/>
      <c r="KOW115" s="12"/>
      <c r="KOX115" s="12"/>
      <c r="KPO115" s="12"/>
      <c r="KPP115" s="12"/>
      <c r="KQG115" s="12"/>
      <c r="KQH115" s="12"/>
      <c r="KQY115" s="12"/>
      <c r="KQZ115" s="12"/>
      <c r="KRQ115" s="12"/>
      <c r="KRR115" s="12"/>
      <c r="KSI115" s="12"/>
      <c r="KSJ115" s="12"/>
      <c r="KTA115" s="12"/>
      <c r="KTB115" s="12"/>
      <c r="KTS115" s="12"/>
      <c r="KTT115" s="12"/>
      <c r="KUK115" s="12"/>
      <c r="KUL115" s="12"/>
      <c r="KVC115" s="12"/>
      <c r="KVD115" s="12"/>
      <c r="KVU115" s="12"/>
      <c r="KVV115" s="12"/>
      <c r="KWM115" s="12"/>
      <c r="KWN115" s="12"/>
      <c r="KXE115" s="12"/>
      <c r="KXF115" s="12"/>
      <c r="KXW115" s="12"/>
      <c r="KXX115" s="12"/>
      <c r="KYO115" s="12"/>
      <c r="KYP115" s="12"/>
      <c r="KZG115" s="12"/>
      <c r="KZH115" s="12"/>
      <c r="KZY115" s="12"/>
      <c r="KZZ115" s="12"/>
      <c r="LAQ115" s="12"/>
      <c r="LAR115" s="12"/>
      <c r="LBI115" s="12"/>
      <c r="LBJ115" s="12"/>
      <c r="LCA115" s="12"/>
      <c r="LCB115" s="12"/>
      <c r="LCS115" s="12"/>
      <c r="LCT115" s="12"/>
      <c r="LDK115" s="12"/>
      <c r="LDL115" s="12"/>
      <c r="LEC115" s="12"/>
      <c r="LED115" s="12"/>
      <c r="LEU115" s="12"/>
      <c r="LEV115" s="12"/>
      <c r="LFM115" s="12"/>
      <c r="LFN115" s="12"/>
      <c r="LGE115" s="12"/>
      <c r="LGF115" s="12"/>
      <c r="LGW115" s="12"/>
      <c r="LGX115" s="12"/>
      <c r="LHO115" s="12"/>
      <c r="LHP115" s="12"/>
      <c r="LIG115" s="12"/>
      <c r="LIH115" s="12"/>
      <c r="LIY115" s="12"/>
      <c r="LIZ115" s="12"/>
      <c r="LJQ115" s="12"/>
      <c r="LJR115" s="12"/>
      <c r="LKI115" s="12"/>
      <c r="LKJ115" s="12"/>
      <c r="LLA115" s="12"/>
      <c r="LLB115" s="12"/>
      <c r="LLS115" s="12"/>
      <c r="LLT115" s="12"/>
      <c r="LMK115" s="12"/>
      <c r="LML115" s="12"/>
      <c r="LNC115" s="12"/>
      <c r="LND115" s="12"/>
      <c r="LNU115" s="12"/>
      <c r="LNV115" s="12"/>
      <c r="LOM115" s="12"/>
      <c r="LON115" s="12"/>
      <c r="LPE115" s="12"/>
      <c r="LPF115" s="12"/>
      <c r="LPW115" s="12"/>
      <c r="LPX115" s="12"/>
      <c r="LQO115" s="12"/>
      <c r="LQP115" s="12"/>
      <c r="LRG115" s="12"/>
      <c r="LRH115" s="12"/>
      <c r="LRY115" s="12"/>
      <c r="LRZ115" s="12"/>
      <c r="LSQ115" s="12"/>
      <c r="LSR115" s="12"/>
      <c r="LTI115" s="12"/>
      <c r="LTJ115" s="12"/>
      <c r="LUA115" s="12"/>
      <c r="LUB115" s="12"/>
      <c r="LUS115" s="12"/>
      <c r="LUT115" s="12"/>
      <c r="LVK115" s="12"/>
      <c r="LVL115" s="12"/>
      <c r="LWC115" s="12"/>
      <c r="LWD115" s="12"/>
      <c r="LWU115" s="12"/>
      <c r="LWV115" s="12"/>
      <c r="LXM115" s="12"/>
      <c r="LXN115" s="12"/>
      <c r="LYE115" s="12"/>
      <c r="LYF115" s="12"/>
      <c r="LYW115" s="12"/>
      <c r="LYX115" s="12"/>
      <c r="LZO115" s="12"/>
      <c r="LZP115" s="12"/>
      <c r="MAG115" s="12"/>
      <c r="MAH115" s="12"/>
      <c r="MAY115" s="12"/>
      <c r="MAZ115" s="12"/>
      <c r="MBQ115" s="12"/>
      <c r="MBR115" s="12"/>
      <c r="MCI115" s="12"/>
      <c r="MCJ115" s="12"/>
      <c r="MDA115" s="12"/>
      <c r="MDB115" s="12"/>
      <c r="MDS115" s="12"/>
      <c r="MDT115" s="12"/>
      <c r="MEK115" s="12"/>
      <c r="MEL115" s="12"/>
      <c r="MFC115" s="12"/>
      <c r="MFD115" s="12"/>
      <c r="MFU115" s="12"/>
      <c r="MFV115" s="12"/>
      <c r="MGM115" s="12"/>
      <c r="MGN115" s="12"/>
      <c r="MHE115" s="12"/>
      <c r="MHF115" s="12"/>
      <c r="MHW115" s="12"/>
      <c r="MHX115" s="12"/>
      <c r="MIO115" s="12"/>
      <c r="MIP115" s="12"/>
      <c r="MJG115" s="12"/>
      <c r="MJH115" s="12"/>
      <c r="MJY115" s="12"/>
      <c r="MJZ115" s="12"/>
      <c r="MKQ115" s="12"/>
      <c r="MKR115" s="12"/>
      <c r="MLI115" s="12"/>
      <c r="MLJ115" s="12"/>
      <c r="MMA115" s="12"/>
      <c r="MMB115" s="12"/>
      <c r="MMS115" s="12"/>
      <c r="MMT115" s="12"/>
      <c r="MNK115" s="12"/>
      <c r="MNL115" s="12"/>
      <c r="MOC115" s="12"/>
      <c r="MOD115" s="12"/>
      <c r="MOU115" s="12"/>
      <c r="MOV115" s="12"/>
      <c r="MPM115" s="12"/>
      <c r="MPN115" s="12"/>
      <c r="MQE115" s="12"/>
      <c r="MQF115" s="12"/>
      <c r="MQW115" s="12"/>
      <c r="MQX115" s="12"/>
      <c r="MRO115" s="12"/>
      <c r="MRP115" s="12"/>
      <c r="MSG115" s="12"/>
      <c r="MSH115" s="12"/>
      <c r="MSY115" s="12"/>
      <c r="MSZ115" s="12"/>
      <c r="MTQ115" s="12"/>
      <c r="MTR115" s="12"/>
      <c r="MUI115" s="12"/>
      <c r="MUJ115" s="12"/>
      <c r="MVA115" s="12"/>
      <c r="MVB115" s="12"/>
      <c r="MVS115" s="12"/>
      <c r="MVT115" s="12"/>
      <c r="MWK115" s="12"/>
      <c r="MWL115" s="12"/>
      <c r="MXC115" s="12"/>
      <c r="MXD115" s="12"/>
      <c r="MXU115" s="12"/>
      <c r="MXV115" s="12"/>
      <c r="MYM115" s="12"/>
      <c r="MYN115" s="12"/>
      <c r="MZE115" s="12"/>
      <c r="MZF115" s="12"/>
      <c r="MZW115" s="12"/>
      <c r="MZX115" s="12"/>
      <c r="NAO115" s="12"/>
      <c r="NAP115" s="12"/>
      <c r="NBG115" s="12"/>
      <c r="NBH115" s="12"/>
      <c r="NBY115" s="12"/>
      <c r="NBZ115" s="12"/>
      <c r="NCQ115" s="12"/>
      <c r="NCR115" s="12"/>
      <c r="NDI115" s="12"/>
      <c r="NDJ115" s="12"/>
      <c r="NEA115" s="12"/>
      <c r="NEB115" s="12"/>
      <c r="NES115" s="12"/>
      <c r="NET115" s="12"/>
      <c r="NFK115" s="12"/>
      <c r="NFL115" s="12"/>
      <c r="NGC115" s="12"/>
      <c r="NGD115" s="12"/>
      <c r="NGU115" s="12"/>
      <c r="NGV115" s="12"/>
      <c r="NHM115" s="12"/>
      <c r="NHN115" s="12"/>
      <c r="NIE115" s="12"/>
      <c r="NIF115" s="12"/>
      <c r="NIW115" s="12"/>
      <c r="NIX115" s="12"/>
      <c r="NJO115" s="12"/>
      <c r="NJP115" s="12"/>
      <c r="NKG115" s="12"/>
      <c r="NKH115" s="12"/>
      <c r="NKY115" s="12"/>
      <c r="NKZ115" s="12"/>
      <c r="NLQ115" s="12"/>
      <c r="NLR115" s="12"/>
      <c r="NMI115" s="12"/>
      <c r="NMJ115" s="12"/>
      <c r="NNA115" s="12"/>
      <c r="NNB115" s="12"/>
      <c r="NNS115" s="12"/>
      <c r="NNT115" s="12"/>
      <c r="NOK115" s="12"/>
      <c r="NOL115" s="12"/>
      <c r="NPC115" s="12"/>
      <c r="NPD115" s="12"/>
      <c r="NPU115" s="12"/>
      <c r="NPV115" s="12"/>
      <c r="NQM115" s="12"/>
      <c r="NQN115" s="12"/>
      <c r="NRE115" s="12"/>
      <c r="NRF115" s="12"/>
      <c r="NRW115" s="12"/>
      <c r="NRX115" s="12"/>
      <c r="NSO115" s="12"/>
      <c r="NSP115" s="12"/>
      <c r="NTG115" s="12"/>
      <c r="NTH115" s="12"/>
      <c r="NTY115" s="12"/>
      <c r="NTZ115" s="12"/>
      <c r="NUQ115" s="12"/>
      <c r="NUR115" s="12"/>
      <c r="NVI115" s="12"/>
      <c r="NVJ115" s="12"/>
      <c r="NWA115" s="12"/>
      <c r="NWB115" s="12"/>
      <c r="NWS115" s="12"/>
      <c r="NWT115" s="12"/>
      <c r="NXK115" s="12"/>
      <c r="NXL115" s="12"/>
      <c r="NYC115" s="12"/>
      <c r="NYD115" s="12"/>
      <c r="NYU115" s="12"/>
      <c r="NYV115" s="12"/>
      <c r="NZM115" s="12"/>
      <c r="NZN115" s="12"/>
      <c r="OAE115" s="12"/>
      <c r="OAF115" s="12"/>
      <c r="OAW115" s="12"/>
      <c r="OAX115" s="12"/>
      <c r="OBO115" s="12"/>
      <c r="OBP115" s="12"/>
      <c r="OCG115" s="12"/>
      <c r="OCH115" s="12"/>
      <c r="OCY115" s="12"/>
      <c r="OCZ115" s="12"/>
      <c r="ODQ115" s="12"/>
      <c r="ODR115" s="12"/>
      <c r="OEI115" s="12"/>
      <c r="OEJ115" s="12"/>
      <c r="OFA115" s="12"/>
      <c r="OFB115" s="12"/>
      <c r="OFS115" s="12"/>
      <c r="OFT115" s="12"/>
      <c r="OGK115" s="12"/>
      <c r="OGL115" s="12"/>
      <c r="OHC115" s="12"/>
      <c r="OHD115" s="12"/>
      <c r="OHU115" s="12"/>
      <c r="OHV115" s="12"/>
      <c r="OIM115" s="12"/>
      <c r="OIN115" s="12"/>
      <c r="OJE115" s="12"/>
      <c r="OJF115" s="12"/>
      <c r="OJW115" s="12"/>
      <c r="OJX115" s="12"/>
      <c r="OKO115" s="12"/>
      <c r="OKP115" s="12"/>
      <c r="OLG115" s="12"/>
      <c r="OLH115" s="12"/>
      <c r="OLY115" s="12"/>
      <c r="OLZ115" s="12"/>
      <c r="OMQ115" s="12"/>
      <c r="OMR115" s="12"/>
      <c r="ONI115" s="12"/>
      <c r="ONJ115" s="12"/>
      <c r="OOA115" s="12"/>
      <c r="OOB115" s="12"/>
      <c r="OOS115" s="12"/>
      <c r="OOT115" s="12"/>
      <c r="OPK115" s="12"/>
      <c r="OPL115" s="12"/>
      <c r="OQC115" s="12"/>
      <c r="OQD115" s="12"/>
      <c r="OQU115" s="12"/>
      <c r="OQV115" s="12"/>
      <c r="ORM115" s="12"/>
      <c r="ORN115" s="12"/>
      <c r="OSE115" s="12"/>
      <c r="OSF115" s="12"/>
      <c r="OSW115" s="12"/>
      <c r="OSX115" s="12"/>
      <c r="OTO115" s="12"/>
      <c r="OTP115" s="12"/>
      <c r="OUG115" s="12"/>
      <c r="OUH115" s="12"/>
      <c r="OUY115" s="12"/>
      <c r="OUZ115" s="12"/>
      <c r="OVQ115" s="12"/>
      <c r="OVR115" s="12"/>
      <c r="OWI115" s="12"/>
      <c r="OWJ115" s="12"/>
      <c r="OXA115" s="12"/>
      <c r="OXB115" s="12"/>
      <c r="OXS115" s="12"/>
      <c r="OXT115" s="12"/>
      <c r="OYK115" s="12"/>
      <c r="OYL115" s="12"/>
      <c r="OZC115" s="12"/>
      <c r="OZD115" s="12"/>
      <c r="OZU115" s="12"/>
      <c r="OZV115" s="12"/>
      <c r="PAM115" s="12"/>
      <c r="PAN115" s="12"/>
      <c r="PBE115" s="12"/>
      <c r="PBF115" s="12"/>
      <c r="PBW115" s="12"/>
      <c r="PBX115" s="12"/>
      <c r="PCO115" s="12"/>
      <c r="PCP115" s="12"/>
      <c r="PDG115" s="12"/>
      <c r="PDH115" s="12"/>
      <c r="PDY115" s="12"/>
      <c r="PDZ115" s="12"/>
      <c r="PEQ115" s="12"/>
      <c r="PER115" s="12"/>
      <c r="PFI115" s="12"/>
      <c r="PFJ115" s="12"/>
      <c r="PGA115" s="12"/>
      <c r="PGB115" s="12"/>
      <c r="PGS115" s="12"/>
      <c r="PGT115" s="12"/>
      <c r="PHK115" s="12"/>
      <c r="PHL115" s="12"/>
      <c r="PIC115" s="12"/>
      <c r="PID115" s="12"/>
      <c r="PIU115" s="12"/>
      <c r="PIV115" s="12"/>
      <c r="PJM115" s="12"/>
      <c r="PJN115" s="12"/>
      <c r="PKE115" s="12"/>
      <c r="PKF115" s="12"/>
      <c r="PKW115" s="12"/>
      <c r="PKX115" s="12"/>
      <c r="PLO115" s="12"/>
      <c r="PLP115" s="12"/>
      <c r="PMG115" s="12"/>
      <c r="PMH115" s="12"/>
      <c r="PMY115" s="12"/>
      <c r="PMZ115" s="12"/>
      <c r="PNQ115" s="12"/>
      <c r="PNR115" s="12"/>
      <c r="POI115" s="12"/>
      <c r="POJ115" s="12"/>
      <c r="PPA115" s="12"/>
      <c r="PPB115" s="12"/>
      <c r="PPS115" s="12"/>
      <c r="PPT115" s="12"/>
      <c r="PQK115" s="12"/>
      <c r="PQL115" s="12"/>
      <c r="PRC115" s="12"/>
      <c r="PRD115" s="12"/>
      <c r="PRU115" s="12"/>
      <c r="PRV115" s="12"/>
      <c r="PSM115" s="12"/>
      <c r="PSN115" s="12"/>
      <c r="PTE115" s="12"/>
      <c r="PTF115" s="12"/>
      <c r="PTW115" s="12"/>
      <c r="PTX115" s="12"/>
      <c r="PUO115" s="12"/>
      <c r="PUP115" s="12"/>
      <c r="PVG115" s="12"/>
      <c r="PVH115" s="12"/>
      <c r="PVY115" s="12"/>
      <c r="PVZ115" s="12"/>
      <c r="PWQ115" s="12"/>
      <c r="PWR115" s="12"/>
      <c r="PXI115" s="12"/>
      <c r="PXJ115" s="12"/>
      <c r="PYA115" s="12"/>
      <c r="PYB115" s="12"/>
      <c r="PYS115" s="12"/>
      <c r="PYT115" s="12"/>
      <c r="PZK115" s="12"/>
      <c r="PZL115" s="12"/>
      <c r="QAC115" s="12"/>
      <c r="QAD115" s="12"/>
      <c r="QAU115" s="12"/>
      <c r="QAV115" s="12"/>
      <c r="QBM115" s="12"/>
      <c r="QBN115" s="12"/>
      <c r="QCE115" s="12"/>
      <c r="QCF115" s="12"/>
      <c r="QCW115" s="12"/>
      <c r="QCX115" s="12"/>
      <c r="QDO115" s="12"/>
      <c r="QDP115" s="12"/>
      <c r="QEG115" s="12"/>
      <c r="QEH115" s="12"/>
      <c r="QEY115" s="12"/>
      <c r="QEZ115" s="12"/>
      <c r="QFQ115" s="12"/>
      <c r="QFR115" s="12"/>
      <c r="QGI115" s="12"/>
      <c r="QGJ115" s="12"/>
      <c r="QHA115" s="12"/>
      <c r="QHB115" s="12"/>
      <c r="QHS115" s="12"/>
      <c r="QHT115" s="12"/>
      <c r="QIK115" s="12"/>
      <c r="QIL115" s="12"/>
      <c r="QJC115" s="12"/>
      <c r="QJD115" s="12"/>
      <c r="QJU115" s="12"/>
      <c r="QJV115" s="12"/>
      <c r="QKM115" s="12"/>
      <c r="QKN115" s="12"/>
      <c r="QLE115" s="12"/>
      <c r="QLF115" s="12"/>
      <c r="QLW115" s="12"/>
      <c r="QLX115" s="12"/>
      <c r="QMO115" s="12"/>
      <c r="QMP115" s="12"/>
      <c r="QNG115" s="12"/>
      <c r="QNH115" s="12"/>
      <c r="QNY115" s="12"/>
      <c r="QNZ115" s="12"/>
      <c r="QOQ115" s="12"/>
      <c r="QOR115" s="12"/>
      <c r="QPI115" s="12"/>
      <c r="QPJ115" s="12"/>
      <c r="QQA115" s="12"/>
      <c r="QQB115" s="12"/>
      <c r="QQS115" s="12"/>
      <c r="QQT115" s="12"/>
      <c r="QRK115" s="12"/>
      <c r="QRL115" s="12"/>
      <c r="QSC115" s="12"/>
      <c r="QSD115" s="12"/>
      <c r="QSU115" s="12"/>
      <c r="QSV115" s="12"/>
      <c r="QTM115" s="12"/>
      <c r="QTN115" s="12"/>
      <c r="QUE115" s="12"/>
      <c r="QUF115" s="12"/>
      <c r="QUW115" s="12"/>
      <c r="QUX115" s="12"/>
      <c r="QVO115" s="12"/>
      <c r="QVP115" s="12"/>
      <c r="QWG115" s="12"/>
      <c r="QWH115" s="12"/>
      <c r="QWY115" s="12"/>
      <c r="QWZ115" s="12"/>
      <c r="QXQ115" s="12"/>
      <c r="QXR115" s="12"/>
      <c r="QYI115" s="12"/>
      <c r="QYJ115" s="12"/>
      <c r="QZA115" s="12"/>
      <c r="QZB115" s="12"/>
      <c r="QZS115" s="12"/>
      <c r="QZT115" s="12"/>
      <c r="RAK115" s="12"/>
      <c r="RAL115" s="12"/>
      <c r="RBC115" s="12"/>
      <c r="RBD115" s="12"/>
      <c r="RBU115" s="12"/>
      <c r="RBV115" s="12"/>
      <c r="RCM115" s="12"/>
      <c r="RCN115" s="12"/>
      <c r="RDE115" s="12"/>
      <c r="RDF115" s="12"/>
      <c r="RDW115" s="12"/>
      <c r="RDX115" s="12"/>
      <c r="REO115" s="12"/>
      <c r="REP115" s="12"/>
      <c r="RFG115" s="12"/>
      <c r="RFH115" s="12"/>
      <c r="RFY115" s="12"/>
      <c r="RFZ115" s="12"/>
      <c r="RGQ115" s="12"/>
      <c r="RGR115" s="12"/>
      <c r="RHI115" s="12"/>
      <c r="RHJ115" s="12"/>
      <c r="RIA115" s="12"/>
      <c r="RIB115" s="12"/>
      <c r="RIS115" s="12"/>
      <c r="RIT115" s="12"/>
      <c r="RJK115" s="12"/>
      <c r="RJL115" s="12"/>
      <c r="RKC115" s="12"/>
      <c r="RKD115" s="12"/>
      <c r="RKU115" s="12"/>
      <c r="RKV115" s="12"/>
      <c r="RLM115" s="12"/>
      <c r="RLN115" s="12"/>
      <c r="RME115" s="12"/>
      <c r="RMF115" s="12"/>
      <c r="RMW115" s="12"/>
      <c r="RMX115" s="12"/>
      <c r="RNO115" s="12"/>
      <c r="RNP115" s="12"/>
      <c r="ROG115" s="12"/>
      <c r="ROH115" s="12"/>
      <c r="ROY115" s="12"/>
      <c r="ROZ115" s="12"/>
      <c r="RPQ115" s="12"/>
      <c r="RPR115" s="12"/>
      <c r="RQI115" s="12"/>
      <c r="RQJ115" s="12"/>
      <c r="RRA115" s="12"/>
      <c r="RRB115" s="12"/>
      <c r="RRS115" s="12"/>
      <c r="RRT115" s="12"/>
      <c r="RSK115" s="12"/>
      <c r="RSL115" s="12"/>
      <c r="RTC115" s="12"/>
      <c r="RTD115" s="12"/>
      <c r="RTU115" s="12"/>
      <c r="RTV115" s="12"/>
      <c r="RUM115" s="12"/>
      <c r="RUN115" s="12"/>
      <c r="RVE115" s="12"/>
      <c r="RVF115" s="12"/>
      <c r="RVW115" s="12"/>
      <c r="RVX115" s="12"/>
      <c r="RWO115" s="12"/>
      <c r="RWP115" s="12"/>
      <c r="RXG115" s="12"/>
      <c r="RXH115" s="12"/>
      <c r="RXY115" s="12"/>
      <c r="RXZ115" s="12"/>
      <c r="RYQ115" s="12"/>
      <c r="RYR115" s="12"/>
      <c r="RZI115" s="12"/>
      <c r="RZJ115" s="12"/>
      <c r="SAA115" s="12"/>
      <c r="SAB115" s="12"/>
      <c r="SAS115" s="12"/>
      <c r="SAT115" s="12"/>
      <c r="SBK115" s="12"/>
      <c r="SBL115" s="12"/>
      <c r="SCC115" s="12"/>
      <c r="SCD115" s="12"/>
      <c r="SCU115" s="12"/>
      <c r="SCV115" s="12"/>
      <c r="SDM115" s="12"/>
      <c r="SDN115" s="12"/>
      <c r="SEE115" s="12"/>
      <c r="SEF115" s="12"/>
      <c r="SEW115" s="12"/>
      <c r="SEX115" s="12"/>
      <c r="SFO115" s="12"/>
      <c r="SFP115" s="12"/>
      <c r="SGG115" s="12"/>
      <c r="SGH115" s="12"/>
      <c r="SGY115" s="12"/>
      <c r="SGZ115" s="12"/>
      <c r="SHQ115" s="12"/>
      <c r="SHR115" s="12"/>
      <c r="SII115" s="12"/>
      <c r="SIJ115" s="12"/>
      <c r="SJA115" s="12"/>
      <c r="SJB115" s="12"/>
      <c r="SJS115" s="12"/>
      <c r="SJT115" s="12"/>
      <c r="SKK115" s="12"/>
      <c r="SKL115" s="12"/>
      <c r="SLC115" s="12"/>
      <c r="SLD115" s="12"/>
      <c r="SLU115" s="12"/>
      <c r="SLV115" s="12"/>
      <c r="SMM115" s="12"/>
      <c r="SMN115" s="12"/>
      <c r="SNE115" s="12"/>
      <c r="SNF115" s="12"/>
      <c r="SNW115" s="12"/>
      <c r="SNX115" s="12"/>
      <c r="SOO115" s="12"/>
      <c r="SOP115" s="12"/>
      <c r="SPG115" s="12"/>
      <c r="SPH115" s="12"/>
      <c r="SPY115" s="12"/>
      <c r="SPZ115" s="12"/>
      <c r="SQQ115" s="12"/>
      <c r="SQR115" s="12"/>
      <c r="SRI115" s="12"/>
      <c r="SRJ115" s="12"/>
      <c r="SSA115" s="12"/>
      <c r="SSB115" s="12"/>
      <c r="SSS115" s="12"/>
      <c r="SST115" s="12"/>
      <c r="STK115" s="12"/>
      <c r="STL115" s="12"/>
      <c r="SUC115" s="12"/>
      <c r="SUD115" s="12"/>
      <c r="SUU115" s="12"/>
      <c r="SUV115" s="12"/>
      <c r="SVM115" s="12"/>
      <c r="SVN115" s="12"/>
      <c r="SWE115" s="12"/>
      <c r="SWF115" s="12"/>
      <c r="SWW115" s="12"/>
      <c r="SWX115" s="12"/>
      <c r="SXO115" s="12"/>
      <c r="SXP115" s="12"/>
      <c r="SYG115" s="12"/>
      <c r="SYH115" s="12"/>
      <c r="SYY115" s="12"/>
      <c r="SYZ115" s="12"/>
      <c r="SZQ115" s="12"/>
      <c r="SZR115" s="12"/>
      <c r="TAI115" s="12"/>
      <c r="TAJ115" s="12"/>
      <c r="TBA115" s="12"/>
      <c r="TBB115" s="12"/>
      <c r="TBS115" s="12"/>
      <c r="TBT115" s="12"/>
      <c r="TCK115" s="12"/>
      <c r="TCL115" s="12"/>
      <c r="TDC115" s="12"/>
      <c r="TDD115" s="12"/>
      <c r="TDU115" s="12"/>
      <c r="TDV115" s="12"/>
      <c r="TEM115" s="12"/>
      <c r="TEN115" s="12"/>
      <c r="TFE115" s="12"/>
      <c r="TFF115" s="12"/>
      <c r="TFW115" s="12"/>
      <c r="TFX115" s="12"/>
      <c r="TGO115" s="12"/>
      <c r="TGP115" s="12"/>
      <c r="THG115" s="12"/>
      <c r="THH115" s="12"/>
      <c r="THY115" s="12"/>
      <c r="THZ115" s="12"/>
      <c r="TIQ115" s="12"/>
      <c r="TIR115" s="12"/>
      <c r="TJI115" s="12"/>
      <c r="TJJ115" s="12"/>
      <c r="TKA115" s="12"/>
      <c r="TKB115" s="12"/>
      <c r="TKS115" s="12"/>
      <c r="TKT115" s="12"/>
      <c r="TLK115" s="12"/>
      <c r="TLL115" s="12"/>
      <c r="TMC115" s="12"/>
      <c r="TMD115" s="12"/>
      <c r="TMU115" s="12"/>
      <c r="TMV115" s="12"/>
      <c r="TNM115" s="12"/>
      <c r="TNN115" s="12"/>
      <c r="TOE115" s="12"/>
      <c r="TOF115" s="12"/>
      <c r="TOW115" s="12"/>
      <c r="TOX115" s="12"/>
      <c r="TPO115" s="12"/>
      <c r="TPP115" s="12"/>
      <c r="TQG115" s="12"/>
      <c r="TQH115" s="12"/>
      <c r="TQY115" s="12"/>
      <c r="TQZ115" s="12"/>
      <c r="TRQ115" s="12"/>
      <c r="TRR115" s="12"/>
      <c r="TSI115" s="12"/>
      <c r="TSJ115" s="12"/>
      <c r="TTA115" s="12"/>
      <c r="TTB115" s="12"/>
      <c r="TTS115" s="12"/>
      <c r="TTT115" s="12"/>
      <c r="TUK115" s="12"/>
      <c r="TUL115" s="12"/>
      <c r="TVC115" s="12"/>
      <c r="TVD115" s="12"/>
      <c r="TVU115" s="12"/>
      <c r="TVV115" s="12"/>
      <c r="TWM115" s="12"/>
      <c r="TWN115" s="12"/>
      <c r="TXE115" s="12"/>
      <c r="TXF115" s="12"/>
      <c r="TXW115" s="12"/>
      <c r="TXX115" s="12"/>
      <c r="TYO115" s="12"/>
      <c r="TYP115" s="12"/>
      <c r="TZG115" s="12"/>
      <c r="TZH115" s="12"/>
      <c r="TZY115" s="12"/>
      <c r="TZZ115" s="12"/>
      <c r="UAQ115" s="12"/>
      <c r="UAR115" s="12"/>
      <c r="UBI115" s="12"/>
      <c r="UBJ115" s="12"/>
      <c r="UCA115" s="12"/>
      <c r="UCB115" s="12"/>
      <c r="UCS115" s="12"/>
      <c r="UCT115" s="12"/>
      <c r="UDK115" s="12"/>
      <c r="UDL115" s="12"/>
      <c r="UEC115" s="12"/>
      <c r="UED115" s="12"/>
      <c r="UEU115" s="12"/>
      <c r="UEV115" s="12"/>
      <c r="UFM115" s="12"/>
      <c r="UFN115" s="12"/>
      <c r="UGE115" s="12"/>
      <c r="UGF115" s="12"/>
      <c r="UGW115" s="12"/>
      <c r="UGX115" s="12"/>
      <c r="UHO115" s="12"/>
      <c r="UHP115" s="12"/>
      <c r="UIG115" s="12"/>
      <c r="UIH115" s="12"/>
      <c r="UIY115" s="12"/>
      <c r="UIZ115" s="12"/>
      <c r="UJQ115" s="12"/>
      <c r="UJR115" s="12"/>
      <c r="UKI115" s="12"/>
      <c r="UKJ115" s="12"/>
      <c r="ULA115" s="12"/>
      <c r="ULB115" s="12"/>
      <c r="ULS115" s="12"/>
      <c r="ULT115" s="12"/>
      <c r="UMK115" s="12"/>
      <c r="UML115" s="12"/>
      <c r="UNC115" s="12"/>
      <c r="UND115" s="12"/>
      <c r="UNU115" s="12"/>
      <c r="UNV115" s="12"/>
      <c r="UOM115" s="12"/>
      <c r="UON115" s="12"/>
      <c r="UPE115" s="12"/>
      <c r="UPF115" s="12"/>
      <c r="UPW115" s="12"/>
      <c r="UPX115" s="12"/>
      <c r="UQO115" s="12"/>
      <c r="UQP115" s="12"/>
      <c r="URG115" s="12"/>
      <c r="URH115" s="12"/>
      <c r="URY115" s="12"/>
      <c r="URZ115" s="12"/>
      <c r="USQ115" s="12"/>
      <c r="USR115" s="12"/>
      <c r="UTI115" s="12"/>
      <c r="UTJ115" s="12"/>
      <c r="UUA115" s="12"/>
      <c r="UUB115" s="12"/>
      <c r="UUS115" s="12"/>
      <c r="UUT115" s="12"/>
      <c r="UVK115" s="12"/>
      <c r="UVL115" s="12"/>
      <c r="UWC115" s="12"/>
      <c r="UWD115" s="12"/>
      <c r="UWU115" s="12"/>
      <c r="UWV115" s="12"/>
      <c r="UXM115" s="12"/>
      <c r="UXN115" s="12"/>
      <c r="UYE115" s="12"/>
      <c r="UYF115" s="12"/>
      <c r="UYW115" s="12"/>
      <c r="UYX115" s="12"/>
      <c r="UZO115" s="12"/>
      <c r="UZP115" s="12"/>
      <c r="VAG115" s="12"/>
      <c r="VAH115" s="12"/>
      <c r="VAY115" s="12"/>
      <c r="VAZ115" s="12"/>
      <c r="VBQ115" s="12"/>
      <c r="VBR115" s="12"/>
      <c r="VCI115" s="12"/>
      <c r="VCJ115" s="12"/>
      <c r="VDA115" s="12"/>
      <c r="VDB115" s="12"/>
      <c r="VDS115" s="12"/>
      <c r="VDT115" s="12"/>
      <c r="VEK115" s="12"/>
      <c r="VEL115" s="12"/>
      <c r="VFC115" s="12"/>
      <c r="VFD115" s="12"/>
      <c r="VFU115" s="12"/>
      <c r="VFV115" s="12"/>
      <c r="VGM115" s="12"/>
      <c r="VGN115" s="12"/>
      <c r="VHE115" s="12"/>
      <c r="VHF115" s="12"/>
      <c r="VHW115" s="12"/>
      <c r="VHX115" s="12"/>
      <c r="VIO115" s="12"/>
      <c r="VIP115" s="12"/>
      <c r="VJG115" s="12"/>
      <c r="VJH115" s="12"/>
      <c r="VJY115" s="12"/>
      <c r="VJZ115" s="12"/>
      <c r="VKQ115" s="12"/>
      <c r="VKR115" s="12"/>
      <c r="VLI115" s="12"/>
      <c r="VLJ115" s="12"/>
      <c r="VMA115" s="12"/>
      <c r="VMB115" s="12"/>
      <c r="VMS115" s="12"/>
      <c r="VMT115" s="12"/>
      <c r="VNK115" s="12"/>
      <c r="VNL115" s="12"/>
      <c r="VOC115" s="12"/>
      <c r="VOD115" s="12"/>
      <c r="VOU115" s="12"/>
      <c r="VOV115" s="12"/>
      <c r="VPM115" s="12"/>
      <c r="VPN115" s="12"/>
      <c r="VQE115" s="12"/>
      <c r="VQF115" s="12"/>
      <c r="VQW115" s="12"/>
      <c r="VQX115" s="12"/>
      <c r="VRO115" s="12"/>
      <c r="VRP115" s="12"/>
      <c r="VSG115" s="12"/>
      <c r="VSH115" s="12"/>
      <c r="VSY115" s="12"/>
      <c r="VSZ115" s="12"/>
      <c r="VTQ115" s="12"/>
      <c r="VTR115" s="12"/>
      <c r="VUI115" s="12"/>
      <c r="VUJ115" s="12"/>
      <c r="VVA115" s="12"/>
      <c r="VVB115" s="12"/>
      <c r="VVS115" s="12"/>
      <c r="VVT115" s="12"/>
      <c r="VWK115" s="12"/>
      <c r="VWL115" s="12"/>
      <c r="VXC115" s="12"/>
      <c r="VXD115" s="12"/>
      <c r="VXU115" s="12"/>
      <c r="VXV115" s="12"/>
      <c r="VYM115" s="12"/>
      <c r="VYN115" s="12"/>
      <c r="VZE115" s="12"/>
      <c r="VZF115" s="12"/>
      <c r="VZW115" s="12"/>
      <c r="VZX115" s="12"/>
      <c r="WAO115" s="12"/>
      <c r="WAP115" s="12"/>
      <c r="WBG115" s="12"/>
      <c r="WBH115" s="12"/>
      <c r="WBY115" s="12"/>
      <c r="WBZ115" s="12"/>
      <c r="WCQ115" s="12"/>
      <c r="WCR115" s="12"/>
      <c r="WDI115" s="12"/>
      <c r="WDJ115" s="12"/>
      <c r="WEA115" s="12"/>
      <c r="WEB115" s="12"/>
      <c r="WES115" s="12"/>
      <c r="WET115" s="12"/>
      <c r="WFK115" s="12"/>
      <c r="WFL115" s="12"/>
      <c r="WGC115" s="12"/>
      <c r="WGD115" s="12"/>
      <c r="WGU115" s="12"/>
      <c r="WGV115" s="12"/>
      <c r="WHM115" s="12"/>
      <c r="WHN115" s="12"/>
      <c r="WIE115" s="12"/>
      <c r="WIF115" s="12"/>
      <c r="WIW115" s="12"/>
      <c r="WIX115" s="12"/>
      <c r="WJO115" s="12"/>
      <c r="WJP115" s="12"/>
      <c r="WKG115" s="12"/>
      <c r="WKH115" s="12"/>
      <c r="WKY115" s="12"/>
      <c r="WKZ115" s="12"/>
      <c r="WLQ115" s="12"/>
      <c r="WLR115" s="12"/>
      <c r="WMI115" s="12"/>
      <c r="WMJ115" s="12"/>
      <c r="WNA115" s="12"/>
      <c r="WNB115" s="12"/>
      <c r="WNS115" s="12"/>
      <c r="WNT115" s="12"/>
      <c r="WOK115" s="12"/>
      <c r="WOL115" s="12"/>
      <c r="WPC115" s="12"/>
      <c r="WPD115" s="12"/>
      <c r="WPU115" s="12"/>
      <c r="WPV115" s="12"/>
      <c r="WQM115" s="12"/>
      <c r="WQN115" s="12"/>
      <c r="WRE115" s="12"/>
      <c r="WRF115" s="12"/>
      <c r="WRW115" s="12"/>
      <c r="WRX115" s="12"/>
      <c r="WSO115" s="12"/>
      <c r="WSP115" s="12"/>
      <c r="WTG115" s="12"/>
      <c r="WTH115" s="12"/>
      <c r="WTY115" s="12"/>
      <c r="WTZ115" s="12"/>
      <c r="WUQ115" s="12"/>
      <c r="WUR115" s="12"/>
      <c r="WVI115" s="12"/>
      <c r="WVJ115" s="12"/>
      <c r="WWA115" s="12"/>
      <c r="WWB115" s="12"/>
      <c r="WWS115" s="12"/>
      <c r="WWT115" s="12"/>
      <c r="WXK115" s="12"/>
      <c r="WXL115" s="12"/>
      <c r="WYC115" s="12"/>
      <c r="WYD115" s="12"/>
      <c r="WYU115" s="12"/>
      <c r="WYV115" s="12"/>
      <c r="WZM115" s="12"/>
      <c r="WZN115" s="12"/>
      <c r="XAE115" s="12"/>
      <c r="XAF115" s="12"/>
      <c r="XAW115" s="12"/>
      <c r="XAX115" s="12"/>
      <c r="XBO115" s="12"/>
      <c r="XBP115" s="12"/>
      <c r="XCG115" s="12"/>
      <c r="XCH115" s="12"/>
      <c r="XCY115" s="12"/>
      <c r="XCZ115" s="12"/>
      <c r="XDQ115" s="12"/>
      <c r="XDR115" s="12"/>
      <c r="XEI115" s="12"/>
      <c r="XEJ115" s="12"/>
      <c r="XFA115" s="12"/>
      <c r="XFB115" s="12"/>
    </row>
    <row r="116" spans="1:1010 1027:2036 2053:3062 3079:4088 4105:5114 5131:6140 6157:7166 7183:8192 8209:9200 9217:10226 10243:11252 11269:12278 12295:13304 13321:14330 14347:15356 15373:16382" x14ac:dyDescent="0.35">
      <c r="A116" s="477" t="str">
        <f>'Balance Sheet - Standardized'!A118</f>
        <v>Total Equity</v>
      </c>
      <c r="B116" s="477" t="str">
        <f>'Balance Sheet - Standardized'!B118</f>
        <v>TOTAL_EQUITY</v>
      </c>
      <c r="C116" s="478">
        <f>IF('Balance Sheet - Standardized'!C118="",0,'Balance Sheet - Standardized'!C118)/'Balance Sheet - Standardized'!C$118</f>
        <v>1</v>
      </c>
      <c r="D116" s="478">
        <f>IF('Balance Sheet - Standardized'!D118="",0,'Balance Sheet - Standardized'!D118)/'Balance Sheet - Standardized'!D$118</f>
        <v>1</v>
      </c>
      <c r="E116" s="478">
        <f>IF('Balance Sheet - Standardized'!E118="",0,'Balance Sheet - Standardized'!E118)/'Balance Sheet - Standardized'!E$118</f>
        <v>1</v>
      </c>
      <c r="F116" s="478">
        <f>IF('Balance Sheet - Standardized'!F118="",0,'Balance Sheet - Standardized'!F118)/'Balance Sheet - Standardized'!F$118</f>
        <v>1</v>
      </c>
      <c r="G116" s="478">
        <f>IF('Balance Sheet - Standardized'!G118="",0,'Balance Sheet - Standardized'!G118)/'Balance Sheet - Standardized'!G$118</f>
        <v>1</v>
      </c>
      <c r="H116" s="478">
        <f>IF('Balance Sheet - Standardized'!H118="",0,'Balance Sheet - Standardized'!H118)/'Balance Sheet - Standardized'!H$118</f>
        <v>1</v>
      </c>
      <c r="I116" s="478">
        <f>IF('Balance Sheet - Standardized'!I118="",0,'Balance Sheet - Standardized'!I118)/'Balance Sheet - Standardized'!I$118</f>
        <v>1</v>
      </c>
      <c r="J116" s="478">
        <f>IF('Balance Sheet - Standardized'!J118="",0,'Balance Sheet - Standardized'!J118)/'Balance Sheet - Standardized'!J$118</f>
        <v>1</v>
      </c>
      <c r="K116" s="478">
        <f>IF('Balance Sheet - Standardized'!K118="",0,'Balance Sheet - Standardized'!K118)/'Balance Sheet - Standardized'!K$118</f>
        <v>1</v>
      </c>
      <c r="L116" s="478">
        <f>IF('Balance Sheet - Standardized'!L118="",0,'Balance Sheet - Standardized'!L118)/'Balance Sheet - Standardized'!L$118</f>
        <v>1</v>
      </c>
      <c r="M116" s="145"/>
      <c r="N116" s="145"/>
      <c r="O116" s="145"/>
      <c r="P116" s="145"/>
      <c r="Q116" s="145"/>
      <c r="R116" s="145"/>
      <c r="S116" s="74"/>
      <c r="T116" s="82"/>
      <c r="U116" s="82"/>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B136"/>
  <sheetViews>
    <sheetView workbookViewId="0">
      <pane xSplit="2" ySplit="8" topLeftCell="C9" activePane="bottomRight" state="frozen"/>
      <selection pane="topRight" activeCell="C1" sqref="C1"/>
      <selection pane="bottomLeft" activeCell="A9" sqref="A9"/>
      <selection pane="bottomRight"/>
    </sheetView>
  </sheetViews>
  <sheetFormatPr defaultColWidth="8.7265625" defaultRowHeight="14.5" x14ac:dyDescent="0.35"/>
  <cols>
    <col min="1" max="1" width="35.7265625" customWidth="1"/>
    <col min="2" max="2" width="38.7265625" hidden="1" customWidth="1"/>
    <col min="3" max="12" width="11.81640625" customWidth="1"/>
    <col min="13" max="13" width="19.26953125" bestFit="1" customWidth="1"/>
    <col min="14" max="18" width="11.81640625" customWidth="1"/>
  </cols>
  <sheetData>
    <row r="1" spans="1:1010 1027:2036 2053:3062 3079:4088 4105:5114 5131:6140 6157:7166 7183:8192 8209:9200 9217:10226 10243:11252 11269:12278 12295:13304 13321:14330 14347:15356 15373:16382" x14ac:dyDescent="0.35">
      <c r="A1" t="s">
        <v>0</v>
      </c>
      <c r="C1" s="2" t="str">
        <f>IF('Balance Sheet - Standardized'!C1="","",'Balance Sheet - Standardized'!C1)</f>
        <v>LNN</v>
      </c>
      <c r="D1" t="str">
        <f>'Balance Sheet - Standardized'!D1</f>
        <v>US</v>
      </c>
      <c r="M1" s="180" t="s">
        <v>3</v>
      </c>
      <c r="N1">
        <f t="array" ref="N1">SUM(--ISERROR($C$13:$L$13),--ISERROR($C$18:$L$18),--ISERROR($C$20:$L$20),--ISERROR($C$29:$L$29),--ISERROR($C$31:$L$31),--ISERROR($C$36:$L$36),--ISERROR($C$41:$L$41),--ISERROR($C$43:$L$43),--ISERROR($C$49:$L$49),--ISERROR($C$51:$L$51),--ISERROR($C$55:$L$55),--ISERROR($C$59:$L$59),--ISERROR($C$63:$L$63), COUNT($C$13:$L$13) - COUNTIFS($C$13:$L$13,"&lt;.1",$C$13:$L$13,"&gt;-.1"),  COUNT($C$18:$L$18) - COUNTIFS($C$18:$L$18,"&lt;.1", $C$18:$L$18,"&gt;-.1"),  COUNT($C$20:$L$20) - COUNTIFS($C$20:$L$20,"&lt;.1", $C$20:$L$20,"&gt;-.1"),  COUNT($C$29:$L$29) - COUNTIFS($C$29:$L$29,"&lt;.1", $C$29:$L$29,"&gt;-.1"),  COUNT($C$31:$L$31) - COUNTIFS($C$31:$L$31,"&lt;.1", $C$31:$L$31,"&gt;-.1"),  COUNT($C$36:$L$36) - COUNTIFS($C$36:$L$36,"&lt;.1", $C$36:$L$36,"&gt;-.1"),  COUNT($C$41:$L$41) - COUNTIFS($C$41:$L$41,"&lt;.1", $C$41:$L$41,"&gt;-.1"), COUNT($C$43:$L$43) - COUNTIFS($C$43:$L$43,"&lt;.1", $C$43:$L$43,"&gt;-.1"),COUNT($C$49:$L$49) - COUNTIFS($C$49:$L$49,"&lt;.1", $C$49:$L$49,"&gt;-.1"),  COUNT($C$51:$L$51) - COUNTIFS($C$51:$L$51,"&lt;.1", $C$51:$L$51,"&gt;-.1"), COUNT($C$55:$L$55) - COUNTIFS($C$55:$L$55,"&lt;.1", $C$55:$L$55,"&gt;-.1"),  COUNT($C$59:$L$59) - COUNTIFS($C$59:$L$59,"&lt;.1", $C$59:$L$59,"&gt;-.1"), COUNT($C$63:$L$63) - COUNTIFS($C$63:$L$63,"&lt;.1", $C$63:$L$63,"&gt;-.1"))</f>
        <v>0</v>
      </c>
    </row>
    <row r="2" spans="1:1010 1027:2036 2053:3062 3079:4088 4105:5114 5131:6140 6157:7166 7183:8192 8209:9200 9217:10226 10243:11252 11269:12278 12295:13304 13321:14330 14347:15356 15373:16382" x14ac:dyDescent="0.35">
      <c r="A2" t="s">
        <v>4</v>
      </c>
      <c r="C2" s="2" t="str">
        <f>'Balance Sheet - Standardized'!C2</f>
        <v>FY 2016</v>
      </c>
    </row>
    <row r="3" spans="1:1010 1027:2036 2053:3062 3079:4088 4105:5114 5131:6140 6157:7166 7183:8192 8209:9200 9217:10226 10243:11252 11269:12278 12295:13304 13321:14330 14347:15356 15373:16382" x14ac:dyDescent="0.35">
      <c r="A3" t="s">
        <v>5</v>
      </c>
      <c r="C3" s="2" t="str">
        <f>'Balance Sheet - Standardized'!C3</f>
        <v>FY 2025</v>
      </c>
    </row>
    <row r="4" spans="1:1010 1027:2036 2053:3062 3079:4088 4105:5114 5131:6140 6157:7166 7183:8192 8209:9200 9217:10226 10243:11252 11269:12278 12295:13304 13321:14330 14347:15356 15373:16382" hidden="1" x14ac:dyDescent="0.35">
      <c r="C4" s="20"/>
      <c r="D4" s="20"/>
      <c r="E4" s="20"/>
      <c r="F4" s="20"/>
      <c r="G4" s="20"/>
      <c r="H4" s="20"/>
      <c r="I4" s="20"/>
      <c r="J4" s="20"/>
      <c r="K4" s="20"/>
      <c r="L4" s="20"/>
      <c r="M4" s="20"/>
      <c r="N4" s="20"/>
    </row>
    <row r="5" spans="1:1010 1027:2036 2053:3062 3079:4088 4105:5114 5131:6140 6157:7166 7183:8192 8209:9200 9217:10226 10243:11252 11269:12278 12295:13304 13321:14330 14347:15356 15373:16382" hidden="1" x14ac:dyDescent="0.35">
      <c r="C5" s="20"/>
      <c r="D5" s="20"/>
      <c r="E5" s="20"/>
      <c r="F5" s="20"/>
      <c r="G5" s="20"/>
      <c r="H5" s="20"/>
      <c r="I5" s="20"/>
      <c r="J5" s="20"/>
      <c r="K5" s="20"/>
      <c r="L5" s="20"/>
      <c r="M5" s="20"/>
      <c r="N5" s="20"/>
    </row>
    <row r="7" spans="1:1010 1027:2036 2053:3062 3079:4088 4105:5114 5131:6140 6157:7166 7183:8192 8209:9200 9217:10226 10243:11252 11269:12278 12295:13304 13321:14330 14347:15356 15373:16382" x14ac:dyDescent="0.35">
      <c r="A7" s="19" t="s">
        <v>20</v>
      </c>
      <c r="B7" s="19"/>
      <c r="C7" s="18" t="str">
        <f>'Balance Sheet - Standardized'!C7</f>
        <v>FY 2016</v>
      </c>
      <c r="D7" s="18" t="str">
        <f>'Balance Sheet - Standardized'!D7</f>
        <v>FY 2017</v>
      </c>
      <c r="E7" s="18" t="str">
        <f>'Balance Sheet - Standardized'!E7</f>
        <v>FY 2018</v>
      </c>
      <c r="F7" s="18" t="str">
        <f>'Balance Sheet - Standardized'!F7</f>
        <v>FY 2019</v>
      </c>
      <c r="G7" s="18" t="str">
        <f>'Balance Sheet - Standardized'!G7</f>
        <v>FY 2020</v>
      </c>
      <c r="H7" s="18" t="str">
        <f>'Balance Sheet - Standardized'!H7</f>
        <v>FY 2021</v>
      </c>
      <c r="I7" s="18" t="str">
        <f>'Balance Sheet - Standardized'!I7</f>
        <v>FY 2022</v>
      </c>
      <c r="J7" s="18" t="str">
        <f>'Balance Sheet - Standardized'!J7</f>
        <v>FY 2023</v>
      </c>
      <c r="K7" s="18" t="str">
        <f>'Balance Sheet - Standardized'!K7</f>
        <v>FY 2024</v>
      </c>
      <c r="L7" s="18" t="str">
        <f>'Balance Sheet - Standardized'!L7</f>
        <v>FY 2025</v>
      </c>
      <c r="M7" s="114"/>
      <c r="N7" s="114"/>
      <c r="O7" s="114"/>
      <c r="P7" s="114"/>
      <c r="Q7" s="114"/>
      <c r="R7" s="114"/>
    </row>
    <row r="8" spans="1:1010 1027:2036 2053:3062 3079:4088 4105:5114 5131:6140 6157:7166 7183:8192 8209:9200 9217:10226 10243:11252 11269:12278 12295:13304 13321:14330 14347:15356 15373:16382" x14ac:dyDescent="0.35">
      <c r="A8" s="17" t="s">
        <v>21</v>
      </c>
      <c r="B8" s="17"/>
      <c r="C8" s="16">
        <f>'Balance Sheet - Standardized'!C8</f>
        <v>42613</v>
      </c>
      <c r="D8" s="16">
        <f>'Balance Sheet - Standardized'!D8</f>
        <v>42978</v>
      </c>
      <c r="E8" s="16">
        <f>'Balance Sheet - Standardized'!E8</f>
        <v>43343</v>
      </c>
      <c r="F8" s="16">
        <f>'Balance Sheet - Standardized'!F8</f>
        <v>43708</v>
      </c>
      <c r="G8" s="16">
        <f>'Balance Sheet - Standardized'!G8</f>
        <v>44074</v>
      </c>
      <c r="H8" s="16">
        <f>'Balance Sheet - Standardized'!H8</f>
        <v>44439</v>
      </c>
      <c r="I8" s="16">
        <f>'Balance Sheet - Standardized'!I8</f>
        <v>44804</v>
      </c>
      <c r="J8" s="16">
        <f>'Balance Sheet - Standardized'!J8</f>
        <v>45169</v>
      </c>
      <c r="K8" s="16">
        <f>'Balance Sheet - Standardized'!K8</f>
        <v>45535</v>
      </c>
      <c r="L8" s="16">
        <f>'Balance Sheet - Standardized'!L8</f>
        <v>45900</v>
      </c>
      <c r="M8" s="126"/>
      <c r="N8" s="126"/>
      <c r="O8" s="126"/>
      <c r="P8" s="126"/>
      <c r="Q8" s="126"/>
      <c r="R8" s="126"/>
    </row>
    <row r="9" spans="1:1010 1027:2036 2053:3062 3079:4088 4105:5114 5131:6140 6157:7166 7183:8192 8209:9200 9217:10226 10243:11252 11269:12278 12295:13304 13321:14330 14347:15356 15373:16382" x14ac:dyDescent="0.35">
      <c r="A9" s="51" t="s">
        <v>220</v>
      </c>
      <c r="B9" s="51" t="s">
        <v>221</v>
      </c>
      <c r="C9" s="178">
        <v>516.41099999999994</v>
      </c>
      <c r="D9" s="178">
        <v>517.98500000000001</v>
      </c>
      <c r="E9" s="178">
        <v>547.70500000000004</v>
      </c>
      <c r="F9" s="178">
        <v>444.072</v>
      </c>
      <c r="G9" s="178">
        <v>474.69200000000001</v>
      </c>
      <c r="H9" s="178">
        <v>567.64599999999996</v>
      </c>
      <c r="I9" s="178">
        <v>770.74300000000005</v>
      </c>
      <c r="J9" s="178">
        <v>674.08399999999995</v>
      </c>
      <c r="K9" s="178">
        <v>607.07399999999996</v>
      </c>
      <c r="L9" s="178">
        <v>676.36800000000005</v>
      </c>
      <c r="M9" s="312">
        <f>IF(OR(K9=0,K9=""),"",L9/K9-1)</f>
        <v>0.11414423941727048</v>
      </c>
      <c r="N9" s="135"/>
      <c r="O9" s="135"/>
      <c r="P9" s="135"/>
      <c r="Q9" s="135"/>
      <c r="R9" s="135"/>
    </row>
    <row r="10" spans="1:1010 1027:2036 2053:3062 3079:4088 4105:5114 5131:6140 6157:7166 7183:8192 8209:9200 9217:10226 10243:11252 11269:12278 12295:13304 13321:14330 14347:15356 15373:16382" x14ac:dyDescent="0.35">
      <c r="A10" s="181" t="s">
        <v>222</v>
      </c>
      <c r="B10" s="181" t="s">
        <v>223</v>
      </c>
      <c r="C10" s="182">
        <v>516.41099999999994</v>
      </c>
      <c r="D10" s="182">
        <v>517.98500000000001</v>
      </c>
      <c r="E10" s="182">
        <v>547.70500000000004</v>
      </c>
      <c r="F10" s="182">
        <v>444.072</v>
      </c>
      <c r="G10" s="182">
        <v>474.69200000000001</v>
      </c>
      <c r="H10" s="182">
        <v>567.64599999999996</v>
      </c>
      <c r="I10" s="182">
        <v>770.74300000000005</v>
      </c>
      <c r="J10" s="182">
        <v>674.08399999999995</v>
      </c>
      <c r="K10" s="182">
        <v>607.07399999999996</v>
      </c>
      <c r="L10" s="182">
        <v>676.36800000000005</v>
      </c>
      <c r="M10" s="312"/>
      <c r="N10" s="136"/>
      <c r="O10" s="136"/>
      <c r="P10" s="136"/>
      <c r="Q10" s="136"/>
      <c r="R10" s="136"/>
    </row>
    <row r="11" spans="1:1010 1027:2036 2053:3062 3079:4088 4105:5114 5131:6140 6157:7166 7183:8192 8209:9200 9217:10226 10243:11252 11269:12278 12295:13304 13321:14330 14347:15356 15373:16382" s="152" customFormat="1" x14ac:dyDescent="0.35">
      <c r="A11" s="181" t="s">
        <v>224</v>
      </c>
      <c r="B11" s="181" t="s">
        <v>225</v>
      </c>
      <c r="C11" s="182"/>
      <c r="D11" s="182"/>
      <c r="E11" s="182"/>
      <c r="F11" s="182"/>
      <c r="G11" s="182"/>
      <c r="H11" s="182"/>
      <c r="I11" s="182"/>
      <c r="J11" s="182"/>
      <c r="K11" s="182"/>
      <c r="L11" s="182"/>
      <c r="M11" s="238"/>
      <c r="N11" s="238"/>
      <c r="O11" s="238"/>
      <c r="P11" s="238"/>
      <c r="Q11" s="238"/>
      <c r="R11" s="238"/>
    </row>
    <row r="12" spans="1:1010 1027:2036 2053:3062 3079:4088 4105:5114 5131:6140 6157:7166 7183:8192 8209:9200 9217:10226 10243:11252 11269:12278 12295:13304 13321:14330 14347:15356 15373:16382" x14ac:dyDescent="0.35">
      <c r="A12" s="181" t="s">
        <v>226</v>
      </c>
      <c r="B12" s="181" t="s">
        <v>227</v>
      </c>
      <c r="C12" s="182"/>
      <c r="D12" s="182"/>
      <c r="E12" s="182"/>
      <c r="F12" s="182"/>
      <c r="G12" s="182"/>
      <c r="H12" s="182"/>
      <c r="I12" s="182"/>
      <c r="J12" s="182"/>
      <c r="K12" s="182"/>
      <c r="L12" s="182"/>
      <c r="M12" s="136"/>
      <c r="N12" s="136"/>
      <c r="O12" s="136"/>
      <c r="P12" s="136"/>
      <c r="Q12" s="136"/>
      <c r="R12" s="136"/>
    </row>
    <row r="13" spans="1:1010 1027:2036 2053:3062 3079:4088 4105:5114 5131:6140 6157:7166 7183:8192 8209:9200 9217:10226 10243:11252 11269:12278 12295:13304 13321:14330 14347:15356 15373:16382" x14ac:dyDescent="0.35">
      <c r="A13" s="23" t="s">
        <v>29</v>
      </c>
      <c r="B13" s="23"/>
      <c r="C13" s="322">
        <f t="shared" ref="C13:L13" si="0">ROUND(SUM(C10:C12)-IF(C9="",0,C9),1)</f>
        <v>0</v>
      </c>
      <c r="D13" s="322">
        <f t="shared" si="0"/>
        <v>0</v>
      </c>
      <c r="E13" s="322">
        <f t="shared" si="0"/>
        <v>0</v>
      </c>
      <c r="F13" s="322">
        <f t="shared" si="0"/>
        <v>0</v>
      </c>
      <c r="G13" s="322">
        <f t="shared" si="0"/>
        <v>0</v>
      </c>
      <c r="H13" s="322">
        <f t="shared" si="0"/>
        <v>0</v>
      </c>
      <c r="I13" s="322">
        <f t="shared" si="0"/>
        <v>0</v>
      </c>
      <c r="J13" s="322">
        <f t="shared" si="0"/>
        <v>0</v>
      </c>
      <c r="K13" s="322">
        <f t="shared" si="0"/>
        <v>0</v>
      </c>
      <c r="L13" s="322">
        <f t="shared" si="0"/>
        <v>0</v>
      </c>
      <c r="M13" s="137"/>
      <c r="N13" s="137"/>
      <c r="O13" s="137"/>
      <c r="P13" s="137"/>
      <c r="Q13" s="137"/>
      <c r="R13" s="137"/>
    </row>
    <row r="14" spans="1:1010 1027:2036 2053:3062 3079:4088 4105:5114 5131:6140 6157:7166 7183:8192 8209:9200 9217:10226 10243:11252 11269:12278 12295:13304 13321:14330 14347:15356 15373:16382" s="11" customFormat="1" x14ac:dyDescent="0.35">
      <c r="A14" s="183" t="s">
        <v>228</v>
      </c>
      <c r="B14" s="183" t="s">
        <v>229</v>
      </c>
      <c r="C14" s="184">
        <v>367.798</v>
      </c>
      <c r="D14" s="184">
        <v>372.97300000000001</v>
      </c>
      <c r="E14" s="184">
        <v>396.24299999999999</v>
      </c>
      <c r="F14" s="184">
        <v>329.464</v>
      </c>
      <c r="G14" s="184">
        <v>322.149</v>
      </c>
      <c r="H14" s="184">
        <v>417.44099999999997</v>
      </c>
      <c r="I14" s="184">
        <v>571.56500000000005</v>
      </c>
      <c r="J14" s="184">
        <v>461.06900000000002</v>
      </c>
      <c r="K14" s="184">
        <v>416.01900000000001</v>
      </c>
      <c r="L14" s="184">
        <v>465.58800000000002</v>
      </c>
      <c r="M14" s="312">
        <f>IF(OR(K14=0,K14=""),"",L14/K14-1)</f>
        <v>0.11915080801597999</v>
      </c>
      <c r="S14" s="12"/>
      <c r="T14" s="12"/>
      <c r="AK14" s="12"/>
      <c r="AL14" s="12"/>
      <c r="BC14" s="12"/>
      <c r="BD14" s="12"/>
      <c r="BU14" s="12"/>
      <c r="BV14" s="12"/>
      <c r="CM14" s="12"/>
      <c r="CN14" s="12"/>
      <c r="DE14" s="12"/>
      <c r="DF14" s="12"/>
      <c r="DW14" s="12"/>
      <c r="DX14" s="12"/>
      <c r="EO14" s="12"/>
      <c r="EP14" s="12"/>
      <c r="FG14" s="12"/>
      <c r="FH14" s="12"/>
      <c r="FY14" s="12"/>
      <c r="FZ14" s="12"/>
      <c r="GQ14" s="12"/>
      <c r="GR14" s="12"/>
      <c r="HI14" s="12"/>
      <c r="HJ14" s="12"/>
      <c r="IA14" s="12"/>
      <c r="IB14" s="12"/>
      <c r="IS14" s="12"/>
      <c r="IT14" s="12"/>
      <c r="JK14" s="12"/>
      <c r="JL14" s="12"/>
      <c r="KC14" s="12"/>
      <c r="KD14" s="12"/>
      <c r="KU14" s="12"/>
      <c r="KV14" s="12"/>
      <c r="LM14" s="12"/>
      <c r="LN14" s="12"/>
      <c r="ME14" s="12"/>
      <c r="MF14" s="12"/>
      <c r="MW14" s="12"/>
      <c r="MX14" s="12"/>
      <c r="NO14" s="12"/>
      <c r="NP14" s="12"/>
      <c r="OG14" s="12"/>
      <c r="OH14" s="12"/>
      <c r="OY14" s="12"/>
      <c r="OZ14" s="12"/>
      <c r="PQ14" s="12"/>
      <c r="PR14" s="12"/>
      <c r="QI14" s="12"/>
      <c r="QJ14" s="12"/>
      <c r="RA14" s="12"/>
      <c r="RB14" s="12"/>
      <c r="RS14" s="12"/>
      <c r="RT14" s="12"/>
      <c r="SK14" s="12"/>
      <c r="SL14" s="12"/>
      <c r="TC14" s="12"/>
      <c r="TD14" s="12"/>
      <c r="TU14" s="12"/>
      <c r="TV14" s="12"/>
      <c r="UM14" s="12"/>
      <c r="UN14" s="12"/>
      <c r="VE14" s="12"/>
      <c r="VF14" s="12"/>
      <c r="VW14" s="12"/>
      <c r="VX14" s="12"/>
      <c r="WO14" s="12"/>
      <c r="WP14" s="12"/>
      <c r="XG14" s="12"/>
      <c r="XH14" s="12"/>
      <c r="XY14" s="12"/>
      <c r="XZ14" s="12"/>
      <c r="YQ14" s="12"/>
      <c r="YR14" s="12"/>
      <c r="ZI14" s="12"/>
      <c r="ZJ14" s="12"/>
      <c r="AAA14" s="12"/>
      <c r="AAB14" s="12"/>
      <c r="AAS14" s="12"/>
      <c r="AAT14" s="12"/>
      <c r="ABK14" s="12"/>
      <c r="ABL14" s="12"/>
      <c r="ACC14" s="12"/>
      <c r="ACD14" s="12"/>
      <c r="ACU14" s="12"/>
      <c r="ACV14" s="12"/>
      <c r="ADM14" s="12"/>
      <c r="ADN14" s="12"/>
      <c r="AEE14" s="12"/>
      <c r="AEF14" s="12"/>
      <c r="AEW14" s="12"/>
      <c r="AEX14" s="12"/>
      <c r="AFO14" s="12"/>
      <c r="AFP14" s="12"/>
      <c r="AGG14" s="12"/>
      <c r="AGH14" s="12"/>
      <c r="AGY14" s="12"/>
      <c r="AGZ14" s="12"/>
      <c r="AHQ14" s="12"/>
      <c r="AHR14" s="12"/>
      <c r="AII14" s="12"/>
      <c r="AIJ14" s="12"/>
      <c r="AJA14" s="12"/>
      <c r="AJB14" s="12"/>
      <c r="AJS14" s="12"/>
      <c r="AJT14" s="12"/>
      <c r="AKK14" s="12"/>
      <c r="AKL14" s="12"/>
      <c r="ALC14" s="12"/>
      <c r="ALD14" s="12"/>
      <c r="ALU14" s="12"/>
      <c r="ALV14" s="12"/>
      <c r="AMM14" s="12"/>
      <c r="AMN14" s="12"/>
      <c r="ANE14" s="12"/>
      <c r="ANF14" s="12"/>
      <c r="ANW14" s="12"/>
      <c r="ANX14" s="12"/>
      <c r="AOO14" s="12"/>
      <c r="AOP14" s="12"/>
      <c r="APG14" s="12"/>
      <c r="APH14" s="12"/>
      <c r="APY14" s="12"/>
      <c r="APZ14" s="12"/>
      <c r="AQQ14" s="12"/>
      <c r="AQR14" s="12"/>
      <c r="ARI14" s="12"/>
      <c r="ARJ14" s="12"/>
      <c r="ASA14" s="12"/>
      <c r="ASB14" s="12"/>
      <c r="ASS14" s="12"/>
      <c r="AST14" s="12"/>
      <c r="ATK14" s="12"/>
      <c r="ATL14" s="12"/>
      <c r="AUC14" s="12"/>
      <c r="AUD14" s="12"/>
      <c r="AUU14" s="12"/>
      <c r="AUV14" s="12"/>
      <c r="AVM14" s="12"/>
      <c r="AVN14" s="12"/>
      <c r="AWE14" s="12"/>
      <c r="AWF14" s="12"/>
      <c r="AWW14" s="12"/>
      <c r="AWX14" s="12"/>
      <c r="AXO14" s="12"/>
      <c r="AXP14" s="12"/>
      <c r="AYG14" s="12"/>
      <c r="AYH14" s="12"/>
      <c r="AYY14" s="12"/>
      <c r="AYZ14" s="12"/>
      <c r="AZQ14" s="12"/>
      <c r="AZR14" s="12"/>
      <c r="BAI14" s="12"/>
      <c r="BAJ14" s="12"/>
      <c r="BBA14" s="12"/>
      <c r="BBB14" s="12"/>
      <c r="BBS14" s="12"/>
      <c r="BBT14" s="12"/>
      <c r="BCK14" s="12"/>
      <c r="BCL14" s="12"/>
      <c r="BDC14" s="12"/>
      <c r="BDD14" s="12"/>
      <c r="BDU14" s="12"/>
      <c r="BDV14" s="12"/>
      <c r="BEM14" s="12"/>
      <c r="BEN14" s="12"/>
      <c r="BFE14" s="12"/>
      <c r="BFF14" s="12"/>
      <c r="BFW14" s="12"/>
      <c r="BFX14" s="12"/>
      <c r="BGO14" s="12"/>
      <c r="BGP14" s="12"/>
      <c r="BHG14" s="12"/>
      <c r="BHH14" s="12"/>
      <c r="BHY14" s="12"/>
      <c r="BHZ14" s="12"/>
      <c r="BIQ14" s="12"/>
      <c r="BIR14" s="12"/>
      <c r="BJI14" s="12"/>
      <c r="BJJ14" s="12"/>
      <c r="BKA14" s="12"/>
      <c r="BKB14" s="12"/>
      <c r="BKS14" s="12"/>
      <c r="BKT14" s="12"/>
      <c r="BLK14" s="12"/>
      <c r="BLL14" s="12"/>
      <c r="BMC14" s="12"/>
      <c r="BMD14" s="12"/>
      <c r="BMU14" s="12"/>
      <c r="BMV14" s="12"/>
      <c r="BNM14" s="12"/>
      <c r="BNN14" s="12"/>
      <c r="BOE14" s="12"/>
      <c r="BOF14" s="12"/>
      <c r="BOW14" s="12"/>
      <c r="BOX14" s="12"/>
      <c r="BPO14" s="12"/>
      <c r="BPP14" s="12"/>
      <c r="BQG14" s="12"/>
      <c r="BQH14" s="12"/>
      <c r="BQY14" s="12"/>
      <c r="BQZ14" s="12"/>
      <c r="BRQ14" s="12"/>
      <c r="BRR14" s="12"/>
      <c r="BSI14" s="12"/>
      <c r="BSJ14" s="12"/>
      <c r="BTA14" s="12"/>
      <c r="BTB14" s="12"/>
      <c r="BTS14" s="12"/>
      <c r="BTT14" s="12"/>
      <c r="BUK14" s="12"/>
      <c r="BUL14" s="12"/>
      <c r="BVC14" s="12"/>
      <c r="BVD14" s="12"/>
      <c r="BVU14" s="12"/>
      <c r="BVV14" s="12"/>
      <c r="BWM14" s="12"/>
      <c r="BWN14" s="12"/>
      <c r="BXE14" s="12"/>
      <c r="BXF14" s="12"/>
      <c r="BXW14" s="12"/>
      <c r="BXX14" s="12"/>
      <c r="BYO14" s="12"/>
      <c r="BYP14" s="12"/>
      <c r="BZG14" s="12"/>
      <c r="BZH14" s="12"/>
      <c r="BZY14" s="12"/>
      <c r="BZZ14" s="12"/>
      <c r="CAQ14" s="12"/>
      <c r="CAR14" s="12"/>
      <c r="CBI14" s="12"/>
      <c r="CBJ14" s="12"/>
      <c r="CCA14" s="12"/>
      <c r="CCB14" s="12"/>
      <c r="CCS14" s="12"/>
      <c r="CCT14" s="12"/>
      <c r="CDK14" s="12"/>
      <c r="CDL14" s="12"/>
      <c r="CEC14" s="12"/>
      <c r="CED14" s="12"/>
      <c r="CEU14" s="12"/>
      <c r="CEV14" s="12"/>
      <c r="CFM14" s="12"/>
      <c r="CFN14" s="12"/>
      <c r="CGE14" s="12"/>
      <c r="CGF14" s="12"/>
      <c r="CGW14" s="12"/>
      <c r="CGX14" s="12"/>
      <c r="CHO14" s="12"/>
      <c r="CHP14" s="12"/>
      <c r="CIG14" s="12"/>
      <c r="CIH14" s="12"/>
      <c r="CIY14" s="12"/>
      <c r="CIZ14" s="12"/>
      <c r="CJQ14" s="12"/>
      <c r="CJR14" s="12"/>
      <c r="CKI14" s="12"/>
      <c r="CKJ14" s="12"/>
      <c r="CLA14" s="12"/>
      <c r="CLB14" s="12"/>
      <c r="CLS14" s="12"/>
      <c r="CLT14" s="12"/>
      <c r="CMK14" s="12"/>
      <c r="CML14" s="12"/>
      <c r="CNC14" s="12"/>
      <c r="CND14" s="12"/>
      <c r="CNU14" s="12"/>
      <c r="CNV14" s="12"/>
      <c r="COM14" s="12"/>
      <c r="CON14" s="12"/>
      <c r="CPE14" s="12"/>
      <c r="CPF14" s="12"/>
      <c r="CPW14" s="12"/>
      <c r="CPX14" s="12"/>
      <c r="CQO14" s="12"/>
      <c r="CQP14" s="12"/>
      <c r="CRG14" s="12"/>
      <c r="CRH14" s="12"/>
      <c r="CRY14" s="12"/>
      <c r="CRZ14" s="12"/>
      <c r="CSQ14" s="12"/>
      <c r="CSR14" s="12"/>
      <c r="CTI14" s="12"/>
      <c r="CTJ14" s="12"/>
      <c r="CUA14" s="12"/>
      <c r="CUB14" s="12"/>
      <c r="CUS14" s="12"/>
      <c r="CUT14" s="12"/>
      <c r="CVK14" s="12"/>
      <c r="CVL14" s="12"/>
      <c r="CWC14" s="12"/>
      <c r="CWD14" s="12"/>
      <c r="CWU14" s="12"/>
      <c r="CWV14" s="12"/>
      <c r="CXM14" s="12"/>
      <c r="CXN14" s="12"/>
      <c r="CYE14" s="12"/>
      <c r="CYF14" s="12"/>
      <c r="CYW14" s="12"/>
      <c r="CYX14" s="12"/>
      <c r="CZO14" s="12"/>
      <c r="CZP14" s="12"/>
      <c r="DAG14" s="12"/>
      <c r="DAH14" s="12"/>
      <c r="DAY14" s="12"/>
      <c r="DAZ14" s="12"/>
      <c r="DBQ14" s="12"/>
      <c r="DBR14" s="12"/>
      <c r="DCI14" s="12"/>
      <c r="DCJ14" s="12"/>
      <c r="DDA14" s="12"/>
      <c r="DDB14" s="12"/>
      <c r="DDS14" s="12"/>
      <c r="DDT14" s="12"/>
      <c r="DEK14" s="12"/>
      <c r="DEL14" s="12"/>
      <c r="DFC14" s="12"/>
      <c r="DFD14" s="12"/>
      <c r="DFU14" s="12"/>
      <c r="DFV14" s="12"/>
      <c r="DGM14" s="12"/>
      <c r="DGN14" s="12"/>
      <c r="DHE14" s="12"/>
      <c r="DHF14" s="12"/>
      <c r="DHW14" s="12"/>
      <c r="DHX14" s="12"/>
      <c r="DIO14" s="12"/>
      <c r="DIP14" s="12"/>
      <c r="DJG14" s="12"/>
      <c r="DJH14" s="12"/>
      <c r="DJY14" s="12"/>
      <c r="DJZ14" s="12"/>
      <c r="DKQ14" s="12"/>
      <c r="DKR14" s="12"/>
      <c r="DLI14" s="12"/>
      <c r="DLJ14" s="12"/>
      <c r="DMA14" s="12"/>
      <c r="DMB14" s="12"/>
      <c r="DMS14" s="12"/>
      <c r="DMT14" s="12"/>
      <c r="DNK14" s="12"/>
      <c r="DNL14" s="12"/>
      <c r="DOC14" s="12"/>
      <c r="DOD14" s="12"/>
      <c r="DOU14" s="12"/>
      <c r="DOV14" s="12"/>
      <c r="DPM14" s="12"/>
      <c r="DPN14" s="12"/>
      <c r="DQE14" s="12"/>
      <c r="DQF14" s="12"/>
      <c r="DQW14" s="12"/>
      <c r="DQX14" s="12"/>
      <c r="DRO14" s="12"/>
      <c r="DRP14" s="12"/>
      <c r="DSG14" s="12"/>
      <c r="DSH14" s="12"/>
      <c r="DSY14" s="12"/>
      <c r="DSZ14" s="12"/>
      <c r="DTQ14" s="12"/>
      <c r="DTR14" s="12"/>
      <c r="DUI14" s="12"/>
      <c r="DUJ14" s="12"/>
      <c r="DVA14" s="12"/>
      <c r="DVB14" s="12"/>
      <c r="DVS14" s="12"/>
      <c r="DVT14" s="12"/>
      <c r="DWK14" s="12"/>
      <c r="DWL14" s="12"/>
      <c r="DXC14" s="12"/>
      <c r="DXD14" s="12"/>
      <c r="DXU14" s="12"/>
      <c r="DXV14" s="12"/>
      <c r="DYM14" s="12"/>
      <c r="DYN14" s="12"/>
      <c r="DZE14" s="12"/>
      <c r="DZF14" s="12"/>
      <c r="DZW14" s="12"/>
      <c r="DZX14" s="12"/>
      <c r="EAO14" s="12"/>
      <c r="EAP14" s="12"/>
      <c r="EBG14" s="12"/>
      <c r="EBH14" s="12"/>
      <c r="EBY14" s="12"/>
      <c r="EBZ14" s="12"/>
      <c r="ECQ14" s="12"/>
      <c r="ECR14" s="12"/>
      <c r="EDI14" s="12"/>
      <c r="EDJ14" s="12"/>
      <c r="EEA14" s="12"/>
      <c r="EEB14" s="12"/>
      <c r="EES14" s="12"/>
      <c r="EET14" s="12"/>
      <c r="EFK14" s="12"/>
      <c r="EFL14" s="12"/>
      <c r="EGC14" s="12"/>
      <c r="EGD14" s="12"/>
      <c r="EGU14" s="12"/>
      <c r="EGV14" s="12"/>
      <c r="EHM14" s="12"/>
      <c r="EHN14" s="12"/>
      <c r="EIE14" s="12"/>
      <c r="EIF14" s="12"/>
      <c r="EIW14" s="12"/>
      <c r="EIX14" s="12"/>
      <c r="EJO14" s="12"/>
      <c r="EJP14" s="12"/>
      <c r="EKG14" s="12"/>
      <c r="EKH14" s="12"/>
      <c r="EKY14" s="12"/>
      <c r="EKZ14" s="12"/>
      <c r="ELQ14" s="12"/>
      <c r="ELR14" s="12"/>
      <c r="EMI14" s="12"/>
      <c r="EMJ14" s="12"/>
      <c r="ENA14" s="12"/>
      <c r="ENB14" s="12"/>
      <c r="ENS14" s="12"/>
      <c r="ENT14" s="12"/>
      <c r="EOK14" s="12"/>
      <c r="EOL14" s="12"/>
      <c r="EPC14" s="12"/>
      <c r="EPD14" s="12"/>
      <c r="EPU14" s="12"/>
      <c r="EPV14" s="12"/>
      <c r="EQM14" s="12"/>
      <c r="EQN14" s="12"/>
      <c r="ERE14" s="12"/>
      <c r="ERF14" s="12"/>
      <c r="ERW14" s="12"/>
      <c r="ERX14" s="12"/>
      <c r="ESO14" s="12"/>
      <c r="ESP14" s="12"/>
      <c r="ETG14" s="12"/>
      <c r="ETH14" s="12"/>
      <c r="ETY14" s="12"/>
      <c r="ETZ14" s="12"/>
      <c r="EUQ14" s="12"/>
      <c r="EUR14" s="12"/>
      <c r="EVI14" s="12"/>
      <c r="EVJ14" s="12"/>
      <c r="EWA14" s="12"/>
      <c r="EWB14" s="12"/>
      <c r="EWS14" s="12"/>
      <c r="EWT14" s="12"/>
      <c r="EXK14" s="12"/>
      <c r="EXL14" s="12"/>
      <c r="EYC14" s="12"/>
      <c r="EYD14" s="12"/>
      <c r="EYU14" s="12"/>
      <c r="EYV14" s="12"/>
      <c r="EZM14" s="12"/>
      <c r="EZN14" s="12"/>
      <c r="FAE14" s="12"/>
      <c r="FAF14" s="12"/>
      <c r="FAW14" s="12"/>
      <c r="FAX14" s="12"/>
      <c r="FBO14" s="12"/>
      <c r="FBP14" s="12"/>
      <c r="FCG14" s="12"/>
      <c r="FCH14" s="12"/>
      <c r="FCY14" s="12"/>
      <c r="FCZ14" s="12"/>
      <c r="FDQ14" s="12"/>
      <c r="FDR14" s="12"/>
      <c r="FEI14" s="12"/>
      <c r="FEJ14" s="12"/>
      <c r="FFA14" s="12"/>
      <c r="FFB14" s="12"/>
      <c r="FFS14" s="12"/>
      <c r="FFT14" s="12"/>
      <c r="FGK14" s="12"/>
      <c r="FGL14" s="12"/>
      <c r="FHC14" s="12"/>
      <c r="FHD14" s="12"/>
      <c r="FHU14" s="12"/>
      <c r="FHV14" s="12"/>
      <c r="FIM14" s="12"/>
      <c r="FIN14" s="12"/>
      <c r="FJE14" s="12"/>
      <c r="FJF14" s="12"/>
      <c r="FJW14" s="12"/>
      <c r="FJX14" s="12"/>
      <c r="FKO14" s="12"/>
      <c r="FKP14" s="12"/>
      <c r="FLG14" s="12"/>
      <c r="FLH14" s="12"/>
      <c r="FLY14" s="12"/>
      <c r="FLZ14" s="12"/>
      <c r="FMQ14" s="12"/>
      <c r="FMR14" s="12"/>
      <c r="FNI14" s="12"/>
      <c r="FNJ14" s="12"/>
      <c r="FOA14" s="12"/>
      <c r="FOB14" s="12"/>
      <c r="FOS14" s="12"/>
      <c r="FOT14" s="12"/>
      <c r="FPK14" s="12"/>
      <c r="FPL14" s="12"/>
      <c r="FQC14" s="12"/>
      <c r="FQD14" s="12"/>
      <c r="FQU14" s="12"/>
      <c r="FQV14" s="12"/>
      <c r="FRM14" s="12"/>
      <c r="FRN14" s="12"/>
      <c r="FSE14" s="12"/>
      <c r="FSF14" s="12"/>
      <c r="FSW14" s="12"/>
      <c r="FSX14" s="12"/>
      <c r="FTO14" s="12"/>
      <c r="FTP14" s="12"/>
      <c r="FUG14" s="12"/>
      <c r="FUH14" s="12"/>
      <c r="FUY14" s="12"/>
      <c r="FUZ14" s="12"/>
      <c r="FVQ14" s="12"/>
      <c r="FVR14" s="12"/>
      <c r="FWI14" s="12"/>
      <c r="FWJ14" s="12"/>
      <c r="FXA14" s="12"/>
      <c r="FXB14" s="12"/>
      <c r="FXS14" s="12"/>
      <c r="FXT14" s="12"/>
      <c r="FYK14" s="12"/>
      <c r="FYL14" s="12"/>
      <c r="FZC14" s="12"/>
      <c r="FZD14" s="12"/>
      <c r="FZU14" s="12"/>
      <c r="FZV14" s="12"/>
      <c r="GAM14" s="12"/>
      <c r="GAN14" s="12"/>
      <c r="GBE14" s="12"/>
      <c r="GBF14" s="12"/>
      <c r="GBW14" s="12"/>
      <c r="GBX14" s="12"/>
      <c r="GCO14" s="12"/>
      <c r="GCP14" s="12"/>
      <c r="GDG14" s="12"/>
      <c r="GDH14" s="12"/>
      <c r="GDY14" s="12"/>
      <c r="GDZ14" s="12"/>
      <c r="GEQ14" s="12"/>
      <c r="GER14" s="12"/>
      <c r="GFI14" s="12"/>
      <c r="GFJ14" s="12"/>
      <c r="GGA14" s="12"/>
      <c r="GGB14" s="12"/>
      <c r="GGS14" s="12"/>
      <c r="GGT14" s="12"/>
      <c r="GHK14" s="12"/>
      <c r="GHL14" s="12"/>
      <c r="GIC14" s="12"/>
      <c r="GID14" s="12"/>
      <c r="GIU14" s="12"/>
      <c r="GIV14" s="12"/>
      <c r="GJM14" s="12"/>
      <c r="GJN14" s="12"/>
      <c r="GKE14" s="12"/>
      <c r="GKF14" s="12"/>
      <c r="GKW14" s="12"/>
      <c r="GKX14" s="12"/>
      <c r="GLO14" s="12"/>
      <c r="GLP14" s="12"/>
      <c r="GMG14" s="12"/>
      <c r="GMH14" s="12"/>
      <c r="GMY14" s="12"/>
      <c r="GMZ14" s="12"/>
      <c r="GNQ14" s="12"/>
      <c r="GNR14" s="12"/>
      <c r="GOI14" s="12"/>
      <c r="GOJ14" s="12"/>
      <c r="GPA14" s="12"/>
      <c r="GPB14" s="12"/>
      <c r="GPS14" s="12"/>
      <c r="GPT14" s="12"/>
      <c r="GQK14" s="12"/>
      <c r="GQL14" s="12"/>
      <c r="GRC14" s="12"/>
      <c r="GRD14" s="12"/>
      <c r="GRU14" s="12"/>
      <c r="GRV14" s="12"/>
      <c r="GSM14" s="12"/>
      <c r="GSN14" s="12"/>
      <c r="GTE14" s="12"/>
      <c r="GTF14" s="12"/>
      <c r="GTW14" s="12"/>
      <c r="GTX14" s="12"/>
      <c r="GUO14" s="12"/>
      <c r="GUP14" s="12"/>
      <c r="GVG14" s="12"/>
      <c r="GVH14" s="12"/>
      <c r="GVY14" s="12"/>
      <c r="GVZ14" s="12"/>
      <c r="GWQ14" s="12"/>
      <c r="GWR14" s="12"/>
      <c r="GXI14" s="12"/>
      <c r="GXJ14" s="12"/>
      <c r="GYA14" s="12"/>
      <c r="GYB14" s="12"/>
      <c r="GYS14" s="12"/>
      <c r="GYT14" s="12"/>
      <c r="GZK14" s="12"/>
      <c r="GZL14" s="12"/>
      <c r="HAC14" s="12"/>
      <c r="HAD14" s="12"/>
      <c r="HAU14" s="12"/>
      <c r="HAV14" s="12"/>
      <c r="HBM14" s="12"/>
      <c r="HBN14" s="12"/>
      <c r="HCE14" s="12"/>
      <c r="HCF14" s="12"/>
      <c r="HCW14" s="12"/>
      <c r="HCX14" s="12"/>
      <c r="HDO14" s="12"/>
      <c r="HDP14" s="12"/>
      <c r="HEG14" s="12"/>
      <c r="HEH14" s="12"/>
      <c r="HEY14" s="12"/>
      <c r="HEZ14" s="12"/>
      <c r="HFQ14" s="12"/>
      <c r="HFR14" s="12"/>
      <c r="HGI14" s="12"/>
      <c r="HGJ14" s="12"/>
      <c r="HHA14" s="12"/>
      <c r="HHB14" s="12"/>
      <c r="HHS14" s="12"/>
      <c r="HHT14" s="12"/>
      <c r="HIK14" s="12"/>
      <c r="HIL14" s="12"/>
      <c r="HJC14" s="12"/>
      <c r="HJD14" s="12"/>
      <c r="HJU14" s="12"/>
      <c r="HJV14" s="12"/>
      <c r="HKM14" s="12"/>
      <c r="HKN14" s="12"/>
      <c r="HLE14" s="12"/>
      <c r="HLF14" s="12"/>
      <c r="HLW14" s="12"/>
      <c r="HLX14" s="12"/>
      <c r="HMO14" s="12"/>
      <c r="HMP14" s="12"/>
      <c r="HNG14" s="12"/>
      <c r="HNH14" s="12"/>
      <c r="HNY14" s="12"/>
      <c r="HNZ14" s="12"/>
      <c r="HOQ14" s="12"/>
      <c r="HOR14" s="12"/>
      <c r="HPI14" s="12"/>
      <c r="HPJ14" s="12"/>
      <c r="HQA14" s="12"/>
      <c r="HQB14" s="12"/>
      <c r="HQS14" s="12"/>
      <c r="HQT14" s="12"/>
      <c r="HRK14" s="12"/>
      <c r="HRL14" s="12"/>
      <c r="HSC14" s="12"/>
      <c r="HSD14" s="12"/>
      <c r="HSU14" s="12"/>
      <c r="HSV14" s="12"/>
      <c r="HTM14" s="12"/>
      <c r="HTN14" s="12"/>
      <c r="HUE14" s="12"/>
      <c r="HUF14" s="12"/>
      <c r="HUW14" s="12"/>
      <c r="HUX14" s="12"/>
      <c r="HVO14" s="12"/>
      <c r="HVP14" s="12"/>
      <c r="HWG14" s="12"/>
      <c r="HWH14" s="12"/>
      <c r="HWY14" s="12"/>
      <c r="HWZ14" s="12"/>
      <c r="HXQ14" s="12"/>
      <c r="HXR14" s="12"/>
      <c r="HYI14" s="12"/>
      <c r="HYJ14" s="12"/>
      <c r="HZA14" s="12"/>
      <c r="HZB14" s="12"/>
      <c r="HZS14" s="12"/>
      <c r="HZT14" s="12"/>
      <c r="IAK14" s="12"/>
      <c r="IAL14" s="12"/>
      <c r="IBC14" s="12"/>
      <c r="IBD14" s="12"/>
      <c r="IBU14" s="12"/>
      <c r="IBV14" s="12"/>
      <c r="ICM14" s="12"/>
      <c r="ICN14" s="12"/>
      <c r="IDE14" s="12"/>
      <c r="IDF14" s="12"/>
      <c r="IDW14" s="12"/>
      <c r="IDX14" s="12"/>
      <c r="IEO14" s="12"/>
      <c r="IEP14" s="12"/>
      <c r="IFG14" s="12"/>
      <c r="IFH14" s="12"/>
      <c r="IFY14" s="12"/>
      <c r="IFZ14" s="12"/>
      <c r="IGQ14" s="12"/>
      <c r="IGR14" s="12"/>
      <c r="IHI14" s="12"/>
      <c r="IHJ14" s="12"/>
      <c r="IIA14" s="12"/>
      <c r="IIB14" s="12"/>
      <c r="IIS14" s="12"/>
      <c r="IIT14" s="12"/>
      <c r="IJK14" s="12"/>
      <c r="IJL14" s="12"/>
      <c r="IKC14" s="12"/>
      <c r="IKD14" s="12"/>
      <c r="IKU14" s="12"/>
      <c r="IKV14" s="12"/>
      <c r="ILM14" s="12"/>
      <c r="ILN14" s="12"/>
      <c r="IME14" s="12"/>
      <c r="IMF14" s="12"/>
      <c r="IMW14" s="12"/>
      <c r="IMX14" s="12"/>
      <c r="INO14" s="12"/>
      <c r="INP14" s="12"/>
      <c r="IOG14" s="12"/>
      <c r="IOH14" s="12"/>
      <c r="IOY14" s="12"/>
      <c r="IOZ14" s="12"/>
      <c r="IPQ14" s="12"/>
      <c r="IPR14" s="12"/>
      <c r="IQI14" s="12"/>
      <c r="IQJ14" s="12"/>
      <c r="IRA14" s="12"/>
      <c r="IRB14" s="12"/>
      <c r="IRS14" s="12"/>
      <c r="IRT14" s="12"/>
      <c r="ISK14" s="12"/>
      <c r="ISL14" s="12"/>
      <c r="ITC14" s="12"/>
      <c r="ITD14" s="12"/>
      <c r="ITU14" s="12"/>
      <c r="ITV14" s="12"/>
      <c r="IUM14" s="12"/>
      <c r="IUN14" s="12"/>
      <c r="IVE14" s="12"/>
      <c r="IVF14" s="12"/>
      <c r="IVW14" s="12"/>
      <c r="IVX14" s="12"/>
      <c r="IWO14" s="12"/>
      <c r="IWP14" s="12"/>
      <c r="IXG14" s="12"/>
      <c r="IXH14" s="12"/>
      <c r="IXY14" s="12"/>
      <c r="IXZ14" s="12"/>
      <c r="IYQ14" s="12"/>
      <c r="IYR14" s="12"/>
      <c r="IZI14" s="12"/>
      <c r="IZJ14" s="12"/>
      <c r="JAA14" s="12"/>
      <c r="JAB14" s="12"/>
      <c r="JAS14" s="12"/>
      <c r="JAT14" s="12"/>
      <c r="JBK14" s="12"/>
      <c r="JBL14" s="12"/>
      <c r="JCC14" s="12"/>
      <c r="JCD14" s="12"/>
      <c r="JCU14" s="12"/>
      <c r="JCV14" s="12"/>
      <c r="JDM14" s="12"/>
      <c r="JDN14" s="12"/>
      <c r="JEE14" s="12"/>
      <c r="JEF14" s="12"/>
      <c r="JEW14" s="12"/>
      <c r="JEX14" s="12"/>
      <c r="JFO14" s="12"/>
      <c r="JFP14" s="12"/>
      <c r="JGG14" s="12"/>
      <c r="JGH14" s="12"/>
      <c r="JGY14" s="12"/>
      <c r="JGZ14" s="12"/>
      <c r="JHQ14" s="12"/>
      <c r="JHR14" s="12"/>
      <c r="JII14" s="12"/>
      <c r="JIJ14" s="12"/>
      <c r="JJA14" s="12"/>
      <c r="JJB14" s="12"/>
      <c r="JJS14" s="12"/>
      <c r="JJT14" s="12"/>
      <c r="JKK14" s="12"/>
      <c r="JKL14" s="12"/>
      <c r="JLC14" s="12"/>
      <c r="JLD14" s="12"/>
      <c r="JLU14" s="12"/>
      <c r="JLV14" s="12"/>
      <c r="JMM14" s="12"/>
      <c r="JMN14" s="12"/>
      <c r="JNE14" s="12"/>
      <c r="JNF14" s="12"/>
      <c r="JNW14" s="12"/>
      <c r="JNX14" s="12"/>
      <c r="JOO14" s="12"/>
      <c r="JOP14" s="12"/>
      <c r="JPG14" s="12"/>
      <c r="JPH14" s="12"/>
      <c r="JPY14" s="12"/>
      <c r="JPZ14" s="12"/>
      <c r="JQQ14" s="12"/>
      <c r="JQR14" s="12"/>
      <c r="JRI14" s="12"/>
      <c r="JRJ14" s="12"/>
      <c r="JSA14" s="12"/>
      <c r="JSB14" s="12"/>
      <c r="JSS14" s="12"/>
      <c r="JST14" s="12"/>
      <c r="JTK14" s="12"/>
      <c r="JTL14" s="12"/>
      <c r="JUC14" s="12"/>
      <c r="JUD14" s="12"/>
      <c r="JUU14" s="12"/>
      <c r="JUV14" s="12"/>
      <c r="JVM14" s="12"/>
      <c r="JVN14" s="12"/>
      <c r="JWE14" s="12"/>
      <c r="JWF14" s="12"/>
      <c r="JWW14" s="12"/>
      <c r="JWX14" s="12"/>
      <c r="JXO14" s="12"/>
      <c r="JXP14" s="12"/>
      <c r="JYG14" s="12"/>
      <c r="JYH14" s="12"/>
      <c r="JYY14" s="12"/>
      <c r="JYZ14" s="12"/>
      <c r="JZQ14" s="12"/>
      <c r="JZR14" s="12"/>
      <c r="KAI14" s="12"/>
      <c r="KAJ14" s="12"/>
      <c r="KBA14" s="12"/>
      <c r="KBB14" s="12"/>
      <c r="KBS14" s="12"/>
      <c r="KBT14" s="12"/>
      <c r="KCK14" s="12"/>
      <c r="KCL14" s="12"/>
      <c r="KDC14" s="12"/>
      <c r="KDD14" s="12"/>
      <c r="KDU14" s="12"/>
      <c r="KDV14" s="12"/>
      <c r="KEM14" s="12"/>
      <c r="KEN14" s="12"/>
      <c r="KFE14" s="12"/>
      <c r="KFF14" s="12"/>
      <c r="KFW14" s="12"/>
      <c r="KFX14" s="12"/>
      <c r="KGO14" s="12"/>
      <c r="KGP14" s="12"/>
      <c r="KHG14" s="12"/>
      <c r="KHH14" s="12"/>
      <c r="KHY14" s="12"/>
      <c r="KHZ14" s="12"/>
      <c r="KIQ14" s="12"/>
      <c r="KIR14" s="12"/>
      <c r="KJI14" s="12"/>
      <c r="KJJ14" s="12"/>
      <c r="KKA14" s="12"/>
      <c r="KKB14" s="12"/>
      <c r="KKS14" s="12"/>
      <c r="KKT14" s="12"/>
      <c r="KLK14" s="12"/>
      <c r="KLL14" s="12"/>
      <c r="KMC14" s="12"/>
      <c r="KMD14" s="12"/>
      <c r="KMU14" s="12"/>
      <c r="KMV14" s="12"/>
      <c r="KNM14" s="12"/>
      <c r="KNN14" s="12"/>
      <c r="KOE14" s="12"/>
      <c r="KOF14" s="12"/>
      <c r="KOW14" s="12"/>
      <c r="KOX14" s="12"/>
      <c r="KPO14" s="12"/>
      <c r="KPP14" s="12"/>
      <c r="KQG14" s="12"/>
      <c r="KQH14" s="12"/>
      <c r="KQY14" s="12"/>
      <c r="KQZ14" s="12"/>
      <c r="KRQ14" s="12"/>
      <c r="KRR14" s="12"/>
      <c r="KSI14" s="12"/>
      <c r="KSJ14" s="12"/>
      <c r="KTA14" s="12"/>
      <c r="KTB14" s="12"/>
      <c r="KTS14" s="12"/>
      <c r="KTT14" s="12"/>
      <c r="KUK14" s="12"/>
      <c r="KUL14" s="12"/>
      <c r="KVC14" s="12"/>
      <c r="KVD14" s="12"/>
      <c r="KVU14" s="12"/>
      <c r="KVV14" s="12"/>
      <c r="KWM14" s="12"/>
      <c r="KWN14" s="12"/>
      <c r="KXE14" s="12"/>
      <c r="KXF14" s="12"/>
      <c r="KXW14" s="12"/>
      <c r="KXX14" s="12"/>
      <c r="KYO14" s="12"/>
      <c r="KYP14" s="12"/>
      <c r="KZG14" s="12"/>
      <c r="KZH14" s="12"/>
      <c r="KZY14" s="12"/>
      <c r="KZZ14" s="12"/>
      <c r="LAQ14" s="12"/>
      <c r="LAR14" s="12"/>
      <c r="LBI14" s="12"/>
      <c r="LBJ14" s="12"/>
      <c r="LCA14" s="12"/>
      <c r="LCB14" s="12"/>
      <c r="LCS14" s="12"/>
      <c r="LCT14" s="12"/>
      <c r="LDK14" s="12"/>
      <c r="LDL14" s="12"/>
      <c r="LEC14" s="12"/>
      <c r="LED14" s="12"/>
      <c r="LEU14" s="12"/>
      <c r="LEV14" s="12"/>
      <c r="LFM14" s="12"/>
      <c r="LFN14" s="12"/>
      <c r="LGE14" s="12"/>
      <c r="LGF14" s="12"/>
      <c r="LGW14" s="12"/>
      <c r="LGX14" s="12"/>
      <c r="LHO14" s="12"/>
      <c r="LHP14" s="12"/>
      <c r="LIG14" s="12"/>
      <c r="LIH14" s="12"/>
      <c r="LIY14" s="12"/>
      <c r="LIZ14" s="12"/>
      <c r="LJQ14" s="12"/>
      <c r="LJR14" s="12"/>
      <c r="LKI14" s="12"/>
      <c r="LKJ14" s="12"/>
      <c r="LLA14" s="12"/>
      <c r="LLB14" s="12"/>
      <c r="LLS14" s="12"/>
      <c r="LLT14" s="12"/>
      <c r="LMK14" s="12"/>
      <c r="LML14" s="12"/>
      <c r="LNC14" s="12"/>
      <c r="LND14" s="12"/>
      <c r="LNU14" s="12"/>
      <c r="LNV14" s="12"/>
      <c r="LOM14" s="12"/>
      <c r="LON14" s="12"/>
      <c r="LPE14" s="12"/>
      <c r="LPF14" s="12"/>
      <c r="LPW14" s="12"/>
      <c r="LPX14" s="12"/>
      <c r="LQO14" s="12"/>
      <c r="LQP14" s="12"/>
      <c r="LRG14" s="12"/>
      <c r="LRH14" s="12"/>
      <c r="LRY14" s="12"/>
      <c r="LRZ14" s="12"/>
      <c r="LSQ14" s="12"/>
      <c r="LSR14" s="12"/>
      <c r="LTI14" s="12"/>
      <c r="LTJ14" s="12"/>
      <c r="LUA14" s="12"/>
      <c r="LUB14" s="12"/>
      <c r="LUS14" s="12"/>
      <c r="LUT14" s="12"/>
      <c r="LVK14" s="12"/>
      <c r="LVL14" s="12"/>
      <c r="LWC14" s="12"/>
      <c r="LWD14" s="12"/>
      <c r="LWU14" s="12"/>
      <c r="LWV14" s="12"/>
      <c r="LXM14" s="12"/>
      <c r="LXN14" s="12"/>
      <c r="LYE14" s="12"/>
      <c r="LYF14" s="12"/>
      <c r="LYW14" s="12"/>
      <c r="LYX14" s="12"/>
      <c r="LZO14" s="12"/>
      <c r="LZP14" s="12"/>
      <c r="MAG14" s="12"/>
      <c r="MAH14" s="12"/>
      <c r="MAY14" s="12"/>
      <c r="MAZ14" s="12"/>
      <c r="MBQ14" s="12"/>
      <c r="MBR14" s="12"/>
      <c r="MCI14" s="12"/>
      <c r="MCJ14" s="12"/>
      <c r="MDA14" s="12"/>
      <c r="MDB14" s="12"/>
      <c r="MDS14" s="12"/>
      <c r="MDT14" s="12"/>
      <c r="MEK14" s="12"/>
      <c r="MEL14" s="12"/>
      <c r="MFC14" s="12"/>
      <c r="MFD14" s="12"/>
      <c r="MFU14" s="12"/>
      <c r="MFV14" s="12"/>
      <c r="MGM14" s="12"/>
      <c r="MGN14" s="12"/>
      <c r="MHE14" s="12"/>
      <c r="MHF14" s="12"/>
      <c r="MHW14" s="12"/>
      <c r="MHX14" s="12"/>
      <c r="MIO14" s="12"/>
      <c r="MIP14" s="12"/>
      <c r="MJG14" s="12"/>
      <c r="MJH14" s="12"/>
      <c r="MJY14" s="12"/>
      <c r="MJZ14" s="12"/>
      <c r="MKQ14" s="12"/>
      <c r="MKR14" s="12"/>
      <c r="MLI14" s="12"/>
      <c r="MLJ14" s="12"/>
      <c r="MMA14" s="12"/>
      <c r="MMB14" s="12"/>
      <c r="MMS14" s="12"/>
      <c r="MMT14" s="12"/>
      <c r="MNK14" s="12"/>
      <c r="MNL14" s="12"/>
      <c r="MOC14" s="12"/>
      <c r="MOD14" s="12"/>
      <c r="MOU14" s="12"/>
      <c r="MOV14" s="12"/>
      <c r="MPM14" s="12"/>
      <c r="MPN14" s="12"/>
      <c r="MQE14" s="12"/>
      <c r="MQF14" s="12"/>
      <c r="MQW14" s="12"/>
      <c r="MQX14" s="12"/>
      <c r="MRO14" s="12"/>
      <c r="MRP14" s="12"/>
      <c r="MSG14" s="12"/>
      <c r="MSH14" s="12"/>
      <c r="MSY14" s="12"/>
      <c r="MSZ14" s="12"/>
      <c r="MTQ14" s="12"/>
      <c r="MTR14" s="12"/>
      <c r="MUI14" s="12"/>
      <c r="MUJ14" s="12"/>
      <c r="MVA14" s="12"/>
      <c r="MVB14" s="12"/>
      <c r="MVS14" s="12"/>
      <c r="MVT14" s="12"/>
      <c r="MWK14" s="12"/>
      <c r="MWL14" s="12"/>
      <c r="MXC14" s="12"/>
      <c r="MXD14" s="12"/>
      <c r="MXU14" s="12"/>
      <c r="MXV14" s="12"/>
      <c r="MYM14" s="12"/>
      <c r="MYN14" s="12"/>
      <c r="MZE14" s="12"/>
      <c r="MZF14" s="12"/>
      <c r="MZW14" s="12"/>
      <c r="MZX14" s="12"/>
      <c r="NAO14" s="12"/>
      <c r="NAP14" s="12"/>
      <c r="NBG14" s="12"/>
      <c r="NBH14" s="12"/>
      <c r="NBY14" s="12"/>
      <c r="NBZ14" s="12"/>
      <c r="NCQ14" s="12"/>
      <c r="NCR14" s="12"/>
      <c r="NDI14" s="12"/>
      <c r="NDJ14" s="12"/>
      <c r="NEA14" s="12"/>
      <c r="NEB14" s="12"/>
      <c r="NES14" s="12"/>
      <c r="NET14" s="12"/>
      <c r="NFK14" s="12"/>
      <c r="NFL14" s="12"/>
      <c r="NGC14" s="12"/>
      <c r="NGD14" s="12"/>
      <c r="NGU14" s="12"/>
      <c r="NGV14" s="12"/>
      <c r="NHM14" s="12"/>
      <c r="NHN14" s="12"/>
      <c r="NIE14" s="12"/>
      <c r="NIF14" s="12"/>
      <c r="NIW14" s="12"/>
      <c r="NIX14" s="12"/>
      <c r="NJO14" s="12"/>
      <c r="NJP14" s="12"/>
      <c r="NKG14" s="12"/>
      <c r="NKH14" s="12"/>
      <c r="NKY14" s="12"/>
      <c r="NKZ14" s="12"/>
      <c r="NLQ14" s="12"/>
      <c r="NLR14" s="12"/>
      <c r="NMI14" s="12"/>
      <c r="NMJ14" s="12"/>
      <c r="NNA14" s="12"/>
      <c r="NNB14" s="12"/>
      <c r="NNS14" s="12"/>
      <c r="NNT14" s="12"/>
      <c r="NOK14" s="12"/>
      <c r="NOL14" s="12"/>
      <c r="NPC14" s="12"/>
      <c r="NPD14" s="12"/>
      <c r="NPU14" s="12"/>
      <c r="NPV14" s="12"/>
      <c r="NQM14" s="12"/>
      <c r="NQN14" s="12"/>
      <c r="NRE14" s="12"/>
      <c r="NRF14" s="12"/>
      <c r="NRW14" s="12"/>
      <c r="NRX14" s="12"/>
      <c r="NSO14" s="12"/>
      <c r="NSP14" s="12"/>
      <c r="NTG14" s="12"/>
      <c r="NTH14" s="12"/>
      <c r="NTY14" s="12"/>
      <c r="NTZ14" s="12"/>
      <c r="NUQ14" s="12"/>
      <c r="NUR14" s="12"/>
      <c r="NVI14" s="12"/>
      <c r="NVJ14" s="12"/>
      <c r="NWA14" s="12"/>
      <c r="NWB14" s="12"/>
      <c r="NWS14" s="12"/>
      <c r="NWT14" s="12"/>
      <c r="NXK14" s="12"/>
      <c r="NXL14" s="12"/>
      <c r="NYC14" s="12"/>
      <c r="NYD14" s="12"/>
      <c r="NYU14" s="12"/>
      <c r="NYV14" s="12"/>
      <c r="NZM14" s="12"/>
      <c r="NZN14" s="12"/>
      <c r="OAE14" s="12"/>
      <c r="OAF14" s="12"/>
      <c r="OAW14" s="12"/>
      <c r="OAX14" s="12"/>
      <c r="OBO14" s="12"/>
      <c r="OBP14" s="12"/>
      <c r="OCG14" s="12"/>
      <c r="OCH14" s="12"/>
      <c r="OCY14" s="12"/>
      <c r="OCZ14" s="12"/>
      <c r="ODQ14" s="12"/>
      <c r="ODR14" s="12"/>
      <c r="OEI14" s="12"/>
      <c r="OEJ14" s="12"/>
      <c r="OFA14" s="12"/>
      <c r="OFB14" s="12"/>
      <c r="OFS14" s="12"/>
      <c r="OFT14" s="12"/>
      <c r="OGK14" s="12"/>
      <c r="OGL14" s="12"/>
      <c r="OHC14" s="12"/>
      <c r="OHD14" s="12"/>
      <c r="OHU14" s="12"/>
      <c r="OHV14" s="12"/>
      <c r="OIM14" s="12"/>
      <c r="OIN14" s="12"/>
      <c r="OJE14" s="12"/>
      <c r="OJF14" s="12"/>
      <c r="OJW14" s="12"/>
      <c r="OJX14" s="12"/>
      <c r="OKO14" s="12"/>
      <c r="OKP14" s="12"/>
      <c r="OLG14" s="12"/>
      <c r="OLH14" s="12"/>
      <c r="OLY14" s="12"/>
      <c r="OLZ14" s="12"/>
      <c r="OMQ14" s="12"/>
      <c r="OMR14" s="12"/>
      <c r="ONI14" s="12"/>
      <c r="ONJ14" s="12"/>
      <c r="OOA14" s="12"/>
      <c r="OOB14" s="12"/>
      <c r="OOS14" s="12"/>
      <c r="OOT14" s="12"/>
      <c r="OPK14" s="12"/>
      <c r="OPL14" s="12"/>
      <c r="OQC14" s="12"/>
      <c r="OQD14" s="12"/>
      <c r="OQU14" s="12"/>
      <c r="OQV14" s="12"/>
      <c r="ORM14" s="12"/>
      <c r="ORN14" s="12"/>
      <c r="OSE14" s="12"/>
      <c r="OSF14" s="12"/>
      <c r="OSW14" s="12"/>
      <c r="OSX14" s="12"/>
      <c r="OTO14" s="12"/>
      <c r="OTP14" s="12"/>
      <c r="OUG14" s="12"/>
      <c r="OUH14" s="12"/>
      <c r="OUY14" s="12"/>
      <c r="OUZ14" s="12"/>
      <c r="OVQ14" s="12"/>
      <c r="OVR14" s="12"/>
      <c r="OWI14" s="12"/>
      <c r="OWJ14" s="12"/>
      <c r="OXA14" s="12"/>
      <c r="OXB14" s="12"/>
      <c r="OXS14" s="12"/>
      <c r="OXT14" s="12"/>
      <c r="OYK14" s="12"/>
      <c r="OYL14" s="12"/>
      <c r="OZC14" s="12"/>
      <c r="OZD14" s="12"/>
      <c r="OZU14" s="12"/>
      <c r="OZV14" s="12"/>
      <c r="PAM14" s="12"/>
      <c r="PAN14" s="12"/>
      <c r="PBE14" s="12"/>
      <c r="PBF14" s="12"/>
      <c r="PBW14" s="12"/>
      <c r="PBX14" s="12"/>
      <c r="PCO14" s="12"/>
      <c r="PCP14" s="12"/>
      <c r="PDG14" s="12"/>
      <c r="PDH14" s="12"/>
      <c r="PDY14" s="12"/>
      <c r="PDZ14" s="12"/>
      <c r="PEQ14" s="12"/>
      <c r="PER14" s="12"/>
      <c r="PFI14" s="12"/>
      <c r="PFJ14" s="12"/>
      <c r="PGA14" s="12"/>
      <c r="PGB14" s="12"/>
      <c r="PGS14" s="12"/>
      <c r="PGT14" s="12"/>
      <c r="PHK14" s="12"/>
      <c r="PHL14" s="12"/>
      <c r="PIC14" s="12"/>
      <c r="PID14" s="12"/>
      <c r="PIU14" s="12"/>
      <c r="PIV14" s="12"/>
      <c r="PJM14" s="12"/>
      <c r="PJN14" s="12"/>
      <c r="PKE14" s="12"/>
      <c r="PKF14" s="12"/>
      <c r="PKW14" s="12"/>
      <c r="PKX14" s="12"/>
      <c r="PLO14" s="12"/>
      <c r="PLP14" s="12"/>
      <c r="PMG14" s="12"/>
      <c r="PMH14" s="12"/>
      <c r="PMY14" s="12"/>
      <c r="PMZ14" s="12"/>
      <c r="PNQ14" s="12"/>
      <c r="PNR14" s="12"/>
      <c r="POI14" s="12"/>
      <c r="POJ14" s="12"/>
      <c r="PPA14" s="12"/>
      <c r="PPB14" s="12"/>
      <c r="PPS14" s="12"/>
      <c r="PPT14" s="12"/>
      <c r="PQK14" s="12"/>
      <c r="PQL14" s="12"/>
      <c r="PRC14" s="12"/>
      <c r="PRD14" s="12"/>
      <c r="PRU14" s="12"/>
      <c r="PRV14" s="12"/>
      <c r="PSM14" s="12"/>
      <c r="PSN14" s="12"/>
      <c r="PTE14" s="12"/>
      <c r="PTF14" s="12"/>
      <c r="PTW14" s="12"/>
      <c r="PTX14" s="12"/>
      <c r="PUO14" s="12"/>
      <c r="PUP14" s="12"/>
      <c r="PVG14" s="12"/>
      <c r="PVH14" s="12"/>
      <c r="PVY14" s="12"/>
      <c r="PVZ14" s="12"/>
      <c r="PWQ14" s="12"/>
      <c r="PWR14" s="12"/>
      <c r="PXI14" s="12"/>
      <c r="PXJ14" s="12"/>
      <c r="PYA14" s="12"/>
      <c r="PYB14" s="12"/>
      <c r="PYS14" s="12"/>
      <c r="PYT14" s="12"/>
      <c r="PZK14" s="12"/>
      <c r="PZL14" s="12"/>
      <c r="QAC14" s="12"/>
      <c r="QAD14" s="12"/>
      <c r="QAU14" s="12"/>
      <c r="QAV14" s="12"/>
      <c r="QBM14" s="12"/>
      <c r="QBN14" s="12"/>
      <c r="QCE14" s="12"/>
      <c r="QCF14" s="12"/>
      <c r="QCW14" s="12"/>
      <c r="QCX14" s="12"/>
      <c r="QDO14" s="12"/>
      <c r="QDP14" s="12"/>
      <c r="QEG14" s="12"/>
      <c r="QEH14" s="12"/>
      <c r="QEY14" s="12"/>
      <c r="QEZ14" s="12"/>
      <c r="QFQ14" s="12"/>
      <c r="QFR14" s="12"/>
      <c r="QGI14" s="12"/>
      <c r="QGJ14" s="12"/>
      <c r="QHA14" s="12"/>
      <c r="QHB14" s="12"/>
      <c r="QHS14" s="12"/>
      <c r="QHT14" s="12"/>
      <c r="QIK14" s="12"/>
      <c r="QIL14" s="12"/>
      <c r="QJC14" s="12"/>
      <c r="QJD14" s="12"/>
      <c r="QJU14" s="12"/>
      <c r="QJV14" s="12"/>
      <c r="QKM14" s="12"/>
      <c r="QKN14" s="12"/>
      <c r="QLE14" s="12"/>
      <c r="QLF14" s="12"/>
      <c r="QLW14" s="12"/>
      <c r="QLX14" s="12"/>
      <c r="QMO14" s="12"/>
      <c r="QMP14" s="12"/>
      <c r="QNG14" s="12"/>
      <c r="QNH14" s="12"/>
      <c r="QNY14" s="12"/>
      <c r="QNZ14" s="12"/>
      <c r="QOQ14" s="12"/>
      <c r="QOR14" s="12"/>
      <c r="QPI14" s="12"/>
      <c r="QPJ14" s="12"/>
      <c r="QQA14" s="12"/>
      <c r="QQB14" s="12"/>
      <c r="QQS14" s="12"/>
      <c r="QQT14" s="12"/>
      <c r="QRK14" s="12"/>
      <c r="QRL14" s="12"/>
      <c r="QSC14" s="12"/>
      <c r="QSD14" s="12"/>
      <c r="QSU14" s="12"/>
      <c r="QSV14" s="12"/>
      <c r="QTM14" s="12"/>
      <c r="QTN14" s="12"/>
      <c r="QUE14" s="12"/>
      <c r="QUF14" s="12"/>
      <c r="QUW14" s="12"/>
      <c r="QUX14" s="12"/>
      <c r="QVO14" s="12"/>
      <c r="QVP14" s="12"/>
      <c r="QWG14" s="12"/>
      <c r="QWH14" s="12"/>
      <c r="QWY14" s="12"/>
      <c r="QWZ14" s="12"/>
      <c r="QXQ14" s="12"/>
      <c r="QXR14" s="12"/>
      <c r="QYI14" s="12"/>
      <c r="QYJ14" s="12"/>
      <c r="QZA14" s="12"/>
      <c r="QZB14" s="12"/>
      <c r="QZS14" s="12"/>
      <c r="QZT14" s="12"/>
      <c r="RAK14" s="12"/>
      <c r="RAL14" s="12"/>
      <c r="RBC14" s="12"/>
      <c r="RBD14" s="12"/>
      <c r="RBU14" s="12"/>
      <c r="RBV14" s="12"/>
      <c r="RCM14" s="12"/>
      <c r="RCN14" s="12"/>
      <c r="RDE14" s="12"/>
      <c r="RDF14" s="12"/>
      <c r="RDW14" s="12"/>
      <c r="RDX14" s="12"/>
      <c r="REO14" s="12"/>
      <c r="REP14" s="12"/>
      <c r="RFG14" s="12"/>
      <c r="RFH14" s="12"/>
      <c r="RFY14" s="12"/>
      <c r="RFZ14" s="12"/>
      <c r="RGQ14" s="12"/>
      <c r="RGR14" s="12"/>
      <c r="RHI14" s="12"/>
      <c r="RHJ14" s="12"/>
      <c r="RIA14" s="12"/>
      <c r="RIB14" s="12"/>
      <c r="RIS14" s="12"/>
      <c r="RIT14" s="12"/>
      <c r="RJK14" s="12"/>
      <c r="RJL14" s="12"/>
      <c r="RKC14" s="12"/>
      <c r="RKD14" s="12"/>
      <c r="RKU14" s="12"/>
      <c r="RKV14" s="12"/>
      <c r="RLM14" s="12"/>
      <c r="RLN14" s="12"/>
      <c r="RME14" s="12"/>
      <c r="RMF14" s="12"/>
      <c r="RMW14" s="12"/>
      <c r="RMX14" s="12"/>
      <c r="RNO14" s="12"/>
      <c r="RNP14" s="12"/>
      <c r="ROG14" s="12"/>
      <c r="ROH14" s="12"/>
      <c r="ROY14" s="12"/>
      <c r="ROZ14" s="12"/>
      <c r="RPQ14" s="12"/>
      <c r="RPR14" s="12"/>
      <c r="RQI14" s="12"/>
      <c r="RQJ14" s="12"/>
      <c r="RRA14" s="12"/>
      <c r="RRB14" s="12"/>
      <c r="RRS14" s="12"/>
      <c r="RRT14" s="12"/>
      <c r="RSK14" s="12"/>
      <c r="RSL14" s="12"/>
      <c r="RTC14" s="12"/>
      <c r="RTD14" s="12"/>
      <c r="RTU14" s="12"/>
      <c r="RTV14" s="12"/>
      <c r="RUM14" s="12"/>
      <c r="RUN14" s="12"/>
      <c r="RVE14" s="12"/>
      <c r="RVF14" s="12"/>
      <c r="RVW14" s="12"/>
      <c r="RVX14" s="12"/>
      <c r="RWO14" s="12"/>
      <c r="RWP14" s="12"/>
      <c r="RXG14" s="12"/>
      <c r="RXH14" s="12"/>
      <c r="RXY14" s="12"/>
      <c r="RXZ14" s="12"/>
      <c r="RYQ14" s="12"/>
      <c r="RYR14" s="12"/>
      <c r="RZI14" s="12"/>
      <c r="RZJ14" s="12"/>
      <c r="SAA14" s="12"/>
      <c r="SAB14" s="12"/>
      <c r="SAS14" s="12"/>
      <c r="SAT14" s="12"/>
      <c r="SBK14" s="12"/>
      <c r="SBL14" s="12"/>
      <c r="SCC14" s="12"/>
      <c r="SCD14" s="12"/>
      <c r="SCU14" s="12"/>
      <c r="SCV14" s="12"/>
      <c r="SDM14" s="12"/>
      <c r="SDN14" s="12"/>
      <c r="SEE14" s="12"/>
      <c r="SEF14" s="12"/>
      <c r="SEW14" s="12"/>
      <c r="SEX14" s="12"/>
      <c r="SFO14" s="12"/>
      <c r="SFP14" s="12"/>
      <c r="SGG14" s="12"/>
      <c r="SGH14" s="12"/>
      <c r="SGY14" s="12"/>
      <c r="SGZ14" s="12"/>
      <c r="SHQ14" s="12"/>
      <c r="SHR14" s="12"/>
      <c r="SII14" s="12"/>
      <c r="SIJ14" s="12"/>
      <c r="SJA14" s="12"/>
      <c r="SJB14" s="12"/>
      <c r="SJS14" s="12"/>
      <c r="SJT14" s="12"/>
      <c r="SKK14" s="12"/>
      <c r="SKL14" s="12"/>
      <c r="SLC14" s="12"/>
      <c r="SLD14" s="12"/>
      <c r="SLU14" s="12"/>
      <c r="SLV14" s="12"/>
      <c r="SMM14" s="12"/>
      <c r="SMN14" s="12"/>
      <c r="SNE14" s="12"/>
      <c r="SNF14" s="12"/>
      <c r="SNW14" s="12"/>
      <c r="SNX14" s="12"/>
      <c r="SOO14" s="12"/>
      <c r="SOP14" s="12"/>
      <c r="SPG14" s="12"/>
      <c r="SPH14" s="12"/>
      <c r="SPY14" s="12"/>
      <c r="SPZ14" s="12"/>
      <c r="SQQ14" s="12"/>
      <c r="SQR14" s="12"/>
      <c r="SRI14" s="12"/>
      <c r="SRJ14" s="12"/>
      <c r="SSA14" s="12"/>
      <c r="SSB14" s="12"/>
      <c r="SSS14" s="12"/>
      <c r="SST14" s="12"/>
      <c r="STK14" s="12"/>
      <c r="STL14" s="12"/>
      <c r="SUC14" s="12"/>
      <c r="SUD14" s="12"/>
      <c r="SUU14" s="12"/>
      <c r="SUV14" s="12"/>
      <c r="SVM14" s="12"/>
      <c r="SVN14" s="12"/>
      <c r="SWE14" s="12"/>
      <c r="SWF14" s="12"/>
      <c r="SWW14" s="12"/>
      <c r="SWX14" s="12"/>
      <c r="SXO14" s="12"/>
      <c r="SXP14" s="12"/>
      <c r="SYG14" s="12"/>
      <c r="SYH14" s="12"/>
      <c r="SYY14" s="12"/>
      <c r="SYZ14" s="12"/>
      <c r="SZQ14" s="12"/>
      <c r="SZR14" s="12"/>
      <c r="TAI14" s="12"/>
      <c r="TAJ14" s="12"/>
      <c r="TBA14" s="12"/>
      <c r="TBB14" s="12"/>
      <c r="TBS14" s="12"/>
      <c r="TBT14" s="12"/>
      <c r="TCK14" s="12"/>
      <c r="TCL14" s="12"/>
      <c r="TDC14" s="12"/>
      <c r="TDD14" s="12"/>
      <c r="TDU14" s="12"/>
      <c r="TDV14" s="12"/>
      <c r="TEM14" s="12"/>
      <c r="TEN14" s="12"/>
      <c r="TFE14" s="12"/>
      <c r="TFF14" s="12"/>
      <c r="TFW14" s="12"/>
      <c r="TFX14" s="12"/>
      <c r="TGO14" s="12"/>
      <c r="TGP14" s="12"/>
      <c r="THG14" s="12"/>
      <c r="THH14" s="12"/>
      <c r="THY14" s="12"/>
      <c r="THZ14" s="12"/>
      <c r="TIQ14" s="12"/>
      <c r="TIR14" s="12"/>
      <c r="TJI14" s="12"/>
      <c r="TJJ14" s="12"/>
      <c r="TKA14" s="12"/>
      <c r="TKB14" s="12"/>
      <c r="TKS14" s="12"/>
      <c r="TKT14" s="12"/>
      <c r="TLK14" s="12"/>
      <c r="TLL14" s="12"/>
      <c r="TMC14" s="12"/>
      <c r="TMD14" s="12"/>
      <c r="TMU14" s="12"/>
      <c r="TMV14" s="12"/>
      <c r="TNM14" s="12"/>
      <c r="TNN14" s="12"/>
      <c r="TOE14" s="12"/>
      <c r="TOF14" s="12"/>
      <c r="TOW14" s="12"/>
      <c r="TOX14" s="12"/>
      <c r="TPO14" s="12"/>
      <c r="TPP14" s="12"/>
      <c r="TQG14" s="12"/>
      <c r="TQH14" s="12"/>
      <c r="TQY14" s="12"/>
      <c r="TQZ14" s="12"/>
      <c r="TRQ14" s="12"/>
      <c r="TRR14" s="12"/>
      <c r="TSI14" s="12"/>
      <c r="TSJ14" s="12"/>
      <c r="TTA14" s="12"/>
      <c r="TTB14" s="12"/>
      <c r="TTS14" s="12"/>
      <c r="TTT14" s="12"/>
      <c r="TUK14" s="12"/>
      <c r="TUL14" s="12"/>
      <c r="TVC14" s="12"/>
      <c r="TVD14" s="12"/>
      <c r="TVU14" s="12"/>
      <c r="TVV14" s="12"/>
      <c r="TWM14" s="12"/>
      <c r="TWN14" s="12"/>
      <c r="TXE14" s="12"/>
      <c r="TXF14" s="12"/>
      <c r="TXW14" s="12"/>
      <c r="TXX14" s="12"/>
      <c r="TYO14" s="12"/>
      <c r="TYP14" s="12"/>
      <c r="TZG14" s="12"/>
      <c r="TZH14" s="12"/>
      <c r="TZY14" s="12"/>
      <c r="TZZ14" s="12"/>
      <c r="UAQ14" s="12"/>
      <c r="UAR14" s="12"/>
      <c r="UBI14" s="12"/>
      <c r="UBJ14" s="12"/>
      <c r="UCA14" s="12"/>
      <c r="UCB14" s="12"/>
      <c r="UCS14" s="12"/>
      <c r="UCT14" s="12"/>
      <c r="UDK14" s="12"/>
      <c r="UDL14" s="12"/>
      <c r="UEC14" s="12"/>
      <c r="UED14" s="12"/>
      <c r="UEU14" s="12"/>
      <c r="UEV14" s="12"/>
      <c r="UFM14" s="12"/>
      <c r="UFN14" s="12"/>
      <c r="UGE14" s="12"/>
      <c r="UGF14" s="12"/>
      <c r="UGW14" s="12"/>
      <c r="UGX14" s="12"/>
      <c r="UHO14" s="12"/>
      <c r="UHP14" s="12"/>
      <c r="UIG14" s="12"/>
      <c r="UIH14" s="12"/>
      <c r="UIY14" s="12"/>
      <c r="UIZ14" s="12"/>
      <c r="UJQ14" s="12"/>
      <c r="UJR14" s="12"/>
      <c r="UKI14" s="12"/>
      <c r="UKJ14" s="12"/>
      <c r="ULA14" s="12"/>
      <c r="ULB14" s="12"/>
      <c r="ULS14" s="12"/>
      <c r="ULT14" s="12"/>
      <c r="UMK14" s="12"/>
      <c r="UML14" s="12"/>
      <c r="UNC14" s="12"/>
      <c r="UND14" s="12"/>
      <c r="UNU14" s="12"/>
      <c r="UNV14" s="12"/>
      <c r="UOM14" s="12"/>
      <c r="UON14" s="12"/>
      <c r="UPE14" s="12"/>
      <c r="UPF14" s="12"/>
      <c r="UPW14" s="12"/>
      <c r="UPX14" s="12"/>
      <c r="UQO14" s="12"/>
      <c r="UQP14" s="12"/>
      <c r="URG14" s="12"/>
      <c r="URH14" s="12"/>
      <c r="URY14" s="12"/>
      <c r="URZ14" s="12"/>
      <c r="USQ14" s="12"/>
      <c r="USR14" s="12"/>
      <c r="UTI14" s="12"/>
      <c r="UTJ14" s="12"/>
      <c r="UUA14" s="12"/>
      <c r="UUB14" s="12"/>
      <c r="UUS14" s="12"/>
      <c r="UUT14" s="12"/>
      <c r="UVK14" s="12"/>
      <c r="UVL14" s="12"/>
      <c r="UWC14" s="12"/>
      <c r="UWD14" s="12"/>
      <c r="UWU14" s="12"/>
      <c r="UWV14" s="12"/>
      <c r="UXM14" s="12"/>
      <c r="UXN14" s="12"/>
      <c r="UYE14" s="12"/>
      <c r="UYF14" s="12"/>
      <c r="UYW14" s="12"/>
      <c r="UYX14" s="12"/>
      <c r="UZO14" s="12"/>
      <c r="UZP14" s="12"/>
      <c r="VAG14" s="12"/>
      <c r="VAH14" s="12"/>
      <c r="VAY14" s="12"/>
      <c r="VAZ14" s="12"/>
      <c r="VBQ14" s="12"/>
      <c r="VBR14" s="12"/>
      <c r="VCI14" s="12"/>
      <c r="VCJ14" s="12"/>
      <c r="VDA14" s="12"/>
      <c r="VDB14" s="12"/>
      <c r="VDS14" s="12"/>
      <c r="VDT14" s="12"/>
      <c r="VEK14" s="12"/>
      <c r="VEL14" s="12"/>
      <c r="VFC14" s="12"/>
      <c r="VFD14" s="12"/>
      <c r="VFU14" s="12"/>
      <c r="VFV14" s="12"/>
      <c r="VGM14" s="12"/>
      <c r="VGN14" s="12"/>
      <c r="VHE14" s="12"/>
      <c r="VHF14" s="12"/>
      <c r="VHW14" s="12"/>
      <c r="VHX14" s="12"/>
      <c r="VIO14" s="12"/>
      <c r="VIP14" s="12"/>
      <c r="VJG14" s="12"/>
      <c r="VJH14" s="12"/>
      <c r="VJY14" s="12"/>
      <c r="VJZ14" s="12"/>
      <c r="VKQ14" s="12"/>
      <c r="VKR14" s="12"/>
      <c r="VLI14" s="12"/>
      <c r="VLJ14" s="12"/>
      <c r="VMA14" s="12"/>
      <c r="VMB14" s="12"/>
      <c r="VMS14" s="12"/>
      <c r="VMT14" s="12"/>
      <c r="VNK14" s="12"/>
      <c r="VNL14" s="12"/>
      <c r="VOC14" s="12"/>
      <c r="VOD14" s="12"/>
      <c r="VOU14" s="12"/>
      <c r="VOV14" s="12"/>
      <c r="VPM14" s="12"/>
      <c r="VPN14" s="12"/>
      <c r="VQE14" s="12"/>
      <c r="VQF14" s="12"/>
      <c r="VQW14" s="12"/>
      <c r="VQX14" s="12"/>
      <c r="VRO14" s="12"/>
      <c r="VRP14" s="12"/>
      <c r="VSG14" s="12"/>
      <c r="VSH14" s="12"/>
      <c r="VSY14" s="12"/>
      <c r="VSZ14" s="12"/>
      <c r="VTQ14" s="12"/>
      <c r="VTR14" s="12"/>
      <c r="VUI14" s="12"/>
      <c r="VUJ14" s="12"/>
      <c r="VVA14" s="12"/>
      <c r="VVB14" s="12"/>
      <c r="VVS14" s="12"/>
      <c r="VVT14" s="12"/>
      <c r="VWK14" s="12"/>
      <c r="VWL14" s="12"/>
      <c r="VXC14" s="12"/>
      <c r="VXD14" s="12"/>
      <c r="VXU14" s="12"/>
      <c r="VXV14" s="12"/>
      <c r="VYM14" s="12"/>
      <c r="VYN14" s="12"/>
      <c r="VZE14" s="12"/>
      <c r="VZF14" s="12"/>
      <c r="VZW14" s="12"/>
      <c r="VZX14" s="12"/>
      <c r="WAO14" s="12"/>
      <c r="WAP14" s="12"/>
      <c r="WBG14" s="12"/>
      <c r="WBH14" s="12"/>
      <c r="WBY14" s="12"/>
      <c r="WBZ14" s="12"/>
      <c r="WCQ14" s="12"/>
      <c r="WCR14" s="12"/>
      <c r="WDI14" s="12"/>
      <c r="WDJ14" s="12"/>
      <c r="WEA14" s="12"/>
      <c r="WEB14" s="12"/>
      <c r="WES14" s="12"/>
      <c r="WET14" s="12"/>
      <c r="WFK14" s="12"/>
      <c r="WFL14" s="12"/>
      <c r="WGC14" s="12"/>
      <c r="WGD14" s="12"/>
      <c r="WGU14" s="12"/>
      <c r="WGV14" s="12"/>
      <c r="WHM14" s="12"/>
      <c r="WHN14" s="12"/>
      <c r="WIE14" s="12"/>
      <c r="WIF14" s="12"/>
      <c r="WIW14" s="12"/>
      <c r="WIX14" s="12"/>
      <c r="WJO14" s="12"/>
      <c r="WJP14" s="12"/>
      <c r="WKG14" s="12"/>
      <c r="WKH14" s="12"/>
      <c r="WKY14" s="12"/>
      <c r="WKZ14" s="12"/>
      <c r="WLQ14" s="12"/>
      <c r="WLR14" s="12"/>
      <c r="WMI14" s="12"/>
      <c r="WMJ14" s="12"/>
      <c r="WNA14" s="12"/>
      <c r="WNB14" s="12"/>
      <c r="WNS14" s="12"/>
      <c r="WNT14" s="12"/>
      <c r="WOK14" s="12"/>
      <c r="WOL14" s="12"/>
      <c r="WPC14" s="12"/>
      <c r="WPD14" s="12"/>
      <c r="WPU14" s="12"/>
      <c r="WPV14" s="12"/>
      <c r="WQM14" s="12"/>
      <c r="WQN14" s="12"/>
      <c r="WRE14" s="12"/>
      <c r="WRF14" s="12"/>
      <c r="WRW14" s="12"/>
      <c r="WRX14" s="12"/>
      <c r="WSO14" s="12"/>
      <c r="WSP14" s="12"/>
      <c r="WTG14" s="12"/>
      <c r="WTH14" s="12"/>
      <c r="WTY14" s="12"/>
      <c r="WTZ14" s="12"/>
      <c r="WUQ14" s="12"/>
      <c r="WUR14" s="12"/>
      <c r="WVI14" s="12"/>
      <c r="WVJ14" s="12"/>
      <c r="WWA14" s="12"/>
      <c r="WWB14" s="12"/>
      <c r="WWS14" s="12"/>
      <c r="WWT14" s="12"/>
      <c r="WXK14" s="12"/>
      <c r="WXL14" s="12"/>
      <c r="WYC14" s="12"/>
      <c r="WYD14" s="12"/>
      <c r="WYU14" s="12"/>
      <c r="WYV14" s="12"/>
      <c r="WZM14" s="12"/>
      <c r="WZN14" s="12"/>
      <c r="XAE14" s="12"/>
      <c r="XAF14" s="12"/>
      <c r="XAW14" s="12"/>
      <c r="XAX14" s="12"/>
      <c r="XBO14" s="12"/>
      <c r="XBP14" s="12"/>
      <c r="XCG14" s="12"/>
      <c r="XCH14" s="12"/>
      <c r="XCY14" s="12"/>
      <c r="XCZ14" s="12"/>
      <c r="XDQ14" s="12"/>
      <c r="XDR14" s="12"/>
      <c r="XEI14" s="12"/>
      <c r="XEJ14" s="12"/>
      <c r="XFA14" s="12"/>
      <c r="XFB14" s="12"/>
    </row>
    <row r="15" spans="1:1010 1027:2036 2053:3062 3079:4088 4105:5114 5131:6140 6157:7166 7183:8192 8209:9200 9217:10226 10243:11252 11269:12278 12295:13304 13321:14330 14347:15356 15373:16382" x14ac:dyDescent="0.35">
      <c r="A15" s="181" t="s">
        <v>230</v>
      </c>
      <c r="B15" s="181" t="s">
        <v>231</v>
      </c>
      <c r="C15" s="182">
        <v>367.798</v>
      </c>
      <c r="D15" s="182">
        <v>372.97300000000001</v>
      </c>
      <c r="E15" s="182">
        <v>396.24299999999999</v>
      </c>
      <c r="F15" s="182">
        <v>329.464</v>
      </c>
      <c r="G15" s="182">
        <v>322.149</v>
      </c>
      <c r="H15" s="182">
        <v>417.44099999999997</v>
      </c>
      <c r="I15" s="182">
        <v>571.56500000000005</v>
      </c>
      <c r="J15" s="182">
        <v>461.06900000000002</v>
      </c>
      <c r="K15" s="182">
        <v>416.01900000000001</v>
      </c>
      <c r="L15" s="182">
        <v>465.58800000000002</v>
      </c>
      <c r="M15" s="136"/>
      <c r="N15" s="136"/>
      <c r="O15" s="136"/>
      <c r="P15" s="136"/>
      <c r="Q15" s="136"/>
      <c r="R15" s="136"/>
    </row>
    <row r="16" spans="1:1010 1027:2036 2053:3062 3079:4088 4105:5114 5131:6140 6157:7166 7183:8192 8209:9200 9217:10226 10243:11252 11269:12278 12295:13304 13321:14330 14347:15356 15373:16382" x14ac:dyDescent="0.35">
      <c r="A16" s="181" t="s">
        <v>232</v>
      </c>
      <c r="B16" s="181" t="s">
        <v>233</v>
      </c>
      <c r="C16" s="182"/>
      <c r="D16" s="182"/>
      <c r="E16" s="182"/>
      <c r="F16" s="182"/>
      <c r="G16" s="182"/>
      <c r="H16" s="182"/>
      <c r="I16" s="182"/>
      <c r="J16" s="182"/>
      <c r="K16" s="182"/>
      <c r="L16" s="182"/>
      <c r="M16" s="136"/>
      <c r="N16" s="136"/>
      <c r="O16" s="136"/>
      <c r="P16" s="136"/>
      <c r="Q16" s="136"/>
      <c r="R16" s="136"/>
    </row>
    <row r="17" spans="1:1010 1027:2036 2053:3062 3079:4088 4105:5114 5131:6140 6157:7166 7183:8192 8209:9200 9217:10226 10243:11252 11269:12278 12295:13304 13321:14330 14347:15356 15373:16382" s="152" customFormat="1" x14ac:dyDescent="0.35">
      <c r="A17" s="181" t="s">
        <v>234</v>
      </c>
      <c r="B17" s="181" t="s">
        <v>235</v>
      </c>
      <c r="C17" s="182"/>
      <c r="D17" s="182"/>
      <c r="E17" s="182"/>
      <c r="F17" s="182"/>
      <c r="G17" s="182"/>
      <c r="H17" s="182"/>
      <c r="I17" s="182"/>
      <c r="J17" s="182"/>
      <c r="K17" s="182"/>
      <c r="L17" s="182"/>
      <c r="M17" s="238"/>
      <c r="N17" s="238"/>
      <c r="O17" s="238"/>
      <c r="P17" s="238"/>
      <c r="Q17" s="238"/>
      <c r="R17" s="238"/>
    </row>
    <row r="18" spans="1:1010 1027:2036 2053:3062 3079:4088 4105:5114 5131:6140 6157:7166 7183:8192 8209:9200 9217:10226 10243:11252 11269:12278 12295:13304 13321:14330 14347:15356 15373:16382" x14ac:dyDescent="0.35">
      <c r="A18" s="23" t="s">
        <v>29</v>
      </c>
      <c r="B18" s="23"/>
      <c r="C18" s="322">
        <f t="shared" ref="C18:L18" si="1">ROUND(SUM(C15:C17)-IF(C14="",0,C14),1)</f>
        <v>0</v>
      </c>
      <c r="D18" s="322">
        <f t="shared" si="1"/>
        <v>0</v>
      </c>
      <c r="E18" s="322">
        <f t="shared" si="1"/>
        <v>0</v>
      </c>
      <c r="F18" s="322">
        <f t="shared" si="1"/>
        <v>0</v>
      </c>
      <c r="G18" s="322">
        <f t="shared" si="1"/>
        <v>0</v>
      </c>
      <c r="H18" s="322">
        <f t="shared" si="1"/>
        <v>0</v>
      </c>
      <c r="I18" s="322">
        <f t="shared" si="1"/>
        <v>0</v>
      </c>
      <c r="J18" s="322">
        <f t="shared" si="1"/>
        <v>0</v>
      </c>
      <c r="K18" s="322">
        <f t="shared" si="1"/>
        <v>0</v>
      </c>
      <c r="L18" s="322">
        <f t="shared" si="1"/>
        <v>0</v>
      </c>
      <c r="M18" s="137"/>
      <c r="N18" s="137"/>
      <c r="O18" s="137"/>
      <c r="P18" s="137"/>
      <c r="Q18" s="137"/>
      <c r="R18" s="137"/>
    </row>
    <row r="19" spans="1:1010 1027:2036 2053:3062 3079:4088 4105:5114 5131:6140 6157:7166 7183:8192 8209:9200 9217:10226 10243:11252 11269:12278 12295:13304 13321:14330 14347:15356 15373:16382" x14ac:dyDescent="0.35">
      <c r="A19" s="51" t="s">
        <v>236</v>
      </c>
      <c r="B19" s="51" t="s">
        <v>237</v>
      </c>
      <c r="C19" s="178">
        <v>148.613</v>
      </c>
      <c r="D19" s="178">
        <v>145.012</v>
      </c>
      <c r="E19" s="178">
        <v>151.46199999999999</v>
      </c>
      <c r="F19" s="178">
        <v>114.608</v>
      </c>
      <c r="G19" s="178">
        <v>152.54300000000001</v>
      </c>
      <c r="H19" s="178">
        <v>150.20500000000001</v>
      </c>
      <c r="I19" s="178">
        <v>199.178</v>
      </c>
      <c r="J19" s="178">
        <v>213.01499999999999</v>
      </c>
      <c r="K19" s="178">
        <v>191.05500000000001</v>
      </c>
      <c r="L19" s="178">
        <v>210.78</v>
      </c>
      <c r="M19" s="312">
        <f>IF(OR(K19=0,K19=""),"",L19/K19-1)</f>
        <v>0.10324252178691995</v>
      </c>
      <c r="N19" s="135"/>
      <c r="O19" s="135"/>
      <c r="P19" s="135"/>
      <c r="Q19" s="135"/>
      <c r="R19" s="135"/>
    </row>
    <row r="20" spans="1:1010 1027:2036 2053:3062 3079:4088 4105:5114 5131:6140 6157:7166 7183:8192 8209:9200 9217:10226 10243:11252 11269:12278 12295:13304 13321:14330 14347:15356 15373:16382" x14ac:dyDescent="0.35">
      <c r="A20" s="24" t="s">
        <v>29</v>
      </c>
      <c r="B20" s="24"/>
      <c r="C20" s="260">
        <f t="shared" ref="C20:L20" si="2">ROUND(IF(C9="",0,C9)-IF(C14="",0,C14)-IF(C19="",0,C19),1)</f>
        <v>0</v>
      </c>
      <c r="D20" s="260">
        <f t="shared" si="2"/>
        <v>0</v>
      </c>
      <c r="E20" s="260">
        <f t="shared" si="2"/>
        <v>0</v>
      </c>
      <c r="F20" s="260">
        <f t="shared" si="2"/>
        <v>0</v>
      </c>
      <c r="G20" s="260">
        <f t="shared" si="2"/>
        <v>0</v>
      </c>
      <c r="H20" s="260">
        <f t="shared" si="2"/>
        <v>0</v>
      </c>
      <c r="I20" s="260">
        <f t="shared" si="2"/>
        <v>0</v>
      </c>
      <c r="J20" s="260">
        <f t="shared" si="2"/>
        <v>0</v>
      </c>
      <c r="K20" s="260">
        <f t="shared" si="2"/>
        <v>0</v>
      </c>
      <c r="L20" s="260">
        <f t="shared" si="2"/>
        <v>0</v>
      </c>
      <c r="M20" s="138"/>
      <c r="N20" s="138"/>
      <c r="O20" s="138"/>
      <c r="P20" s="138"/>
      <c r="Q20" s="138"/>
      <c r="R20" s="138"/>
    </row>
    <row r="21" spans="1:1010 1027:2036 2053:3062 3079:4088 4105:5114 5131:6140 6157:7166 7183:8192 8209:9200 9217:10226 10243:11252 11269:12278 12295:13304 13321:14330 14347:15356 15373:16382" s="11" customFormat="1" x14ac:dyDescent="0.35">
      <c r="A21" s="183" t="s">
        <v>238</v>
      </c>
      <c r="B21" s="183" t="s">
        <v>239</v>
      </c>
      <c r="C21" s="184">
        <v>0</v>
      </c>
      <c r="D21" s="184">
        <v>0</v>
      </c>
      <c r="E21" s="184">
        <v>0</v>
      </c>
      <c r="F21" s="184">
        <v>0</v>
      </c>
      <c r="G21" s="184">
        <v>0</v>
      </c>
      <c r="H21" s="184">
        <v>0</v>
      </c>
      <c r="I21" s="184">
        <v>0</v>
      </c>
      <c r="J21" s="184">
        <v>0</v>
      </c>
      <c r="K21" s="184">
        <v>0</v>
      </c>
      <c r="L21" s="184">
        <v>0</v>
      </c>
      <c r="M21" s="312"/>
      <c r="S21" s="12"/>
      <c r="T21" s="12"/>
      <c r="AK21" s="12"/>
      <c r="AL21" s="12"/>
      <c r="BC21" s="12"/>
      <c r="BD21" s="12"/>
      <c r="BU21" s="12"/>
      <c r="BV21" s="12"/>
      <c r="CM21" s="12"/>
      <c r="CN21" s="12"/>
      <c r="DE21" s="12"/>
      <c r="DF21" s="12"/>
      <c r="DW21" s="12"/>
      <c r="DX21" s="12"/>
      <c r="EO21" s="12"/>
      <c r="EP21" s="12"/>
      <c r="FG21" s="12"/>
      <c r="FH21" s="12"/>
      <c r="FY21" s="12"/>
      <c r="FZ21" s="12"/>
      <c r="GQ21" s="12"/>
      <c r="GR21" s="12"/>
      <c r="HI21" s="12"/>
      <c r="HJ21" s="12"/>
      <c r="IA21" s="12"/>
      <c r="IB21" s="12"/>
      <c r="IS21" s="12"/>
      <c r="IT21" s="12"/>
      <c r="JK21" s="12"/>
      <c r="JL21" s="12"/>
      <c r="KC21" s="12"/>
      <c r="KD21" s="12"/>
      <c r="KU21" s="12"/>
      <c r="KV21" s="12"/>
      <c r="LM21" s="12"/>
      <c r="LN21" s="12"/>
      <c r="ME21" s="12"/>
      <c r="MF21" s="12"/>
      <c r="MW21" s="12"/>
      <c r="MX21" s="12"/>
      <c r="NO21" s="12"/>
      <c r="NP21" s="12"/>
      <c r="OG21" s="12"/>
      <c r="OH21" s="12"/>
      <c r="OY21" s="12"/>
      <c r="OZ21" s="12"/>
      <c r="PQ21" s="12"/>
      <c r="PR21" s="12"/>
      <c r="QI21" s="12"/>
      <c r="QJ21" s="12"/>
      <c r="RA21" s="12"/>
      <c r="RB21" s="12"/>
      <c r="RS21" s="12"/>
      <c r="RT21" s="12"/>
      <c r="SK21" s="12"/>
      <c r="SL21" s="12"/>
      <c r="TC21" s="12"/>
      <c r="TD21" s="12"/>
      <c r="TU21" s="12"/>
      <c r="TV21" s="12"/>
      <c r="UM21" s="12"/>
      <c r="UN21" s="12"/>
      <c r="VE21" s="12"/>
      <c r="VF21" s="12"/>
      <c r="VW21" s="12"/>
      <c r="VX21" s="12"/>
      <c r="WO21" s="12"/>
      <c r="WP21" s="12"/>
      <c r="XG21" s="12"/>
      <c r="XH21" s="12"/>
      <c r="XY21" s="12"/>
      <c r="XZ21" s="12"/>
      <c r="YQ21" s="12"/>
      <c r="YR21" s="12"/>
      <c r="ZI21" s="12"/>
      <c r="ZJ21" s="12"/>
      <c r="AAA21" s="12"/>
      <c r="AAB21" s="12"/>
      <c r="AAS21" s="12"/>
      <c r="AAT21" s="12"/>
      <c r="ABK21" s="12"/>
      <c r="ABL21" s="12"/>
      <c r="ACC21" s="12"/>
      <c r="ACD21" s="12"/>
      <c r="ACU21" s="12"/>
      <c r="ACV21" s="12"/>
      <c r="ADM21" s="12"/>
      <c r="ADN21" s="12"/>
      <c r="AEE21" s="12"/>
      <c r="AEF21" s="12"/>
      <c r="AEW21" s="12"/>
      <c r="AEX21" s="12"/>
      <c r="AFO21" s="12"/>
      <c r="AFP21" s="12"/>
      <c r="AGG21" s="12"/>
      <c r="AGH21" s="12"/>
      <c r="AGY21" s="12"/>
      <c r="AGZ21" s="12"/>
      <c r="AHQ21" s="12"/>
      <c r="AHR21" s="12"/>
      <c r="AII21" s="12"/>
      <c r="AIJ21" s="12"/>
      <c r="AJA21" s="12"/>
      <c r="AJB21" s="12"/>
      <c r="AJS21" s="12"/>
      <c r="AJT21" s="12"/>
      <c r="AKK21" s="12"/>
      <c r="AKL21" s="12"/>
      <c r="ALC21" s="12"/>
      <c r="ALD21" s="12"/>
      <c r="ALU21" s="12"/>
      <c r="ALV21" s="12"/>
      <c r="AMM21" s="12"/>
      <c r="AMN21" s="12"/>
      <c r="ANE21" s="12"/>
      <c r="ANF21" s="12"/>
      <c r="ANW21" s="12"/>
      <c r="ANX21" s="12"/>
      <c r="AOO21" s="12"/>
      <c r="AOP21" s="12"/>
      <c r="APG21" s="12"/>
      <c r="APH21" s="12"/>
      <c r="APY21" s="12"/>
      <c r="APZ21" s="12"/>
      <c r="AQQ21" s="12"/>
      <c r="AQR21" s="12"/>
      <c r="ARI21" s="12"/>
      <c r="ARJ21" s="12"/>
      <c r="ASA21" s="12"/>
      <c r="ASB21" s="12"/>
      <c r="ASS21" s="12"/>
      <c r="AST21" s="12"/>
      <c r="ATK21" s="12"/>
      <c r="ATL21" s="12"/>
      <c r="AUC21" s="12"/>
      <c r="AUD21" s="12"/>
      <c r="AUU21" s="12"/>
      <c r="AUV21" s="12"/>
      <c r="AVM21" s="12"/>
      <c r="AVN21" s="12"/>
      <c r="AWE21" s="12"/>
      <c r="AWF21" s="12"/>
      <c r="AWW21" s="12"/>
      <c r="AWX21" s="12"/>
      <c r="AXO21" s="12"/>
      <c r="AXP21" s="12"/>
      <c r="AYG21" s="12"/>
      <c r="AYH21" s="12"/>
      <c r="AYY21" s="12"/>
      <c r="AYZ21" s="12"/>
      <c r="AZQ21" s="12"/>
      <c r="AZR21" s="12"/>
      <c r="BAI21" s="12"/>
      <c r="BAJ21" s="12"/>
      <c r="BBA21" s="12"/>
      <c r="BBB21" s="12"/>
      <c r="BBS21" s="12"/>
      <c r="BBT21" s="12"/>
      <c r="BCK21" s="12"/>
      <c r="BCL21" s="12"/>
      <c r="BDC21" s="12"/>
      <c r="BDD21" s="12"/>
      <c r="BDU21" s="12"/>
      <c r="BDV21" s="12"/>
      <c r="BEM21" s="12"/>
      <c r="BEN21" s="12"/>
      <c r="BFE21" s="12"/>
      <c r="BFF21" s="12"/>
      <c r="BFW21" s="12"/>
      <c r="BFX21" s="12"/>
      <c r="BGO21" s="12"/>
      <c r="BGP21" s="12"/>
      <c r="BHG21" s="12"/>
      <c r="BHH21" s="12"/>
      <c r="BHY21" s="12"/>
      <c r="BHZ21" s="12"/>
      <c r="BIQ21" s="12"/>
      <c r="BIR21" s="12"/>
      <c r="BJI21" s="12"/>
      <c r="BJJ21" s="12"/>
      <c r="BKA21" s="12"/>
      <c r="BKB21" s="12"/>
      <c r="BKS21" s="12"/>
      <c r="BKT21" s="12"/>
      <c r="BLK21" s="12"/>
      <c r="BLL21" s="12"/>
      <c r="BMC21" s="12"/>
      <c r="BMD21" s="12"/>
      <c r="BMU21" s="12"/>
      <c r="BMV21" s="12"/>
      <c r="BNM21" s="12"/>
      <c r="BNN21" s="12"/>
      <c r="BOE21" s="12"/>
      <c r="BOF21" s="12"/>
      <c r="BOW21" s="12"/>
      <c r="BOX21" s="12"/>
      <c r="BPO21" s="12"/>
      <c r="BPP21" s="12"/>
      <c r="BQG21" s="12"/>
      <c r="BQH21" s="12"/>
      <c r="BQY21" s="12"/>
      <c r="BQZ21" s="12"/>
      <c r="BRQ21" s="12"/>
      <c r="BRR21" s="12"/>
      <c r="BSI21" s="12"/>
      <c r="BSJ21" s="12"/>
      <c r="BTA21" s="12"/>
      <c r="BTB21" s="12"/>
      <c r="BTS21" s="12"/>
      <c r="BTT21" s="12"/>
      <c r="BUK21" s="12"/>
      <c r="BUL21" s="12"/>
      <c r="BVC21" s="12"/>
      <c r="BVD21" s="12"/>
      <c r="BVU21" s="12"/>
      <c r="BVV21" s="12"/>
      <c r="BWM21" s="12"/>
      <c r="BWN21" s="12"/>
      <c r="BXE21" s="12"/>
      <c r="BXF21" s="12"/>
      <c r="BXW21" s="12"/>
      <c r="BXX21" s="12"/>
      <c r="BYO21" s="12"/>
      <c r="BYP21" s="12"/>
      <c r="BZG21" s="12"/>
      <c r="BZH21" s="12"/>
      <c r="BZY21" s="12"/>
      <c r="BZZ21" s="12"/>
      <c r="CAQ21" s="12"/>
      <c r="CAR21" s="12"/>
      <c r="CBI21" s="12"/>
      <c r="CBJ21" s="12"/>
      <c r="CCA21" s="12"/>
      <c r="CCB21" s="12"/>
      <c r="CCS21" s="12"/>
      <c r="CCT21" s="12"/>
      <c r="CDK21" s="12"/>
      <c r="CDL21" s="12"/>
      <c r="CEC21" s="12"/>
      <c r="CED21" s="12"/>
      <c r="CEU21" s="12"/>
      <c r="CEV21" s="12"/>
      <c r="CFM21" s="12"/>
      <c r="CFN21" s="12"/>
      <c r="CGE21" s="12"/>
      <c r="CGF21" s="12"/>
      <c r="CGW21" s="12"/>
      <c r="CGX21" s="12"/>
      <c r="CHO21" s="12"/>
      <c r="CHP21" s="12"/>
      <c r="CIG21" s="12"/>
      <c r="CIH21" s="12"/>
      <c r="CIY21" s="12"/>
      <c r="CIZ21" s="12"/>
      <c r="CJQ21" s="12"/>
      <c r="CJR21" s="12"/>
      <c r="CKI21" s="12"/>
      <c r="CKJ21" s="12"/>
      <c r="CLA21" s="12"/>
      <c r="CLB21" s="12"/>
      <c r="CLS21" s="12"/>
      <c r="CLT21" s="12"/>
      <c r="CMK21" s="12"/>
      <c r="CML21" s="12"/>
      <c r="CNC21" s="12"/>
      <c r="CND21" s="12"/>
      <c r="CNU21" s="12"/>
      <c r="CNV21" s="12"/>
      <c r="COM21" s="12"/>
      <c r="CON21" s="12"/>
      <c r="CPE21" s="12"/>
      <c r="CPF21" s="12"/>
      <c r="CPW21" s="12"/>
      <c r="CPX21" s="12"/>
      <c r="CQO21" s="12"/>
      <c r="CQP21" s="12"/>
      <c r="CRG21" s="12"/>
      <c r="CRH21" s="12"/>
      <c r="CRY21" s="12"/>
      <c r="CRZ21" s="12"/>
      <c r="CSQ21" s="12"/>
      <c r="CSR21" s="12"/>
      <c r="CTI21" s="12"/>
      <c r="CTJ21" s="12"/>
      <c r="CUA21" s="12"/>
      <c r="CUB21" s="12"/>
      <c r="CUS21" s="12"/>
      <c r="CUT21" s="12"/>
      <c r="CVK21" s="12"/>
      <c r="CVL21" s="12"/>
      <c r="CWC21" s="12"/>
      <c r="CWD21" s="12"/>
      <c r="CWU21" s="12"/>
      <c r="CWV21" s="12"/>
      <c r="CXM21" s="12"/>
      <c r="CXN21" s="12"/>
      <c r="CYE21" s="12"/>
      <c r="CYF21" s="12"/>
      <c r="CYW21" s="12"/>
      <c r="CYX21" s="12"/>
      <c r="CZO21" s="12"/>
      <c r="CZP21" s="12"/>
      <c r="DAG21" s="12"/>
      <c r="DAH21" s="12"/>
      <c r="DAY21" s="12"/>
      <c r="DAZ21" s="12"/>
      <c r="DBQ21" s="12"/>
      <c r="DBR21" s="12"/>
      <c r="DCI21" s="12"/>
      <c r="DCJ21" s="12"/>
      <c r="DDA21" s="12"/>
      <c r="DDB21" s="12"/>
      <c r="DDS21" s="12"/>
      <c r="DDT21" s="12"/>
      <c r="DEK21" s="12"/>
      <c r="DEL21" s="12"/>
      <c r="DFC21" s="12"/>
      <c r="DFD21" s="12"/>
      <c r="DFU21" s="12"/>
      <c r="DFV21" s="12"/>
      <c r="DGM21" s="12"/>
      <c r="DGN21" s="12"/>
      <c r="DHE21" s="12"/>
      <c r="DHF21" s="12"/>
      <c r="DHW21" s="12"/>
      <c r="DHX21" s="12"/>
      <c r="DIO21" s="12"/>
      <c r="DIP21" s="12"/>
      <c r="DJG21" s="12"/>
      <c r="DJH21" s="12"/>
      <c r="DJY21" s="12"/>
      <c r="DJZ21" s="12"/>
      <c r="DKQ21" s="12"/>
      <c r="DKR21" s="12"/>
      <c r="DLI21" s="12"/>
      <c r="DLJ21" s="12"/>
      <c r="DMA21" s="12"/>
      <c r="DMB21" s="12"/>
      <c r="DMS21" s="12"/>
      <c r="DMT21" s="12"/>
      <c r="DNK21" s="12"/>
      <c r="DNL21" s="12"/>
      <c r="DOC21" s="12"/>
      <c r="DOD21" s="12"/>
      <c r="DOU21" s="12"/>
      <c r="DOV21" s="12"/>
      <c r="DPM21" s="12"/>
      <c r="DPN21" s="12"/>
      <c r="DQE21" s="12"/>
      <c r="DQF21" s="12"/>
      <c r="DQW21" s="12"/>
      <c r="DQX21" s="12"/>
      <c r="DRO21" s="12"/>
      <c r="DRP21" s="12"/>
      <c r="DSG21" s="12"/>
      <c r="DSH21" s="12"/>
      <c r="DSY21" s="12"/>
      <c r="DSZ21" s="12"/>
      <c r="DTQ21" s="12"/>
      <c r="DTR21" s="12"/>
      <c r="DUI21" s="12"/>
      <c r="DUJ21" s="12"/>
      <c r="DVA21" s="12"/>
      <c r="DVB21" s="12"/>
      <c r="DVS21" s="12"/>
      <c r="DVT21" s="12"/>
      <c r="DWK21" s="12"/>
      <c r="DWL21" s="12"/>
      <c r="DXC21" s="12"/>
      <c r="DXD21" s="12"/>
      <c r="DXU21" s="12"/>
      <c r="DXV21" s="12"/>
      <c r="DYM21" s="12"/>
      <c r="DYN21" s="12"/>
      <c r="DZE21" s="12"/>
      <c r="DZF21" s="12"/>
      <c r="DZW21" s="12"/>
      <c r="DZX21" s="12"/>
      <c r="EAO21" s="12"/>
      <c r="EAP21" s="12"/>
      <c r="EBG21" s="12"/>
      <c r="EBH21" s="12"/>
      <c r="EBY21" s="12"/>
      <c r="EBZ21" s="12"/>
      <c r="ECQ21" s="12"/>
      <c r="ECR21" s="12"/>
      <c r="EDI21" s="12"/>
      <c r="EDJ21" s="12"/>
      <c r="EEA21" s="12"/>
      <c r="EEB21" s="12"/>
      <c r="EES21" s="12"/>
      <c r="EET21" s="12"/>
      <c r="EFK21" s="12"/>
      <c r="EFL21" s="12"/>
      <c r="EGC21" s="12"/>
      <c r="EGD21" s="12"/>
      <c r="EGU21" s="12"/>
      <c r="EGV21" s="12"/>
      <c r="EHM21" s="12"/>
      <c r="EHN21" s="12"/>
      <c r="EIE21" s="12"/>
      <c r="EIF21" s="12"/>
      <c r="EIW21" s="12"/>
      <c r="EIX21" s="12"/>
      <c r="EJO21" s="12"/>
      <c r="EJP21" s="12"/>
      <c r="EKG21" s="12"/>
      <c r="EKH21" s="12"/>
      <c r="EKY21" s="12"/>
      <c r="EKZ21" s="12"/>
      <c r="ELQ21" s="12"/>
      <c r="ELR21" s="12"/>
      <c r="EMI21" s="12"/>
      <c r="EMJ21" s="12"/>
      <c r="ENA21" s="12"/>
      <c r="ENB21" s="12"/>
      <c r="ENS21" s="12"/>
      <c r="ENT21" s="12"/>
      <c r="EOK21" s="12"/>
      <c r="EOL21" s="12"/>
      <c r="EPC21" s="12"/>
      <c r="EPD21" s="12"/>
      <c r="EPU21" s="12"/>
      <c r="EPV21" s="12"/>
      <c r="EQM21" s="12"/>
      <c r="EQN21" s="12"/>
      <c r="ERE21" s="12"/>
      <c r="ERF21" s="12"/>
      <c r="ERW21" s="12"/>
      <c r="ERX21" s="12"/>
      <c r="ESO21" s="12"/>
      <c r="ESP21" s="12"/>
      <c r="ETG21" s="12"/>
      <c r="ETH21" s="12"/>
      <c r="ETY21" s="12"/>
      <c r="ETZ21" s="12"/>
      <c r="EUQ21" s="12"/>
      <c r="EUR21" s="12"/>
      <c r="EVI21" s="12"/>
      <c r="EVJ21" s="12"/>
      <c r="EWA21" s="12"/>
      <c r="EWB21" s="12"/>
      <c r="EWS21" s="12"/>
      <c r="EWT21" s="12"/>
      <c r="EXK21" s="12"/>
      <c r="EXL21" s="12"/>
      <c r="EYC21" s="12"/>
      <c r="EYD21" s="12"/>
      <c r="EYU21" s="12"/>
      <c r="EYV21" s="12"/>
      <c r="EZM21" s="12"/>
      <c r="EZN21" s="12"/>
      <c r="FAE21" s="12"/>
      <c r="FAF21" s="12"/>
      <c r="FAW21" s="12"/>
      <c r="FAX21" s="12"/>
      <c r="FBO21" s="12"/>
      <c r="FBP21" s="12"/>
      <c r="FCG21" s="12"/>
      <c r="FCH21" s="12"/>
      <c r="FCY21" s="12"/>
      <c r="FCZ21" s="12"/>
      <c r="FDQ21" s="12"/>
      <c r="FDR21" s="12"/>
      <c r="FEI21" s="12"/>
      <c r="FEJ21" s="12"/>
      <c r="FFA21" s="12"/>
      <c r="FFB21" s="12"/>
      <c r="FFS21" s="12"/>
      <c r="FFT21" s="12"/>
      <c r="FGK21" s="12"/>
      <c r="FGL21" s="12"/>
      <c r="FHC21" s="12"/>
      <c r="FHD21" s="12"/>
      <c r="FHU21" s="12"/>
      <c r="FHV21" s="12"/>
      <c r="FIM21" s="12"/>
      <c r="FIN21" s="12"/>
      <c r="FJE21" s="12"/>
      <c r="FJF21" s="12"/>
      <c r="FJW21" s="12"/>
      <c r="FJX21" s="12"/>
      <c r="FKO21" s="12"/>
      <c r="FKP21" s="12"/>
      <c r="FLG21" s="12"/>
      <c r="FLH21" s="12"/>
      <c r="FLY21" s="12"/>
      <c r="FLZ21" s="12"/>
      <c r="FMQ21" s="12"/>
      <c r="FMR21" s="12"/>
      <c r="FNI21" s="12"/>
      <c r="FNJ21" s="12"/>
      <c r="FOA21" s="12"/>
      <c r="FOB21" s="12"/>
      <c r="FOS21" s="12"/>
      <c r="FOT21" s="12"/>
      <c r="FPK21" s="12"/>
      <c r="FPL21" s="12"/>
      <c r="FQC21" s="12"/>
      <c r="FQD21" s="12"/>
      <c r="FQU21" s="12"/>
      <c r="FQV21" s="12"/>
      <c r="FRM21" s="12"/>
      <c r="FRN21" s="12"/>
      <c r="FSE21" s="12"/>
      <c r="FSF21" s="12"/>
      <c r="FSW21" s="12"/>
      <c r="FSX21" s="12"/>
      <c r="FTO21" s="12"/>
      <c r="FTP21" s="12"/>
      <c r="FUG21" s="12"/>
      <c r="FUH21" s="12"/>
      <c r="FUY21" s="12"/>
      <c r="FUZ21" s="12"/>
      <c r="FVQ21" s="12"/>
      <c r="FVR21" s="12"/>
      <c r="FWI21" s="12"/>
      <c r="FWJ21" s="12"/>
      <c r="FXA21" s="12"/>
      <c r="FXB21" s="12"/>
      <c r="FXS21" s="12"/>
      <c r="FXT21" s="12"/>
      <c r="FYK21" s="12"/>
      <c r="FYL21" s="12"/>
      <c r="FZC21" s="12"/>
      <c r="FZD21" s="12"/>
      <c r="FZU21" s="12"/>
      <c r="FZV21" s="12"/>
      <c r="GAM21" s="12"/>
      <c r="GAN21" s="12"/>
      <c r="GBE21" s="12"/>
      <c r="GBF21" s="12"/>
      <c r="GBW21" s="12"/>
      <c r="GBX21" s="12"/>
      <c r="GCO21" s="12"/>
      <c r="GCP21" s="12"/>
      <c r="GDG21" s="12"/>
      <c r="GDH21" s="12"/>
      <c r="GDY21" s="12"/>
      <c r="GDZ21" s="12"/>
      <c r="GEQ21" s="12"/>
      <c r="GER21" s="12"/>
      <c r="GFI21" s="12"/>
      <c r="GFJ21" s="12"/>
      <c r="GGA21" s="12"/>
      <c r="GGB21" s="12"/>
      <c r="GGS21" s="12"/>
      <c r="GGT21" s="12"/>
      <c r="GHK21" s="12"/>
      <c r="GHL21" s="12"/>
      <c r="GIC21" s="12"/>
      <c r="GID21" s="12"/>
      <c r="GIU21" s="12"/>
      <c r="GIV21" s="12"/>
      <c r="GJM21" s="12"/>
      <c r="GJN21" s="12"/>
      <c r="GKE21" s="12"/>
      <c r="GKF21" s="12"/>
      <c r="GKW21" s="12"/>
      <c r="GKX21" s="12"/>
      <c r="GLO21" s="12"/>
      <c r="GLP21" s="12"/>
      <c r="GMG21" s="12"/>
      <c r="GMH21" s="12"/>
      <c r="GMY21" s="12"/>
      <c r="GMZ21" s="12"/>
      <c r="GNQ21" s="12"/>
      <c r="GNR21" s="12"/>
      <c r="GOI21" s="12"/>
      <c r="GOJ21" s="12"/>
      <c r="GPA21" s="12"/>
      <c r="GPB21" s="12"/>
      <c r="GPS21" s="12"/>
      <c r="GPT21" s="12"/>
      <c r="GQK21" s="12"/>
      <c r="GQL21" s="12"/>
      <c r="GRC21" s="12"/>
      <c r="GRD21" s="12"/>
      <c r="GRU21" s="12"/>
      <c r="GRV21" s="12"/>
      <c r="GSM21" s="12"/>
      <c r="GSN21" s="12"/>
      <c r="GTE21" s="12"/>
      <c r="GTF21" s="12"/>
      <c r="GTW21" s="12"/>
      <c r="GTX21" s="12"/>
      <c r="GUO21" s="12"/>
      <c r="GUP21" s="12"/>
      <c r="GVG21" s="12"/>
      <c r="GVH21" s="12"/>
      <c r="GVY21" s="12"/>
      <c r="GVZ21" s="12"/>
      <c r="GWQ21" s="12"/>
      <c r="GWR21" s="12"/>
      <c r="GXI21" s="12"/>
      <c r="GXJ21" s="12"/>
      <c r="GYA21" s="12"/>
      <c r="GYB21" s="12"/>
      <c r="GYS21" s="12"/>
      <c r="GYT21" s="12"/>
      <c r="GZK21" s="12"/>
      <c r="GZL21" s="12"/>
      <c r="HAC21" s="12"/>
      <c r="HAD21" s="12"/>
      <c r="HAU21" s="12"/>
      <c r="HAV21" s="12"/>
      <c r="HBM21" s="12"/>
      <c r="HBN21" s="12"/>
      <c r="HCE21" s="12"/>
      <c r="HCF21" s="12"/>
      <c r="HCW21" s="12"/>
      <c r="HCX21" s="12"/>
      <c r="HDO21" s="12"/>
      <c r="HDP21" s="12"/>
      <c r="HEG21" s="12"/>
      <c r="HEH21" s="12"/>
      <c r="HEY21" s="12"/>
      <c r="HEZ21" s="12"/>
      <c r="HFQ21" s="12"/>
      <c r="HFR21" s="12"/>
      <c r="HGI21" s="12"/>
      <c r="HGJ21" s="12"/>
      <c r="HHA21" s="12"/>
      <c r="HHB21" s="12"/>
      <c r="HHS21" s="12"/>
      <c r="HHT21" s="12"/>
      <c r="HIK21" s="12"/>
      <c r="HIL21" s="12"/>
      <c r="HJC21" s="12"/>
      <c r="HJD21" s="12"/>
      <c r="HJU21" s="12"/>
      <c r="HJV21" s="12"/>
      <c r="HKM21" s="12"/>
      <c r="HKN21" s="12"/>
      <c r="HLE21" s="12"/>
      <c r="HLF21" s="12"/>
      <c r="HLW21" s="12"/>
      <c r="HLX21" s="12"/>
      <c r="HMO21" s="12"/>
      <c r="HMP21" s="12"/>
      <c r="HNG21" s="12"/>
      <c r="HNH21" s="12"/>
      <c r="HNY21" s="12"/>
      <c r="HNZ21" s="12"/>
      <c r="HOQ21" s="12"/>
      <c r="HOR21" s="12"/>
      <c r="HPI21" s="12"/>
      <c r="HPJ21" s="12"/>
      <c r="HQA21" s="12"/>
      <c r="HQB21" s="12"/>
      <c r="HQS21" s="12"/>
      <c r="HQT21" s="12"/>
      <c r="HRK21" s="12"/>
      <c r="HRL21" s="12"/>
      <c r="HSC21" s="12"/>
      <c r="HSD21" s="12"/>
      <c r="HSU21" s="12"/>
      <c r="HSV21" s="12"/>
      <c r="HTM21" s="12"/>
      <c r="HTN21" s="12"/>
      <c r="HUE21" s="12"/>
      <c r="HUF21" s="12"/>
      <c r="HUW21" s="12"/>
      <c r="HUX21" s="12"/>
      <c r="HVO21" s="12"/>
      <c r="HVP21" s="12"/>
      <c r="HWG21" s="12"/>
      <c r="HWH21" s="12"/>
      <c r="HWY21" s="12"/>
      <c r="HWZ21" s="12"/>
      <c r="HXQ21" s="12"/>
      <c r="HXR21" s="12"/>
      <c r="HYI21" s="12"/>
      <c r="HYJ21" s="12"/>
      <c r="HZA21" s="12"/>
      <c r="HZB21" s="12"/>
      <c r="HZS21" s="12"/>
      <c r="HZT21" s="12"/>
      <c r="IAK21" s="12"/>
      <c r="IAL21" s="12"/>
      <c r="IBC21" s="12"/>
      <c r="IBD21" s="12"/>
      <c r="IBU21" s="12"/>
      <c r="IBV21" s="12"/>
      <c r="ICM21" s="12"/>
      <c r="ICN21" s="12"/>
      <c r="IDE21" s="12"/>
      <c r="IDF21" s="12"/>
      <c r="IDW21" s="12"/>
      <c r="IDX21" s="12"/>
      <c r="IEO21" s="12"/>
      <c r="IEP21" s="12"/>
      <c r="IFG21" s="12"/>
      <c r="IFH21" s="12"/>
      <c r="IFY21" s="12"/>
      <c r="IFZ21" s="12"/>
      <c r="IGQ21" s="12"/>
      <c r="IGR21" s="12"/>
      <c r="IHI21" s="12"/>
      <c r="IHJ21" s="12"/>
      <c r="IIA21" s="12"/>
      <c r="IIB21" s="12"/>
      <c r="IIS21" s="12"/>
      <c r="IIT21" s="12"/>
      <c r="IJK21" s="12"/>
      <c r="IJL21" s="12"/>
      <c r="IKC21" s="12"/>
      <c r="IKD21" s="12"/>
      <c r="IKU21" s="12"/>
      <c r="IKV21" s="12"/>
      <c r="ILM21" s="12"/>
      <c r="ILN21" s="12"/>
      <c r="IME21" s="12"/>
      <c r="IMF21" s="12"/>
      <c r="IMW21" s="12"/>
      <c r="IMX21" s="12"/>
      <c r="INO21" s="12"/>
      <c r="INP21" s="12"/>
      <c r="IOG21" s="12"/>
      <c r="IOH21" s="12"/>
      <c r="IOY21" s="12"/>
      <c r="IOZ21" s="12"/>
      <c r="IPQ21" s="12"/>
      <c r="IPR21" s="12"/>
      <c r="IQI21" s="12"/>
      <c r="IQJ21" s="12"/>
      <c r="IRA21" s="12"/>
      <c r="IRB21" s="12"/>
      <c r="IRS21" s="12"/>
      <c r="IRT21" s="12"/>
      <c r="ISK21" s="12"/>
      <c r="ISL21" s="12"/>
      <c r="ITC21" s="12"/>
      <c r="ITD21" s="12"/>
      <c r="ITU21" s="12"/>
      <c r="ITV21" s="12"/>
      <c r="IUM21" s="12"/>
      <c r="IUN21" s="12"/>
      <c r="IVE21" s="12"/>
      <c r="IVF21" s="12"/>
      <c r="IVW21" s="12"/>
      <c r="IVX21" s="12"/>
      <c r="IWO21" s="12"/>
      <c r="IWP21" s="12"/>
      <c r="IXG21" s="12"/>
      <c r="IXH21" s="12"/>
      <c r="IXY21" s="12"/>
      <c r="IXZ21" s="12"/>
      <c r="IYQ21" s="12"/>
      <c r="IYR21" s="12"/>
      <c r="IZI21" s="12"/>
      <c r="IZJ21" s="12"/>
      <c r="JAA21" s="12"/>
      <c r="JAB21" s="12"/>
      <c r="JAS21" s="12"/>
      <c r="JAT21" s="12"/>
      <c r="JBK21" s="12"/>
      <c r="JBL21" s="12"/>
      <c r="JCC21" s="12"/>
      <c r="JCD21" s="12"/>
      <c r="JCU21" s="12"/>
      <c r="JCV21" s="12"/>
      <c r="JDM21" s="12"/>
      <c r="JDN21" s="12"/>
      <c r="JEE21" s="12"/>
      <c r="JEF21" s="12"/>
      <c r="JEW21" s="12"/>
      <c r="JEX21" s="12"/>
      <c r="JFO21" s="12"/>
      <c r="JFP21" s="12"/>
      <c r="JGG21" s="12"/>
      <c r="JGH21" s="12"/>
      <c r="JGY21" s="12"/>
      <c r="JGZ21" s="12"/>
      <c r="JHQ21" s="12"/>
      <c r="JHR21" s="12"/>
      <c r="JII21" s="12"/>
      <c r="JIJ21" s="12"/>
      <c r="JJA21" s="12"/>
      <c r="JJB21" s="12"/>
      <c r="JJS21" s="12"/>
      <c r="JJT21" s="12"/>
      <c r="JKK21" s="12"/>
      <c r="JKL21" s="12"/>
      <c r="JLC21" s="12"/>
      <c r="JLD21" s="12"/>
      <c r="JLU21" s="12"/>
      <c r="JLV21" s="12"/>
      <c r="JMM21" s="12"/>
      <c r="JMN21" s="12"/>
      <c r="JNE21" s="12"/>
      <c r="JNF21" s="12"/>
      <c r="JNW21" s="12"/>
      <c r="JNX21" s="12"/>
      <c r="JOO21" s="12"/>
      <c r="JOP21" s="12"/>
      <c r="JPG21" s="12"/>
      <c r="JPH21" s="12"/>
      <c r="JPY21" s="12"/>
      <c r="JPZ21" s="12"/>
      <c r="JQQ21" s="12"/>
      <c r="JQR21" s="12"/>
      <c r="JRI21" s="12"/>
      <c r="JRJ21" s="12"/>
      <c r="JSA21" s="12"/>
      <c r="JSB21" s="12"/>
      <c r="JSS21" s="12"/>
      <c r="JST21" s="12"/>
      <c r="JTK21" s="12"/>
      <c r="JTL21" s="12"/>
      <c r="JUC21" s="12"/>
      <c r="JUD21" s="12"/>
      <c r="JUU21" s="12"/>
      <c r="JUV21" s="12"/>
      <c r="JVM21" s="12"/>
      <c r="JVN21" s="12"/>
      <c r="JWE21" s="12"/>
      <c r="JWF21" s="12"/>
      <c r="JWW21" s="12"/>
      <c r="JWX21" s="12"/>
      <c r="JXO21" s="12"/>
      <c r="JXP21" s="12"/>
      <c r="JYG21" s="12"/>
      <c r="JYH21" s="12"/>
      <c r="JYY21" s="12"/>
      <c r="JYZ21" s="12"/>
      <c r="JZQ21" s="12"/>
      <c r="JZR21" s="12"/>
      <c r="KAI21" s="12"/>
      <c r="KAJ21" s="12"/>
      <c r="KBA21" s="12"/>
      <c r="KBB21" s="12"/>
      <c r="KBS21" s="12"/>
      <c r="KBT21" s="12"/>
      <c r="KCK21" s="12"/>
      <c r="KCL21" s="12"/>
      <c r="KDC21" s="12"/>
      <c r="KDD21" s="12"/>
      <c r="KDU21" s="12"/>
      <c r="KDV21" s="12"/>
      <c r="KEM21" s="12"/>
      <c r="KEN21" s="12"/>
      <c r="KFE21" s="12"/>
      <c r="KFF21" s="12"/>
      <c r="KFW21" s="12"/>
      <c r="KFX21" s="12"/>
      <c r="KGO21" s="12"/>
      <c r="KGP21" s="12"/>
      <c r="KHG21" s="12"/>
      <c r="KHH21" s="12"/>
      <c r="KHY21" s="12"/>
      <c r="KHZ21" s="12"/>
      <c r="KIQ21" s="12"/>
      <c r="KIR21" s="12"/>
      <c r="KJI21" s="12"/>
      <c r="KJJ21" s="12"/>
      <c r="KKA21" s="12"/>
      <c r="KKB21" s="12"/>
      <c r="KKS21" s="12"/>
      <c r="KKT21" s="12"/>
      <c r="KLK21" s="12"/>
      <c r="KLL21" s="12"/>
      <c r="KMC21" s="12"/>
      <c r="KMD21" s="12"/>
      <c r="KMU21" s="12"/>
      <c r="KMV21" s="12"/>
      <c r="KNM21" s="12"/>
      <c r="KNN21" s="12"/>
      <c r="KOE21" s="12"/>
      <c r="KOF21" s="12"/>
      <c r="KOW21" s="12"/>
      <c r="KOX21" s="12"/>
      <c r="KPO21" s="12"/>
      <c r="KPP21" s="12"/>
      <c r="KQG21" s="12"/>
      <c r="KQH21" s="12"/>
      <c r="KQY21" s="12"/>
      <c r="KQZ21" s="12"/>
      <c r="KRQ21" s="12"/>
      <c r="KRR21" s="12"/>
      <c r="KSI21" s="12"/>
      <c r="KSJ21" s="12"/>
      <c r="KTA21" s="12"/>
      <c r="KTB21" s="12"/>
      <c r="KTS21" s="12"/>
      <c r="KTT21" s="12"/>
      <c r="KUK21" s="12"/>
      <c r="KUL21" s="12"/>
      <c r="KVC21" s="12"/>
      <c r="KVD21" s="12"/>
      <c r="KVU21" s="12"/>
      <c r="KVV21" s="12"/>
      <c r="KWM21" s="12"/>
      <c r="KWN21" s="12"/>
      <c r="KXE21" s="12"/>
      <c r="KXF21" s="12"/>
      <c r="KXW21" s="12"/>
      <c r="KXX21" s="12"/>
      <c r="KYO21" s="12"/>
      <c r="KYP21" s="12"/>
      <c r="KZG21" s="12"/>
      <c r="KZH21" s="12"/>
      <c r="KZY21" s="12"/>
      <c r="KZZ21" s="12"/>
      <c r="LAQ21" s="12"/>
      <c r="LAR21" s="12"/>
      <c r="LBI21" s="12"/>
      <c r="LBJ21" s="12"/>
      <c r="LCA21" s="12"/>
      <c r="LCB21" s="12"/>
      <c r="LCS21" s="12"/>
      <c r="LCT21" s="12"/>
      <c r="LDK21" s="12"/>
      <c r="LDL21" s="12"/>
      <c r="LEC21" s="12"/>
      <c r="LED21" s="12"/>
      <c r="LEU21" s="12"/>
      <c r="LEV21" s="12"/>
      <c r="LFM21" s="12"/>
      <c r="LFN21" s="12"/>
      <c r="LGE21" s="12"/>
      <c r="LGF21" s="12"/>
      <c r="LGW21" s="12"/>
      <c r="LGX21" s="12"/>
      <c r="LHO21" s="12"/>
      <c r="LHP21" s="12"/>
      <c r="LIG21" s="12"/>
      <c r="LIH21" s="12"/>
      <c r="LIY21" s="12"/>
      <c r="LIZ21" s="12"/>
      <c r="LJQ21" s="12"/>
      <c r="LJR21" s="12"/>
      <c r="LKI21" s="12"/>
      <c r="LKJ21" s="12"/>
      <c r="LLA21" s="12"/>
      <c r="LLB21" s="12"/>
      <c r="LLS21" s="12"/>
      <c r="LLT21" s="12"/>
      <c r="LMK21" s="12"/>
      <c r="LML21" s="12"/>
      <c r="LNC21" s="12"/>
      <c r="LND21" s="12"/>
      <c r="LNU21" s="12"/>
      <c r="LNV21" s="12"/>
      <c r="LOM21" s="12"/>
      <c r="LON21" s="12"/>
      <c r="LPE21" s="12"/>
      <c r="LPF21" s="12"/>
      <c r="LPW21" s="12"/>
      <c r="LPX21" s="12"/>
      <c r="LQO21" s="12"/>
      <c r="LQP21" s="12"/>
      <c r="LRG21" s="12"/>
      <c r="LRH21" s="12"/>
      <c r="LRY21" s="12"/>
      <c r="LRZ21" s="12"/>
      <c r="LSQ21" s="12"/>
      <c r="LSR21" s="12"/>
      <c r="LTI21" s="12"/>
      <c r="LTJ21" s="12"/>
      <c r="LUA21" s="12"/>
      <c r="LUB21" s="12"/>
      <c r="LUS21" s="12"/>
      <c r="LUT21" s="12"/>
      <c r="LVK21" s="12"/>
      <c r="LVL21" s="12"/>
      <c r="LWC21" s="12"/>
      <c r="LWD21" s="12"/>
      <c r="LWU21" s="12"/>
      <c r="LWV21" s="12"/>
      <c r="LXM21" s="12"/>
      <c r="LXN21" s="12"/>
      <c r="LYE21" s="12"/>
      <c r="LYF21" s="12"/>
      <c r="LYW21" s="12"/>
      <c r="LYX21" s="12"/>
      <c r="LZO21" s="12"/>
      <c r="LZP21" s="12"/>
      <c r="MAG21" s="12"/>
      <c r="MAH21" s="12"/>
      <c r="MAY21" s="12"/>
      <c r="MAZ21" s="12"/>
      <c r="MBQ21" s="12"/>
      <c r="MBR21" s="12"/>
      <c r="MCI21" s="12"/>
      <c r="MCJ21" s="12"/>
      <c r="MDA21" s="12"/>
      <c r="MDB21" s="12"/>
      <c r="MDS21" s="12"/>
      <c r="MDT21" s="12"/>
      <c r="MEK21" s="12"/>
      <c r="MEL21" s="12"/>
      <c r="MFC21" s="12"/>
      <c r="MFD21" s="12"/>
      <c r="MFU21" s="12"/>
      <c r="MFV21" s="12"/>
      <c r="MGM21" s="12"/>
      <c r="MGN21" s="12"/>
      <c r="MHE21" s="12"/>
      <c r="MHF21" s="12"/>
      <c r="MHW21" s="12"/>
      <c r="MHX21" s="12"/>
      <c r="MIO21" s="12"/>
      <c r="MIP21" s="12"/>
      <c r="MJG21" s="12"/>
      <c r="MJH21" s="12"/>
      <c r="MJY21" s="12"/>
      <c r="MJZ21" s="12"/>
      <c r="MKQ21" s="12"/>
      <c r="MKR21" s="12"/>
      <c r="MLI21" s="12"/>
      <c r="MLJ21" s="12"/>
      <c r="MMA21" s="12"/>
      <c r="MMB21" s="12"/>
      <c r="MMS21" s="12"/>
      <c r="MMT21" s="12"/>
      <c r="MNK21" s="12"/>
      <c r="MNL21" s="12"/>
      <c r="MOC21" s="12"/>
      <c r="MOD21" s="12"/>
      <c r="MOU21" s="12"/>
      <c r="MOV21" s="12"/>
      <c r="MPM21" s="12"/>
      <c r="MPN21" s="12"/>
      <c r="MQE21" s="12"/>
      <c r="MQF21" s="12"/>
      <c r="MQW21" s="12"/>
      <c r="MQX21" s="12"/>
      <c r="MRO21" s="12"/>
      <c r="MRP21" s="12"/>
      <c r="MSG21" s="12"/>
      <c r="MSH21" s="12"/>
      <c r="MSY21" s="12"/>
      <c r="MSZ21" s="12"/>
      <c r="MTQ21" s="12"/>
      <c r="MTR21" s="12"/>
      <c r="MUI21" s="12"/>
      <c r="MUJ21" s="12"/>
      <c r="MVA21" s="12"/>
      <c r="MVB21" s="12"/>
      <c r="MVS21" s="12"/>
      <c r="MVT21" s="12"/>
      <c r="MWK21" s="12"/>
      <c r="MWL21" s="12"/>
      <c r="MXC21" s="12"/>
      <c r="MXD21" s="12"/>
      <c r="MXU21" s="12"/>
      <c r="MXV21" s="12"/>
      <c r="MYM21" s="12"/>
      <c r="MYN21" s="12"/>
      <c r="MZE21" s="12"/>
      <c r="MZF21" s="12"/>
      <c r="MZW21" s="12"/>
      <c r="MZX21" s="12"/>
      <c r="NAO21" s="12"/>
      <c r="NAP21" s="12"/>
      <c r="NBG21" s="12"/>
      <c r="NBH21" s="12"/>
      <c r="NBY21" s="12"/>
      <c r="NBZ21" s="12"/>
      <c r="NCQ21" s="12"/>
      <c r="NCR21" s="12"/>
      <c r="NDI21" s="12"/>
      <c r="NDJ21" s="12"/>
      <c r="NEA21" s="12"/>
      <c r="NEB21" s="12"/>
      <c r="NES21" s="12"/>
      <c r="NET21" s="12"/>
      <c r="NFK21" s="12"/>
      <c r="NFL21" s="12"/>
      <c r="NGC21" s="12"/>
      <c r="NGD21" s="12"/>
      <c r="NGU21" s="12"/>
      <c r="NGV21" s="12"/>
      <c r="NHM21" s="12"/>
      <c r="NHN21" s="12"/>
      <c r="NIE21" s="12"/>
      <c r="NIF21" s="12"/>
      <c r="NIW21" s="12"/>
      <c r="NIX21" s="12"/>
      <c r="NJO21" s="12"/>
      <c r="NJP21" s="12"/>
      <c r="NKG21" s="12"/>
      <c r="NKH21" s="12"/>
      <c r="NKY21" s="12"/>
      <c r="NKZ21" s="12"/>
      <c r="NLQ21" s="12"/>
      <c r="NLR21" s="12"/>
      <c r="NMI21" s="12"/>
      <c r="NMJ21" s="12"/>
      <c r="NNA21" s="12"/>
      <c r="NNB21" s="12"/>
      <c r="NNS21" s="12"/>
      <c r="NNT21" s="12"/>
      <c r="NOK21" s="12"/>
      <c r="NOL21" s="12"/>
      <c r="NPC21" s="12"/>
      <c r="NPD21" s="12"/>
      <c r="NPU21" s="12"/>
      <c r="NPV21" s="12"/>
      <c r="NQM21" s="12"/>
      <c r="NQN21" s="12"/>
      <c r="NRE21" s="12"/>
      <c r="NRF21" s="12"/>
      <c r="NRW21" s="12"/>
      <c r="NRX21" s="12"/>
      <c r="NSO21" s="12"/>
      <c r="NSP21" s="12"/>
      <c r="NTG21" s="12"/>
      <c r="NTH21" s="12"/>
      <c r="NTY21" s="12"/>
      <c r="NTZ21" s="12"/>
      <c r="NUQ21" s="12"/>
      <c r="NUR21" s="12"/>
      <c r="NVI21" s="12"/>
      <c r="NVJ21" s="12"/>
      <c r="NWA21" s="12"/>
      <c r="NWB21" s="12"/>
      <c r="NWS21" s="12"/>
      <c r="NWT21" s="12"/>
      <c r="NXK21" s="12"/>
      <c r="NXL21" s="12"/>
      <c r="NYC21" s="12"/>
      <c r="NYD21" s="12"/>
      <c r="NYU21" s="12"/>
      <c r="NYV21" s="12"/>
      <c r="NZM21" s="12"/>
      <c r="NZN21" s="12"/>
      <c r="OAE21" s="12"/>
      <c r="OAF21" s="12"/>
      <c r="OAW21" s="12"/>
      <c r="OAX21" s="12"/>
      <c r="OBO21" s="12"/>
      <c r="OBP21" s="12"/>
      <c r="OCG21" s="12"/>
      <c r="OCH21" s="12"/>
      <c r="OCY21" s="12"/>
      <c r="OCZ21" s="12"/>
      <c r="ODQ21" s="12"/>
      <c r="ODR21" s="12"/>
      <c r="OEI21" s="12"/>
      <c r="OEJ21" s="12"/>
      <c r="OFA21" s="12"/>
      <c r="OFB21" s="12"/>
      <c r="OFS21" s="12"/>
      <c r="OFT21" s="12"/>
      <c r="OGK21" s="12"/>
      <c r="OGL21" s="12"/>
      <c r="OHC21" s="12"/>
      <c r="OHD21" s="12"/>
      <c r="OHU21" s="12"/>
      <c r="OHV21" s="12"/>
      <c r="OIM21" s="12"/>
      <c r="OIN21" s="12"/>
      <c r="OJE21" s="12"/>
      <c r="OJF21" s="12"/>
      <c r="OJW21" s="12"/>
      <c r="OJX21" s="12"/>
      <c r="OKO21" s="12"/>
      <c r="OKP21" s="12"/>
      <c r="OLG21" s="12"/>
      <c r="OLH21" s="12"/>
      <c r="OLY21" s="12"/>
      <c r="OLZ21" s="12"/>
      <c r="OMQ21" s="12"/>
      <c r="OMR21" s="12"/>
      <c r="ONI21" s="12"/>
      <c r="ONJ21" s="12"/>
      <c r="OOA21" s="12"/>
      <c r="OOB21" s="12"/>
      <c r="OOS21" s="12"/>
      <c r="OOT21" s="12"/>
      <c r="OPK21" s="12"/>
      <c r="OPL21" s="12"/>
      <c r="OQC21" s="12"/>
      <c r="OQD21" s="12"/>
      <c r="OQU21" s="12"/>
      <c r="OQV21" s="12"/>
      <c r="ORM21" s="12"/>
      <c r="ORN21" s="12"/>
      <c r="OSE21" s="12"/>
      <c r="OSF21" s="12"/>
      <c r="OSW21" s="12"/>
      <c r="OSX21" s="12"/>
      <c r="OTO21" s="12"/>
      <c r="OTP21" s="12"/>
      <c r="OUG21" s="12"/>
      <c r="OUH21" s="12"/>
      <c r="OUY21" s="12"/>
      <c r="OUZ21" s="12"/>
      <c r="OVQ21" s="12"/>
      <c r="OVR21" s="12"/>
      <c r="OWI21" s="12"/>
      <c r="OWJ21" s="12"/>
      <c r="OXA21" s="12"/>
      <c r="OXB21" s="12"/>
      <c r="OXS21" s="12"/>
      <c r="OXT21" s="12"/>
      <c r="OYK21" s="12"/>
      <c r="OYL21" s="12"/>
      <c r="OZC21" s="12"/>
      <c r="OZD21" s="12"/>
      <c r="OZU21" s="12"/>
      <c r="OZV21" s="12"/>
      <c r="PAM21" s="12"/>
      <c r="PAN21" s="12"/>
      <c r="PBE21" s="12"/>
      <c r="PBF21" s="12"/>
      <c r="PBW21" s="12"/>
      <c r="PBX21" s="12"/>
      <c r="PCO21" s="12"/>
      <c r="PCP21" s="12"/>
      <c r="PDG21" s="12"/>
      <c r="PDH21" s="12"/>
      <c r="PDY21" s="12"/>
      <c r="PDZ21" s="12"/>
      <c r="PEQ21" s="12"/>
      <c r="PER21" s="12"/>
      <c r="PFI21" s="12"/>
      <c r="PFJ21" s="12"/>
      <c r="PGA21" s="12"/>
      <c r="PGB21" s="12"/>
      <c r="PGS21" s="12"/>
      <c r="PGT21" s="12"/>
      <c r="PHK21" s="12"/>
      <c r="PHL21" s="12"/>
      <c r="PIC21" s="12"/>
      <c r="PID21" s="12"/>
      <c r="PIU21" s="12"/>
      <c r="PIV21" s="12"/>
      <c r="PJM21" s="12"/>
      <c r="PJN21" s="12"/>
      <c r="PKE21" s="12"/>
      <c r="PKF21" s="12"/>
      <c r="PKW21" s="12"/>
      <c r="PKX21" s="12"/>
      <c r="PLO21" s="12"/>
      <c r="PLP21" s="12"/>
      <c r="PMG21" s="12"/>
      <c r="PMH21" s="12"/>
      <c r="PMY21" s="12"/>
      <c r="PMZ21" s="12"/>
      <c r="PNQ21" s="12"/>
      <c r="PNR21" s="12"/>
      <c r="POI21" s="12"/>
      <c r="POJ21" s="12"/>
      <c r="PPA21" s="12"/>
      <c r="PPB21" s="12"/>
      <c r="PPS21" s="12"/>
      <c r="PPT21" s="12"/>
      <c r="PQK21" s="12"/>
      <c r="PQL21" s="12"/>
      <c r="PRC21" s="12"/>
      <c r="PRD21" s="12"/>
      <c r="PRU21" s="12"/>
      <c r="PRV21" s="12"/>
      <c r="PSM21" s="12"/>
      <c r="PSN21" s="12"/>
      <c r="PTE21" s="12"/>
      <c r="PTF21" s="12"/>
      <c r="PTW21" s="12"/>
      <c r="PTX21" s="12"/>
      <c r="PUO21" s="12"/>
      <c r="PUP21" s="12"/>
      <c r="PVG21" s="12"/>
      <c r="PVH21" s="12"/>
      <c r="PVY21" s="12"/>
      <c r="PVZ21" s="12"/>
      <c r="PWQ21" s="12"/>
      <c r="PWR21" s="12"/>
      <c r="PXI21" s="12"/>
      <c r="PXJ21" s="12"/>
      <c r="PYA21" s="12"/>
      <c r="PYB21" s="12"/>
      <c r="PYS21" s="12"/>
      <c r="PYT21" s="12"/>
      <c r="PZK21" s="12"/>
      <c r="PZL21" s="12"/>
      <c r="QAC21" s="12"/>
      <c r="QAD21" s="12"/>
      <c r="QAU21" s="12"/>
      <c r="QAV21" s="12"/>
      <c r="QBM21" s="12"/>
      <c r="QBN21" s="12"/>
      <c r="QCE21" s="12"/>
      <c r="QCF21" s="12"/>
      <c r="QCW21" s="12"/>
      <c r="QCX21" s="12"/>
      <c r="QDO21" s="12"/>
      <c r="QDP21" s="12"/>
      <c r="QEG21" s="12"/>
      <c r="QEH21" s="12"/>
      <c r="QEY21" s="12"/>
      <c r="QEZ21" s="12"/>
      <c r="QFQ21" s="12"/>
      <c r="QFR21" s="12"/>
      <c r="QGI21" s="12"/>
      <c r="QGJ21" s="12"/>
      <c r="QHA21" s="12"/>
      <c r="QHB21" s="12"/>
      <c r="QHS21" s="12"/>
      <c r="QHT21" s="12"/>
      <c r="QIK21" s="12"/>
      <c r="QIL21" s="12"/>
      <c r="QJC21" s="12"/>
      <c r="QJD21" s="12"/>
      <c r="QJU21" s="12"/>
      <c r="QJV21" s="12"/>
      <c r="QKM21" s="12"/>
      <c r="QKN21" s="12"/>
      <c r="QLE21" s="12"/>
      <c r="QLF21" s="12"/>
      <c r="QLW21" s="12"/>
      <c r="QLX21" s="12"/>
      <c r="QMO21" s="12"/>
      <c r="QMP21" s="12"/>
      <c r="QNG21" s="12"/>
      <c r="QNH21" s="12"/>
      <c r="QNY21" s="12"/>
      <c r="QNZ21" s="12"/>
      <c r="QOQ21" s="12"/>
      <c r="QOR21" s="12"/>
      <c r="QPI21" s="12"/>
      <c r="QPJ21" s="12"/>
      <c r="QQA21" s="12"/>
      <c r="QQB21" s="12"/>
      <c r="QQS21" s="12"/>
      <c r="QQT21" s="12"/>
      <c r="QRK21" s="12"/>
      <c r="QRL21" s="12"/>
      <c r="QSC21" s="12"/>
      <c r="QSD21" s="12"/>
      <c r="QSU21" s="12"/>
      <c r="QSV21" s="12"/>
      <c r="QTM21" s="12"/>
      <c r="QTN21" s="12"/>
      <c r="QUE21" s="12"/>
      <c r="QUF21" s="12"/>
      <c r="QUW21" s="12"/>
      <c r="QUX21" s="12"/>
      <c r="QVO21" s="12"/>
      <c r="QVP21" s="12"/>
      <c r="QWG21" s="12"/>
      <c r="QWH21" s="12"/>
      <c r="QWY21" s="12"/>
      <c r="QWZ21" s="12"/>
      <c r="QXQ21" s="12"/>
      <c r="QXR21" s="12"/>
      <c r="QYI21" s="12"/>
      <c r="QYJ21" s="12"/>
      <c r="QZA21" s="12"/>
      <c r="QZB21" s="12"/>
      <c r="QZS21" s="12"/>
      <c r="QZT21" s="12"/>
      <c r="RAK21" s="12"/>
      <c r="RAL21" s="12"/>
      <c r="RBC21" s="12"/>
      <c r="RBD21" s="12"/>
      <c r="RBU21" s="12"/>
      <c r="RBV21" s="12"/>
      <c r="RCM21" s="12"/>
      <c r="RCN21" s="12"/>
      <c r="RDE21" s="12"/>
      <c r="RDF21" s="12"/>
      <c r="RDW21" s="12"/>
      <c r="RDX21" s="12"/>
      <c r="REO21" s="12"/>
      <c r="REP21" s="12"/>
      <c r="RFG21" s="12"/>
      <c r="RFH21" s="12"/>
      <c r="RFY21" s="12"/>
      <c r="RFZ21" s="12"/>
      <c r="RGQ21" s="12"/>
      <c r="RGR21" s="12"/>
      <c r="RHI21" s="12"/>
      <c r="RHJ21" s="12"/>
      <c r="RIA21" s="12"/>
      <c r="RIB21" s="12"/>
      <c r="RIS21" s="12"/>
      <c r="RIT21" s="12"/>
      <c r="RJK21" s="12"/>
      <c r="RJL21" s="12"/>
      <c r="RKC21" s="12"/>
      <c r="RKD21" s="12"/>
      <c r="RKU21" s="12"/>
      <c r="RKV21" s="12"/>
      <c r="RLM21" s="12"/>
      <c r="RLN21" s="12"/>
      <c r="RME21" s="12"/>
      <c r="RMF21" s="12"/>
      <c r="RMW21" s="12"/>
      <c r="RMX21" s="12"/>
      <c r="RNO21" s="12"/>
      <c r="RNP21" s="12"/>
      <c r="ROG21" s="12"/>
      <c r="ROH21" s="12"/>
      <c r="ROY21" s="12"/>
      <c r="ROZ21" s="12"/>
      <c r="RPQ21" s="12"/>
      <c r="RPR21" s="12"/>
      <c r="RQI21" s="12"/>
      <c r="RQJ21" s="12"/>
      <c r="RRA21" s="12"/>
      <c r="RRB21" s="12"/>
      <c r="RRS21" s="12"/>
      <c r="RRT21" s="12"/>
      <c r="RSK21" s="12"/>
      <c r="RSL21" s="12"/>
      <c r="RTC21" s="12"/>
      <c r="RTD21" s="12"/>
      <c r="RTU21" s="12"/>
      <c r="RTV21" s="12"/>
      <c r="RUM21" s="12"/>
      <c r="RUN21" s="12"/>
      <c r="RVE21" s="12"/>
      <c r="RVF21" s="12"/>
      <c r="RVW21" s="12"/>
      <c r="RVX21" s="12"/>
      <c r="RWO21" s="12"/>
      <c r="RWP21" s="12"/>
      <c r="RXG21" s="12"/>
      <c r="RXH21" s="12"/>
      <c r="RXY21" s="12"/>
      <c r="RXZ21" s="12"/>
      <c r="RYQ21" s="12"/>
      <c r="RYR21" s="12"/>
      <c r="RZI21" s="12"/>
      <c r="RZJ21" s="12"/>
      <c r="SAA21" s="12"/>
      <c r="SAB21" s="12"/>
      <c r="SAS21" s="12"/>
      <c r="SAT21" s="12"/>
      <c r="SBK21" s="12"/>
      <c r="SBL21" s="12"/>
      <c r="SCC21" s="12"/>
      <c r="SCD21" s="12"/>
      <c r="SCU21" s="12"/>
      <c r="SCV21" s="12"/>
      <c r="SDM21" s="12"/>
      <c r="SDN21" s="12"/>
      <c r="SEE21" s="12"/>
      <c r="SEF21" s="12"/>
      <c r="SEW21" s="12"/>
      <c r="SEX21" s="12"/>
      <c r="SFO21" s="12"/>
      <c r="SFP21" s="12"/>
      <c r="SGG21" s="12"/>
      <c r="SGH21" s="12"/>
      <c r="SGY21" s="12"/>
      <c r="SGZ21" s="12"/>
      <c r="SHQ21" s="12"/>
      <c r="SHR21" s="12"/>
      <c r="SII21" s="12"/>
      <c r="SIJ21" s="12"/>
      <c r="SJA21" s="12"/>
      <c r="SJB21" s="12"/>
      <c r="SJS21" s="12"/>
      <c r="SJT21" s="12"/>
      <c r="SKK21" s="12"/>
      <c r="SKL21" s="12"/>
      <c r="SLC21" s="12"/>
      <c r="SLD21" s="12"/>
      <c r="SLU21" s="12"/>
      <c r="SLV21" s="12"/>
      <c r="SMM21" s="12"/>
      <c r="SMN21" s="12"/>
      <c r="SNE21" s="12"/>
      <c r="SNF21" s="12"/>
      <c r="SNW21" s="12"/>
      <c r="SNX21" s="12"/>
      <c r="SOO21" s="12"/>
      <c r="SOP21" s="12"/>
      <c r="SPG21" s="12"/>
      <c r="SPH21" s="12"/>
      <c r="SPY21" s="12"/>
      <c r="SPZ21" s="12"/>
      <c r="SQQ21" s="12"/>
      <c r="SQR21" s="12"/>
      <c r="SRI21" s="12"/>
      <c r="SRJ21" s="12"/>
      <c r="SSA21" s="12"/>
      <c r="SSB21" s="12"/>
      <c r="SSS21" s="12"/>
      <c r="SST21" s="12"/>
      <c r="STK21" s="12"/>
      <c r="STL21" s="12"/>
      <c r="SUC21" s="12"/>
      <c r="SUD21" s="12"/>
      <c r="SUU21" s="12"/>
      <c r="SUV21" s="12"/>
      <c r="SVM21" s="12"/>
      <c r="SVN21" s="12"/>
      <c r="SWE21" s="12"/>
      <c r="SWF21" s="12"/>
      <c r="SWW21" s="12"/>
      <c r="SWX21" s="12"/>
      <c r="SXO21" s="12"/>
      <c r="SXP21" s="12"/>
      <c r="SYG21" s="12"/>
      <c r="SYH21" s="12"/>
      <c r="SYY21" s="12"/>
      <c r="SYZ21" s="12"/>
      <c r="SZQ21" s="12"/>
      <c r="SZR21" s="12"/>
      <c r="TAI21" s="12"/>
      <c r="TAJ21" s="12"/>
      <c r="TBA21" s="12"/>
      <c r="TBB21" s="12"/>
      <c r="TBS21" s="12"/>
      <c r="TBT21" s="12"/>
      <c r="TCK21" s="12"/>
      <c r="TCL21" s="12"/>
      <c r="TDC21" s="12"/>
      <c r="TDD21" s="12"/>
      <c r="TDU21" s="12"/>
      <c r="TDV21" s="12"/>
      <c r="TEM21" s="12"/>
      <c r="TEN21" s="12"/>
      <c r="TFE21" s="12"/>
      <c r="TFF21" s="12"/>
      <c r="TFW21" s="12"/>
      <c r="TFX21" s="12"/>
      <c r="TGO21" s="12"/>
      <c r="TGP21" s="12"/>
      <c r="THG21" s="12"/>
      <c r="THH21" s="12"/>
      <c r="THY21" s="12"/>
      <c r="THZ21" s="12"/>
      <c r="TIQ21" s="12"/>
      <c r="TIR21" s="12"/>
      <c r="TJI21" s="12"/>
      <c r="TJJ21" s="12"/>
      <c r="TKA21" s="12"/>
      <c r="TKB21" s="12"/>
      <c r="TKS21" s="12"/>
      <c r="TKT21" s="12"/>
      <c r="TLK21" s="12"/>
      <c r="TLL21" s="12"/>
      <c r="TMC21" s="12"/>
      <c r="TMD21" s="12"/>
      <c r="TMU21" s="12"/>
      <c r="TMV21" s="12"/>
      <c r="TNM21" s="12"/>
      <c r="TNN21" s="12"/>
      <c r="TOE21" s="12"/>
      <c r="TOF21" s="12"/>
      <c r="TOW21" s="12"/>
      <c r="TOX21" s="12"/>
      <c r="TPO21" s="12"/>
      <c r="TPP21" s="12"/>
      <c r="TQG21" s="12"/>
      <c r="TQH21" s="12"/>
      <c r="TQY21" s="12"/>
      <c r="TQZ21" s="12"/>
      <c r="TRQ21" s="12"/>
      <c r="TRR21" s="12"/>
      <c r="TSI21" s="12"/>
      <c r="TSJ21" s="12"/>
      <c r="TTA21" s="12"/>
      <c r="TTB21" s="12"/>
      <c r="TTS21" s="12"/>
      <c r="TTT21" s="12"/>
      <c r="TUK21" s="12"/>
      <c r="TUL21" s="12"/>
      <c r="TVC21" s="12"/>
      <c r="TVD21" s="12"/>
      <c r="TVU21" s="12"/>
      <c r="TVV21" s="12"/>
      <c r="TWM21" s="12"/>
      <c r="TWN21" s="12"/>
      <c r="TXE21" s="12"/>
      <c r="TXF21" s="12"/>
      <c r="TXW21" s="12"/>
      <c r="TXX21" s="12"/>
      <c r="TYO21" s="12"/>
      <c r="TYP21" s="12"/>
      <c r="TZG21" s="12"/>
      <c r="TZH21" s="12"/>
      <c r="TZY21" s="12"/>
      <c r="TZZ21" s="12"/>
      <c r="UAQ21" s="12"/>
      <c r="UAR21" s="12"/>
      <c r="UBI21" s="12"/>
      <c r="UBJ21" s="12"/>
      <c r="UCA21" s="12"/>
      <c r="UCB21" s="12"/>
      <c r="UCS21" s="12"/>
      <c r="UCT21" s="12"/>
      <c r="UDK21" s="12"/>
      <c r="UDL21" s="12"/>
      <c r="UEC21" s="12"/>
      <c r="UED21" s="12"/>
      <c r="UEU21" s="12"/>
      <c r="UEV21" s="12"/>
      <c r="UFM21" s="12"/>
      <c r="UFN21" s="12"/>
      <c r="UGE21" s="12"/>
      <c r="UGF21" s="12"/>
      <c r="UGW21" s="12"/>
      <c r="UGX21" s="12"/>
      <c r="UHO21" s="12"/>
      <c r="UHP21" s="12"/>
      <c r="UIG21" s="12"/>
      <c r="UIH21" s="12"/>
      <c r="UIY21" s="12"/>
      <c r="UIZ21" s="12"/>
      <c r="UJQ21" s="12"/>
      <c r="UJR21" s="12"/>
      <c r="UKI21" s="12"/>
      <c r="UKJ21" s="12"/>
      <c r="ULA21" s="12"/>
      <c r="ULB21" s="12"/>
      <c r="ULS21" s="12"/>
      <c r="ULT21" s="12"/>
      <c r="UMK21" s="12"/>
      <c r="UML21" s="12"/>
      <c r="UNC21" s="12"/>
      <c r="UND21" s="12"/>
      <c r="UNU21" s="12"/>
      <c r="UNV21" s="12"/>
      <c r="UOM21" s="12"/>
      <c r="UON21" s="12"/>
      <c r="UPE21" s="12"/>
      <c r="UPF21" s="12"/>
      <c r="UPW21" s="12"/>
      <c r="UPX21" s="12"/>
      <c r="UQO21" s="12"/>
      <c r="UQP21" s="12"/>
      <c r="URG21" s="12"/>
      <c r="URH21" s="12"/>
      <c r="URY21" s="12"/>
      <c r="URZ21" s="12"/>
      <c r="USQ21" s="12"/>
      <c r="USR21" s="12"/>
      <c r="UTI21" s="12"/>
      <c r="UTJ21" s="12"/>
      <c r="UUA21" s="12"/>
      <c r="UUB21" s="12"/>
      <c r="UUS21" s="12"/>
      <c r="UUT21" s="12"/>
      <c r="UVK21" s="12"/>
      <c r="UVL21" s="12"/>
      <c r="UWC21" s="12"/>
      <c r="UWD21" s="12"/>
      <c r="UWU21" s="12"/>
      <c r="UWV21" s="12"/>
      <c r="UXM21" s="12"/>
      <c r="UXN21" s="12"/>
      <c r="UYE21" s="12"/>
      <c r="UYF21" s="12"/>
      <c r="UYW21" s="12"/>
      <c r="UYX21" s="12"/>
      <c r="UZO21" s="12"/>
      <c r="UZP21" s="12"/>
      <c r="VAG21" s="12"/>
      <c r="VAH21" s="12"/>
      <c r="VAY21" s="12"/>
      <c r="VAZ21" s="12"/>
      <c r="VBQ21" s="12"/>
      <c r="VBR21" s="12"/>
      <c r="VCI21" s="12"/>
      <c r="VCJ21" s="12"/>
      <c r="VDA21" s="12"/>
      <c r="VDB21" s="12"/>
      <c r="VDS21" s="12"/>
      <c r="VDT21" s="12"/>
      <c r="VEK21" s="12"/>
      <c r="VEL21" s="12"/>
      <c r="VFC21" s="12"/>
      <c r="VFD21" s="12"/>
      <c r="VFU21" s="12"/>
      <c r="VFV21" s="12"/>
      <c r="VGM21" s="12"/>
      <c r="VGN21" s="12"/>
      <c r="VHE21" s="12"/>
      <c r="VHF21" s="12"/>
      <c r="VHW21" s="12"/>
      <c r="VHX21" s="12"/>
      <c r="VIO21" s="12"/>
      <c r="VIP21" s="12"/>
      <c r="VJG21" s="12"/>
      <c r="VJH21" s="12"/>
      <c r="VJY21" s="12"/>
      <c r="VJZ21" s="12"/>
      <c r="VKQ21" s="12"/>
      <c r="VKR21" s="12"/>
      <c r="VLI21" s="12"/>
      <c r="VLJ21" s="12"/>
      <c r="VMA21" s="12"/>
      <c r="VMB21" s="12"/>
      <c r="VMS21" s="12"/>
      <c r="VMT21" s="12"/>
      <c r="VNK21" s="12"/>
      <c r="VNL21" s="12"/>
      <c r="VOC21" s="12"/>
      <c r="VOD21" s="12"/>
      <c r="VOU21" s="12"/>
      <c r="VOV21" s="12"/>
      <c r="VPM21" s="12"/>
      <c r="VPN21" s="12"/>
      <c r="VQE21" s="12"/>
      <c r="VQF21" s="12"/>
      <c r="VQW21" s="12"/>
      <c r="VQX21" s="12"/>
      <c r="VRO21" s="12"/>
      <c r="VRP21" s="12"/>
      <c r="VSG21" s="12"/>
      <c r="VSH21" s="12"/>
      <c r="VSY21" s="12"/>
      <c r="VSZ21" s="12"/>
      <c r="VTQ21" s="12"/>
      <c r="VTR21" s="12"/>
      <c r="VUI21" s="12"/>
      <c r="VUJ21" s="12"/>
      <c r="VVA21" s="12"/>
      <c r="VVB21" s="12"/>
      <c r="VVS21" s="12"/>
      <c r="VVT21" s="12"/>
      <c r="VWK21" s="12"/>
      <c r="VWL21" s="12"/>
      <c r="VXC21" s="12"/>
      <c r="VXD21" s="12"/>
      <c r="VXU21" s="12"/>
      <c r="VXV21" s="12"/>
      <c r="VYM21" s="12"/>
      <c r="VYN21" s="12"/>
      <c r="VZE21" s="12"/>
      <c r="VZF21" s="12"/>
      <c r="VZW21" s="12"/>
      <c r="VZX21" s="12"/>
      <c r="WAO21" s="12"/>
      <c r="WAP21" s="12"/>
      <c r="WBG21" s="12"/>
      <c r="WBH21" s="12"/>
      <c r="WBY21" s="12"/>
      <c r="WBZ21" s="12"/>
      <c r="WCQ21" s="12"/>
      <c r="WCR21" s="12"/>
      <c r="WDI21" s="12"/>
      <c r="WDJ21" s="12"/>
      <c r="WEA21" s="12"/>
      <c r="WEB21" s="12"/>
      <c r="WES21" s="12"/>
      <c r="WET21" s="12"/>
      <c r="WFK21" s="12"/>
      <c r="WFL21" s="12"/>
      <c r="WGC21" s="12"/>
      <c r="WGD21" s="12"/>
      <c r="WGU21" s="12"/>
      <c r="WGV21" s="12"/>
      <c r="WHM21" s="12"/>
      <c r="WHN21" s="12"/>
      <c r="WIE21" s="12"/>
      <c r="WIF21" s="12"/>
      <c r="WIW21" s="12"/>
      <c r="WIX21" s="12"/>
      <c r="WJO21" s="12"/>
      <c r="WJP21" s="12"/>
      <c r="WKG21" s="12"/>
      <c r="WKH21" s="12"/>
      <c r="WKY21" s="12"/>
      <c r="WKZ21" s="12"/>
      <c r="WLQ21" s="12"/>
      <c r="WLR21" s="12"/>
      <c r="WMI21" s="12"/>
      <c r="WMJ21" s="12"/>
      <c r="WNA21" s="12"/>
      <c r="WNB21" s="12"/>
      <c r="WNS21" s="12"/>
      <c r="WNT21" s="12"/>
      <c r="WOK21" s="12"/>
      <c r="WOL21" s="12"/>
      <c r="WPC21" s="12"/>
      <c r="WPD21" s="12"/>
      <c r="WPU21" s="12"/>
      <c r="WPV21" s="12"/>
      <c r="WQM21" s="12"/>
      <c r="WQN21" s="12"/>
      <c r="WRE21" s="12"/>
      <c r="WRF21" s="12"/>
      <c r="WRW21" s="12"/>
      <c r="WRX21" s="12"/>
      <c r="WSO21" s="12"/>
      <c r="WSP21" s="12"/>
      <c r="WTG21" s="12"/>
      <c r="WTH21" s="12"/>
      <c r="WTY21" s="12"/>
      <c r="WTZ21" s="12"/>
      <c r="WUQ21" s="12"/>
      <c r="WUR21" s="12"/>
      <c r="WVI21" s="12"/>
      <c r="WVJ21" s="12"/>
      <c r="WWA21" s="12"/>
      <c r="WWB21" s="12"/>
      <c r="WWS21" s="12"/>
      <c r="WWT21" s="12"/>
      <c r="WXK21" s="12"/>
      <c r="WXL21" s="12"/>
      <c r="WYC21" s="12"/>
      <c r="WYD21" s="12"/>
      <c r="WYU21" s="12"/>
      <c r="WYV21" s="12"/>
      <c r="WZM21" s="12"/>
      <c r="WZN21" s="12"/>
      <c r="XAE21" s="12"/>
      <c r="XAF21" s="12"/>
      <c r="XAW21" s="12"/>
      <c r="XAX21" s="12"/>
      <c r="XBO21" s="12"/>
      <c r="XBP21" s="12"/>
      <c r="XCG21" s="12"/>
      <c r="XCH21" s="12"/>
      <c r="XCY21" s="12"/>
      <c r="XCZ21" s="12"/>
      <c r="XDQ21" s="12"/>
      <c r="XDR21" s="12"/>
      <c r="XEI21" s="12"/>
      <c r="XEJ21" s="12"/>
      <c r="XFA21" s="12"/>
      <c r="XFB21" s="12"/>
    </row>
    <row r="22" spans="1:1010 1027:2036 2053:3062 3079:4088 4105:5114 5131:6140 6157:7166 7183:8192 8209:9200 9217:10226 10243:11252 11269:12278 12295:13304 13321:14330 14347:15356 15373:16382" s="11" customFormat="1" x14ac:dyDescent="0.35">
      <c r="A22" s="183" t="s">
        <v>240</v>
      </c>
      <c r="B22" s="183" t="s">
        <v>241</v>
      </c>
      <c r="C22" s="184">
        <v>114.238</v>
      </c>
      <c r="D22" s="184">
        <v>104.81100000000001</v>
      </c>
      <c r="E22" s="184">
        <v>112.899</v>
      </c>
      <c r="F22" s="184">
        <v>108.49299999999999</v>
      </c>
      <c r="G22" s="184">
        <v>98.340999999999994</v>
      </c>
      <c r="H22" s="184">
        <v>96.097999999999999</v>
      </c>
      <c r="I22" s="184">
        <v>104.535</v>
      </c>
      <c r="J22" s="184">
        <v>110.831</v>
      </c>
      <c r="K22" s="184">
        <v>114.447</v>
      </c>
      <c r="L22" s="184">
        <v>122.65600000000001</v>
      </c>
      <c r="M22" s="312">
        <f>IF(OR(K22=0,K22=""),"",L22/K22-1)</f>
        <v>7.1727524531005615E-2</v>
      </c>
      <c r="S22" s="12"/>
      <c r="T22" s="12"/>
      <c r="AK22" s="12"/>
      <c r="AL22" s="12"/>
      <c r="BC22" s="12"/>
      <c r="BD22" s="12"/>
      <c r="BU22" s="12"/>
      <c r="BV22" s="12"/>
      <c r="CM22" s="12"/>
      <c r="CN22" s="12"/>
      <c r="DE22" s="12"/>
      <c r="DF22" s="12"/>
      <c r="DW22" s="12"/>
      <c r="DX22" s="12"/>
      <c r="EO22" s="12"/>
      <c r="EP22" s="12"/>
      <c r="FG22" s="12"/>
      <c r="FH22" s="12"/>
      <c r="FY22" s="12"/>
      <c r="FZ22" s="12"/>
      <c r="GQ22" s="12"/>
      <c r="GR22" s="12"/>
      <c r="HI22" s="12"/>
      <c r="HJ22" s="12"/>
      <c r="IA22" s="12"/>
      <c r="IB22" s="12"/>
      <c r="IS22" s="12"/>
      <c r="IT22" s="12"/>
      <c r="JK22" s="12"/>
      <c r="JL22" s="12"/>
      <c r="KC22" s="12"/>
      <c r="KD22" s="12"/>
      <c r="KU22" s="12"/>
      <c r="KV22" s="12"/>
      <c r="LM22" s="12"/>
      <c r="LN22" s="12"/>
      <c r="ME22" s="12"/>
      <c r="MF22" s="12"/>
      <c r="MW22" s="12"/>
      <c r="MX22" s="12"/>
      <c r="NO22" s="12"/>
      <c r="NP22" s="12"/>
      <c r="OG22" s="12"/>
      <c r="OH22" s="12"/>
      <c r="OY22" s="12"/>
      <c r="OZ22" s="12"/>
      <c r="PQ22" s="12"/>
      <c r="PR22" s="12"/>
      <c r="QI22" s="12"/>
      <c r="QJ22" s="12"/>
      <c r="RA22" s="12"/>
      <c r="RB22" s="12"/>
      <c r="RS22" s="12"/>
      <c r="RT22" s="12"/>
      <c r="SK22" s="12"/>
      <c r="SL22" s="12"/>
      <c r="TC22" s="12"/>
      <c r="TD22" s="12"/>
      <c r="TU22" s="12"/>
      <c r="TV22" s="12"/>
      <c r="UM22" s="12"/>
      <c r="UN22" s="12"/>
      <c r="VE22" s="12"/>
      <c r="VF22" s="12"/>
      <c r="VW22" s="12"/>
      <c r="VX22" s="12"/>
      <c r="WO22" s="12"/>
      <c r="WP22" s="12"/>
      <c r="XG22" s="12"/>
      <c r="XH22" s="12"/>
      <c r="XY22" s="12"/>
      <c r="XZ22" s="12"/>
      <c r="YQ22" s="12"/>
      <c r="YR22" s="12"/>
      <c r="ZI22" s="12"/>
      <c r="ZJ22" s="12"/>
      <c r="AAA22" s="12"/>
      <c r="AAB22" s="12"/>
      <c r="AAS22" s="12"/>
      <c r="AAT22" s="12"/>
      <c r="ABK22" s="12"/>
      <c r="ABL22" s="12"/>
      <c r="ACC22" s="12"/>
      <c r="ACD22" s="12"/>
      <c r="ACU22" s="12"/>
      <c r="ACV22" s="12"/>
      <c r="ADM22" s="12"/>
      <c r="ADN22" s="12"/>
      <c r="AEE22" s="12"/>
      <c r="AEF22" s="12"/>
      <c r="AEW22" s="12"/>
      <c r="AEX22" s="12"/>
      <c r="AFO22" s="12"/>
      <c r="AFP22" s="12"/>
      <c r="AGG22" s="12"/>
      <c r="AGH22" s="12"/>
      <c r="AGY22" s="12"/>
      <c r="AGZ22" s="12"/>
      <c r="AHQ22" s="12"/>
      <c r="AHR22" s="12"/>
      <c r="AII22" s="12"/>
      <c r="AIJ22" s="12"/>
      <c r="AJA22" s="12"/>
      <c r="AJB22" s="12"/>
      <c r="AJS22" s="12"/>
      <c r="AJT22" s="12"/>
      <c r="AKK22" s="12"/>
      <c r="AKL22" s="12"/>
      <c r="ALC22" s="12"/>
      <c r="ALD22" s="12"/>
      <c r="ALU22" s="12"/>
      <c r="ALV22" s="12"/>
      <c r="AMM22" s="12"/>
      <c r="AMN22" s="12"/>
      <c r="ANE22" s="12"/>
      <c r="ANF22" s="12"/>
      <c r="ANW22" s="12"/>
      <c r="ANX22" s="12"/>
      <c r="AOO22" s="12"/>
      <c r="AOP22" s="12"/>
      <c r="APG22" s="12"/>
      <c r="APH22" s="12"/>
      <c r="APY22" s="12"/>
      <c r="APZ22" s="12"/>
      <c r="AQQ22" s="12"/>
      <c r="AQR22" s="12"/>
      <c r="ARI22" s="12"/>
      <c r="ARJ22" s="12"/>
      <c r="ASA22" s="12"/>
      <c r="ASB22" s="12"/>
      <c r="ASS22" s="12"/>
      <c r="AST22" s="12"/>
      <c r="ATK22" s="12"/>
      <c r="ATL22" s="12"/>
      <c r="AUC22" s="12"/>
      <c r="AUD22" s="12"/>
      <c r="AUU22" s="12"/>
      <c r="AUV22" s="12"/>
      <c r="AVM22" s="12"/>
      <c r="AVN22" s="12"/>
      <c r="AWE22" s="12"/>
      <c r="AWF22" s="12"/>
      <c r="AWW22" s="12"/>
      <c r="AWX22" s="12"/>
      <c r="AXO22" s="12"/>
      <c r="AXP22" s="12"/>
      <c r="AYG22" s="12"/>
      <c r="AYH22" s="12"/>
      <c r="AYY22" s="12"/>
      <c r="AYZ22" s="12"/>
      <c r="AZQ22" s="12"/>
      <c r="AZR22" s="12"/>
      <c r="BAI22" s="12"/>
      <c r="BAJ22" s="12"/>
      <c r="BBA22" s="12"/>
      <c r="BBB22" s="12"/>
      <c r="BBS22" s="12"/>
      <c r="BBT22" s="12"/>
      <c r="BCK22" s="12"/>
      <c r="BCL22" s="12"/>
      <c r="BDC22" s="12"/>
      <c r="BDD22" s="12"/>
      <c r="BDU22" s="12"/>
      <c r="BDV22" s="12"/>
      <c r="BEM22" s="12"/>
      <c r="BEN22" s="12"/>
      <c r="BFE22" s="12"/>
      <c r="BFF22" s="12"/>
      <c r="BFW22" s="12"/>
      <c r="BFX22" s="12"/>
      <c r="BGO22" s="12"/>
      <c r="BGP22" s="12"/>
      <c r="BHG22" s="12"/>
      <c r="BHH22" s="12"/>
      <c r="BHY22" s="12"/>
      <c r="BHZ22" s="12"/>
      <c r="BIQ22" s="12"/>
      <c r="BIR22" s="12"/>
      <c r="BJI22" s="12"/>
      <c r="BJJ22" s="12"/>
      <c r="BKA22" s="12"/>
      <c r="BKB22" s="12"/>
      <c r="BKS22" s="12"/>
      <c r="BKT22" s="12"/>
      <c r="BLK22" s="12"/>
      <c r="BLL22" s="12"/>
      <c r="BMC22" s="12"/>
      <c r="BMD22" s="12"/>
      <c r="BMU22" s="12"/>
      <c r="BMV22" s="12"/>
      <c r="BNM22" s="12"/>
      <c r="BNN22" s="12"/>
      <c r="BOE22" s="12"/>
      <c r="BOF22" s="12"/>
      <c r="BOW22" s="12"/>
      <c r="BOX22" s="12"/>
      <c r="BPO22" s="12"/>
      <c r="BPP22" s="12"/>
      <c r="BQG22" s="12"/>
      <c r="BQH22" s="12"/>
      <c r="BQY22" s="12"/>
      <c r="BQZ22" s="12"/>
      <c r="BRQ22" s="12"/>
      <c r="BRR22" s="12"/>
      <c r="BSI22" s="12"/>
      <c r="BSJ22" s="12"/>
      <c r="BTA22" s="12"/>
      <c r="BTB22" s="12"/>
      <c r="BTS22" s="12"/>
      <c r="BTT22" s="12"/>
      <c r="BUK22" s="12"/>
      <c r="BUL22" s="12"/>
      <c r="BVC22" s="12"/>
      <c r="BVD22" s="12"/>
      <c r="BVU22" s="12"/>
      <c r="BVV22" s="12"/>
      <c r="BWM22" s="12"/>
      <c r="BWN22" s="12"/>
      <c r="BXE22" s="12"/>
      <c r="BXF22" s="12"/>
      <c r="BXW22" s="12"/>
      <c r="BXX22" s="12"/>
      <c r="BYO22" s="12"/>
      <c r="BYP22" s="12"/>
      <c r="BZG22" s="12"/>
      <c r="BZH22" s="12"/>
      <c r="BZY22" s="12"/>
      <c r="BZZ22" s="12"/>
      <c r="CAQ22" s="12"/>
      <c r="CAR22" s="12"/>
      <c r="CBI22" s="12"/>
      <c r="CBJ22" s="12"/>
      <c r="CCA22" s="12"/>
      <c r="CCB22" s="12"/>
      <c r="CCS22" s="12"/>
      <c r="CCT22" s="12"/>
      <c r="CDK22" s="12"/>
      <c r="CDL22" s="12"/>
      <c r="CEC22" s="12"/>
      <c r="CED22" s="12"/>
      <c r="CEU22" s="12"/>
      <c r="CEV22" s="12"/>
      <c r="CFM22" s="12"/>
      <c r="CFN22" s="12"/>
      <c r="CGE22" s="12"/>
      <c r="CGF22" s="12"/>
      <c r="CGW22" s="12"/>
      <c r="CGX22" s="12"/>
      <c r="CHO22" s="12"/>
      <c r="CHP22" s="12"/>
      <c r="CIG22" s="12"/>
      <c r="CIH22" s="12"/>
      <c r="CIY22" s="12"/>
      <c r="CIZ22" s="12"/>
      <c r="CJQ22" s="12"/>
      <c r="CJR22" s="12"/>
      <c r="CKI22" s="12"/>
      <c r="CKJ22" s="12"/>
      <c r="CLA22" s="12"/>
      <c r="CLB22" s="12"/>
      <c r="CLS22" s="12"/>
      <c r="CLT22" s="12"/>
      <c r="CMK22" s="12"/>
      <c r="CML22" s="12"/>
      <c r="CNC22" s="12"/>
      <c r="CND22" s="12"/>
      <c r="CNU22" s="12"/>
      <c r="CNV22" s="12"/>
      <c r="COM22" s="12"/>
      <c r="CON22" s="12"/>
      <c r="CPE22" s="12"/>
      <c r="CPF22" s="12"/>
      <c r="CPW22" s="12"/>
      <c r="CPX22" s="12"/>
      <c r="CQO22" s="12"/>
      <c r="CQP22" s="12"/>
      <c r="CRG22" s="12"/>
      <c r="CRH22" s="12"/>
      <c r="CRY22" s="12"/>
      <c r="CRZ22" s="12"/>
      <c r="CSQ22" s="12"/>
      <c r="CSR22" s="12"/>
      <c r="CTI22" s="12"/>
      <c r="CTJ22" s="12"/>
      <c r="CUA22" s="12"/>
      <c r="CUB22" s="12"/>
      <c r="CUS22" s="12"/>
      <c r="CUT22" s="12"/>
      <c r="CVK22" s="12"/>
      <c r="CVL22" s="12"/>
      <c r="CWC22" s="12"/>
      <c r="CWD22" s="12"/>
      <c r="CWU22" s="12"/>
      <c r="CWV22" s="12"/>
      <c r="CXM22" s="12"/>
      <c r="CXN22" s="12"/>
      <c r="CYE22" s="12"/>
      <c r="CYF22" s="12"/>
      <c r="CYW22" s="12"/>
      <c r="CYX22" s="12"/>
      <c r="CZO22" s="12"/>
      <c r="CZP22" s="12"/>
      <c r="DAG22" s="12"/>
      <c r="DAH22" s="12"/>
      <c r="DAY22" s="12"/>
      <c r="DAZ22" s="12"/>
      <c r="DBQ22" s="12"/>
      <c r="DBR22" s="12"/>
      <c r="DCI22" s="12"/>
      <c r="DCJ22" s="12"/>
      <c r="DDA22" s="12"/>
      <c r="DDB22" s="12"/>
      <c r="DDS22" s="12"/>
      <c r="DDT22" s="12"/>
      <c r="DEK22" s="12"/>
      <c r="DEL22" s="12"/>
      <c r="DFC22" s="12"/>
      <c r="DFD22" s="12"/>
      <c r="DFU22" s="12"/>
      <c r="DFV22" s="12"/>
      <c r="DGM22" s="12"/>
      <c r="DGN22" s="12"/>
      <c r="DHE22" s="12"/>
      <c r="DHF22" s="12"/>
      <c r="DHW22" s="12"/>
      <c r="DHX22" s="12"/>
      <c r="DIO22" s="12"/>
      <c r="DIP22" s="12"/>
      <c r="DJG22" s="12"/>
      <c r="DJH22" s="12"/>
      <c r="DJY22" s="12"/>
      <c r="DJZ22" s="12"/>
      <c r="DKQ22" s="12"/>
      <c r="DKR22" s="12"/>
      <c r="DLI22" s="12"/>
      <c r="DLJ22" s="12"/>
      <c r="DMA22" s="12"/>
      <c r="DMB22" s="12"/>
      <c r="DMS22" s="12"/>
      <c r="DMT22" s="12"/>
      <c r="DNK22" s="12"/>
      <c r="DNL22" s="12"/>
      <c r="DOC22" s="12"/>
      <c r="DOD22" s="12"/>
      <c r="DOU22" s="12"/>
      <c r="DOV22" s="12"/>
      <c r="DPM22" s="12"/>
      <c r="DPN22" s="12"/>
      <c r="DQE22" s="12"/>
      <c r="DQF22" s="12"/>
      <c r="DQW22" s="12"/>
      <c r="DQX22" s="12"/>
      <c r="DRO22" s="12"/>
      <c r="DRP22" s="12"/>
      <c r="DSG22" s="12"/>
      <c r="DSH22" s="12"/>
      <c r="DSY22" s="12"/>
      <c r="DSZ22" s="12"/>
      <c r="DTQ22" s="12"/>
      <c r="DTR22" s="12"/>
      <c r="DUI22" s="12"/>
      <c r="DUJ22" s="12"/>
      <c r="DVA22" s="12"/>
      <c r="DVB22" s="12"/>
      <c r="DVS22" s="12"/>
      <c r="DVT22" s="12"/>
      <c r="DWK22" s="12"/>
      <c r="DWL22" s="12"/>
      <c r="DXC22" s="12"/>
      <c r="DXD22" s="12"/>
      <c r="DXU22" s="12"/>
      <c r="DXV22" s="12"/>
      <c r="DYM22" s="12"/>
      <c r="DYN22" s="12"/>
      <c r="DZE22" s="12"/>
      <c r="DZF22" s="12"/>
      <c r="DZW22" s="12"/>
      <c r="DZX22" s="12"/>
      <c r="EAO22" s="12"/>
      <c r="EAP22" s="12"/>
      <c r="EBG22" s="12"/>
      <c r="EBH22" s="12"/>
      <c r="EBY22" s="12"/>
      <c r="EBZ22" s="12"/>
      <c r="ECQ22" s="12"/>
      <c r="ECR22" s="12"/>
      <c r="EDI22" s="12"/>
      <c r="EDJ22" s="12"/>
      <c r="EEA22" s="12"/>
      <c r="EEB22" s="12"/>
      <c r="EES22" s="12"/>
      <c r="EET22" s="12"/>
      <c r="EFK22" s="12"/>
      <c r="EFL22" s="12"/>
      <c r="EGC22" s="12"/>
      <c r="EGD22" s="12"/>
      <c r="EGU22" s="12"/>
      <c r="EGV22" s="12"/>
      <c r="EHM22" s="12"/>
      <c r="EHN22" s="12"/>
      <c r="EIE22" s="12"/>
      <c r="EIF22" s="12"/>
      <c r="EIW22" s="12"/>
      <c r="EIX22" s="12"/>
      <c r="EJO22" s="12"/>
      <c r="EJP22" s="12"/>
      <c r="EKG22" s="12"/>
      <c r="EKH22" s="12"/>
      <c r="EKY22" s="12"/>
      <c r="EKZ22" s="12"/>
      <c r="ELQ22" s="12"/>
      <c r="ELR22" s="12"/>
      <c r="EMI22" s="12"/>
      <c r="EMJ22" s="12"/>
      <c r="ENA22" s="12"/>
      <c r="ENB22" s="12"/>
      <c r="ENS22" s="12"/>
      <c r="ENT22" s="12"/>
      <c r="EOK22" s="12"/>
      <c r="EOL22" s="12"/>
      <c r="EPC22" s="12"/>
      <c r="EPD22" s="12"/>
      <c r="EPU22" s="12"/>
      <c r="EPV22" s="12"/>
      <c r="EQM22" s="12"/>
      <c r="EQN22" s="12"/>
      <c r="ERE22" s="12"/>
      <c r="ERF22" s="12"/>
      <c r="ERW22" s="12"/>
      <c r="ERX22" s="12"/>
      <c r="ESO22" s="12"/>
      <c r="ESP22" s="12"/>
      <c r="ETG22" s="12"/>
      <c r="ETH22" s="12"/>
      <c r="ETY22" s="12"/>
      <c r="ETZ22" s="12"/>
      <c r="EUQ22" s="12"/>
      <c r="EUR22" s="12"/>
      <c r="EVI22" s="12"/>
      <c r="EVJ22" s="12"/>
      <c r="EWA22" s="12"/>
      <c r="EWB22" s="12"/>
      <c r="EWS22" s="12"/>
      <c r="EWT22" s="12"/>
      <c r="EXK22" s="12"/>
      <c r="EXL22" s="12"/>
      <c r="EYC22" s="12"/>
      <c r="EYD22" s="12"/>
      <c r="EYU22" s="12"/>
      <c r="EYV22" s="12"/>
      <c r="EZM22" s="12"/>
      <c r="EZN22" s="12"/>
      <c r="FAE22" s="12"/>
      <c r="FAF22" s="12"/>
      <c r="FAW22" s="12"/>
      <c r="FAX22" s="12"/>
      <c r="FBO22" s="12"/>
      <c r="FBP22" s="12"/>
      <c r="FCG22" s="12"/>
      <c r="FCH22" s="12"/>
      <c r="FCY22" s="12"/>
      <c r="FCZ22" s="12"/>
      <c r="FDQ22" s="12"/>
      <c r="FDR22" s="12"/>
      <c r="FEI22" s="12"/>
      <c r="FEJ22" s="12"/>
      <c r="FFA22" s="12"/>
      <c r="FFB22" s="12"/>
      <c r="FFS22" s="12"/>
      <c r="FFT22" s="12"/>
      <c r="FGK22" s="12"/>
      <c r="FGL22" s="12"/>
      <c r="FHC22" s="12"/>
      <c r="FHD22" s="12"/>
      <c r="FHU22" s="12"/>
      <c r="FHV22" s="12"/>
      <c r="FIM22" s="12"/>
      <c r="FIN22" s="12"/>
      <c r="FJE22" s="12"/>
      <c r="FJF22" s="12"/>
      <c r="FJW22" s="12"/>
      <c r="FJX22" s="12"/>
      <c r="FKO22" s="12"/>
      <c r="FKP22" s="12"/>
      <c r="FLG22" s="12"/>
      <c r="FLH22" s="12"/>
      <c r="FLY22" s="12"/>
      <c r="FLZ22" s="12"/>
      <c r="FMQ22" s="12"/>
      <c r="FMR22" s="12"/>
      <c r="FNI22" s="12"/>
      <c r="FNJ22" s="12"/>
      <c r="FOA22" s="12"/>
      <c r="FOB22" s="12"/>
      <c r="FOS22" s="12"/>
      <c r="FOT22" s="12"/>
      <c r="FPK22" s="12"/>
      <c r="FPL22" s="12"/>
      <c r="FQC22" s="12"/>
      <c r="FQD22" s="12"/>
      <c r="FQU22" s="12"/>
      <c r="FQV22" s="12"/>
      <c r="FRM22" s="12"/>
      <c r="FRN22" s="12"/>
      <c r="FSE22" s="12"/>
      <c r="FSF22" s="12"/>
      <c r="FSW22" s="12"/>
      <c r="FSX22" s="12"/>
      <c r="FTO22" s="12"/>
      <c r="FTP22" s="12"/>
      <c r="FUG22" s="12"/>
      <c r="FUH22" s="12"/>
      <c r="FUY22" s="12"/>
      <c r="FUZ22" s="12"/>
      <c r="FVQ22" s="12"/>
      <c r="FVR22" s="12"/>
      <c r="FWI22" s="12"/>
      <c r="FWJ22" s="12"/>
      <c r="FXA22" s="12"/>
      <c r="FXB22" s="12"/>
      <c r="FXS22" s="12"/>
      <c r="FXT22" s="12"/>
      <c r="FYK22" s="12"/>
      <c r="FYL22" s="12"/>
      <c r="FZC22" s="12"/>
      <c r="FZD22" s="12"/>
      <c r="FZU22" s="12"/>
      <c r="FZV22" s="12"/>
      <c r="GAM22" s="12"/>
      <c r="GAN22" s="12"/>
      <c r="GBE22" s="12"/>
      <c r="GBF22" s="12"/>
      <c r="GBW22" s="12"/>
      <c r="GBX22" s="12"/>
      <c r="GCO22" s="12"/>
      <c r="GCP22" s="12"/>
      <c r="GDG22" s="12"/>
      <c r="GDH22" s="12"/>
      <c r="GDY22" s="12"/>
      <c r="GDZ22" s="12"/>
      <c r="GEQ22" s="12"/>
      <c r="GER22" s="12"/>
      <c r="GFI22" s="12"/>
      <c r="GFJ22" s="12"/>
      <c r="GGA22" s="12"/>
      <c r="GGB22" s="12"/>
      <c r="GGS22" s="12"/>
      <c r="GGT22" s="12"/>
      <c r="GHK22" s="12"/>
      <c r="GHL22" s="12"/>
      <c r="GIC22" s="12"/>
      <c r="GID22" s="12"/>
      <c r="GIU22" s="12"/>
      <c r="GIV22" s="12"/>
      <c r="GJM22" s="12"/>
      <c r="GJN22" s="12"/>
      <c r="GKE22" s="12"/>
      <c r="GKF22" s="12"/>
      <c r="GKW22" s="12"/>
      <c r="GKX22" s="12"/>
      <c r="GLO22" s="12"/>
      <c r="GLP22" s="12"/>
      <c r="GMG22" s="12"/>
      <c r="GMH22" s="12"/>
      <c r="GMY22" s="12"/>
      <c r="GMZ22" s="12"/>
      <c r="GNQ22" s="12"/>
      <c r="GNR22" s="12"/>
      <c r="GOI22" s="12"/>
      <c r="GOJ22" s="12"/>
      <c r="GPA22" s="12"/>
      <c r="GPB22" s="12"/>
      <c r="GPS22" s="12"/>
      <c r="GPT22" s="12"/>
      <c r="GQK22" s="12"/>
      <c r="GQL22" s="12"/>
      <c r="GRC22" s="12"/>
      <c r="GRD22" s="12"/>
      <c r="GRU22" s="12"/>
      <c r="GRV22" s="12"/>
      <c r="GSM22" s="12"/>
      <c r="GSN22" s="12"/>
      <c r="GTE22" s="12"/>
      <c r="GTF22" s="12"/>
      <c r="GTW22" s="12"/>
      <c r="GTX22" s="12"/>
      <c r="GUO22" s="12"/>
      <c r="GUP22" s="12"/>
      <c r="GVG22" s="12"/>
      <c r="GVH22" s="12"/>
      <c r="GVY22" s="12"/>
      <c r="GVZ22" s="12"/>
      <c r="GWQ22" s="12"/>
      <c r="GWR22" s="12"/>
      <c r="GXI22" s="12"/>
      <c r="GXJ22" s="12"/>
      <c r="GYA22" s="12"/>
      <c r="GYB22" s="12"/>
      <c r="GYS22" s="12"/>
      <c r="GYT22" s="12"/>
      <c r="GZK22" s="12"/>
      <c r="GZL22" s="12"/>
      <c r="HAC22" s="12"/>
      <c r="HAD22" s="12"/>
      <c r="HAU22" s="12"/>
      <c r="HAV22" s="12"/>
      <c r="HBM22" s="12"/>
      <c r="HBN22" s="12"/>
      <c r="HCE22" s="12"/>
      <c r="HCF22" s="12"/>
      <c r="HCW22" s="12"/>
      <c r="HCX22" s="12"/>
      <c r="HDO22" s="12"/>
      <c r="HDP22" s="12"/>
      <c r="HEG22" s="12"/>
      <c r="HEH22" s="12"/>
      <c r="HEY22" s="12"/>
      <c r="HEZ22" s="12"/>
      <c r="HFQ22" s="12"/>
      <c r="HFR22" s="12"/>
      <c r="HGI22" s="12"/>
      <c r="HGJ22" s="12"/>
      <c r="HHA22" s="12"/>
      <c r="HHB22" s="12"/>
      <c r="HHS22" s="12"/>
      <c r="HHT22" s="12"/>
      <c r="HIK22" s="12"/>
      <c r="HIL22" s="12"/>
      <c r="HJC22" s="12"/>
      <c r="HJD22" s="12"/>
      <c r="HJU22" s="12"/>
      <c r="HJV22" s="12"/>
      <c r="HKM22" s="12"/>
      <c r="HKN22" s="12"/>
      <c r="HLE22" s="12"/>
      <c r="HLF22" s="12"/>
      <c r="HLW22" s="12"/>
      <c r="HLX22" s="12"/>
      <c r="HMO22" s="12"/>
      <c r="HMP22" s="12"/>
      <c r="HNG22" s="12"/>
      <c r="HNH22" s="12"/>
      <c r="HNY22" s="12"/>
      <c r="HNZ22" s="12"/>
      <c r="HOQ22" s="12"/>
      <c r="HOR22" s="12"/>
      <c r="HPI22" s="12"/>
      <c r="HPJ22" s="12"/>
      <c r="HQA22" s="12"/>
      <c r="HQB22" s="12"/>
      <c r="HQS22" s="12"/>
      <c r="HQT22" s="12"/>
      <c r="HRK22" s="12"/>
      <c r="HRL22" s="12"/>
      <c r="HSC22" s="12"/>
      <c r="HSD22" s="12"/>
      <c r="HSU22" s="12"/>
      <c r="HSV22" s="12"/>
      <c r="HTM22" s="12"/>
      <c r="HTN22" s="12"/>
      <c r="HUE22" s="12"/>
      <c r="HUF22" s="12"/>
      <c r="HUW22" s="12"/>
      <c r="HUX22" s="12"/>
      <c r="HVO22" s="12"/>
      <c r="HVP22" s="12"/>
      <c r="HWG22" s="12"/>
      <c r="HWH22" s="12"/>
      <c r="HWY22" s="12"/>
      <c r="HWZ22" s="12"/>
      <c r="HXQ22" s="12"/>
      <c r="HXR22" s="12"/>
      <c r="HYI22" s="12"/>
      <c r="HYJ22" s="12"/>
      <c r="HZA22" s="12"/>
      <c r="HZB22" s="12"/>
      <c r="HZS22" s="12"/>
      <c r="HZT22" s="12"/>
      <c r="IAK22" s="12"/>
      <c r="IAL22" s="12"/>
      <c r="IBC22" s="12"/>
      <c r="IBD22" s="12"/>
      <c r="IBU22" s="12"/>
      <c r="IBV22" s="12"/>
      <c r="ICM22" s="12"/>
      <c r="ICN22" s="12"/>
      <c r="IDE22" s="12"/>
      <c r="IDF22" s="12"/>
      <c r="IDW22" s="12"/>
      <c r="IDX22" s="12"/>
      <c r="IEO22" s="12"/>
      <c r="IEP22" s="12"/>
      <c r="IFG22" s="12"/>
      <c r="IFH22" s="12"/>
      <c r="IFY22" s="12"/>
      <c r="IFZ22" s="12"/>
      <c r="IGQ22" s="12"/>
      <c r="IGR22" s="12"/>
      <c r="IHI22" s="12"/>
      <c r="IHJ22" s="12"/>
      <c r="IIA22" s="12"/>
      <c r="IIB22" s="12"/>
      <c r="IIS22" s="12"/>
      <c r="IIT22" s="12"/>
      <c r="IJK22" s="12"/>
      <c r="IJL22" s="12"/>
      <c r="IKC22" s="12"/>
      <c r="IKD22" s="12"/>
      <c r="IKU22" s="12"/>
      <c r="IKV22" s="12"/>
      <c r="ILM22" s="12"/>
      <c r="ILN22" s="12"/>
      <c r="IME22" s="12"/>
      <c r="IMF22" s="12"/>
      <c r="IMW22" s="12"/>
      <c r="IMX22" s="12"/>
      <c r="INO22" s="12"/>
      <c r="INP22" s="12"/>
      <c r="IOG22" s="12"/>
      <c r="IOH22" s="12"/>
      <c r="IOY22" s="12"/>
      <c r="IOZ22" s="12"/>
      <c r="IPQ22" s="12"/>
      <c r="IPR22" s="12"/>
      <c r="IQI22" s="12"/>
      <c r="IQJ22" s="12"/>
      <c r="IRA22" s="12"/>
      <c r="IRB22" s="12"/>
      <c r="IRS22" s="12"/>
      <c r="IRT22" s="12"/>
      <c r="ISK22" s="12"/>
      <c r="ISL22" s="12"/>
      <c r="ITC22" s="12"/>
      <c r="ITD22" s="12"/>
      <c r="ITU22" s="12"/>
      <c r="ITV22" s="12"/>
      <c r="IUM22" s="12"/>
      <c r="IUN22" s="12"/>
      <c r="IVE22" s="12"/>
      <c r="IVF22" s="12"/>
      <c r="IVW22" s="12"/>
      <c r="IVX22" s="12"/>
      <c r="IWO22" s="12"/>
      <c r="IWP22" s="12"/>
      <c r="IXG22" s="12"/>
      <c r="IXH22" s="12"/>
      <c r="IXY22" s="12"/>
      <c r="IXZ22" s="12"/>
      <c r="IYQ22" s="12"/>
      <c r="IYR22" s="12"/>
      <c r="IZI22" s="12"/>
      <c r="IZJ22" s="12"/>
      <c r="JAA22" s="12"/>
      <c r="JAB22" s="12"/>
      <c r="JAS22" s="12"/>
      <c r="JAT22" s="12"/>
      <c r="JBK22" s="12"/>
      <c r="JBL22" s="12"/>
      <c r="JCC22" s="12"/>
      <c r="JCD22" s="12"/>
      <c r="JCU22" s="12"/>
      <c r="JCV22" s="12"/>
      <c r="JDM22" s="12"/>
      <c r="JDN22" s="12"/>
      <c r="JEE22" s="12"/>
      <c r="JEF22" s="12"/>
      <c r="JEW22" s="12"/>
      <c r="JEX22" s="12"/>
      <c r="JFO22" s="12"/>
      <c r="JFP22" s="12"/>
      <c r="JGG22" s="12"/>
      <c r="JGH22" s="12"/>
      <c r="JGY22" s="12"/>
      <c r="JGZ22" s="12"/>
      <c r="JHQ22" s="12"/>
      <c r="JHR22" s="12"/>
      <c r="JII22" s="12"/>
      <c r="JIJ22" s="12"/>
      <c r="JJA22" s="12"/>
      <c r="JJB22" s="12"/>
      <c r="JJS22" s="12"/>
      <c r="JJT22" s="12"/>
      <c r="JKK22" s="12"/>
      <c r="JKL22" s="12"/>
      <c r="JLC22" s="12"/>
      <c r="JLD22" s="12"/>
      <c r="JLU22" s="12"/>
      <c r="JLV22" s="12"/>
      <c r="JMM22" s="12"/>
      <c r="JMN22" s="12"/>
      <c r="JNE22" s="12"/>
      <c r="JNF22" s="12"/>
      <c r="JNW22" s="12"/>
      <c r="JNX22" s="12"/>
      <c r="JOO22" s="12"/>
      <c r="JOP22" s="12"/>
      <c r="JPG22" s="12"/>
      <c r="JPH22" s="12"/>
      <c r="JPY22" s="12"/>
      <c r="JPZ22" s="12"/>
      <c r="JQQ22" s="12"/>
      <c r="JQR22" s="12"/>
      <c r="JRI22" s="12"/>
      <c r="JRJ22" s="12"/>
      <c r="JSA22" s="12"/>
      <c r="JSB22" s="12"/>
      <c r="JSS22" s="12"/>
      <c r="JST22" s="12"/>
      <c r="JTK22" s="12"/>
      <c r="JTL22" s="12"/>
      <c r="JUC22" s="12"/>
      <c r="JUD22" s="12"/>
      <c r="JUU22" s="12"/>
      <c r="JUV22" s="12"/>
      <c r="JVM22" s="12"/>
      <c r="JVN22" s="12"/>
      <c r="JWE22" s="12"/>
      <c r="JWF22" s="12"/>
      <c r="JWW22" s="12"/>
      <c r="JWX22" s="12"/>
      <c r="JXO22" s="12"/>
      <c r="JXP22" s="12"/>
      <c r="JYG22" s="12"/>
      <c r="JYH22" s="12"/>
      <c r="JYY22" s="12"/>
      <c r="JYZ22" s="12"/>
      <c r="JZQ22" s="12"/>
      <c r="JZR22" s="12"/>
      <c r="KAI22" s="12"/>
      <c r="KAJ22" s="12"/>
      <c r="KBA22" s="12"/>
      <c r="KBB22" s="12"/>
      <c r="KBS22" s="12"/>
      <c r="KBT22" s="12"/>
      <c r="KCK22" s="12"/>
      <c r="KCL22" s="12"/>
      <c r="KDC22" s="12"/>
      <c r="KDD22" s="12"/>
      <c r="KDU22" s="12"/>
      <c r="KDV22" s="12"/>
      <c r="KEM22" s="12"/>
      <c r="KEN22" s="12"/>
      <c r="KFE22" s="12"/>
      <c r="KFF22" s="12"/>
      <c r="KFW22" s="12"/>
      <c r="KFX22" s="12"/>
      <c r="KGO22" s="12"/>
      <c r="KGP22" s="12"/>
      <c r="KHG22" s="12"/>
      <c r="KHH22" s="12"/>
      <c r="KHY22" s="12"/>
      <c r="KHZ22" s="12"/>
      <c r="KIQ22" s="12"/>
      <c r="KIR22" s="12"/>
      <c r="KJI22" s="12"/>
      <c r="KJJ22" s="12"/>
      <c r="KKA22" s="12"/>
      <c r="KKB22" s="12"/>
      <c r="KKS22" s="12"/>
      <c r="KKT22" s="12"/>
      <c r="KLK22" s="12"/>
      <c r="KLL22" s="12"/>
      <c r="KMC22" s="12"/>
      <c r="KMD22" s="12"/>
      <c r="KMU22" s="12"/>
      <c r="KMV22" s="12"/>
      <c r="KNM22" s="12"/>
      <c r="KNN22" s="12"/>
      <c r="KOE22" s="12"/>
      <c r="KOF22" s="12"/>
      <c r="KOW22" s="12"/>
      <c r="KOX22" s="12"/>
      <c r="KPO22" s="12"/>
      <c r="KPP22" s="12"/>
      <c r="KQG22" s="12"/>
      <c r="KQH22" s="12"/>
      <c r="KQY22" s="12"/>
      <c r="KQZ22" s="12"/>
      <c r="KRQ22" s="12"/>
      <c r="KRR22" s="12"/>
      <c r="KSI22" s="12"/>
      <c r="KSJ22" s="12"/>
      <c r="KTA22" s="12"/>
      <c r="KTB22" s="12"/>
      <c r="KTS22" s="12"/>
      <c r="KTT22" s="12"/>
      <c r="KUK22" s="12"/>
      <c r="KUL22" s="12"/>
      <c r="KVC22" s="12"/>
      <c r="KVD22" s="12"/>
      <c r="KVU22" s="12"/>
      <c r="KVV22" s="12"/>
      <c r="KWM22" s="12"/>
      <c r="KWN22" s="12"/>
      <c r="KXE22" s="12"/>
      <c r="KXF22" s="12"/>
      <c r="KXW22" s="12"/>
      <c r="KXX22" s="12"/>
      <c r="KYO22" s="12"/>
      <c r="KYP22" s="12"/>
      <c r="KZG22" s="12"/>
      <c r="KZH22" s="12"/>
      <c r="KZY22" s="12"/>
      <c r="KZZ22" s="12"/>
      <c r="LAQ22" s="12"/>
      <c r="LAR22" s="12"/>
      <c r="LBI22" s="12"/>
      <c r="LBJ22" s="12"/>
      <c r="LCA22" s="12"/>
      <c r="LCB22" s="12"/>
      <c r="LCS22" s="12"/>
      <c r="LCT22" s="12"/>
      <c r="LDK22" s="12"/>
      <c r="LDL22" s="12"/>
      <c r="LEC22" s="12"/>
      <c r="LED22" s="12"/>
      <c r="LEU22" s="12"/>
      <c r="LEV22" s="12"/>
      <c r="LFM22" s="12"/>
      <c r="LFN22" s="12"/>
      <c r="LGE22" s="12"/>
      <c r="LGF22" s="12"/>
      <c r="LGW22" s="12"/>
      <c r="LGX22" s="12"/>
      <c r="LHO22" s="12"/>
      <c r="LHP22" s="12"/>
      <c r="LIG22" s="12"/>
      <c r="LIH22" s="12"/>
      <c r="LIY22" s="12"/>
      <c r="LIZ22" s="12"/>
      <c r="LJQ22" s="12"/>
      <c r="LJR22" s="12"/>
      <c r="LKI22" s="12"/>
      <c r="LKJ22" s="12"/>
      <c r="LLA22" s="12"/>
      <c r="LLB22" s="12"/>
      <c r="LLS22" s="12"/>
      <c r="LLT22" s="12"/>
      <c r="LMK22" s="12"/>
      <c r="LML22" s="12"/>
      <c r="LNC22" s="12"/>
      <c r="LND22" s="12"/>
      <c r="LNU22" s="12"/>
      <c r="LNV22" s="12"/>
      <c r="LOM22" s="12"/>
      <c r="LON22" s="12"/>
      <c r="LPE22" s="12"/>
      <c r="LPF22" s="12"/>
      <c r="LPW22" s="12"/>
      <c r="LPX22" s="12"/>
      <c r="LQO22" s="12"/>
      <c r="LQP22" s="12"/>
      <c r="LRG22" s="12"/>
      <c r="LRH22" s="12"/>
      <c r="LRY22" s="12"/>
      <c r="LRZ22" s="12"/>
      <c r="LSQ22" s="12"/>
      <c r="LSR22" s="12"/>
      <c r="LTI22" s="12"/>
      <c r="LTJ22" s="12"/>
      <c r="LUA22" s="12"/>
      <c r="LUB22" s="12"/>
      <c r="LUS22" s="12"/>
      <c r="LUT22" s="12"/>
      <c r="LVK22" s="12"/>
      <c r="LVL22" s="12"/>
      <c r="LWC22" s="12"/>
      <c r="LWD22" s="12"/>
      <c r="LWU22" s="12"/>
      <c r="LWV22" s="12"/>
      <c r="LXM22" s="12"/>
      <c r="LXN22" s="12"/>
      <c r="LYE22" s="12"/>
      <c r="LYF22" s="12"/>
      <c r="LYW22" s="12"/>
      <c r="LYX22" s="12"/>
      <c r="LZO22" s="12"/>
      <c r="LZP22" s="12"/>
      <c r="MAG22" s="12"/>
      <c r="MAH22" s="12"/>
      <c r="MAY22" s="12"/>
      <c r="MAZ22" s="12"/>
      <c r="MBQ22" s="12"/>
      <c r="MBR22" s="12"/>
      <c r="MCI22" s="12"/>
      <c r="MCJ22" s="12"/>
      <c r="MDA22" s="12"/>
      <c r="MDB22" s="12"/>
      <c r="MDS22" s="12"/>
      <c r="MDT22" s="12"/>
      <c r="MEK22" s="12"/>
      <c r="MEL22" s="12"/>
      <c r="MFC22" s="12"/>
      <c r="MFD22" s="12"/>
      <c r="MFU22" s="12"/>
      <c r="MFV22" s="12"/>
      <c r="MGM22" s="12"/>
      <c r="MGN22" s="12"/>
      <c r="MHE22" s="12"/>
      <c r="MHF22" s="12"/>
      <c r="MHW22" s="12"/>
      <c r="MHX22" s="12"/>
      <c r="MIO22" s="12"/>
      <c r="MIP22" s="12"/>
      <c r="MJG22" s="12"/>
      <c r="MJH22" s="12"/>
      <c r="MJY22" s="12"/>
      <c r="MJZ22" s="12"/>
      <c r="MKQ22" s="12"/>
      <c r="MKR22" s="12"/>
      <c r="MLI22" s="12"/>
      <c r="MLJ22" s="12"/>
      <c r="MMA22" s="12"/>
      <c r="MMB22" s="12"/>
      <c r="MMS22" s="12"/>
      <c r="MMT22" s="12"/>
      <c r="MNK22" s="12"/>
      <c r="MNL22" s="12"/>
      <c r="MOC22" s="12"/>
      <c r="MOD22" s="12"/>
      <c r="MOU22" s="12"/>
      <c r="MOV22" s="12"/>
      <c r="MPM22" s="12"/>
      <c r="MPN22" s="12"/>
      <c r="MQE22" s="12"/>
      <c r="MQF22" s="12"/>
      <c r="MQW22" s="12"/>
      <c r="MQX22" s="12"/>
      <c r="MRO22" s="12"/>
      <c r="MRP22" s="12"/>
      <c r="MSG22" s="12"/>
      <c r="MSH22" s="12"/>
      <c r="MSY22" s="12"/>
      <c r="MSZ22" s="12"/>
      <c r="MTQ22" s="12"/>
      <c r="MTR22" s="12"/>
      <c r="MUI22" s="12"/>
      <c r="MUJ22" s="12"/>
      <c r="MVA22" s="12"/>
      <c r="MVB22" s="12"/>
      <c r="MVS22" s="12"/>
      <c r="MVT22" s="12"/>
      <c r="MWK22" s="12"/>
      <c r="MWL22" s="12"/>
      <c r="MXC22" s="12"/>
      <c r="MXD22" s="12"/>
      <c r="MXU22" s="12"/>
      <c r="MXV22" s="12"/>
      <c r="MYM22" s="12"/>
      <c r="MYN22" s="12"/>
      <c r="MZE22" s="12"/>
      <c r="MZF22" s="12"/>
      <c r="MZW22" s="12"/>
      <c r="MZX22" s="12"/>
      <c r="NAO22" s="12"/>
      <c r="NAP22" s="12"/>
      <c r="NBG22" s="12"/>
      <c r="NBH22" s="12"/>
      <c r="NBY22" s="12"/>
      <c r="NBZ22" s="12"/>
      <c r="NCQ22" s="12"/>
      <c r="NCR22" s="12"/>
      <c r="NDI22" s="12"/>
      <c r="NDJ22" s="12"/>
      <c r="NEA22" s="12"/>
      <c r="NEB22" s="12"/>
      <c r="NES22" s="12"/>
      <c r="NET22" s="12"/>
      <c r="NFK22" s="12"/>
      <c r="NFL22" s="12"/>
      <c r="NGC22" s="12"/>
      <c r="NGD22" s="12"/>
      <c r="NGU22" s="12"/>
      <c r="NGV22" s="12"/>
      <c r="NHM22" s="12"/>
      <c r="NHN22" s="12"/>
      <c r="NIE22" s="12"/>
      <c r="NIF22" s="12"/>
      <c r="NIW22" s="12"/>
      <c r="NIX22" s="12"/>
      <c r="NJO22" s="12"/>
      <c r="NJP22" s="12"/>
      <c r="NKG22" s="12"/>
      <c r="NKH22" s="12"/>
      <c r="NKY22" s="12"/>
      <c r="NKZ22" s="12"/>
      <c r="NLQ22" s="12"/>
      <c r="NLR22" s="12"/>
      <c r="NMI22" s="12"/>
      <c r="NMJ22" s="12"/>
      <c r="NNA22" s="12"/>
      <c r="NNB22" s="12"/>
      <c r="NNS22" s="12"/>
      <c r="NNT22" s="12"/>
      <c r="NOK22" s="12"/>
      <c r="NOL22" s="12"/>
      <c r="NPC22" s="12"/>
      <c r="NPD22" s="12"/>
      <c r="NPU22" s="12"/>
      <c r="NPV22" s="12"/>
      <c r="NQM22" s="12"/>
      <c r="NQN22" s="12"/>
      <c r="NRE22" s="12"/>
      <c r="NRF22" s="12"/>
      <c r="NRW22" s="12"/>
      <c r="NRX22" s="12"/>
      <c r="NSO22" s="12"/>
      <c r="NSP22" s="12"/>
      <c r="NTG22" s="12"/>
      <c r="NTH22" s="12"/>
      <c r="NTY22" s="12"/>
      <c r="NTZ22" s="12"/>
      <c r="NUQ22" s="12"/>
      <c r="NUR22" s="12"/>
      <c r="NVI22" s="12"/>
      <c r="NVJ22" s="12"/>
      <c r="NWA22" s="12"/>
      <c r="NWB22" s="12"/>
      <c r="NWS22" s="12"/>
      <c r="NWT22" s="12"/>
      <c r="NXK22" s="12"/>
      <c r="NXL22" s="12"/>
      <c r="NYC22" s="12"/>
      <c r="NYD22" s="12"/>
      <c r="NYU22" s="12"/>
      <c r="NYV22" s="12"/>
      <c r="NZM22" s="12"/>
      <c r="NZN22" s="12"/>
      <c r="OAE22" s="12"/>
      <c r="OAF22" s="12"/>
      <c r="OAW22" s="12"/>
      <c r="OAX22" s="12"/>
      <c r="OBO22" s="12"/>
      <c r="OBP22" s="12"/>
      <c r="OCG22" s="12"/>
      <c r="OCH22" s="12"/>
      <c r="OCY22" s="12"/>
      <c r="OCZ22" s="12"/>
      <c r="ODQ22" s="12"/>
      <c r="ODR22" s="12"/>
      <c r="OEI22" s="12"/>
      <c r="OEJ22" s="12"/>
      <c r="OFA22" s="12"/>
      <c r="OFB22" s="12"/>
      <c r="OFS22" s="12"/>
      <c r="OFT22" s="12"/>
      <c r="OGK22" s="12"/>
      <c r="OGL22" s="12"/>
      <c r="OHC22" s="12"/>
      <c r="OHD22" s="12"/>
      <c r="OHU22" s="12"/>
      <c r="OHV22" s="12"/>
      <c r="OIM22" s="12"/>
      <c r="OIN22" s="12"/>
      <c r="OJE22" s="12"/>
      <c r="OJF22" s="12"/>
      <c r="OJW22" s="12"/>
      <c r="OJX22" s="12"/>
      <c r="OKO22" s="12"/>
      <c r="OKP22" s="12"/>
      <c r="OLG22" s="12"/>
      <c r="OLH22" s="12"/>
      <c r="OLY22" s="12"/>
      <c r="OLZ22" s="12"/>
      <c r="OMQ22" s="12"/>
      <c r="OMR22" s="12"/>
      <c r="ONI22" s="12"/>
      <c r="ONJ22" s="12"/>
      <c r="OOA22" s="12"/>
      <c r="OOB22" s="12"/>
      <c r="OOS22" s="12"/>
      <c r="OOT22" s="12"/>
      <c r="OPK22" s="12"/>
      <c r="OPL22" s="12"/>
      <c r="OQC22" s="12"/>
      <c r="OQD22" s="12"/>
      <c r="OQU22" s="12"/>
      <c r="OQV22" s="12"/>
      <c r="ORM22" s="12"/>
      <c r="ORN22" s="12"/>
      <c r="OSE22" s="12"/>
      <c r="OSF22" s="12"/>
      <c r="OSW22" s="12"/>
      <c r="OSX22" s="12"/>
      <c r="OTO22" s="12"/>
      <c r="OTP22" s="12"/>
      <c r="OUG22" s="12"/>
      <c r="OUH22" s="12"/>
      <c r="OUY22" s="12"/>
      <c r="OUZ22" s="12"/>
      <c r="OVQ22" s="12"/>
      <c r="OVR22" s="12"/>
      <c r="OWI22" s="12"/>
      <c r="OWJ22" s="12"/>
      <c r="OXA22" s="12"/>
      <c r="OXB22" s="12"/>
      <c r="OXS22" s="12"/>
      <c r="OXT22" s="12"/>
      <c r="OYK22" s="12"/>
      <c r="OYL22" s="12"/>
      <c r="OZC22" s="12"/>
      <c r="OZD22" s="12"/>
      <c r="OZU22" s="12"/>
      <c r="OZV22" s="12"/>
      <c r="PAM22" s="12"/>
      <c r="PAN22" s="12"/>
      <c r="PBE22" s="12"/>
      <c r="PBF22" s="12"/>
      <c r="PBW22" s="12"/>
      <c r="PBX22" s="12"/>
      <c r="PCO22" s="12"/>
      <c r="PCP22" s="12"/>
      <c r="PDG22" s="12"/>
      <c r="PDH22" s="12"/>
      <c r="PDY22" s="12"/>
      <c r="PDZ22" s="12"/>
      <c r="PEQ22" s="12"/>
      <c r="PER22" s="12"/>
      <c r="PFI22" s="12"/>
      <c r="PFJ22" s="12"/>
      <c r="PGA22" s="12"/>
      <c r="PGB22" s="12"/>
      <c r="PGS22" s="12"/>
      <c r="PGT22" s="12"/>
      <c r="PHK22" s="12"/>
      <c r="PHL22" s="12"/>
      <c r="PIC22" s="12"/>
      <c r="PID22" s="12"/>
      <c r="PIU22" s="12"/>
      <c r="PIV22" s="12"/>
      <c r="PJM22" s="12"/>
      <c r="PJN22" s="12"/>
      <c r="PKE22" s="12"/>
      <c r="PKF22" s="12"/>
      <c r="PKW22" s="12"/>
      <c r="PKX22" s="12"/>
      <c r="PLO22" s="12"/>
      <c r="PLP22" s="12"/>
      <c r="PMG22" s="12"/>
      <c r="PMH22" s="12"/>
      <c r="PMY22" s="12"/>
      <c r="PMZ22" s="12"/>
      <c r="PNQ22" s="12"/>
      <c r="PNR22" s="12"/>
      <c r="POI22" s="12"/>
      <c r="POJ22" s="12"/>
      <c r="PPA22" s="12"/>
      <c r="PPB22" s="12"/>
      <c r="PPS22" s="12"/>
      <c r="PPT22" s="12"/>
      <c r="PQK22" s="12"/>
      <c r="PQL22" s="12"/>
      <c r="PRC22" s="12"/>
      <c r="PRD22" s="12"/>
      <c r="PRU22" s="12"/>
      <c r="PRV22" s="12"/>
      <c r="PSM22" s="12"/>
      <c r="PSN22" s="12"/>
      <c r="PTE22" s="12"/>
      <c r="PTF22" s="12"/>
      <c r="PTW22" s="12"/>
      <c r="PTX22" s="12"/>
      <c r="PUO22" s="12"/>
      <c r="PUP22" s="12"/>
      <c r="PVG22" s="12"/>
      <c r="PVH22" s="12"/>
      <c r="PVY22" s="12"/>
      <c r="PVZ22" s="12"/>
      <c r="PWQ22" s="12"/>
      <c r="PWR22" s="12"/>
      <c r="PXI22" s="12"/>
      <c r="PXJ22" s="12"/>
      <c r="PYA22" s="12"/>
      <c r="PYB22" s="12"/>
      <c r="PYS22" s="12"/>
      <c r="PYT22" s="12"/>
      <c r="PZK22" s="12"/>
      <c r="PZL22" s="12"/>
      <c r="QAC22" s="12"/>
      <c r="QAD22" s="12"/>
      <c r="QAU22" s="12"/>
      <c r="QAV22" s="12"/>
      <c r="QBM22" s="12"/>
      <c r="QBN22" s="12"/>
      <c r="QCE22" s="12"/>
      <c r="QCF22" s="12"/>
      <c r="QCW22" s="12"/>
      <c r="QCX22" s="12"/>
      <c r="QDO22" s="12"/>
      <c r="QDP22" s="12"/>
      <c r="QEG22" s="12"/>
      <c r="QEH22" s="12"/>
      <c r="QEY22" s="12"/>
      <c r="QEZ22" s="12"/>
      <c r="QFQ22" s="12"/>
      <c r="QFR22" s="12"/>
      <c r="QGI22" s="12"/>
      <c r="QGJ22" s="12"/>
      <c r="QHA22" s="12"/>
      <c r="QHB22" s="12"/>
      <c r="QHS22" s="12"/>
      <c r="QHT22" s="12"/>
      <c r="QIK22" s="12"/>
      <c r="QIL22" s="12"/>
      <c r="QJC22" s="12"/>
      <c r="QJD22" s="12"/>
      <c r="QJU22" s="12"/>
      <c r="QJV22" s="12"/>
      <c r="QKM22" s="12"/>
      <c r="QKN22" s="12"/>
      <c r="QLE22" s="12"/>
      <c r="QLF22" s="12"/>
      <c r="QLW22" s="12"/>
      <c r="QLX22" s="12"/>
      <c r="QMO22" s="12"/>
      <c r="QMP22" s="12"/>
      <c r="QNG22" s="12"/>
      <c r="QNH22" s="12"/>
      <c r="QNY22" s="12"/>
      <c r="QNZ22" s="12"/>
      <c r="QOQ22" s="12"/>
      <c r="QOR22" s="12"/>
      <c r="QPI22" s="12"/>
      <c r="QPJ22" s="12"/>
      <c r="QQA22" s="12"/>
      <c r="QQB22" s="12"/>
      <c r="QQS22" s="12"/>
      <c r="QQT22" s="12"/>
      <c r="QRK22" s="12"/>
      <c r="QRL22" s="12"/>
      <c r="QSC22" s="12"/>
      <c r="QSD22" s="12"/>
      <c r="QSU22" s="12"/>
      <c r="QSV22" s="12"/>
      <c r="QTM22" s="12"/>
      <c r="QTN22" s="12"/>
      <c r="QUE22" s="12"/>
      <c r="QUF22" s="12"/>
      <c r="QUW22" s="12"/>
      <c r="QUX22" s="12"/>
      <c r="QVO22" s="12"/>
      <c r="QVP22" s="12"/>
      <c r="QWG22" s="12"/>
      <c r="QWH22" s="12"/>
      <c r="QWY22" s="12"/>
      <c r="QWZ22" s="12"/>
      <c r="QXQ22" s="12"/>
      <c r="QXR22" s="12"/>
      <c r="QYI22" s="12"/>
      <c r="QYJ22" s="12"/>
      <c r="QZA22" s="12"/>
      <c r="QZB22" s="12"/>
      <c r="QZS22" s="12"/>
      <c r="QZT22" s="12"/>
      <c r="RAK22" s="12"/>
      <c r="RAL22" s="12"/>
      <c r="RBC22" s="12"/>
      <c r="RBD22" s="12"/>
      <c r="RBU22" s="12"/>
      <c r="RBV22" s="12"/>
      <c r="RCM22" s="12"/>
      <c r="RCN22" s="12"/>
      <c r="RDE22" s="12"/>
      <c r="RDF22" s="12"/>
      <c r="RDW22" s="12"/>
      <c r="RDX22" s="12"/>
      <c r="REO22" s="12"/>
      <c r="REP22" s="12"/>
      <c r="RFG22" s="12"/>
      <c r="RFH22" s="12"/>
      <c r="RFY22" s="12"/>
      <c r="RFZ22" s="12"/>
      <c r="RGQ22" s="12"/>
      <c r="RGR22" s="12"/>
      <c r="RHI22" s="12"/>
      <c r="RHJ22" s="12"/>
      <c r="RIA22" s="12"/>
      <c r="RIB22" s="12"/>
      <c r="RIS22" s="12"/>
      <c r="RIT22" s="12"/>
      <c r="RJK22" s="12"/>
      <c r="RJL22" s="12"/>
      <c r="RKC22" s="12"/>
      <c r="RKD22" s="12"/>
      <c r="RKU22" s="12"/>
      <c r="RKV22" s="12"/>
      <c r="RLM22" s="12"/>
      <c r="RLN22" s="12"/>
      <c r="RME22" s="12"/>
      <c r="RMF22" s="12"/>
      <c r="RMW22" s="12"/>
      <c r="RMX22" s="12"/>
      <c r="RNO22" s="12"/>
      <c r="RNP22" s="12"/>
      <c r="ROG22" s="12"/>
      <c r="ROH22" s="12"/>
      <c r="ROY22" s="12"/>
      <c r="ROZ22" s="12"/>
      <c r="RPQ22" s="12"/>
      <c r="RPR22" s="12"/>
      <c r="RQI22" s="12"/>
      <c r="RQJ22" s="12"/>
      <c r="RRA22" s="12"/>
      <c r="RRB22" s="12"/>
      <c r="RRS22" s="12"/>
      <c r="RRT22" s="12"/>
      <c r="RSK22" s="12"/>
      <c r="RSL22" s="12"/>
      <c r="RTC22" s="12"/>
      <c r="RTD22" s="12"/>
      <c r="RTU22" s="12"/>
      <c r="RTV22" s="12"/>
      <c r="RUM22" s="12"/>
      <c r="RUN22" s="12"/>
      <c r="RVE22" s="12"/>
      <c r="RVF22" s="12"/>
      <c r="RVW22" s="12"/>
      <c r="RVX22" s="12"/>
      <c r="RWO22" s="12"/>
      <c r="RWP22" s="12"/>
      <c r="RXG22" s="12"/>
      <c r="RXH22" s="12"/>
      <c r="RXY22" s="12"/>
      <c r="RXZ22" s="12"/>
      <c r="RYQ22" s="12"/>
      <c r="RYR22" s="12"/>
      <c r="RZI22" s="12"/>
      <c r="RZJ22" s="12"/>
      <c r="SAA22" s="12"/>
      <c r="SAB22" s="12"/>
      <c r="SAS22" s="12"/>
      <c r="SAT22" s="12"/>
      <c r="SBK22" s="12"/>
      <c r="SBL22" s="12"/>
      <c r="SCC22" s="12"/>
      <c r="SCD22" s="12"/>
      <c r="SCU22" s="12"/>
      <c r="SCV22" s="12"/>
      <c r="SDM22" s="12"/>
      <c r="SDN22" s="12"/>
      <c r="SEE22" s="12"/>
      <c r="SEF22" s="12"/>
      <c r="SEW22" s="12"/>
      <c r="SEX22" s="12"/>
      <c r="SFO22" s="12"/>
      <c r="SFP22" s="12"/>
      <c r="SGG22" s="12"/>
      <c r="SGH22" s="12"/>
      <c r="SGY22" s="12"/>
      <c r="SGZ22" s="12"/>
      <c r="SHQ22" s="12"/>
      <c r="SHR22" s="12"/>
      <c r="SII22" s="12"/>
      <c r="SIJ22" s="12"/>
      <c r="SJA22" s="12"/>
      <c r="SJB22" s="12"/>
      <c r="SJS22" s="12"/>
      <c r="SJT22" s="12"/>
      <c r="SKK22" s="12"/>
      <c r="SKL22" s="12"/>
      <c r="SLC22" s="12"/>
      <c r="SLD22" s="12"/>
      <c r="SLU22" s="12"/>
      <c r="SLV22" s="12"/>
      <c r="SMM22" s="12"/>
      <c r="SMN22" s="12"/>
      <c r="SNE22" s="12"/>
      <c r="SNF22" s="12"/>
      <c r="SNW22" s="12"/>
      <c r="SNX22" s="12"/>
      <c r="SOO22" s="12"/>
      <c r="SOP22" s="12"/>
      <c r="SPG22" s="12"/>
      <c r="SPH22" s="12"/>
      <c r="SPY22" s="12"/>
      <c r="SPZ22" s="12"/>
      <c r="SQQ22" s="12"/>
      <c r="SQR22" s="12"/>
      <c r="SRI22" s="12"/>
      <c r="SRJ22" s="12"/>
      <c r="SSA22" s="12"/>
      <c r="SSB22" s="12"/>
      <c r="SSS22" s="12"/>
      <c r="SST22" s="12"/>
      <c r="STK22" s="12"/>
      <c r="STL22" s="12"/>
      <c r="SUC22" s="12"/>
      <c r="SUD22" s="12"/>
      <c r="SUU22" s="12"/>
      <c r="SUV22" s="12"/>
      <c r="SVM22" s="12"/>
      <c r="SVN22" s="12"/>
      <c r="SWE22" s="12"/>
      <c r="SWF22" s="12"/>
      <c r="SWW22" s="12"/>
      <c r="SWX22" s="12"/>
      <c r="SXO22" s="12"/>
      <c r="SXP22" s="12"/>
      <c r="SYG22" s="12"/>
      <c r="SYH22" s="12"/>
      <c r="SYY22" s="12"/>
      <c r="SYZ22" s="12"/>
      <c r="SZQ22" s="12"/>
      <c r="SZR22" s="12"/>
      <c r="TAI22" s="12"/>
      <c r="TAJ22" s="12"/>
      <c r="TBA22" s="12"/>
      <c r="TBB22" s="12"/>
      <c r="TBS22" s="12"/>
      <c r="TBT22" s="12"/>
      <c r="TCK22" s="12"/>
      <c r="TCL22" s="12"/>
      <c r="TDC22" s="12"/>
      <c r="TDD22" s="12"/>
      <c r="TDU22" s="12"/>
      <c r="TDV22" s="12"/>
      <c r="TEM22" s="12"/>
      <c r="TEN22" s="12"/>
      <c r="TFE22" s="12"/>
      <c r="TFF22" s="12"/>
      <c r="TFW22" s="12"/>
      <c r="TFX22" s="12"/>
      <c r="TGO22" s="12"/>
      <c r="TGP22" s="12"/>
      <c r="THG22" s="12"/>
      <c r="THH22" s="12"/>
      <c r="THY22" s="12"/>
      <c r="THZ22" s="12"/>
      <c r="TIQ22" s="12"/>
      <c r="TIR22" s="12"/>
      <c r="TJI22" s="12"/>
      <c r="TJJ22" s="12"/>
      <c r="TKA22" s="12"/>
      <c r="TKB22" s="12"/>
      <c r="TKS22" s="12"/>
      <c r="TKT22" s="12"/>
      <c r="TLK22" s="12"/>
      <c r="TLL22" s="12"/>
      <c r="TMC22" s="12"/>
      <c r="TMD22" s="12"/>
      <c r="TMU22" s="12"/>
      <c r="TMV22" s="12"/>
      <c r="TNM22" s="12"/>
      <c r="TNN22" s="12"/>
      <c r="TOE22" s="12"/>
      <c r="TOF22" s="12"/>
      <c r="TOW22" s="12"/>
      <c r="TOX22" s="12"/>
      <c r="TPO22" s="12"/>
      <c r="TPP22" s="12"/>
      <c r="TQG22" s="12"/>
      <c r="TQH22" s="12"/>
      <c r="TQY22" s="12"/>
      <c r="TQZ22" s="12"/>
      <c r="TRQ22" s="12"/>
      <c r="TRR22" s="12"/>
      <c r="TSI22" s="12"/>
      <c r="TSJ22" s="12"/>
      <c r="TTA22" s="12"/>
      <c r="TTB22" s="12"/>
      <c r="TTS22" s="12"/>
      <c r="TTT22" s="12"/>
      <c r="TUK22" s="12"/>
      <c r="TUL22" s="12"/>
      <c r="TVC22" s="12"/>
      <c r="TVD22" s="12"/>
      <c r="TVU22" s="12"/>
      <c r="TVV22" s="12"/>
      <c r="TWM22" s="12"/>
      <c r="TWN22" s="12"/>
      <c r="TXE22" s="12"/>
      <c r="TXF22" s="12"/>
      <c r="TXW22" s="12"/>
      <c r="TXX22" s="12"/>
      <c r="TYO22" s="12"/>
      <c r="TYP22" s="12"/>
      <c r="TZG22" s="12"/>
      <c r="TZH22" s="12"/>
      <c r="TZY22" s="12"/>
      <c r="TZZ22" s="12"/>
      <c r="UAQ22" s="12"/>
      <c r="UAR22" s="12"/>
      <c r="UBI22" s="12"/>
      <c r="UBJ22" s="12"/>
      <c r="UCA22" s="12"/>
      <c r="UCB22" s="12"/>
      <c r="UCS22" s="12"/>
      <c r="UCT22" s="12"/>
      <c r="UDK22" s="12"/>
      <c r="UDL22" s="12"/>
      <c r="UEC22" s="12"/>
      <c r="UED22" s="12"/>
      <c r="UEU22" s="12"/>
      <c r="UEV22" s="12"/>
      <c r="UFM22" s="12"/>
      <c r="UFN22" s="12"/>
      <c r="UGE22" s="12"/>
      <c r="UGF22" s="12"/>
      <c r="UGW22" s="12"/>
      <c r="UGX22" s="12"/>
      <c r="UHO22" s="12"/>
      <c r="UHP22" s="12"/>
      <c r="UIG22" s="12"/>
      <c r="UIH22" s="12"/>
      <c r="UIY22" s="12"/>
      <c r="UIZ22" s="12"/>
      <c r="UJQ22" s="12"/>
      <c r="UJR22" s="12"/>
      <c r="UKI22" s="12"/>
      <c r="UKJ22" s="12"/>
      <c r="ULA22" s="12"/>
      <c r="ULB22" s="12"/>
      <c r="ULS22" s="12"/>
      <c r="ULT22" s="12"/>
      <c r="UMK22" s="12"/>
      <c r="UML22" s="12"/>
      <c r="UNC22" s="12"/>
      <c r="UND22" s="12"/>
      <c r="UNU22" s="12"/>
      <c r="UNV22" s="12"/>
      <c r="UOM22" s="12"/>
      <c r="UON22" s="12"/>
      <c r="UPE22" s="12"/>
      <c r="UPF22" s="12"/>
      <c r="UPW22" s="12"/>
      <c r="UPX22" s="12"/>
      <c r="UQO22" s="12"/>
      <c r="UQP22" s="12"/>
      <c r="URG22" s="12"/>
      <c r="URH22" s="12"/>
      <c r="URY22" s="12"/>
      <c r="URZ22" s="12"/>
      <c r="USQ22" s="12"/>
      <c r="USR22" s="12"/>
      <c r="UTI22" s="12"/>
      <c r="UTJ22" s="12"/>
      <c r="UUA22" s="12"/>
      <c r="UUB22" s="12"/>
      <c r="UUS22" s="12"/>
      <c r="UUT22" s="12"/>
      <c r="UVK22" s="12"/>
      <c r="UVL22" s="12"/>
      <c r="UWC22" s="12"/>
      <c r="UWD22" s="12"/>
      <c r="UWU22" s="12"/>
      <c r="UWV22" s="12"/>
      <c r="UXM22" s="12"/>
      <c r="UXN22" s="12"/>
      <c r="UYE22" s="12"/>
      <c r="UYF22" s="12"/>
      <c r="UYW22" s="12"/>
      <c r="UYX22" s="12"/>
      <c r="UZO22" s="12"/>
      <c r="UZP22" s="12"/>
      <c r="VAG22" s="12"/>
      <c r="VAH22" s="12"/>
      <c r="VAY22" s="12"/>
      <c r="VAZ22" s="12"/>
      <c r="VBQ22" s="12"/>
      <c r="VBR22" s="12"/>
      <c r="VCI22" s="12"/>
      <c r="VCJ22" s="12"/>
      <c r="VDA22" s="12"/>
      <c r="VDB22" s="12"/>
      <c r="VDS22" s="12"/>
      <c r="VDT22" s="12"/>
      <c r="VEK22" s="12"/>
      <c r="VEL22" s="12"/>
      <c r="VFC22" s="12"/>
      <c r="VFD22" s="12"/>
      <c r="VFU22" s="12"/>
      <c r="VFV22" s="12"/>
      <c r="VGM22" s="12"/>
      <c r="VGN22" s="12"/>
      <c r="VHE22" s="12"/>
      <c r="VHF22" s="12"/>
      <c r="VHW22" s="12"/>
      <c r="VHX22" s="12"/>
      <c r="VIO22" s="12"/>
      <c r="VIP22" s="12"/>
      <c r="VJG22" s="12"/>
      <c r="VJH22" s="12"/>
      <c r="VJY22" s="12"/>
      <c r="VJZ22" s="12"/>
      <c r="VKQ22" s="12"/>
      <c r="VKR22" s="12"/>
      <c r="VLI22" s="12"/>
      <c r="VLJ22" s="12"/>
      <c r="VMA22" s="12"/>
      <c r="VMB22" s="12"/>
      <c r="VMS22" s="12"/>
      <c r="VMT22" s="12"/>
      <c r="VNK22" s="12"/>
      <c r="VNL22" s="12"/>
      <c r="VOC22" s="12"/>
      <c r="VOD22" s="12"/>
      <c r="VOU22" s="12"/>
      <c r="VOV22" s="12"/>
      <c r="VPM22" s="12"/>
      <c r="VPN22" s="12"/>
      <c r="VQE22" s="12"/>
      <c r="VQF22" s="12"/>
      <c r="VQW22" s="12"/>
      <c r="VQX22" s="12"/>
      <c r="VRO22" s="12"/>
      <c r="VRP22" s="12"/>
      <c r="VSG22" s="12"/>
      <c r="VSH22" s="12"/>
      <c r="VSY22" s="12"/>
      <c r="VSZ22" s="12"/>
      <c r="VTQ22" s="12"/>
      <c r="VTR22" s="12"/>
      <c r="VUI22" s="12"/>
      <c r="VUJ22" s="12"/>
      <c r="VVA22" s="12"/>
      <c r="VVB22" s="12"/>
      <c r="VVS22" s="12"/>
      <c r="VVT22" s="12"/>
      <c r="VWK22" s="12"/>
      <c r="VWL22" s="12"/>
      <c r="VXC22" s="12"/>
      <c r="VXD22" s="12"/>
      <c r="VXU22" s="12"/>
      <c r="VXV22" s="12"/>
      <c r="VYM22" s="12"/>
      <c r="VYN22" s="12"/>
      <c r="VZE22" s="12"/>
      <c r="VZF22" s="12"/>
      <c r="VZW22" s="12"/>
      <c r="VZX22" s="12"/>
      <c r="WAO22" s="12"/>
      <c r="WAP22" s="12"/>
      <c r="WBG22" s="12"/>
      <c r="WBH22" s="12"/>
      <c r="WBY22" s="12"/>
      <c r="WBZ22" s="12"/>
      <c r="WCQ22" s="12"/>
      <c r="WCR22" s="12"/>
      <c r="WDI22" s="12"/>
      <c r="WDJ22" s="12"/>
      <c r="WEA22" s="12"/>
      <c r="WEB22" s="12"/>
      <c r="WES22" s="12"/>
      <c r="WET22" s="12"/>
      <c r="WFK22" s="12"/>
      <c r="WFL22" s="12"/>
      <c r="WGC22" s="12"/>
      <c r="WGD22" s="12"/>
      <c r="WGU22" s="12"/>
      <c r="WGV22" s="12"/>
      <c r="WHM22" s="12"/>
      <c r="WHN22" s="12"/>
      <c r="WIE22" s="12"/>
      <c r="WIF22" s="12"/>
      <c r="WIW22" s="12"/>
      <c r="WIX22" s="12"/>
      <c r="WJO22" s="12"/>
      <c r="WJP22" s="12"/>
      <c r="WKG22" s="12"/>
      <c r="WKH22" s="12"/>
      <c r="WKY22" s="12"/>
      <c r="WKZ22" s="12"/>
      <c r="WLQ22" s="12"/>
      <c r="WLR22" s="12"/>
      <c r="WMI22" s="12"/>
      <c r="WMJ22" s="12"/>
      <c r="WNA22" s="12"/>
      <c r="WNB22" s="12"/>
      <c r="WNS22" s="12"/>
      <c r="WNT22" s="12"/>
      <c r="WOK22" s="12"/>
      <c r="WOL22" s="12"/>
      <c r="WPC22" s="12"/>
      <c r="WPD22" s="12"/>
      <c r="WPU22" s="12"/>
      <c r="WPV22" s="12"/>
      <c r="WQM22" s="12"/>
      <c r="WQN22" s="12"/>
      <c r="WRE22" s="12"/>
      <c r="WRF22" s="12"/>
      <c r="WRW22" s="12"/>
      <c r="WRX22" s="12"/>
      <c r="WSO22" s="12"/>
      <c r="WSP22" s="12"/>
      <c r="WTG22" s="12"/>
      <c r="WTH22" s="12"/>
      <c r="WTY22" s="12"/>
      <c r="WTZ22" s="12"/>
      <c r="WUQ22" s="12"/>
      <c r="WUR22" s="12"/>
      <c r="WVI22" s="12"/>
      <c r="WVJ22" s="12"/>
      <c r="WWA22" s="12"/>
      <c r="WWB22" s="12"/>
      <c r="WWS22" s="12"/>
      <c r="WWT22" s="12"/>
      <c r="WXK22" s="12"/>
      <c r="WXL22" s="12"/>
      <c r="WYC22" s="12"/>
      <c r="WYD22" s="12"/>
      <c r="WYU22" s="12"/>
      <c r="WYV22" s="12"/>
      <c r="WZM22" s="12"/>
      <c r="WZN22" s="12"/>
      <c r="XAE22" s="12"/>
      <c r="XAF22" s="12"/>
      <c r="XAW22" s="12"/>
      <c r="XAX22" s="12"/>
      <c r="XBO22" s="12"/>
      <c r="XBP22" s="12"/>
      <c r="XCG22" s="12"/>
      <c r="XCH22" s="12"/>
      <c r="XCY22" s="12"/>
      <c r="XCZ22" s="12"/>
      <c r="XDQ22" s="12"/>
      <c r="XDR22" s="12"/>
      <c r="XEI22" s="12"/>
      <c r="XEJ22" s="12"/>
      <c r="XFA22" s="12"/>
      <c r="XFB22" s="12"/>
    </row>
    <row r="23" spans="1:1010 1027:2036 2053:3062 3079:4088 4105:5114 5131:6140 6157:7166 7183:8192 8209:9200 9217:10226 10243:11252 11269:12278 12295:13304 13321:14330 14347:15356 15373:16382" x14ac:dyDescent="0.35">
      <c r="A23" s="181" t="s">
        <v>242</v>
      </c>
      <c r="B23" s="181" t="s">
        <v>243</v>
      </c>
      <c r="C23" s="182">
        <v>98.391999999999996</v>
      </c>
      <c r="D23" s="182">
        <v>87.664000000000001</v>
      </c>
      <c r="E23" s="182">
        <v>96.846999999999994</v>
      </c>
      <c r="F23" s="182">
        <v>94.557000000000002</v>
      </c>
      <c r="G23" s="182">
        <v>84.391000000000005</v>
      </c>
      <c r="H23" s="182">
        <v>82.739000000000004</v>
      </c>
      <c r="I23" s="182">
        <v>89.39</v>
      </c>
      <c r="J23" s="182">
        <v>92.613</v>
      </c>
      <c r="K23" s="182">
        <v>97.323999999999998</v>
      </c>
      <c r="L23" s="182">
        <v>104.726</v>
      </c>
      <c r="M23" s="136"/>
      <c r="N23" s="136"/>
      <c r="O23" s="136"/>
      <c r="P23" s="136"/>
      <c r="Q23" s="136"/>
      <c r="R23" s="136"/>
    </row>
    <row r="24" spans="1:1010 1027:2036 2053:3062 3079:4088 4105:5114 5131:6140 6157:7166 7183:8192 8209:9200 9217:10226 10243:11252 11269:12278 12295:13304 13321:14330 14347:15356 15373:16382" s="105" customFormat="1" x14ac:dyDescent="0.35">
      <c r="A24" s="181" t="s">
        <v>244</v>
      </c>
      <c r="B24" s="185" t="s">
        <v>245</v>
      </c>
      <c r="C24" s="182">
        <v>41.972999999999999</v>
      </c>
      <c r="D24" s="182">
        <v>40.704999999999998</v>
      </c>
      <c r="E24" s="182">
        <v>40.884999999999998</v>
      </c>
      <c r="F24" s="182">
        <v>30.82</v>
      </c>
      <c r="G24" s="182">
        <v>31.443999999999999</v>
      </c>
      <c r="H24" s="182">
        <v>30.815999999999999</v>
      </c>
      <c r="I24" s="182">
        <v>33.92</v>
      </c>
      <c r="J24" s="182">
        <v>36.201000000000001</v>
      </c>
      <c r="K24" s="182">
        <v>39.905000000000001</v>
      </c>
      <c r="L24" s="182">
        <v>41.74</v>
      </c>
      <c r="M24" s="139"/>
      <c r="N24" s="139"/>
      <c r="O24" s="139"/>
      <c r="P24" s="139"/>
      <c r="Q24" s="139"/>
      <c r="R24" s="139"/>
    </row>
    <row r="25" spans="1:1010 1027:2036 2053:3062 3079:4088 4105:5114 5131:6140 6157:7166 7183:8192 8209:9200 9217:10226 10243:11252 11269:12278 12295:13304 13321:14330 14347:15356 15373:16382" x14ac:dyDescent="0.35">
      <c r="A25" s="181" t="s">
        <v>246</v>
      </c>
      <c r="B25" s="185" t="s">
        <v>247</v>
      </c>
      <c r="C25" s="182">
        <v>56.418999999999997</v>
      </c>
      <c r="D25" s="182">
        <v>46.959000000000003</v>
      </c>
      <c r="E25" s="182">
        <v>55.962000000000003</v>
      </c>
      <c r="F25" s="182">
        <v>63.737000000000002</v>
      </c>
      <c r="G25" s="182">
        <v>52.947000000000003</v>
      </c>
      <c r="H25" s="182">
        <v>51.923000000000002</v>
      </c>
      <c r="I25" s="182">
        <v>55.47</v>
      </c>
      <c r="J25" s="182">
        <v>56.411999999999999</v>
      </c>
      <c r="K25" s="182">
        <v>57.418999999999997</v>
      </c>
      <c r="L25" s="182">
        <v>62.985999999999997</v>
      </c>
      <c r="M25" s="136"/>
      <c r="N25" s="136"/>
      <c r="O25" s="136"/>
      <c r="P25" s="136"/>
      <c r="Q25" s="136"/>
      <c r="R25" s="136"/>
    </row>
    <row r="26" spans="1:1010 1027:2036 2053:3062 3079:4088 4105:5114 5131:6140 6157:7166 7183:8192 8209:9200 9217:10226 10243:11252 11269:12278 12295:13304 13321:14330 14347:15356 15373:16382" x14ac:dyDescent="0.35">
      <c r="A26" s="181" t="s">
        <v>248</v>
      </c>
      <c r="B26" s="181" t="s">
        <v>249</v>
      </c>
      <c r="C26" s="182">
        <v>15.846</v>
      </c>
      <c r="D26" s="182">
        <v>17.146999999999998</v>
      </c>
      <c r="E26" s="182">
        <v>16.052</v>
      </c>
      <c r="F26" s="182">
        <v>13.936</v>
      </c>
      <c r="G26" s="182">
        <v>13.95</v>
      </c>
      <c r="H26" s="182">
        <v>13.359</v>
      </c>
      <c r="I26" s="182">
        <v>15.145</v>
      </c>
      <c r="J26" s="182">
        <v>18.218</v>
      </c>
      <c r="K26" s="182">
        <v>17.123000000000001</v>
      </c>
      <c r="L26" s="182">
        <v>17.93</v>
      </c>
      <c r="M26" s="136"/>
      <c r="N26" s="136"/>
      <c r="O26" s="136"/>
      <c r="P26" s="136"/>
      <c r="Q26" s="136"/>
      <c r="R26" s="136"/>
    </row>
    <row r="27" spans="1:1010 1027:2036 2053:3062 3079:4088 4105:5114 5131:6140 6157:7166 7183:8192 8209:9200 9217:10226 10243:11252 11269:12278 12295:13304 13321:14330 14347:15356 15373:16382" x14ac:dyDescent="0.35">
      <c r="A27" s="181" t="s">
        <v>250</v>
      </c>
      <c r="B27" s="181" t="s">
        <v>251</v>
      </c>
      <c r="C27" s="182"/>
      <c r="D27" s="182"/>
      <c r="E27" s="182"/>
      <c r="F27" s="182"/>
      <c r="G27" s="182"/>
      <c r="H27" s="182"/>
      <c r="I27" s="182"/>
      <c r="J27" s="182"/>
      <c r="K27" s="182"/>
      <c r="L27" s="182"/>
      <c r="M27" s="136"/>
      <c r="N27" s="136"/>
      <c r="O27" s="136"/>
      <c r="P27" s="136"/>
      <c r="Q27" s="136"/>
      <c r="R27" s="136"/>
    </row>
    <row r="28" spans="1:1010 1027:2036 2053:3062 3079:4088 4105:5114 5131:6140 6157:7166 7183:8192 8209:9200 9217:10226 10243:11252 11269:12278 12295:13304 13321:14330 14347:15356 15373:16382" x14ac:dyDescent="0.35">
      <c r="A28" s="181" t="s">
        <v>252</v>
      </c>
      <c r="B28" s="181" t="s">
        <v>253</v>
      </c>
      <c r="C28" s="182">
        <v>0</v>
      </c>
      <c r="D28" s="182">
        <v>0</v>
      </c>
      <c r="E28" s="182">
        <v>0</v>
      </c>
      <c r="F28" s="182">
        <v>0</v>
      </c>
      <c r="G28" s="182">
        <v>0</v>
      </c>
      <c r="H28" s="182">
        <v>0</v>
      </c>
      <c r="I28" s="182">
        <v>0</v>
      </c>
      <c r="J28" s="182">
        <v>0</v>
      </c>
      <c r="K28" s="182">
        <v>0</v>
      </c>
      <c r="L28" s="182">
        <v>0</v>
      </c>
      <c r="M28" s="136"/>
      <c r="N28" s="136"/>
      <c r="O28" s="136"/>
      <c r="P28" s="136"/>
      <c r="Q28" s="136"/>
      <c r="R28" s="136"/>
    </row>
    <row r="29" spans="1:1010 1027:2036 2053:3062 3079:4088 4105:5114 5131:6140 6157:7166 7183:8192 8209:9200 9217:10226 10243:11252 11269:12278 12295:13304 13321:14330 14347:15356 15373:16382" x14ac:dyDescent="0.35">
      <c r="A29" s="23" t="s">
        <v>29</v>
      </c>
      <c r="B29" s="23"/>
      <c r="C29" s="322">
        <f t="shared" ref="C29:L29" si="3">ROUND(SUM(C23,C26,C27,C28)-IF(C22="",0,C22),1)</f>
        <v>0</v>
      </c>
      <c r="D29" s="322">
        <f t="shared" si="3"/>
        <v>0</v>
      </c>
      <c r="E29" s="322">
        <f t="shared" si="3"/>
        <v>0</v>
      </c>
      <c r="F29" s="322">
        <f t="shared" si="3"/>
        <v>0</v>
      </c>
      <c r="G29" s="322">
        <f t="shared" si="3"/>
        <v>0</v>
      </c>
      <c r="H29" s="322">
        <f t="shared" si="3"/>
        <v>0</v>
      </c>
      <c r="I29" s="322">
        <f t="shared" si="3"/>
        <v>0</v>
      </c>
      <c r="J29" s="322">
        <f t="shared" si="3"/>
        <v>0</v>
      </c>
      <c r="K29" s="322">
        <f t="shared" si="3"/>
        <v>0</v>
      </c>
      <c r="L29" s="322">
        <f t="shared" si="3"/>
        <v>0</v>
      </c>
      <c r="M29" s="137"/>
      <c r="N29" s="137"/>
      <c r="O29" s="137"/>
      <c r="P29" s="137"/>
      <c r="Q29" s="137"/>
      <c r="R29" s="137"/>
    </row>
    <row r="30" spans="1:1010 1027:2036 2053:3062 3079:4088 4105:5114 5131:6140 6157:7166 7183:8192 8209:9200 9217:10226 10243:11252 11269:12278 12295:13304 13321:14330 14347:15356 15373:16382" x14ac:dyDescent="0.35">
      <c r="A30" s="51" t="s">
        <v>254</v>
      </c>
      <c r="B30" s="51" t="s">
        <v>255</v>
      </c>
      <c r="C30" s="178">
        <v>34.375</v>
      </c>
      <c r="D30" s="178">
        <v>40.201000000000001</v>
      </c>
      <c r="E30" s="178">
        <v>38.563000000000002</v>
      </c>
      <c r="F30" s="178">
        <v>6.1150000000000002</v>
      </c>
      <c r="G30" s="178">
        <v>54.201999999999998</v>
      </c>
      <c r="H30" s="178">
        <v>54.106999999999999</v>
      </c>
      <c r="I30" s="178">
        <v>94.643000000000001</v>
      </c>
      <c r="J30" s="178">
        <v>102.184</v>
      </c>
      <c r="K30" s="178">
        <v>76.608000000000004</v>
      </c>
      <c r="L30" s="178">
        <v>88.123999999999995</v>
      </c>
      <c r="M30" s="312">
        <f>IF(OR(K30=0,K30=""),"",L30/K30-1)</f>
        <v>0.15032372598162058</v>
      </c>
      <c r="N30" s="135"/>
      <c r="O30" s="135"/>
      <c r="P30" s="135"/>
      <c r="Q30" s="135"/>
      <c r="R30" s="135"/>
    </row>
    <row r="31" spans="1:1010 1027:2036 2053:3062 3079:4088 4105:5114 5131:6140 6157:7166 7183:8192 8209:9200 9217:10226 10243:11252 11269:12278 12295:13304 13321:14330 14347:15356 15373:16382" x14ac:dyDescent="0.35">
      <c r="A31" s="24" t="s">
        <v>29</v>
      </c>
      <c r="B31" s="24"/>
      <c r="C31" s="260">
        <f t="shared" ref="C31:L31" si="4">ROUND(IF(C19="",0,C19)+IF(C21="",0,C21)-IF(C22="",0,C22)-IF(C30="",0,C30),1)</f>
        <v>0</v>
      </c>
      <c r="D31" s="260">
        <f t="shared" si="4"/>
        <v>0</v>
      </c>
      <c r="E31" s="260">
        <f t="shared" si="4"/>
        <v>0</v>
      </c>
      <c r="F31" s="260">
        <f t="shared" si="4"/>
        <v>0</v>
      </c>
      <c r="G31" s="260">
        <f t="shared" si="4"/>
        <v>0</v>
      </c>
      <c r="H31" s="260">
        <f t="shared" si="4"/>
        <v>0</v>
      </c>
      <c r="I31" s="260">
        <f t="shared" si="4"/>
        <v>0</v>
      </c>
      <c r="J31" s="260">
        <f t="shared" si="4"/>
        <v>0</v>
      </c>
      <c r="K31" s="260">
        <f t="shared" si="4"/>
        <v>0</v>
      </c>
      <c r="L31" s="260">
        <f t="shared" si="4"/>
        <v>0</v>
      </c>
      <c r="M31" s="138"/>
      <c r="N31" s="138"/>
      <c r="O31" s="138"/>
      <c r="P31" s="138"/>
      <c r="Q31" s="138"/>
      <c r="R31" s="138"/>
    </row>
    <row r="32" spans="1:1010 1027:2036 2053:3062 3079:4088 4105:5114 5131:6140 6157:7166 7183:8192 8209:9200 9217:10226 10243:11252 11269:12278 12295:13304 13321:14330 14347:15356 15373:16382" x14ac:dyDescent="0.35">
      <c r="A32" s="181" t="s">
        <v>256</v>
      </c>
      <c r="B32" s="181" t="s">
        <v>257</v>
      </c>
      <c r="C32" s="182">
        <v>5.0869999999999997</v>
      </c>
      <c r="D32" s="182">
        <v>4.4859999999999998</v>
      </c>
      <c r="E32" s="182">
        <v>4.71</v>
      </c>
      <c r="F32" s="182">
        <v>4.008</v>
      </c>
      <c r="G32" s="182">
        <v>5.359</v>
      </c>
      <c r="H32" s="182">
        <v>3.7210000000000001</v>
      </c>
      <c r="I32" s="182">
        <v>6.7750000000000004</v>
      </c>
      <c r="J32" s="182">
        <v>1.8089999999999999</v>
      </c>
      <c r="K32" s="182">
        <v>-2.4420000000000002</v>
      </c>
      <c r="L32" s="182">
        <v>-6.4589999999999996</v>
      </c>
      <c r="M32" s="136"/>
      <c r="N32" s="136"/>
      <c r="O32" s="136"/>
      <c r="P32" s="136"/>
      <c r="Q32" s="136"/>
      <c r="R32" s="136"/>
    </row>
    <row r="33" spans="1:1010 1027:2036 2053:3062 3079:4088 4105:5114 5131:6140 6157:7166 7183:8192 8209:9200 9217:10226 10243:11252 11269:12278 12295:13304 13321:14330 14347:15356 15373:16382" s="11" customFormat="1" x14ac:dyDescent="0.35">
      <c r="A33" s="183" t="s">
        <v>258</v>
      </c>
      <c r="B33" s="183" t="s">
        <v>259</v>
      </c>
      <c r="C33" s="184">
        <v>4.1059999999999999</v>
      </c>
      <c r="D33" s="184">
        <v>3.5790000000000002</v>
      </c>
      <c r="E33" s="184">
        <v>3.0470000000000002</v>
      </c>
      <c r="F33" s="184">
        <v>2.3650000000000002</v>
      </c>
      <c r="G33" s="184">
        <v>2.8029999999999999</v>
      </c>
      <c r="H33" s="184">
        <v>3.6680000000000001</v>
      </c>
      <c r="I33" s="184">
        <v>3.6469999999999998</v>
      </c>
      <c r="J33" s="184">
        <v>1.0049999999999999</v>
      </c>
      <c r="K33" s="184">
        <v>-1.9550000000000001</v>
      </c>
      <c r="L33" s="184">
        <v>-5.8849999999999998</v>
      </c>
      <c r="S33" s="12"/>
      <c r="T33" s="12"/>
      <c r="AK33" s="12"/>
      <c r="AL33" s="12"/>
      <c r="BC33" s="12"/>
      <c r="BD33" s="12"/>
      <c r="BU33" s="12"/>
      <c r="BV33" s="12"/>
      <c r="CM33" s="12"/>
      <c r="CN33" s="12"/>
      <c r="DE33" s="12"/>
      <c r="DF33" s="12"/>
      <c r="DW33" s="12"/>
      <c r="DX33" s="12"/>
      <c r="EO33" s="12"/>
      <c r="EP33" s="12"/>
      <c r="FG33" s="12"/>
      <c r="FH33" s="12"/>
      <c r="FY33" s="12"/>
      <c r="FZ33" s="12"/>
      <c r="GQ33" s="12"/>
      <c r="GR33" s="12"/>
      <c r="HI33" s="12"/>
      <c r="HJ33" s="12"/>
      <c r="IA33" s="12"/>
      <c r="IB33" s="12"/>
      <c r="IS33" s="12"/>
      <c r="IT33" s="12"/>
      <c r="JK33" s="12"/>
      <c r="JL33" s="12"/>
      <c r="KC33" s="12"/>
      <c r="KD33" s="12"/>
      <c r="KU33" s="12"/>
      <c r="KV33" s="12"/>
      <c r="LM33" s="12"/>
      <c r="LN33" s="12"/>
      <c r="ME33" s="12"/>
      <c r="MF33" s="12"/>
      <c r="MW33" s="12"/>
      <c r="MX33" s="12"/>
      <c r="NO33" s="12"/>
      <c r="NP33" s="12"/>
      <c r="OG33" s="12"/>
      <c r="OH33" s="12"/>
      <c r="OY33" s="12"/>
      <c r="OZ33" s="12"/>
      <c r="PQ33" s="12"/>
      <c r="PR33" s="12"/>
      <c r="QI33" s="12"/>
      <c r="QJ33" s="12"/>
      <c r="RA33" s="12"/>
      <c r="RB33" s="12"/>
      <c r="RS33" s="12"/>
      <c r="RT33" s="12"/>
      <c r="SK33" s="12"/>
      <c r="SL33" s="12"/>
      <c r="TC33" s="12"/>
      <c r="TD33" s="12"/>
      <c r="TU33" s="12"/>
      <c r="TV33" s="12"/>
      <c r="UM33" s="12"/>
      <c r="UN33" s="12"/>
      <c r="VE33" s="12"/>
      <c r="VF33" s="12"/>
      <c r="VW33" s="12"/>
      <c r="VX33" s="12"/>
      <c r="WO33" s="12"/>
      <c r="WP33" s="12"/>
      <c r="XG33" s="12"/>
      <c r="XH33" s="12"/>
      <c r="XY33" s="12"/>
      <c r="XZ33" s="12"/>
      <c r="YQ33" s="12"/>
      <c r="YR33" s="12"/>
      <c r="ZI33" s="12"/>
      <c r="ZJ33" s="12"/>
      <c r="AAA33" s="12"/>
      <c r="AAB33" s="12"/>
      <c r="AAS33" s="12"/>
      <c r="AAT33" s="12"/>
      <c r="ABK33" s="12"/>
      <c r="ABL33" s="12"/>
      <c r="ACC33" s="12"/>
      <c r="ACD33" s="12"/>
      <c r="ACU33" s="12"/>
      <c r="ACV33" s="12"/>
      <c r="ADM33" s="12"/>
      <c r="ADN33" s="12"/>
      <c r="AEE33" s="12"/>
      <c r="AEF33" s="12"/>
      <c r="AEW33" s="12"/>
      <c r="AEX33" s="12"/>
      <c r="AFO33" s="12"/>
      <c r="AFP33" s="12"/>
      <c r="AGG33" s="12"/>
      <c r="AGH33" s="12"/>
      <c r="AGY33" s="12"/>
      <c r="AGZ33" s="12"/>
      <c r="AHQ33" s="12"/>
      <c r="AHR33" s="12"/>
      <c r="AII33" s="12"/>
      <c r="AIJ33" s="12"/>
      <c r="AJA33" s="12"/>
      <c r="AJB33" s="12"/>
      <c r="AJS33" s="12"/>
      <c r="AJT33" s="12"/>
      <c r="AKK33" s="12"/>
      <c r="AKL33" s="12"/>
      <c r="ALC33" s="12"/>
      <c r="ALD33" s="12"/>
      <c r="ALU33" s="12"/>
      <c r="ALV33" s="12"/>
      <c r="AMM33" s="12"/>
      <c r="AMN33" s="12"/>
      <c r="ANE33" s="12"/>
      <c r="ANF33" s="12"/>
      <c r="ANW33" s="12"/>
      <c r="ANX33" s="12"/>
      <c r="AOO33" s="12"/>
      <c r="AOP33" s="12"/>
      <c r="APG33" s="12"/>
      <c r="APH33" s="12"/>
      <c r="APY33" s="12"/>
      <c r="APZ33" s="12"/>
      <c r="AQQ33" s="12"/>
      <c r="AQR33" s="12"/>
      <c r="ARI33" s="12"/>
      <c r="ARJ33" s="12"/>
      <c r="ASA33" s="12"/>
      <c r="ASB33" s="12"/>
      <c r="ASS33" s="12"/>
      <c r="AST33" s="12"/>
      <c r="ATK33" s="12"/>
      <c r="ATL33" s="12"/>
      <c r="AUC33" s="12"/>
      <c r="AUD33" s="12"/>
      <c r="AUU33" s="12"/>
      <c r="AUV33" s="12"/>
      <c r="AVM33" s="12"/>
      <c r="AVN33" s="12"/>
      <c r="AWE33" s="12"/>
      <c r="AWF33" s="12"/>
      <c r="AWW33" s="12"/>
      <c r="AWX33" s="12"/>
      <c r="AXO33" s="12"/>
      <c r="AXP33" s="12"/>
      <c r="AYG33" s="12"/>
      <c r="AYH33" s="12"/>
      <c r="AYY33" s="12"/>
      <c r="AYZ33" s="12"/>
      <c r="AZQ33" s="12"/>
      <c r="AZR33" s="12"/>
      <c r="BAI33" s="12"/>
      <c r="BAJ33" s="12"/>
      <c r="BBA33" s="12"/>
      <c r="BBB33" s="12"/>
      <c r="BBS33" s="12"/>
      <c r="BBT33" s="12"/>
      <c r="BCK33" s="12"/>
      <c r="BCL33" s="12"/>
      <c r="BDC33" s="12"/>
      <c r="BDD33" s="12"/>
      <c r="BDU33" s="12"/>
      <c r="BDV33" s="12"/>
      <c r="BEM33" s="12"/>
      <c r="BEN33" s="12"/>
      <c r="BFE33" s="12"/>
      <c r="BFF33" s="12"/>
      <c r="BFW33" s="12"/>
      <c r="BFX33" s="12"/>
      <c r="BGO33" s="12"/>
      <c r="BGP33" s="12"/>
      <c r="BHG33" s="12"/>
      <c r="BHH33" s="12"/>
      <c r="BHY33" s="12"/>
      <c r="BHZ33" s="12"/>
      <c r="BIQ33" s="12"/>
      <c r="BIR33" s="12"/>
      <c r="BJI33" s="12"/>
      <c r="BJJ33" s="12"/>
      <c r="BKA33" s="12"/>
      <c r="BKB33" s="12"/>
      <c r="BKS33" s="12"/>
      <c r="BKT33" s="12"/>
      <c r="BLK33" s="12"/>
      <c r="BLL33" s="12"/>
      <c r="BMC33" s="12"/>
      <c r="BMD33" s="12"/>
      <c r="BMU33" s="12"/>
      <c r="BMV33" s="12"/>
      <c r="BNM33" s="12"/>
      <c r="BNN33" s="12"/>
      <c r="BOE33" s="12"/>
      <c r="BOF33" s="12"/>
      <c r="BOW33" s="12"/>
      <c r="BOX33" s="12"/>
      <c r="BPO33" s="12"/>
      <c r="BPP33" s="12"/>
      <c r="BQG33" s="12"/>
      <c r="BQH33" s="12"/>
      <c r="BQY33" s="12"/>
      <c r="BQZ33" s="12"/>
      <c r="BRQ33" s="12"/>
      <c r="BRR33" s="12"/>
      <c r="BSI33" s="12"/>
      <c r="BSJ33" s="12"/>
      <c r="BTA33" s="12"/>
      <c r="BTB33" s="12"/>
      <c r="BTS33" s="12"/>
      <c r="BTT33" s="12"/>
      <c r="BUK33" s="12"/>
      <c r="BUL33" s="12"/>
      <c r="BVC33" s="12"/>
      <c r="BVD33" s="12"/>
      <c r="BVU33" s="12"/>
      <c r="BVV33" s="12"/>
      <c r="BWM33" s="12"/>
      <c r="BWN33" s="12"/>
      <c r="BXE33" s="12"/>
      <c r="BXF33" s="12"/>
      <c r="BXW33" s="12"/>
      <c r="BXX33" s="12"/>
      <c r="BYO33" s="12"/>
      <c r="BYP33" s="12"/>
      <c r="BZG33" s="12"/>
      <c r="BZH33" s="12"/>
      <c r="BZY33" s="12"/>
      <c r="BZZ33" s="12"/>
      <c r="CAQ33" s="12"/>
      <c r="CAR33" s="12"/>
      <c r="CBI33" s="12"/>
      <c r="CBJ33" s="12"/>
      <c r="CCA33" s="12"/>
      <c r="CCB33" s="12"/>
      <c r="CCS33" s="12"/>
      <c r="CCT33" s="12"/>
      <c r="CDK33" s="12"/>
      <c r="CDL33" s="12"/>
      <c r="CEC33" s="12"/>
      <c r="CED33" s="12"/>
      <c r="CEU33" s="12"/>
      <c r="CEV33" s="12"/>
      <c r="CFM33" s="12"/>
      <c r="CFN33" s="12"/>
      <c r="CGE33" s="12"/>
      <c r="CGF33" s="12"/>
      <c r="CGW33" s="12"/>
      <c r="CGX33" s="12"/>
      <c r="CHO33" s="12"/>
      <c r="CHP33" s="12"/>
      <c r="CIG33" s="12"/>
      <c r="CIH33" s="12"/>
      <c r="CIY33" s="12"/>
      <c r="CIZ33" s="12"/>
      <c r="CJQ33" s="12"/>
      <c r="CJR33" s="12"/>
      <c r="CKI33" s="12"/>
      <c r="CKJ33" s="12"/>
      <c r="CLA33" s="12"/>
      <c r="CLB33" s="12"/>
      <c r="CLS33" s="12"/>
      <c r="CLT33" s="12"/>
      <c r="CMK33" s="12"/>
      <c r="CML33" s="12"/>
      <c r="CNC33" s="12"/>
      <c r="CND33" s="12"/>
      <c r="CNU33" s="12"/>
      <c r="CNV33" s="12"/>
      <c r="COM33" s="12"/>
      <c r="CON33" s="12"/>
      <c r="CPE33" s="12"/>
      <c r="CPF33" s="12"/>
      <c r="CPW33" s="12"/>
      <c r="CPX33" s="12"/>
      <c r="CQO33" s="12"/>
      <c r="CQP33" s="12"/>
      <c r="CRG33" s="12"/>
      <c r="CRH33" s="12"/>
      <c r="CRY33" s="12"/>
      <c r="CRZ33" s="12"/>
      <c r="CSQ33" s="12"/>
      <c r="CSR33" s="12"/>
      <c r="CTI33" s="12"/>
      <c r="CTJ33" s="12"/>
      <c r="CUA33" s="12"/>
      <c r="CUB33" s="12"/>
      <c r="CUS33" s="12"/>
      <c r="CUT33" s="12"/>
      <c r="CVK33" s="12"/>
      <c r="CVL33" s="12"/>
      <c r="CWC33" s="12"/>
      <c r="CWD33" s="12"/>
      <c r="CWU33" s="12"/>
      <c r="CWV33" s="12"/>
      <c r="CXM33" s="12"/>
      <c r="CXN33" s="12"/>
      <c r="CYE33" s="12"/>
      <c r="CYF33" s="12"/>
      <c r="CYW33" s="12"/>
      <c r="CYX33" s="12"/>
      <c r="CZO33" s="12"/>
      <c r="CZP33" s="12"/>
      <c r="DAG33" s="12"/>
      <c r="DAH33" s="12"/>
      <c r="DAY33" s="12"/>
      <c r="DAZ33" s="12"/>
      <c r="DBQ33" s="12"/>
      <c r="DBR33" s="12"/>
      <c r="DCI33" s="12"/>
      <c r="DCJ33" s="12"/>
      <c r="DDA33" s="12"/>
      <c r="DDB33" s="12"/>
      <c r="DDS33" s="12"/>
      <c r="DDT33" s="12"/>
      <c r="DEK33" s="12"/>
      <c r="DEL33" s="12"/>
      <c r="DFC33" s="12"/>
      <c r="DFD33" s="12"/>
      <c r="DFU33" s="12"/>
      <c r="DFV33" s="12"/>
      <c r="DGM33" s="12"/>
      <c r="DGN33" s="12"/>
      <c r="DHE33" s="12"/>
      <c r="DHF33" s="12"/>
      <c r="DHW33" s="12"/>
      <c r="DHX33" s="12"/>
      <c r="DIO33" s="12"/>
      <c r="DIP33" s="12"/>
      <c r="DJG33" s="12"/>
      <c r="DJH33" s="12"/>
      <c r="DJY33" s="12"/>
      <c r="DJZ33" s="12"/>
      <c r="DKQ33" s="12"/>
      <c r="DKR33" s="12"/>
      <c r="DLI33" s="12"/>
      <c r="DLJ33" s="12"/>
      <c r="DMA33" s="12"/>
      <c r="DMB33" s="12"/>
      <c r="DMS33" s="12"/>
      <c r="DMT33" s="12"/>
      <c r="DNK33" s="12"/>
      <c r="DNL33" s="12"/>
      <c r="DOC33" s="12"/>
      <c r="DOD33" s="12"/>
      <c r="DOU33" s="12"/>
      <c r="DOV33" s="12"/>
      <c r="DPM33" s="12"/>
      <c r="DPN33" s="12"/>
      <c r="DQE33" s="12"/>
      <c r="DQF33" s="12"/>
      <c r="DQW33" s="12"/>
      <c r="DQX33" s="12"/>
      <c r="DRO33" s="12"/>
      <c r="DRP33" s="12"/>
      <c r="DSG33" s="12"/>
      <c r="DSH33" s="12"/>
      <c r="DSY33" s="12"/>
      <c r="DSZ33" s="12"/>
      <c r="DTQ33" s="12"/>
      <c r="DTR33" s="12"/>
      <c r="DUI33" s="12"/>
      <c r="DUJ33" s="12"/>
      <c r="DVA33" s="12"/>
      <c r="DVB33" s="12"/>
      <c r="DVS33" s="12"/>
      <c r="DVT33" s="12"/>
      <c r="DWK33" s="12"/>
      <c r="DWL33" s="12"/>
      <c r="DXC33" s="12"/>
      <c r="DXD33" s="12"/>
      <c r="DXU33" s="12"/>
      <c r="DXV33" s="12"/>
      <c r="DYM33" s="12"/>
      <c r="DYN33" s="12"/>
      <c r="DZE33" s="12"/>
      <c r="DZF33" s="12"/>
      <c r="DZW33" s="12"/>
      <c r="DZX33" s="12"/>
      <c r="EAO33" s="12"/>
      <c r="EAP33" s="12"/>
      <c r="EBG33" s="12"/>
      <c r="EBH33" s="12"/>
      <c r="EBY33" s="12"/>
      <c r="EBZ33" s="12"/>
      <c r="ECQ33" s="12"/>
      <c r="ECR33" s="12"/>
      <c r="EDI33" s="12"/>
      <c r="EDJ33" s="12"/>
      <c r="EEA33" s="12"/>
      <c r="EEB33" s="12"/>
      <c r="EES33" s="12"/>
      <c r="EET33" s="12"/>
      <c r="EFK33" s="12"/>
      <c r="EFL33" s="12"/>
      <c r="EGC33" s="12"/>
      <c r="EGD33" s="12"/>
      <c r="EGU33" s="12"/>
      <c r="EGV33" s="12"/>
      <c r="EHM33" s="12"/>
      <c r="EHN33" s="12"/>
      <c r="EIE33" s="12"/>
      <c r="EIF33" s="12"/>
      <c r="EIW33" s="12"/>
      <c r="EIX33" s="12"/>
      <c r="EJO33" s="12"/>
      <c r="EJP33" s="12"/>
      <c r="EKG33" s="12"/>
      <c r="EKH33" s="12"/>
      <c r="EKY33" s="12"/>
      <c r="EKZ33" s="12"/>
      <c r="ELQ33" s="12"/>
      <c r="ELR33" s="12"/>
      <c r="EMI33" s="12"/>
      <c r="EMJ33" s="12"/>
      <c r="ENA33" s="12"/>
      <c r="ENB33" s="12"/>
      <c r="ENS33" s="12"/>
      <c r="ENT33" s="12"/>
      <c r="EOK33" s="12"/>
      <c r="EOL33" s="12"/>
      <c r="EPC33" s="12"/>
      <c r="EPD33" s="12"/>
      <c r="EPU33" s="12"/>
      <c r="EPV33" s="12"/>
      <c r="EQM33" s="12"/>
      <c r="EQN33" s="12"/>
      <c r="ERE33" s="12"/>
      <c r="ERF33" s="12"/>
      <c r="ERW33" s="12"/>
      <c r="ERX33" s="12"/>
      <c r="ESO33" s="12"/>
      <c r="ESP33" s="12"/>
      <c r="ETG33" s="12"/>
      <c r="ETH33" s="12"/>
      <c r="ETY33" s="12"/>
      <c r="ETZ33" s="12"/>
      <c r="EUQ33" s="12"/>
      <c r="EUR33" s="12"/>
      <c r="EVI33" s="12"/>
      <c r="EVJ33" s="12"/>
      <c r="EWA33" s="12"/>
      <c r="EWB33" s="12"/>
      <c r="EWS33" s="12"/>
      <c r="EWT33" s="12"/>
      <c r="EXK33" s="12"/>
      <c r="EXL33" s="12"/>
      <c r="EYC33" s="12"/>
      <c r="EYD33" s="12"/>
      <c r="EYU33" s="12"/>
      <c r="EYV33" s="12"/>
      <c r="EZM33" s="12"/>
      <c r="EZN33" s="12"/>
      <c r="FAE33" s="12"/>
      <c r="FAF33" s="12"/>
      <c r="FAW33" s="12"/>
      <c r="FAX33" s="12"/>
      <c r="FBO33" s="12"/>
      <c r="FBP33" s="12"/>
      <c r="FCG33" s="12"/>
      <c r="FCH33" s="12"/>
      <c r="FCY33" s="12"/>
      <c r="FCZ33" s="12"/>
      <c r="FDQ33" s="12"/>
      <c r="FDR33" s="12"/>
      <c r="FEI33" s="12"/>
      <c r="FEJ33" s="12"/>
      <c r="FFA33" s="12"/>
      <c r="FFB33" s="12"/>
      <c r="FFS33" s="12"/>
      <c r="FFT33" s="12"/>
      <c r="FGK33" s="12"/>
      <c r="FGL33" s="12"/>
      <c r="FHC33" s="12"/>
      <c r="FHD33" s="12"/>
      <c r="FHU33" s="12"/>
      <c r="FHV33" s="12"/>
      <c r="FIM33" s="12"/>
      <c r="FIN33" s="12"/>
      <c r="FJE33" s="12"/>
      <c r="FJF33" s="12"/>
      <c r="FJW33" s="12"/>
      <c r="FJX33" s="12"/>
      <c r="FKO33" s="12"/>
      <c r="FKP33" s="12"/>
      <c r="FLG33" s="12"/>
      <c r="FLH33" s="12"/>
      <c r="FLY33" s="12"/>
      <c r="FLZ33" s="12"/>
      <c r="FMQ33" s="12"/>
      <c r="FMR33" s="12"/>
      <c r="FNI33" s="12"/>
      <c r="FNJ33" s="12"/>
      <c r="FOA33" s="12"/>
      <c r="FOB33" s="12"/>
      <c r="FOS33" s="12"/>
      <c r="FOT33" s="12"/>
      <c r="FPK33" s="12"/>
      <c r="FPL33" s="12"/>
      <c r="FQC33" s="12"/>
      <c r="FQD33" s="12"/>
      <c r="FQU33" s="12"/>
      <c r="FQV33" s="12"/>
      <c r="FRM33" s="12"/>
      <c r="FRN33" s="12"/>
      <c r="FSE33" s="12"/>
      <c r="FSF33" s="12"/>
      <c r="FSW33" s="12"/>
      <c r="FSX33" s="12"/>
      <c r="FTO33" s="12"/>
      <c r="FTP33" s="12"/>
      <c r="FUG33" s="12"/>
      <c r="FUH33" s="12"/>
      <c r="FUY33" s="12"/>
      <c r="FUZ33" s="12"/>
      <c r="FVQ33" s="12"/>
      <c r="FVR33" s="12"/>
      <c r="FWI33" s="12"/>
      <c r="FWJ33" s="12"/>
      <c r="FXA33" s="12"/>
      <c r="FXB33" s="12"/>
      <c r="FXS33" s="12"/>
      <c r="FXT33" s="12"/>
      <c r="FYK33" s="12"/>
      <c r="FYL33" s="12"/>
      <c r="FZC33" s="12"/>
      <c r="FZD33" s="12"/>
      <c r="FZU33" s="12"/>
      <c r="FZV33" s="12"/>
      <c r="GAM33" s="12"/>
      <c r="GAN33" s="12"/>
      <c r="GBE33" s="12"/>
      <c r="GBF33" s="12"/>
      <c r="GBW33" s="12"/>
      <c r="GBX33" s="12"/>
      <c r="GCO33" s="12"/>
      <c r="GCP33" s="12"/>
      <c r="GDG33" s="12"/>
      <c r="GDH33" s="12"/>
      <c r="GDY33" s="12"/>
      <c r="GDZ33" s="12"/>
      <c r="GEQ33" s="12"/>
      <c r="GER33" s="12"/>
      <c r="GFI33" s="12"/>
      <c r="GFJ33" s="12"/>
      <c r="GGA33" s="12"/>
      <c r="GGB33" s="12"/>
      <c r="GGS33" s="12"/>
      <c r="GGT33" s="12"/>
      <c r="GHK33" s="12"/>
      <c r="GHL33" s="12"/>
      <c r="GIC33" s="12"/>
      <c r="GID33" s="12"/>
      <c r="GIU33" s="12"/>
      <c r="GIV33" s="12"/>
      <c r="GJM33" s="12"/>
      <c r="GJN33" s="12"/>
      <c r="GKE33" s="12"/>
      <c r="GKF33" s="12"/>
      <c r="GKW33" s="12"/>
      <c r="GKX33" s="12"/>
      <c r="GLO33" s="12"/>
      <c r="GLP33" s="12"/>
      <c r="GMG33" s="12"/>
      <c r="GMH33" s="12"/>
      <c r="GMY33" s="12"/>
      <c r="GMZ33" s="12"/>
      <c r="GNQ33" s="12"/>
      <c r="GNR33" s="12"/>
      <c r="GOI33" s="12"/>
      <c r="GOJ33" s="12"/>
      <c r="GPA33" s="12"/>
      <c r="GPB33" s="12"/>
      <c r="GPS33" s="12"/>
      <c r="GPT33" s="12"/>
      <c r="GQK33" s="12"/>
      <c r="GQL33" s="12"/>
      <c r="GRC33" s="12"/>
      <c r="GRD33" s="12"/>
      <c r="GRU33" s="12"/>
      <c r="GRV33" s="12"/>
      <c r="GSM33" s="12"/>
      <c r="GSN33" s="12"/>
      <c r="GTE33" s="12"/>
      <c r="GTF33" s="12"/>
      <c r="GTW33" s="12"/>
      <c r="GTX33" s="12"/>
      <c r="GUO33" s="12"/>
      <c r="GUP33" s="12"/>
      <c r="GVG33" s="12"/>
      <c r="GVH33" s="12"/>
      <c r="GVY33" s="12"/>
      <c r="GVZ33" s="12"/>
      <c r="GWQ33" s="12"/>
      <c r="GWR33" s="12"/>
      <c r="GXI33" s="12"/>
      <c r="GXJ33" s="12"/>
      <c r="GYA33" s="12"/>
      <c r="GYB33" s="12"/>
      <c r="GYS33" s="12"/>
      <c r="GYT33" s="12"/>
      <c r="GZK33" s="12"/>
      <c r="GZL33" s="12"/>
      <c r="HAC33" s="12"/>
      <c r="HAD33" s="12"/>
      <c r="HAU33" s="12"/>
      <c r="HAV33" s="12"/>
      <c r="HBM33" s="12"/>
      <c r="HBN33" s="12"/>
      <c r="HCE33" s="12"/>
      <c r="HCF33" s="12"/>
      <c r="HCW33" s="12"/>
      <c r="HCX33" s="12"/>
      <c r="HDO33" s="12"/>
      <c r="HDP33" s="12"/>
      <c r="HEG33" s="12"/>
      <c r="HEH33" s="12"/>
      <c r="HEY33" s="12"/>
      <c r="HEZ33" s="12"/>
      <c r="HFQ33" s="12"/>
      <c r="HFR33" s="12"/>
      <c r="HGI33" s="12"/>
      <c r="HGJ33" s="12"/>
      <c r="HHA33" s="12"/>
      <c r="HHB33" s="12"/>
      <c r="HHS33" s="12"/>
      <c r="HHT33" s="12"/>
      <c r="HIK33" s="12"/>
      <c r="HIL33" s="12"/>
      <c r="HJC33" s="12"/>
      <c r="HJD33" s="12"/>
      <c r="HJU33" s="12"/>
      <c r="HJV33" s="12"/>
      <c r="HKM33" s="12"/>
      <c r="HKN33" s="12"/>
      <c r="HLE33" s="12"/>
      <c r="HLF33" s="12"/>
      <c r="HLW33" s="12"/>
      <c r="HLX33" s="12"/>
      <c r="HMO33" s="12"/>
      <c r="HMP33" s="12"/>
      <c r="HNG33" s="12"/>
      <c r="HNH33" s="12"/>
      <c r="HNY33" s="12"/>
      <c r="HNZ33" s="12"/>
      <c r="HOQ33" s="12"/>
      <c r="HOR33" s="12"/>
      <c r="HPI33" s="12"/>
      <c r="HPJ33" s="12"/>
      <c r="HQA33" s="12"/>
      <c r="HQB33" s="12"/>
      <c r="HQS33" s="12"/>
      <c r="HQT33" s="12"/>
      <c r="HRK33" s="12"/>
      <c r="HRL33" s="12"/>
      <c r="HSC33" s="12"/>
      <c r="HSD33" s="12"/>
      <c r="HSU33" s="12"/>
      <c r="HSV33" s="12"/>
      <c r="HTM33" s="12"/>
      <c r="HTN33" s="12"/>
      <c r="HUE33" s="12"/>
      <c r="HUF33" s="12"/>
      <c r="HUW33" s="12"/>
      <c r="HUX33" s="12"/>
      <c r="HVO33" s="12"/>
      <c r="HVP33" s="12"/>
      <c r="HWG33" s="12"/>
      <c r="HWH33" s="12"/>
      <c r="HWY33" s="12"/>
      <c r="HWZ33" s="12"/>
      <c r="HXQ33" s="12"/>
      <c r="HXR33" s="12"/>
      <c r="HYI33" s="12"/>
      <c r="HYJ33" s="12"/>
      <c r="HZA33" s="12"/>
      <c r="HZB33" s="12"/>
      <c r="HZS33" s="12"/>
      <c r="HZT33" s="12"/>
      <c r="IAK33" s="12"/>
      <c r="IAL33" s="12"/>
      <c r="IBC33" s="12"/>
      <c r="IBD33" s="12"/>
      <c r="IBU33" s="12"/>
      <c r="IBV33" s="12"/>
      <c r="ICM33" s="12"/>
      <c r="ICN33" s="12"/>
      <c r="IDE33" s="12"/>
      <c r="IDF33" s="12"/>
      <c r="IDW33" s="12"/>
      <c r="IDX33" s="12"/>
      <c r="IEO33" s="12"/>
      <c r="IEP33" s="12"/>
      <c r="IFG33" s="12"/>
      <c r="IFH33" s="12"/>
      <c r="IFY33" s="12"/>
      <c r="IFZ33" s="12"/>
      <c r="IGQ33" s="12"/>
      <c r="IGR33" s="12"/>
      <c r="IHI33" s="12"/>
      <c r="IHJ33" s="12"/>
      <c r="IIA33" s="12"/>
      <c r="IIB33" s="12"/>
      <c r="IIS33" s="12"/>
      <c r="IIT33" s="12"/>
      <c r="IJK33" s="12"/>
      <c r="IJL33" s="12"/>
      <c r="IKC33" s="12"/>
      <c r="IKD33" s="12"/>
      <c r="IKU33" s="12"/>
      <c r="IKV33" s="12"/>
      <c r="ILM33" s="12"/>
      <c r="ILN33" s="12"/>
      <c r="IME33" s="12"/>
      <c r="IMF33" s="12"/>
      <c r="IMW33" s="12"/>
      <c r="IMX33" s="12"/>
      <c r="INO33" s="12"/>
      <c r="INP33" s="12"/>
      <c r="IOG33" s="12"/>
      <c r="IOH33" s="12"/>
      <c r="IOY33" s="12"/>
      <c r="IOZ33" s="12"/>
      <c r="IPQ33" s="12"/>
      <c r="IPR33" s="12"/>
      <c r="IQI33" s="12"/>
      <c r="IQJ33" s="12"/>
      <c r="IRA33" s="12"/>
      <c r="IRB33" s="12"/>
      <c r="IRS33" s="12"/>
      <c r="IRT33" s="12"/>
      <c r="ISK33" s="12"/>
      <c r="ISL33" s="12"/>
      <c r="ITC33" s="12"/>
      <c r="ITD33" s="12"/>
      <c r="ITU33" s="12"/>
      <c r="ITV33" s="12"/>
      <c r="IUM33" s="12"/>
      <c r="IUN33" s="12"/>
      <c r="IVE33" s="12"/>
      <c r="IVF33" s="12"/>
      <c r="IVW33" s="12"/>
      <c r="IVX33" s="12"/>
      <c r="IWO33" s="12"/>
      <c r="IWP33" s="12"/>
      <c r="IXG33" s="12"/>
      <c r="IXH33" s="12"/>
      <c r="IXY33" s="12"/>
      <c r="IXZ33" s="12"/>
      <c r="IYQ33" s="12"/>
      <c r="IYR33" s="12"/>
      <c r="IZI33" s="12"/>
      <c r="IZJ33" s="12"/>
      <c r="JAA33" s="12"/>
      <c r="JAB33" s="12"/>
      <c r="JAS33" s="12"/>
      <c r="JAT33" s="12"/>
      <c r="JBK33" s="12"/>
      <c r="JBL33" s="12"/>
      <c r="JCC33" s="12"/>
      <c r="JCD33" s="12"/>
      <c r="JCU33" s="12"/>
      <c r="JCV33" s="12"/>
      <c r="JDM33" s="12"/>
      <c r="JDN33" s="12"/>
      <c r="JEE33" s="12"/>
      <c r="JEF33" s="12"/>
      <c r="JEW33" s="12"/>
      <c r="JEX33" s="12"/>
      <c r="JFO33" s="12"/>
      <c r="JFP33" s="12"/>
      <c r="JGG33" s="12"/>
      <c r="JGH33" s="12"/>
      <c r="JGY33" s="12"/>
      <c r="JGZ33" s="12"/>
      <c r="JHQ33" s="12"/>
      <c r="JHR33" s="12"/>
      <c r="JII33" s="12"/>
      <c r="JIJ33" s="12"/>
      <c r="JJA33" s="12"/>
      <c r="JJB33" s="12"/>
      <c r="JJS33" s="12"/>
      <c r="JJT33" s="12"/>
      <c r="JKK33" s="12"/>
      <c r="JKL33" s="12"/>
      <c r="JLC33" s="12"/>
      <c r="JLD33" s="12"/>
      <c r="JLU33" s="12"/>
      <c r="JLV33" s="12"/>
      <c r="JMM33" s="12"/>
      <c r="JMN33" s="12"/>
      <c r="JNE33" s="12"/>
      <c r="JNF33" s="12"/>
      <c r="JNW33" s="12"/>
      <c r="JNX33" s="12"/>
      <c r="JOO33" s="12"/>
      <c r="JOP33" s="12"/>
      <c r="JPG33" s="12"/>
      <c r="JPH33" s="12"/>
      <c r="JPY33" s="12"/>
      <c r="JPZ33" s="12"/>
      <c r="JQQ33" s="12"/>
      <c r="JQR33" s="12"/>
      <c r="JRI33" s="12"/>
      <c r="JRJ33" s="12"/>
      <c r="JSA33" s="12"/>
      <c r="JSB33" s="12"/>
      <c r="JSS33" s="12"/>
      <c r="JST33" s="12"/>
      <c r="JTK33" s="12"/>
      <c r="JTL33" s="12"/>
      <c r="JUC33" s="12"/>
      <c r="JUD33" s="12"/>
      <c r="JUU33" s="12"/>
      <c r="JUV33" s="12"/>
      <c r="JVM33" s="12"/>
      <c r="JVN33" s="12"/>
      <c r="JWE33" s="12"/>
      <c r="JWF33" s="12"/>
      <c r="JWW33" s="12"/>
      <c r="JWX33" s="12"/>
      <c r="JXO33" s="12"/>
      <c r="JXP33" s="12"/>
      <c r="JYG33" s="12"/>
      <c r="JYH33" s="12"/>
      <c r="JYY33" s="12"/>
      <c r="JYZ33" s="12"/>
      <c r="JZQ33" s="12"/>
      <c r="JZR33" s="12"/>
      <c r="KAI33" s="12"/>
      <c r="KAJ33" s="12"/>
      <c r="KBA33" s="12"/>
      <c r="KBB33" s="12"/>
      <c r="KBS33" s="12"/>
      <c r="KBT33" s="12"/>
      <c r="KCK33" s="12"/>
      <c r="KCL33" s="12"/>
      <c r="KDC33" s="12"/>
      <c r="KDD33" s="12"/>
      <c r="KDU33" s="12"/>
      <c r="KDV33" s="12"/>
      <c r="KEM33" s="12"/>
      <c r="KEN33" s="12"/>
      <c r="KFE33" s="12"/>
      <c r="KFF33" s="12"/>
      <c r="KFW33" s="12"/>
      <c r="KFX33" s="12"/>
      <c r="KGO33" s="12"/>
      <c r="KGP33" s="12"/>
      <c r="KHG33" s="12"/>
      <c r="KHH33" s="12"/>
      <c r="KHY33" s="12"/>
      <c r="KHZ33" s="12"/>
      <c r="KIQ33" s="12"/>
      <c r="KIR33" s="12"/>
      <c r="KJI33" s="12"/>
      <c r="KJJ33" s="12"/>
      <c r="KKA33" s="12"/>
      <c r="KKB33" s="12"/>
      <c r="KKS33" s="12"/>
      <c r="KKT33" s="12"/>
      <c r="KLK33" s="12"/>
      <c r="KLL33" s="12"/>
      <c r="KMC33" s="12"/>
      <c r="KMD33" s="12"/>
      <c r="KMU33" s="12"/>
      <c r="KMV33" s="12"/>
      <c r="KNM33" s="12"/>
      <c r="KNN33" s="12"/>
      <c r="KOE33" s="12"/>
      <c r="KOF33" s="12"/>
      <c r="KOW33" s="12"/>
      <c r="KOX33" s="12"/>
      <c r="KPO33" s="12"/>
      <c r="KPP33" s="12"/>
      <c r="KQG33" s="12"/>
      <c r="KQH33" s="12"/>
      <c r="KQY33" s="12"/>
      <c r="KQZ33" s="12"/>
      <c r="KRQ33" s="12"/>
      <c r="KRR33" s="12"/>
      <c r="KSI33" s="12"/>
      <c r="KSJ33" s="12"/>
      <c r="KTA33" s="12"/>
      <c r="KTB33" s="12"/>
      <c r="KTS33" s="12"/>
      <c r="KTT33" s="12"/>
      <c r="KUK33" s="12"/>
      <c r="KUL33" s="12"/>
      <c r="KVC33" s="12"/>
      <c r="KVD33" s="12"/>
      <c r="KVU33" s="12"/>
      <c r="KVV33" s="12"/>
      <c r="KWM33" s="12"/>
      <c r="KWN33" s="12"/>
      <c r="KXE33" s="12"/>
      <c r="KXF33" s="12"/>
      <c r="KXW33" s="12"/>
      <c r="KXX33" s="12"/>
      <c r="KYO33" s="12"/>
      <c r="KYP33" s="12"/>
      <c r="KZG33" s="12"/>
      <c r="KZH33" s="12"/>
      <c r="KZY33" s="12"/>
      <c r="KZZ33" s="12"/>
      <c r="LAQ33" s="12"/>
      <c r="LAR33" s="12"/>
      <c r="LBI33" s="12"/>
      <c r="LBJ33" s="12"/>
      <c r="LCA33" s="12"/>
      <c r="LCB33" s="12"/>
      <c r="LCS33" s="12"/>
      <c r="LCT33" s="12"/>
      <c r="LDK33" s="12"/>
      <c r="LDL33" s="12"/>
      <c r="LEC33" s="12"/>
      <c r="LED33" s="12"/>
      <c r="LEU33" s="12"/>
      <c r="LEV33" s="12"/>
      <c r="LFM33" s="12"/>
      <c r="LFN33" s="12"/>
      <c r="LGE33" s="12"/>
      <c r="LGF33" s="12"/>
      <c r="LGW33" s="12"/>
      <c r="LGX33" s="12"/>
      <c r="LHO33" s="12"/>
      <c r="LHP33" s="12"/>
      <c r="LIG33" s="12"/>
      <c r="LIH33" s="12"/>
      <c r="LIY33" s="12"/>
      <c r="LIZ33" s="12"/>
      <c r="LJQ33" s="12"/>
      <c r="LJR33" s="12"/>
      <c r="LKI33" s="12"/>
      <c r="LKJ33" s="12"/>
      <c r="LLA33" s="12"/>
      <c r="LLB33" s="12"/>
      <c r="LLS33" s="12"/>
      <c r="LLT33" s="12"/>
      <c r="LMK33" s="12"/>
      <c r="LML33" s="12"/>
      <c r="LNC33" s="12"/>
      <c r="LND33" s="12"/>
      <c r="LNU33" s="12"/>
      <c r="LNV33" s="12"/>
      <c r="LOM33" s="12"/>
      <c r="LON33" s="12"/>
      <c r="LPE33" s="12"/>
      <c r="LPF33" s="12"/>
      <c r="LPW33" s="12"/>
      <c r="LPX33" s="12"/>
      <c r="LQO33" s="12"/>
      <c r="LQP33" s="12"/>
      <c r="LRG33" s="12"/>
      <c r="LRH33" s="12"/>
      <c r="LRY33" s="12"/>
      <c r="LRZ33" s="12"/>
      <c r="LSQ33" s="12"/>
      <c r="LSR33" s="12"/>
      <c r="LTI33" s="12"/>
      <c r="LTJ33" s="12"/>
      <c r="LUA33" s="12"/>
      <c r="LUB33" s="12"/>
      <c r="LUS33" s="12"/>
      <c r="LUT33" s="12"/>
      <c r="LVK33" s="12"/>
      <c r="LVL33" s="12"/>
      <c r="LWC33" s="12"/>
      <c r="LWD33" s="12"/>
      <c r="LWU33" s="12"/>
      <c r="LWV33" s="12"/>
      <c r="LXM33" s="12"/>
      <c r="LXN33" s="12"/>
      <c r="LYE33" s="12"/>
      <c r="LYF33" s="12"/>
      <c r="LYW33" s="12"/>
      <c r="LYX33" s="12"/>
      <c r="LZO33" s="12"/>
      <c r="LZP33" s="12"/>
      <c r="MAG33" s="12"/>
      <c r="MAH33" s="12"/>
      <c r="MAY33" s="12"/>
      <c r="MAZ33" s="12"/>
      <c r="MBQ33" s="12"/>
      <c r="MBR33" s="12"/>
      <c r="MCI33" s="12"/>
      <c r="MCJ33" s="12"/>
      <c r="MDA33" s="12"/>
      <c r="MDB33" s="12"/>
      <c r="MDS33" s="12"/>
      <c r="MDT33" s="12"/>
      <c r="MEK33" s="12"/>
      <c r="MEL33" s="12"/>
      <c r="MFC33" s="12"/>
      <c r="MFD33" s="12"/>
      <c r="MFU33" s="12"/>
      <c r="MFV33" s="12"/>
      <c r="MGM33" s="12"/>
      <c r="MGN33" s="12"/>
      <c r="MHE33" s="12"/>
      <c r="MHF33" s="12"/>
      <c r="MHW33" s="12"/>
      <c r="MHX33" s="12"/>
      <c r="MIO33" s="12"/>
      <c r="MIP33" s="12"/>
      <c r="MJG33" s="12"/>
      <c r="MJH33" s="12"/>
      <c r="MJY33" s="12"/>
      <c r="MJZ33" s="12"/>
      <c r="MKQ33" s="12"/>
      <c r="MKR33" s="12"/>
      <c r="MLI33" s="12"/>
      <c r="MLJ33" s="12"/>
      <c r="MMA33" s="12"/>
      <c r="MMB33" s="12"/>
      <c r="MMS33" s="12"/>
      <c r="MMT33" s="12"/>
      <c r="MNK33" s="12"/>
      <c r="MNL33" s="12"/>
      <c r="MOC33" s="12"/>
      <c r="MOD33" s="12"/>
      <c r="MOU33" s="12"/>
      <c r="MOV33" s="12"/>
      <c r="MPM33" s="12"/>
      <c r="MPN33" s="12"/>
      <c r="MQE33" s="12"/>
      <c r="MQF33" s="12"/>
      <c r="MQW33" s="12"/>
      <c r="MQX33" s="12"/>
      <c r="MRO33" s="12"/>
      <c r="MRP33" s="12"/>
      <c r="MSG33" s="12"/>
      <c r="MSH33" s="12"/>
      <c r="MSY33" s="12"/>
      <c r="MSZ33" s="12"/>
      <c r="MTQ33" s="12"/>
      <c r="MTR33" s="12"/>
      <c r="MUI33" s="12"/>
      <c r="MUJ33" s="12"/>
      <c r="MVA33" s="12"/>
      <c r="MVB33" s="12"/>
      <c r="MVS33" s="12"/>
      <c r="MVT33" s="12"/>
      <c r="MWK33" s="12"/>
      <c r="MWL33" s="12"/>
      <c r="MXC33" s="12"/>
      <c r="MXD33" s="12"/>
      <c r="MXU33" s="12"/>
      <c r="MXV33" s="12"/>
      <c r="MYM33" s="12"/>
      <c r="MYN33" s="12"/>
      <c r="MZE33" s="12"/>
      <c r="MZF33" s="12"/>
      <c r="MZW33" s="12"/>
      <c r="MZX33" s="12"/>
      <c r="NAO33" s="12"/>
      <c r="NAP33" s="12"/>
      <c r="NBG33" s="12"/>
      <c r="NBH33" s="12"/>
      <c r="NBY33" s="12"/>
      <c r="NBZ33" s="12"/>
      <c r="NCQ33" s="12"/>
      <c r="NCR33" s="12"/>
      <c r="NDI33" s="12"/>
      <c r="NDJ33" s="12"/>
      <c r="NEA33" s="12"/>
      <c r="NEB33" s="12"/>
      <c r="NES33" s="12"/>
      <c r="NET33" s="12"/>
      <c r="NFK33" s="12"/>
      <c r="NFL33" s="12"/>
      <c r="NGC33" s="12"/>
      <c r="NGD33" s="12"/>
      <c r="NGU33" s="12"/>
      <c r="NGV33" s="12"/>
      <c r="NHM33" s="12"/>
      <c r="NHN33" s="12"/>
      <c r="NIE33" s="12"/>
      <c r="NIF33" s="12"/>
      <c r="NIW33" s="12"/>
      <c r="NIX33" s="12"/>
      <c r="NJO33" s="12"/>
      <c r="NJP33" s="12"/>
      <c r="NKG33" s="12"/>
      <c r="NKH33" s="12"/>
      <c r="NKY33" s="12"/>
      <c r="NKZ33" s="12"/>
      <c r="NLQ33" s="12"/>
      <c r="NLR33" s="12"/>
      <c r="NMI33" s="12"/>
      <c r="NMJ33" s="12"/>
      <c r="NNA33" s="12"/>
      <c r="NNB33" s="12"/>
      <c r="NNS33" s="12"/>
      <c r="NNT33" s="12"/>
      <c r="NOK33" s="12"/>
      <c r="NOL33" s="12"/>
      <c r="NPC33" s="12"/>
      <c r="NPD33" s="12"/>
      <c r="NPU33" s="12"/>
      <c r="NPV33" s="12"/>
      <c r="NQM33" s="12"/>
      <c r="NQN33" s="12"/>
      <c r="NRE33" s="12"/>
      <c r="NRF33" s="12"/>
      <c r="NRW33" s="12"/>
      <c r="NRX33" s="12"/>
      <c r="NSO33" s="12"/>
      <c r="NSP33" s="12"/>
      <c r="NTG33" s="12"/>
      <c r="NTH33" s="12"/>
      <c r="NTY33" s="12"/>
      <c r="NTZ33" s="12"/>
      <c r="NUQ33" s="12"/>
      <c r="NUR33" s="12"/>
      <c r="NVI33" s="12"/>
      <c r="NVJ33" s="12"/>
      <c r="NWA33" s="12"/>
      <c r="NWB33" s="12"/>
      <c r="NWS33" s="12"/>
      <c r="NWT33" s="12"/>
      <c r="NXK33" s="12"/>
      <c r="NXL33" s="12"/>
      <c r="NYC33" s="12"/>
      <c r="NYD33" s="12"/>
      <c r="NYU33" s="12"/>
      <c r="NYV33" s="12"/>
      <c r="NZM33" s="12"/>
      <c r="NZN33" s="12"/>
      <c r="OAE33" s="12"/>
      <c r="OAF33" s="12"/>
      <c r="OAW33" s="12"/>
      <c r="OAX33" s="12"/>
      <c r="OBO33" s="12"/>
      <c r="OBP33" s="12"/>
      <c r="OCG33" s="12"/>
      <c r="OCH33" s="12"/>
      <c r="OCY33" s="12"/>
      <c r="OCZ33" s="12"/>
      <c r="ODQ33" s="12"/>
      <c r="ODR33" s="12"/>
      <c r="OEI33" s="12"/>
      <c r="OEJ33" s="12"/>
      <c r="OFA33" s="12"/>
      <c r="OFB33" s="12"/>
      <c r="OFS33" s="12"/>
      <c r="OFT33" s="12"/>
      <c r="OGK33" s="12"/>
      <c r="OGL33" s="12"/>
      <c r="OHC33" s="12"/>
      <c r="OHD33" s="12"/>
      <c r="OHU33" s="12"/>
      <c r="OHV33" s="12"/>
      <c r="OIM33" s="12"/>
      <c r="OIN33" s="12"/>
      <c r="OJE33" s="12"/>
      <c r="OJF33" s="12"/>
      <c r="OJW33" s="12"/>
      <c r="OJX33" s="12"/>
      <c r="OKO33" s="12"/>
      <c r="OKP33" s="12"/>
      <c r="OLG33" s="12"/>
      <c r="OLH33" s="12"/>
      <c r="OLY33" s="12"/>
      <c r="OLZ33" s="12"/>
      <c r="OMQ33" s="12"/>
      <c r="OMR33" s="12"/>
      <c r="ONI33" s="12"/>
      <c r="ONJ33" s="12"/>
      <c r="OOA33" s="12"/>
      <c r="OOB33" s="12"/>
      <c r="OOS33" s="12"/>
      <c r="OOT33" s="12"/>
      <c r="OPK33" s="12"/>
      <c r="OPL33" s="12"/>
      <c r="OQC33" s="12"/>
      <c r="OQD33" s="12"/>
      <c r="OQU33" s="12"/>
      <c r="OQV33" s="12"/>
      <c r="ORM33" s="12"/>
      <c r="ORN33" s="12"/>
      <c r="OSE33" s="12"/>
      <c r="OSF33" s="12"/>
      <c r="OSW33" s="12"/>
      <c r="OSX33" s="12"/>
      <c r="OTO33" s="12"/>
      <c r="OTP33" s="12"/>
      <c r="OUG33" s="12"/>
      <c r="OUH33" s="12"/>
      <c r="OUY33" s="12"/>
      <c r="OUZ33" s="12"/>
      <c r="OVQ33" s="12"/>
      <c r="OVR33" s="12"/>
      <c r="OWI33" s="12"/>
      <c r="OWJ33" s="12"/>
      <c r="OXA33" s="12"/>
      <c r="OXB33" s="12"/>
      <c r="OXS33" s="12"/>
      <c r="OXT33" s="12"/>
      <c r="OYK33" s="12"/>
      <c r="OYL33" s="12"/>
      <c r="OZC33" s="12"/>
      <c r="OZD33" s="12"/>
      <c r="OZU33" s="12"/>
      <c r="OZV33" s="12"/>
      <c r="PAM33" s="12"/>
      <c r="PAN33" s="12"/>
      <c r="PBE33" s="12"/>
      <c r="PBF33" s="12"/>
      <c r="PBW33" s="12"/>
      <c r="PBX33" s="12"/>
      <c r="PCO33" s="12"/>
      <c r="PCP33" s="12"/>
      <c r="PDG33" s="12"/>
      <c r="PDH33" s="12"/>
      <c r="PDY33" s="12"/>
      <c r="PDZ33" s="12"/>
      <c r="PEQ33" s="12"/>
      <c r="PER33" s="12"/>
      <c r="PFI33" s="12"/>
      <c r="PFJ33" s="12"/>
      <c r="PGA33" s="12"/>
      <c r="PGB33" s="12"/>
      <c r="PGS33" s="12"/>
      <c r="PGT33" s="12"/>
      <c r="PHK33" s="12"/>
      <c r="PHL33" s="12"/>
      <c r="PIC33" s="12"/>
      <c r="PID33" s="12"/>
      <c r="PIU33" s="12"/>
      <c r="PIV33" s="12"/>
      <c r="PJM33" s="12"/>
      <c r="PJN33" s="12"/>
      <c r="PKE33" s="12"/>
      <c r="PKF33" s="12"/>
      <c r="PKW33" s="12"/>
      <c r="PKX33" s="12"/>
      <c r="PLO33" s="12"/>
      <c r="PLP33" s="12"/>
      <c r="PMG33" s="12"/>
      <c r="PMH33" s="12"/>
      <c r="PMY33" s="12"/>
      <c r="PMZ33" s="12"/>
      <c r="PNQ33" s="12"/>
      <c r="PNR33" s="12"/>
      <c r="POI33" s="12"/>
      <c r="POJ33" s="12"/>
      <c r="PPA33" s="12"/>
      <c r="PPB33" s="12"/>
      <c r="PPS33" s="12"/>
      <c r="PPT33" s="12"/>
      <c r="PQK33" s="12"/>
      <c r="PQL33" s="12"/>
      <c r="PRC33" s="12"/>
      <c r="PRD33" s="12"/>
      <c r="PRU33" s="12"/>
      <c r="PRV33" s="12"/>
      <c r="PSM33" s="12"/>
      <c r="PSN33" s="12"/>
      <c r="PTE33" s="12"/>
      <c r="PTF33" s="12"/>
      <c r="PTW33" s="12"/>
      <c r="PTX33" s="12"/>
      <c r="PUO33" s="12"/>
      <c r="PUP33" s="12"/>
      <c r="PVG33" s="12"/>
      <c r="PVH33" s="12"/>
      <c r="PVY33" s="12"/>
      <c r="PVZ33" s="12"/>
      <c r="PWQ33" s="12"/>
      <c r="PWR33" s="12"/>
      <c r="PXI33" s="12"/>
      <c r="PXJ33" s="12"/>
      <c r="PYA33" s="12"/>
      <c r="PYB33" s="12"/>
      <c r="PYS33" s="12"/>
      <c r="PYT33" s="12"/>
      <c r="PZK33" s="12"/>
      <c r="PZL33" s="12"/>
      <c r="QAC33" s="12"/>
      <c r="QAD33" s="12"/>
      <c r="QAU33" s="12"/>
      <c r="QAV33" s="12"/>
      <c r="QBM33" s="12"/>
      <c r="QBN33" s="12"/>
      <c r="QCE33" s="12"/>
      <c r="QCF33" s="12"/>
      <c r="QCW33" s="12"/>
      <c r="QCX33" s="12"/>
      <c r="QDO33" s="12"/>
      <c r="QDP33" s="12"/>
      <c r="QEG33" s="12"/>
      <c r="QEH33" s="12"/>
      <c r="QEY33" s="12"/>
      <c r="QEZ33" s="12"/>
      <c r="QFQ33" s="12"/>
      <c r="QFR33" s="12"/>
      <c r="QGI33" s="12"/>
      <c r="QGJ33" s="12"/>
      <c r="QHA33" s="12"/>
      <c r="QHB33" s="12"/>
      <c r="QHS33" s="12"/>
      <c r="QHT33" s="12"/>
      <c r="QIK33" s="12"/>
      <c r="QIL33" s="12"/>
      <c r="QJC33" s="12"/>
      <c r="QJD33" s="12"/>
      <c r="QJU33" s="12"/>
      <c r="QJV33" s="12"/>
      <c r="QKM33" s="12"/>
      <c r="QKN33" s="12"/>
      <c r="QLE33" s="12"/>
      <c r="QLF33" s="12"/>
      <c r="QLW33" s="12"/>
      <c r="QLX33" s="12"/>
      <c r="QMO33" s="12"/>
      <c r="QMP33" s="12"/>
      <c r="QNG33" s="12"/>
      <c r="QNH33" s="12"/>
      <c r="QNY33" s="12"/>
      <c r="QNZ33" s="12"/>
      <c r="QOQ33" s="12"/>
      <c r="QOR33" s="12"/>
      <c r="QPI33" s="12"/>
      <c r="QPJ33" s="12"/>
      <c r="QQA33" s="12"/>
      <c r="QQB33" s="12"/>
      <c r="QQS33" s="12"/>
      <c r="QQT33" s="12"/>
      <c r="QRK33" s="12"/>
      <c r="QRL33" s="12"/>
      <c r="QSC33" s="12"/>
      <c r="QSD33" s="12"/>
      <c r="QSU33" s="12"/>
      <c r="QSV33" s="12"/>
      <c r="QTM33" s="12"/>
      <c r="QTN33" s="12"/>
      <c r="QUE33" s="12"/>
      <c r="QUF33" s="12"/>
      <c r="QUW33" s="12"/>
      <c r="QUX33" s="12"/>
      <c r="QVO33" s="12"/>
      <c r="QVP33" s="12"/>
      <c r="QWG33" s="12"/>
      <c r="QWH33" s="12"/>
      <c r="QWY33" s="12"/>
      <c r="QWZ33" s="12"/>
      <c r="QXQ33" s="12"/>
      <c r="QXR33" s="12"/>
      <c r="QYI33" s="12"/>
      <c r="QYJ33" s="12"/>
      <c r="QZA33" s="12"/>
      <c r="QZB33" s="12"/>
      <c r="QZS33" s="12"/>
      <c r="QZT33" s="12"/>
      <c r="RAK33" s="12"/>
      <c r="RAL33" s="12"/>
      <c r="RBC33" s="12"/>
      <c r="RBD33" s="12"/>
      <c r="RBU33" s="12"/>
      <c r="RBV33" s="12"/>
      <c r="RCM33" s="12"/>
      <c r="RCN33" s="12"/>
      <c r="RDE33" s="12"/>
      <c r="RDF33" s="12"/>
      <c r="RDW33" s="12"/>
      <c r="RDX33" s="12"/>
      <c r="REO33" s="12"/>
      <c r="REP33" s="12"/>
      <c r="RFG33" s="12"/>
      <c r="RFH33" s="12"/>
      <c r="RFY33" s="12"/>
      <c r="RFZ33" s="12"/>
      <c r="RGQ33" s="12"/>
      <c r="RGR33" s="12"/>
      <c r="RHI33" s="12"/>
      <c r="RHJ33" s="12"/>
      <c r="RIA33" s="12"/>
      <c r="RIB33" s="12"/>
      <c r="RIS33" s="12"/>
      <c r="RIT33" s="12"/>
      <c r="RJK33" s="12"/>
      <c r="RJL33" s="12"/>
      <c r="RKC33" s="12"/>
      <c r="RKD33" s="12"/>
      <c r="RKU33" s="12"/>
      <c r="RKV33" s="12"/>
      <c r="RLM33" s="12"/>
      <c r="RLN33" s="12"/>
      <c r="RME33" s="12"/>
      <c r="RMF33" s="12"/>
      <c r="RMW33" s="12"/>
      <c r="RMX33" s="12"/>
      <c r="RNO33" s="12"/>
      <c r="RNP33" s="12"/>
      <c r="ROG33" s="12"/>
      <c r="ROH33" s="12"/>
      <c r="ROY33" s="12"/>
      <c r="ROZ33" s="12"/>
      <c r="RPQ33" s="12"/>
      <c r="RPR33" s="12"/>
      <c r="RQI33" s="12"/>
      <c r="RQJ33" s="12"/>
      <c r="RRA33" s="12"/>
      <c r="RRB33" s="12"/>
      <c r="RRS33" s="12"/>
      <c r="RRT33" s="12"/>
      <c r="RSK33" s="12"/>
      <c r="RSL33" s="12"/>
      <c r="RTC33" s="12"/>
      <c r="RTD33" s="12"/>
      <c r="RTU33" s="12"/>
      <c r="RTV33" s="12"/>
      <c r="RUM33" s="12"/>
      <c r="RUN33" s="12"/>
      <c r="RVE33" s="12"/>
      <c r="RVF33" s="12"/>
      <c r="RVW33" s="12"/>
      <c r="RVX33" s="12"/>
      <c r="RWO33" s="12"/>
      <c r="RWP33" s="12"/>
      <c r="RXG33" s="12"/>
      <c r="RXH33" s="12"/>
      <c r="RXY33" s="12"/>
      <c r="RXZ33" s="12"/>
      <c r="RYQ33" s="12"/>
      <c r="RYR33" s="12"/>
      <c r="RZI33" s="12"/>
      <c r="RZJ33" s="12"/>
      <c r="SAA33" s="12"/>
      <c r="SAB33" s="12"/>
      <c r="SAS33" s="12"/>
      <c r="SAT33" s="12"/>
      <c r="SBK33" s="12"/>
      <c r="SBL33" s="12"/>
      <c r="SCC33" s="12"/>
      <c r="SCD33" s="12"/>
      <c r="SCU33" s="12"/>
      <c r="SCV33" s="12"/>
      <c r="SDM33" s="12"/>
      <c r="SDN33" s="12"/>
      <c r="SEE33" s="12"/>
      <c r="SEF33" s="12"/>
      <c r="SEW33" s="12"/>
      <c r="SEX33" s="12"/>
      <c r="SFO33" s="12"/>
      <c r="SFP33" s="12"/>
      <c r="SGG33" s="12"/>
      <c r="SGH33" s="12"/>
      <c r="SGY33" s="12"/>
      <c r="SGZ33" s="12"/>
      <c r="SHQ33" s="12"/>
      <c r="SHR33" s="12"/>
      <c r="SII33" s="12"/>
      <c r="SIJ33" s="12"/>
      <c r="SJA33" s="12"/>
      <c r="SJB33" s="12"/>
      <c r="SJS33" s="12"/>
      <c r="SJT33" s="12"/>
      <c r="SKK33" s="12"/>
      <c r="SKL33" s="12"/>
      <c r="SLC33" s="12"/>
      <c r="SLD33" s="12"/>
      <c r="SLU33" s="12"/>
      <c r="SLV33" s="12"/>
      <c r="SMM33" s="12"/>
      <c r="SMN33" s="12"/>
      <c r="SNE33" s="12"/>
      <c r="SNF33" s="12"/>
      <c r="SNW33" s="12"/>
      <c r="SNX33" s="12"/>
      <c r="SOO33" s="12"/>
      <c r="SOP33" s="12"/>
      <c r="SPG33" s="12"/>
      <c r="SPH33" s="12"/>
      <c r="SPY33" s="12"/>
      <c r="SPZ33" s="12"/>
      <c r="SQQ33" s="12"/>
      <c r="SQR33" s="12"/>
      <c r="SRI33" s="12"/>
      <c r="SRJ33" s="12"/>
      <c r="SSA33" s="12"/>
      <c r="SSB33" s="12"/>
      <c r="SSS33" s="12"/>
      <c r="SST33" s="12"/>
      <c r="STK33" s="12"/>
      <c r="STL33" s="12"/>
      <c r="SUC33" s="12"/>
      <c r="SUD33" s="12"/>
      <c r="SUU33" s="12"/>
      <c r="SUV33" s="12"/>
      <c r="SVM33" s="12"/>
      <c r="SVN33" s="12"/>
      <c r="SWE33" s="12"/>
      <c r="SWF33" s="12"/>
      <c r="SWW33" s="12"/>
      <c r="SWX33" s="12"/>
      <c r="SXO33" s="12"/>
      <c r="SXP33" s="12"/>
      <c r="SYG33" s="12"/>
      <c r="SYH33" s="12"/>
      <c r="SYY33" s="12"/>
      <c r="SYZ33" s="12"/>
      <c r="SZQ33" s="12"/>
      <c r="SZR33" s="12"/>
      <c r="TAI33" s="12"/>
      <c r="TAJ33" s="12"/>
      <c r="TBA33" s="12"/>
      <c r="TBB33" s="12"/>
      <c r="TBS33" s="12"/>
      <c r="TBT33" s="12"/>
      <c r="TCK33" s="12"/>
      <c r="TCL33" s="12"/>
      <c r="TDC33" s="12"/>
      <c r="TDD33" s="12"/>
      <c r="TDU33" s="12"/>
      <c r="TDV33" s="12"/>
      <c r="TEM33" s="12"/>
      <c r="TEN33" s="12"/>
      <c r="TFE33" s="12"/>
      <c r="TFF33" s="12"/>
      <c r="TFW33" s="12"/>
      <c r="TFX33" s="12"/>
      <c r="TGO33" s="12"/>
      <c r="TGP33" s="12"/>
      <c r="THG33" s="12"/>
      <c r="THH33" s="12"/>
      <c r="THY33" s="12"/>
      <c r="THZ33" s="12"/>
      <c r="TIQ33" s="12"/>
      <c r="TIR33" s="12"/>
      <c r="TJI33" s="12"/>
      <c r="TJJ33" s="12"/>
      <c r="TKA33" s="12"/>
      <c r="TKB33" s="12"/>
      <c r="TKS33" s="12"/>
      <c r="TKT33" s="12"/>
      <c r="TLK33" s="12"/>
      <c r="TLL33" s="12"/>
      <c r="TMC33" s="12"/>
      <c r="TMD33" s="12"/>
      <c r="TMU33" s="12"/>
      <c r="TMV33" s="12"/>
      <c r="TNM33" s="12"/>
      <c r="TNN33" s="12"/>
      <c r="TOE33" s="12"/>
      <c r="TOF33" s="12"/>
      <c r="TOW33" s="12"/>
      <c r="TOX33" s="12"/>
      <c r="TPO33" s="12"/>
      <c r="TPP33" s="12"/>
      <c r="TQG33" s="12"/>
      <c r="TQH33" s="12"/>
      <c r="TQY33" s="12"/>
      <c r="TQZ33" s="12"/>
      <c r="TRQ33" s="12"/>
      <c r="TRR33" s="12"/>
      <c r="TSI33" s="12"/>
      <c r="TSJ33" s="12"/>
      <c r="TTA33" s="12"/>
      <c r="TTB33" s="12"/>
      <c r="TTS33" s="12"/>
      <c r="TTT33" s="12"/>
      <c r="TUK33" s="12"/>
      <c r="TUL33" s="12"/>
      <c r="TVC33" s="12"/>
      <c r="TVD33" s="12"/>
      <c r="TVU33" s="12"/>
      <c r="TVV33" s="12"/>
      <c r="TWM33" s="12"/>
      <c r="TWN33" s="12"/>
      <c r="TXE33" s="12"/>
      <c r="TXF33" s="12"/>
      <c r="TXW33" s="12"/>
      <c r="TXX33" s="12"/>
      <c r="TYO33" s="12"/>
      <c r="TYP33" s="12"/>
      <c r="TZG33" s="12"/>
      <c r="TZH33" s="12"/>
      <c r="TZY33" s="12"/>
      <c r="TZZ33" s="12"/>
      <c r="UAQ33" s="12"/>
      <c r="UAR33" s="12"/>
      <c r="UBI33" s="12"/>
      <c r="UBJ33" s="12"/>
      <c r="UCA33" s="12"/>
      <c r="UCB33" s="12"/>
      <c r="UCS33" s="12"/>
      <c r="UCT33" s="12"/>
      <c r="UDK33" s="12"/>
      <c r="UDL33" s="12"/>
      <c r="UEC33" s="12"/>
      <c r="UED33" s="12"/>
      <c r="UEU33" s="12"/>
      <c r="UEV33" s="12"/>
      <c r="UFM33" s="12"/>
      <c r="UFN33" s="12"/>
      <c r="UGE33" s="12"/>
      <c r="UGF33" s="12"/>
      <c r="UGW33" s="12"/>
      <c r="UGX33" s="12"/>
      <c r="UHO33" s="12"/>
      <c r="UHP33" s="12"/>
      <c r="UIG33" s="12"/>
      <c r="UIH33" s="12"/>
      <c r="UIY33" s="12"/>
      <c r="UIZ33" s="12"/>
      <c r="UJQ33" s="12"/>
      <c r="UJR33" s="12"/>
      <c r="UKI33" s="12"/>
      <c r="UKJ33" s="12"/>
      <c r="ULA33" s="12"/>
      <c r="ULB33" s="12"/>
      <c r="ULS33" s="12"/>
      <c r="ULT33" s="12"/>
      <c r="UMK33" s="12"/>
      <c r="UML33" s="12"/>
      <c r="UNC33" s="12"/>
      <c r="UND33" s="12"/>
      <c r="UNU33" s="12"/>
      <c r="UNV33" s="12"/>
      <c r="UOM33" s="12"/>
      <c r="UON33" s="12"/>
      <c r="UPE33" s="12"/>
      <c r="UPF33" s="12"/>
      <c r="UPW33" s="12"/>
      <c r="UPX33" s="12"/>
      <c r="UQO33" s="12"/>
      <c r="UQP33" s="12"/>
      <c r="URG33" s="12"/>
      <c r="URH33" s="12"/>
      <c r="URY33" s="12"/>
      <c r="URZ33" s="12"/>
      <c r="USQ33" s="12"/>
      <c r="USR33" s="12"/>
      <c r="UTI33" s="12"/>
      <c r="UTJ33" s="12"/>
      <c r="UUA33" s="12"/>
      <c r="UUB33" s="12"/>
      <c r="UUS33" s="12"/>
      <c r="UUT33" s="12"/>
      <c r="UVK33" s="12"/>
      <c r="UVL33" s="12"/>
      <c r="UWC33" s="12"/>
      <c r="UWD33" s="12"/>
      <c r="UWU33" s="12"/>
      <c r="UWV33" s="12"/>
      <c r="UXM33" s="12"/>
      <c r="UXN33" s="12"/>
      <c r="UYE33" s="12"/>
      <c r="UYF33" s="12"/>
      <c r="UYW33" s="12"/>
      <c r="UYX33" s="12"/>
      <c r="UZO33" s="12"/>
      <c r="UZP33" s="12"/>
      <c r="VAG33" s="12"/>
      <c r="VAH33" s="12"/>
      <c r="VAY33" s="12"/>
      <c r="VAZ33" s="12"/>
      <c r="VBQ33" s="12"/>
      <c r="VBR33" s="12"/>
      <c r="VCI33" s="12"/>
      <c r="VCJ33" s="12"/>
      <c r="VDA33" s="12"/>
      <c r="VDB33" s="12"/>
      <c r="VDS33" s="12"/>
      <c r="VDT33" s="12"/>
      <c r="VEK33" s="12"/>
      <c r="VEL33" s="12"/>
      <c r="VFC33" s="12"/>
      <c r="VFD33" s="12"/>
      <c r="VFU33" s="12"/>
      <c r="VFV33" s="12"/>
      <c r="VGM33" s="12"/>
      <c r="VGN33" s="12"/>
      <c r="VHE33" s="12"/>
      <c r="VHF33" s="12"/>
      <c r="VHW33" s="12"/>
      <c r="VHX33" s="12"/>
      <c r="VIO33" s="12"/>
      <c r="VIP33" s="12"/>
      <c r="VJG33" s="12"/>
      <c r="VJH33" s="12"/>
      <c r="VJY33" s="12"/>
      <c r="VJZ33" s="12"/>
      <c r="VKQ33" s="12"/>
      <c r="VKR33" s="12"/>
      <c r="VLI33" s="12"/>
      <c r="VLJ33" s="12"/>
      <c r="VMA33" s="12"/>
      <c r="VMB33" s="12"/>
      <c r="VMS33" s="12"/>
      <c r="VMT33" s="12"/>
      <c r="VNK33" s="12"/>
      <c r="VNL33" s="12"/>
      <c r="VOC33" s="12"/>
      <c r="VOD33" s="12"/>
      <c r="VOU33" s="12"/>
      <c r="VOV33" s="12"/>
      <c r="VPM33" s="12"/>
      <c r="VPN33" s="12"/>
      <c r="VQE33" s="12"/>
      <c r="VQF33" s="12"/>
      <c r="VQW33" s="12"/>
      <c r="VQX33" s="12"/>
      <c r="VRO33" s="12"/>
      <c r="VRP33" s="12"/>
      <c r="VSG33" s="12"/>
      <c r="VSH33" s="12"/>
      <c r="VSY33" s="12"/>
      <c r="VSZ33" s="12"/>
      <c r="VTQ33" s="12"/>
      <c r="VTR33" s="12"/>
      <c r="VUI33" s="12"/>
      <c r="VUJ33" s="12"/>
      <c r="VVA33" s="12"/>
      <c r="VVB33" s="12"/>
      <c r="VVS33" s="12"/>
      <c r="VVT33" s="12"/>
      <c r="VWK33" s="12"/>
      <c r="VWL33" s="12"/>
      <c r="VXC33" s="12"/>
      <c r="VXD33" s="12"/>
      <c r="VXU33" s="12"/>
      <c r="VXV33" s="12"/>
      <c r="VYM33" s="12"/>
      <c r="VYN33" s="12"/>
      <c r="VZE33" s="12"/>
      <c r="VZF33" s="12"/>
      <c r="VZW33" s="12"/>
      <c r="VZX33" s="12"/>
      <c r="WAO33" s="12"/>
      <c r="WAP33" s="12"/>
      <c r="WBG33" s="12"/>
      <c r="WBH33" s="12"/>
      <c r="WBY33" s="12"/>
      <c r="WBZ33" s="12"/>
      <c r="WCQ33" s="12"/>
      <c r="WCR33" s="12"/>
      <c r="WDI33" s="12"/>
      <c r="WDJ33" s="12"/>
      <c r="WEA33" s="12"/>
      <c r="WEB33" s="12"/>
      <c r="WES33" s="12"/>
      <c r="WET33" s="12"/>
      <c r="WFK33" s="12"/>
      <c r="WFL33" s="12"/>
      <c r="WGC33" s="12"/>
      <c r="WGD33" s="12"/>
      <c r="WGU33" s="12"/>
      <c r="WGV33" s="12"/>
      <c r="WHM33" s="12"/>
      <c r="WHN33" s="12"/>
      <c r="WIE33" s="12"/>
      <c r="WIF33" s="12"/>
      <c r="WIW33" s="12"/>
      <c r="WIX33" s="12"/>
      <c r="WJO33" s="12"/>
      <c r="WJP33" s="12"/>
      <c r="WKG33" s="12"/>
      <c r="WKH33" s="12"/>
      <c r="WKY33" s="12"/>
      <c r="WKZ33" s="12"/>
      <c r="WLQ33" s="12"/>
      <c r="WLR33" s="12"/>
      <c r="WMI33" s="12"/>
      <c r="WMJ33" s="12"/>
      <c r="WNA33" s="12"/>
      <c r="WNB33" s="12"/>
      <c r="WNS33" s="12"/>
      <c r="WNT33" s="12"/>
      <c r="WOK33" s="12"/>
      <c r="WOL33" s="12"/>
      <c r="WPC33" s="12"/>
      <c r="WPD33" s="12"/>
      <c r="WPU33" s="12"/>
      <c r="WPV33" s="12"/>
      <c r="WQM33" s="12"/>
      <c r="WQN33" s="12"/>
      <c r="WRE33" s="12"/>
      <c r="WRF33" s="12"/>
      <c r="WRW33" s="12"/>
      <c r="WRX33" s="12"/>
      <c r="WSO33" s="12"/>
      <c r="WSP33" s="12"/>
      <c r="WTG33" s="12"/>
      <c r="WTH33" s="12"/>
      <c r="WTY33" s="12"/>
      <c r="WTZ33" s="12"/>
      <c r="WUQ33" s="12"/>
      <c r="WUR33" s="12"/>
      <c r="WVI33" s="12"/>
      <c r="WVJ33" s="12"/>
      <c r="WWA33" s="12"/>
      <c r="WWB33" s="12"/>
      <c r="WWS33" s="12"/>
      <c r="WWT33" s="12"/>
      <c r="WXK33" s="12"/>
      <c r="WXL33" s="12"/>
      <c r="WYC33" s="12"/>
      <c r="WYD33" s="12"/>
      <c r="WYU33" s="12"/>
      <c r="WYV33" s="12"/>
      <c r="WZM33" s="12"/>
      <c r="WZN33" s="12"/>
      <c r="XAE33" s="12"/>
      <c r="XAF33" s="12"/>
      <c r="XAW33" s="12"/>
      <c r="XAX33" s="12"/>
      <c r="XBO33" s="12"/>
      <c r="XBP33" s="12"/>
      <c r="XCG33" s="12"/>
      <c r="XCH33" s="12"/>
      <c r="XCY33" s="12"/>
      <c r="XCZ33" s="12"/>
      <c r="XDQ33" s="12"/>
      <c r="XDR33" s="12"/>
      <c r="XEI33" s="12"/>
      <c r="XEJ33" s="12"/>
      <c r="XFA33" s="12"/>
      <c r="XFB33" s="12"/>
    </row>
    <row r="34" spans="1:1010 1027:2036 2053:3062 3079:4088 4105:5114 5131:6140 6157:7166 7183:8192 8209:9200 9217:10226 10243:11252 11269:12278 12295:13304 13321:14330 14347:15356 15373:16382" x14ac:dyDescent="0.35">
      <c r="A34" s="185" t="s">
        <v>260</v>
      </c>
      <c r="B34" s="185" t="s">
        <v>261</v>
      </c>
      <c r="C34" s="182">
        <v>4.7510000000000003</v>
      </c>
      <c r="D34" s="182">
        <v>4.7569999999999997</v>
      </c>
      <c r="E34" s="182">
        <v>4.6870000000000003</v>
      </c>
      <c r="F34" s="182">
        <v>4.7670000000000003</v>
      </c>
      <c r="G34" s="182">
        <v>4.7590000000000003</v>
      </c>
      <c r="H34" s="182">
        <v>4.7510000000000003</v>
      </c>
      <c r="I34" s="182">
        <v>4.2690000000000001</v>
      </c>
      <c r="J34" s="182">
        <v>3.7879999999999998</v>
      </c>
      <c r="K34" s="182">
        <v>3.234</v>
      </c>
      <c r="L34" s="182">
        <v>1.833</v>
      </c>
      <c r="M34" s="136"/>
      <c r="N34" s="136"/>
      <c r="O34" s="136"/>
      <c r="P34" s="136"/>
      <c r="Q34" s="136"/>
      <c r="R34" s="136"/>
    </row>
    <row r="35" spans="1:1010 1027:2036 2053:3062 3079:4088 4105:5114 5131:6140 6157:7166 7183:8192 8209:9200 9217:10226 10243:11252 11269:12278 12295:13304 13321:14330 14347:15356 15373:16382" x14ac:dyDescent="0.35">
      <c r="A35" s="185" t="s">
        <v>262</v>
      </c>
      <c r="B35" s="185" t="s">
        <v>263</v>
      </c>
      <c r="C35" s="182">
        <v>0.64500000000000002</v>
      </c>
      <c r="D35" s="182">
        <v>1.1779999999999999</v>
      </c>
      <c r="E35" s="182">
        <v>1.64</v>
      </c>
      <c r="F35" s="182">
        <v>2.4020000000000001</v>
      </c>
      <c r="G35" s="182">
        <v>1.956</v>
      </c>
      <c r="H35" s="182">
        <v>1.083</v>
      </c>
      <c r="I35" s="182">
        <v>0.622</v>
      </c>
      <c r="J35" s="182">
        <v>2.7829999999999999</v>
      </c>
      <c r="K35" s="182">
        <v>5.1890000000000001</v>
      </c>
      <c r="L35" s="182">
        <v>7.718</v>
      </c>
      <c r="M35" s="136"/>
      <c r="N35" s="136"/>
      <c r="O35" s="136"/>
      <c r="P35" s="136"/>
      <c r="Q35" s="136"/>
      <c r="R35" s="136"/>
    </row>
    <row r="36" spans="1:1010 1027:2036 2053:3062 3079:4088 4105:5114 5131:6140 6157:7166 7183:8192 8209:9200 9217:10226 10243:11252 11269:12278 12295:13304 13321:14330 14347:15356 15373:16382" x14ac:dyDescent="0.35">
      <c r="A36" s="27" t="s">
        <v>29</v>
      </c>
      <c r="B36" s="27"/>
      <c r="C36" s="261">
        <f t="shared" ref="C36:L36" si="5">IF(AND(C34="",C35=""),0,ROUND(-IF(C35="",0,C35)+IF(C34="",0,C34)-IF(C33="",0,C33),1))</f>
        <v>0</v>
      </c>
      <c r="D36" s="261">
        <f t="shared" si="5"/>
        <v>0</v>
      </c>
      <c r="E36" s="261">
        <f t="shared" si="5"/>
        <v>0</v>
      </c>
      <c r="F36" s="261">
        <f t="shared" si="5"/>
        <v>0</v>
      </c>
      <c r="G36" s="261">
        <f t="shared" si="5"/>
        <v>0</v>
      </c>
      <c r="H36" s="261">
        <f t="shared" si="5"/>
        <v>0</v>
      </c>
      <c r="I36" s="261">
        <f t="shared" si="5"/>
        <v>0</v>
      </c>
      <c r="J36" s="261">
        <f t="shared" si="5"/>
        <v>0</v>
      </c>
      <c r="K36" s="261">
        <f t="shared" si="5"/>
        <v>0</v>
      </c>
      <c r="L36" s="261">
        <f t="shared" si="5"/>
        <v>0</v>
      </c>
      <c r="M36" s="140"/>
      <c r="N36" s="140"/>
      <c r="O36" s="140"/>
      <c r="P36" s="140"/>
      <c r="Q36" s="140"/>
      <c r="R36" s="140"/>
    </row>
    <row r="37" spans="1:1010 1027:2036 2053:3062 3079:4088 4105:5114 5131:6140 6157:7166 7183:8192 8209:9200 9217:10226 10243:11252 11269:12278 12295:13304 13321:14330 14347:15356 15373:16382" s="11" customFormat="1" x14ac:dyDescent="0.35">
      <c r="A37" s="183" t="s">
        <v>264</v>
      </c>
      <c r="B37" s="183" t="s">
        <v>265</v>
      </c>
      <c r="C37" s="184"/>
      <c r="D37" s="184"/>
      <c r="E37" s="184"/>
      <c r="F37" s="184"/>
      <c r="G37" s="184"/>
      <c r="H37" s="184"/>
      <c r="I37" s="184"/>
      <c r="J37" s="184"/>
      <c r="K37" s="184"/>
      <c r="L37" s="184"/>
      <c r="S37" s="12"/>
      <c r="T37" s="12"/>
      <c r="AK37" s="12"/>
      <c r="AL37" s="12"/>
      <c r="BC37" s="12"/>
      <c r="BD37" s="12"/>
      <c r="BU37" s="12"/>
      <c r="BV37" s="12"/>
      <c r="CM37" s="12"/>
      <c r="CN37" s="12"/>
      <c r="DE37" s="12"/>
      <c r="DF37" s="12"/>
      <c r="DW37" s="12"/>
      <c r="DX37" s="12"/>
      <c r="EO37" s="12"/>
      <c r="EP37" s="12"/>
      <c r="FG37" s="12"/>
      <c r="FH37" s="12"/>
      <c r="FY37" s="12"/>
      <c r="FZ37" s="12"/>
      <c r="GQ37" s="12"/>
      <c r="GR37" s="12"/>
      <c r="HI37" s="12"/>
      <c r="HJ37" s="12"/>
      <c r="IA37" s="12"/>
      <c r="IB37" s="12"/>
      <c r="IS37" s="12"/>
      <c r="IT37" s="12"/>
      <c r="JK37" s="12"/>
      <c r="JL37" s="12"/>
      <c r="KC37" s="12"/>
      <c r="KD37" s="12"/>
      <c r="KU37" s="12"/>
      <c r="KV37" s="12"/>
      <c r="LM37" s="12"/>
      <c r="LN37" s="12"/>
      <c r="ME37" s="12"/>
      <c r="MF37" s="12"/>
      <c r="MW37" s="12"/>
      <c r="MX37" s="12"/>
      <c r="NO37" s="12"/>
      <c r="NP37" s="12"/>
      <c r="OG37" s="12"/>
      <c r="OH37" s="12"/>
      <c r="OY37" s="12"/>
      <c r="OZ37" s="12"/>
      <c r="PQ37" s="12"/>
      <c r="PR37" s="12"/>
      <c r="QI37" s="12"/>
      <c r="QJ37" s="12"/>
      <c r="RA37" s="12"/>
      <c r="RB37" s="12"/>
      <c r="RS37" s="12"/>
      <c r="RT37" s="12"/>
      <c r="SK37" s="12"/>
      <c r="SL37" s="12"/>
      <c r="TC37" s="12"/>
      <c r="TD37" s="12"/>
      <c r="TU37" s="12"/>
      <c r="TV37" s="12"/>
      <c r="UM37" s="12"/>
      <c r="UN37" s="12"/>
      <c r="VE37" s="12"/>
      <c r="VF37" s="12"/>
      <c r="VW37" s="12"/>
      <c r="VX37" s="12"/>
      <c r="WO37" s="12"/>
      <c r="WP37" s="12"/>
      <c r="XG37" s="12"/>
      <c r="XH37" s="12"/>
      <c r="XY37" s="12"/>
      <c r="XZ37" s="12"/>
      <c r="YQ37" s="12"/>
      <c r="YR37" s="12"/>
      <c r="ZI37" s="12"/>
      <c r="ZJ37" s="12"/>
      <c r="AAA37" s="12"/>
      <c r="AAB37" s="12"/>
      <c r="AAS37" s="12"/>
      <c r="AAT37" s="12"/>
      <c r="ABK37" s="12"/>
      <c r="ABL37" s="12"/>
      <c r="ACC37" s="12"/>
      <c r="ACD37" s="12"/>
      <c r="ACU37" s="12"/>
      <c r="ACV37" s="12"/>
      <c r="ADM37" s="12"/>
      <c r="ADN37" s="12"/>
      <c r="AEE37" s="12"/>
      <c r="AEF37" s="12"/>
      <c r="AEW37" s="12"/>
      <c r="AEX37" s="12"/>
      <c r="AFO37" s="12"/>
      <c r="AFP37" s="12"/>
      <c r="AGG37" s="12"/>
      <c r="AGH37" s="12"/>
      <c r="AGY37" s="12"/>
      <c r="AGZ37" s="12"/>
      <c r="AHQ37" s="12"/>
      <c r="AHR37" s="12"/>
      <c r="AII37" s="12"/>
      <c r="AIJ37" s="12"/>
      <c r="AJA37" s="12"/>
      <c r="AJB37" s="12"/>
      <c r="AJS37" s="12"/>
      <c r="AJT37" s="12"/>
      <c r="AKK37" s="12"/>
      <c r="AKL37" s="12"/>
      <c r="ALC37" s="12"/>
      <c r="ALD37" s="12"/>
      <c r="ALU37" s="12"/>
      <c r="ALV37" s="12"/>
      <c r="AMM37" s="12"/>
      <c r="AMN37" s="12"/>
      <c r="ANE37" s="12"/>
      <c r="ANF37" s="12"/>
      <c r="ANW37" s="12"/>
      <c r="ANX37" s="12"/>
      <c r="AOO37" s="12"/>
      <c r="AOP37" s="12"/>
      <c r="APG37" s="12"/>
      <c r="APH37" s="12"/>
      <c r="APY37" s="12"/>
      <c r="APZ37" s="12"/>
      <c r="AQQ37" s="12"/>
      <c r="AQR37" s="12"/>
      <c r="ARI37" s="12"/>
      <c r="ARJ37" s="12"/>
      <c r="ASA37" s="12"/>
      <c r="ASB37" s="12"/>
      <c r="ASS37" s="12"/>
      <c r="AST37" s="12"/>
      <c r="ATK37" s="12"/>
      <c r="ATL37" s="12"/>
      <c r="AUC37" s="12"/>
      <c r="AUD37" s="12"/>
      <c r="AUU37" s="12"/>
      <c r="AUV37" s="12"/>
      <c r="AVM37" s="12"/>
      <c r="AVN37" s="12"/>
      <c r="AWE37" s="12"/>
      <c r="AWF37" s="12"/>
      <c r="AWW37" s="12"/>
      <c r="AWX37" s="12"/>
      <c r="AXO37" s="12"/>
      <c r="AXP37" s="12"/>
      <c r="AYG37" s="12"/>
      <c r="AYH37" s="12"/>
      <c r="AYY37" s="12"/>
      <c r="AYZ37" s="12"/>
      <c r="AZQ37" s="12"/>
      <c r="AZR37" s="12"/>
      <c r="BAI37" s="12"/>
      <c r="BAJ37" s="12"/>
      <c r="BBA37" s="12"/>
      <c r="BBB37" s="12"/>
      <c r="BBS37" s="12"/>
      <c r="BBT37" s="12"/>
      <c r="BCK37" s="12"/>
      <c r="BCL37" s="12"/>
      <c r="BDC37" s="12"/>
      <c r="BDD37" s="12"/>
      <c r="BDU37" s="12"/>
      <c r="BDV37" s="12"/>
      <c r="BEM37" s="12"/>
      <c r="BEN37" s="12"/>
      <c r="BFE37" s="12"/>
      <c r="BFF37" s="12"/>
      <c r="BFW37" s="12"/>
      <c r="BFX37" s="12"/>
      <c r="BGO37" s="12"/>
      <c r="BGP37" s="12"/>
      <c r="BHG37" s="12"/>
      <c r="BHH37" s="12"/>
      <c r="BHY37" s="12"/>
      <c r="BHZ37" s="12"/>
      <c r="BIQ37" s="12"/>
      <c r="BIR37" s="12"/>
      <c r="BJI37" s="12"/>
      <c r="BJJ37" s="12"/>
      <c r="BKA37" s="12"/>
      <c r="BKB37" s="12"/>
      <c r="BKS37" s="12"/>
      <c r="BKT37" s="12"/>
      <c r="BLK37" s="12"/>
      <c r="BLL37" s="12"/>
      <c r="BMC37" s="12"/>
      <c r="BMD37" s="12"/>
      <c r="BMU37" s="12"/>
      <c r="BMV37" s="12"/>
      <c r="BNM37" s="12"/>
      <c r="BNN37" s="12"/>
      <c r="BOE37" s="12"/>
      <c r="BOF37" s="12"/>
      <c r="BOW37" s="12"/>
      <c r="BOX37" s="12"/>
      <c r="BPO37" s="12"/>
      <c r="BPP37" s="12"/>
      <c r="BQG37" s="12"/>
      <c r="BQH37" s="12"/>
      <c r="BQY37" s="12"/>
      <c r="BQZ37" s="12"/>
      <c r="BRQ37" s="12"/>
      <c r="BRR37" s="12"/>
      <c r="BSI37" s="12"/>
      <c r="BSJ37" s="12"/>
      <c r="BTA37" s="12"/>
      <c r="BTB37" s="12"/>
      <c r="BTS37" s="12"/>
      <c r="BTT37" s="12"/>
      <c r="BUK37" s="12"/>
      <c r="BUL37" s="12"/>
      <c r="BVC37" s="12"/>
      <c r="BVD37" s="12"/>
      <c r="BVU37" s="12"/>
      <c r="BVV37" s="12"/>
      <c r="BWM37" s="12"/>
      <c r="BWN37" s="12"/>
      <c r="BXE37" s="12"/>
      <c r="BXF37" s="12"/>
      <c r="BXW37" s="12"/>
      <c r="BXX37" s="12"/>
      <c r="BYO37" s="12"/>
      <c r="BYP37" s="12"/>
      <c r="BZG37" s="12"/>
      <c r="BZH37" s="12"/>
      <c r="BZY37" s="12"/>
      <c r="BZZ37" s="12"/>
      <c r="CAQ37" s="12"/>
      <c r="CAR37" s="12"/>
      <c r="CBI37" s="12"/>
      <c r="CBJ37" s="12"/>
      <c r="CCA37" s="12"/>
      <c r="CCB37" s="12"/>
      <c r="CCS37" s="12"/>
      <c r="CCT37" s="12"/>
      <c r="CDK37" s="12"/>
      <c r="CDL37" s="12"/>
      <c r="CEC37" s="12"/>
      <c r="CED37" s="12"/>
      <c r="CEU37" s="12"/>
      <c r="CEV37" s="12"/>
      <c r="CFM37" s="12"/>
      <c r="CFN37" s="12"/>
      <c r="CGE37" s="12"/>
      <c r="CGF37" s="12"/>
      <c r="CGW37" s="12"/>
      <c r="CGX37" s="12"/>
      <c r="CHO37" s="12"/>
      <c r="CHP37" s="12"/>
      <c r="CIG37" s="12"/>
      <c r="CIH37" s="12"/>
      <c r="CIY37" s="12"/>
      <c r="CIZ37" s="12"/>
      <c r="CJQ37" s="12"/>
      <c r="CJR37" s="12"/>
      <c r="CKI37" s="12"/>
      <c r="CKJ37" s="12"/>
      <c r="CLA37" s="12"/>
      <c r="CLB37" s="12"/>
      <c r="CLS37" s="12"/>
      <c r="CLT37" s="12"/>
      <c r="CMK37" s="12"/>
      <c r="CML37" s="12"/>
      <c r="CNC37" s="12"/>
      <c r="CND37" s="12"/>
      <c r="CNU37" s="12"/>
      <c r="CNV37" s="12"/>
      <c r="COM37" s="12"/>
      <c r="CON37" s="12"/>
      <c r="CPE37" s="12"/>
      <c r="CPF37" s="12"/>
      <c r="CPW37" s="12"/>
      <c r="CPX37" s="12"/>
      <c r="CQO37" s="12"/>
      <c r="CQP37" s="12"/>
      <c r="CRG37" s="12"/>
      <c r="CRH37" s="12"/>
      <c r="CRY37" s="12"/>
      <c r="CRZ37" s="12"/>
      <c r="CSQ37" s="12"/>
      <c r="CSR37" s="12"/>
      <c r="CTI37" s="12"/>
      <c r="CTJ37" s="12"/>
      <c r="CUA37" s="12"/>
      <c r="CUB37" s="12"/>
      <c r="CUS37" s="12"/>
      <c r="CUT37" s="12"/>
      <c r="CVK37" s="12"/>
      <c r="CVL37" s="12"/>
      <c r="CWC37" s="12"/>
      <c r="CWD37" s="12"/>
      <c r="CWU37" s="12"/>
      <c r="CWV37" s="12"/>
      <c r="CXM37" s="12"/>
      <c r="CXN37" s="12"/>
      <c r="CYE37" s="12"/>
      <c r="CYF37" s="12"/>
      <c r="CYW37" s="12"/>
      <c r="CYX37" s="12"/>
      <c r="CZO37" s="12"/>
      <c r="CZP37" s="12"/>
      <c r="DAG37" s="12"/>
      <c r="DAH37" s="12"/>
      <c r="DAY37" s="12"/>
      <c r="DAZ37" s="12"/>
      <c r="DBQ37" s="12"/>
      <c r="DBR37" s="12"/>
      <c r="DCI37" s="12"/>
      <c r="DCJ37" s="12"/>
      <c r="DDA37" s="12"/>
      <c r="DDB37" s="12"/>
      <c r="DDS37" s="12"/>
      <c r="DDT37" s="12"/>
      <c r="DEK37" s="12"/>
      <c r="DEL37" s="12"/>
      <c r="DFC37" s="12"/>
      <c r="DFD37" s="12"/>
      <c r="DFU37" s="12"/>
      <c r="DFV37" s="12"/>
      <c r="DGM37" s="12"/>
      <c r="DGN37" s="12"/>
      <c r="DHE37" s="12"/>
      <c r="DHF37" s="12"/>
      <c r="DHW37" s="12"/>
      <c r="DHX37" s="12"/>
      <c r="DIO37" s="12"/>
      <c r="DIP37" s="12"/>
      <c r="DJG37" s="12"/>
      <c r="DJH37" s="12"/>
      <c r="DJY37" s="12"/>
      <c r="DJZ37" s="12"/>
      <c r="DKQ37" s="12"/>
      <c r="DKR37" s="12"/>
      <c r="DLI37" s="12"/>
      <c r="DLJ37" s="12"/>
      <c r="DMA37" s="12"/>
      <c r="DMB37" s="12"/>
      <c r="DMS37" s="12"/>
      <c r="DMT37" s="12"/>
      <c r="DNK37" s="12"/>
      <c r="DNL37" s="12"/>
      <c r="DOC37" s="12"/>
      <c r="DOD37" s="12"/>
      <c r="DOU37" s="12"/>
      <c r="DOV37" s="12"/>
      <c r="DPM37" s="12"/>
      <c r="DPN37" s="12"/>
      <c r="DQE37" s="12"/>
      <c r="DQF37" s="12"/>
      <c r="DQW37" s="12"/>
      <c r="DQX37" s="12"/>
      <c r="DRO37" s="12"/>
      <c r="DRP37" s="12"/>
      <c r="DSG37" s="12"/>
      <c r="DSH37" s="12"/>
      <c r="DSY37" s="12"/>
      <c r="DSZ37" s="12"/>
      <c r="DTQ37" s="12"/>
      <c r="DTR37" s="12"/>
      <c r="DUI37" s="12"/>
      <c r="DUJ37" s="12"/>
      <c r="DVA37" s="12"/>
      <c r="DVB37" s="12"/>
      <c r="DVS37" s="12"/>
      <c r="DVT37" s="12"/>
      <c r="DWK37" s="12"/>
      <c r="DWL37" s="12"/>
      <c r="DXC37" s="12"/>
      <c r="DXD37" s="12"/>
      <c r="DXU37" s="12"/>
      <c r="DXV37" s="12"/>
      <c r="DYM37" s="12"/>
      <c r="DYN37" s="12"/>
      <c r="DZE37" s="12"/>
      <c r="DZF37" s="12"/>
      <c r="DZW37" s="12"/>
      <c r="DZX37" s="12"/>
      <c r="EAO37" s="12"/>
      <c r="EAP37" s="12"/>
      <c r="EBG37" s="12"/>
      <c r="EBH37" s="12"/>
      <c r="EBY37" s="12"/>
      <c r="EBZ37" s="12"/>
      <c r="ECQ37" s="12"/>
      <c r="ECR37" s="12"/>
      <c r="EDI37" s="12"/>
      <c r="EDJ37" s="12"/>
      <c r="EEA37" s="12"/>
      <c r="EEB37" s="12"/>
      <c r="EES37" s="12"/>
      <c r="EET37" s="12"/>
      <c r="EFK37" s="12"/>
      <c r="EFL37" s="12"/>
      <c r="EGC37" s="12"/>
      <c r="EGD37" s="12"/>
      <c r="EGU37" s="12"/>
      <c r="EGV37" s="12"/>
      <c r="EHM37" s="12"/>
      <c r="EHN37" s="12"/>
      <c r="EIE37" s="12"/>
      <c r="EIF37" s="12"/>
      <c r="EIW37" s="12"/>
      <c r="EIX37" s="12"/>
      <c r="EJO37" s="12"/>
      <c r="EJP37" s="12"/>
      <c r="EKG37" s="12"/>
      <c r="EKH37" s="12"/>
      <c r="EKY37" s="12"/>
      <c r="EKZ37" s="12"/>
      <c r="ELQ37" s="12"/>
      <c r="ELR37" s="12"/>
      <c r="EMI37" s="12"/>
      <c r="EMJ37" s="12"/>
      <c r="ENA37" s="12"/>
      <c r="ENB37" s="12"/>
      <c r="ENS37" s="12"/>
      <c r="ENT37" s="12"/>
      <c r="EOK37" s="12"/>
      <c r="EOL37" s="12"/>
      <c r="EPC37" s="12"/>
      <c r="EPD37" s="12"/>
      <c r="EPU37" s="12"/>
      <c r="EPV37" s="12"/>
      <c r="EQM37" s="12"/>
      <c r="EQN37" s="12"/>
      <c r="ERE37" s="12"/>
      <c r="ERF37" s="12"/>
      <c r="ERW37" s="12"/>
      <c r="ERX37" s="12"/>
      <c r="ESO37" s="12"/>
      <c r="ESP37" s="12"/>
      <c r="ETG37" s="12"/>
      <c r="ETH37" s="12"/>
      <c r="ETY37" s="12"/>
      <c r="ETZ37" s="12"/>
      <c r="EUQ37" s="12"/>
      <c r="EUR37" s="12"/>
      <c r="EVI37" s="12"/>
      <c r="EVJ37" s="12"/>
      <c r="EWA37" s="12"/>
      <c r="EWB37" s="12"/>
      <c r="EWS37" s="12"/>
      <c r="EWT37" s="12"/>
      <c r="EXK37" s="12"/>
      <c r="EXL37" s="12"/>
      <c r="EYC37" s="12"/>
      <c r="EYD37" s="12"/>
      <c r="EYU37" s="12"/>
      <c r="EYV37" s="12"/>
      <c r="EZM37" s="12"/>
      <c r="EZN37" s="12"/>
      <c r="FAE37" s="12"/>
      <c r="FAF37" s="12"/>
      <c r="FAW37" s="12"/>
      <c r="FAX37" s="12"/>
      <c r="FBO37" s="12"/>
      <c r="FBP37" s="12"/>
      <c r="FCG37" s="12"/>
      <c r="FCH37" s="12"/>
      <c r="FCY37" s="12"/>
      <c r="FCZ37" s="12"/>
      <c r="FDQ37" s="12"/>
      <c r="FDR37" s="12"/>
      <c r="FEI37" s="12"/>
      <c r="FEJ37" s="12"/>
      <c r="FFA37" s="12"/>
      <c r="FFB37" s="12"/>
      <c r="FFS37" s="12"/>
      <c r="FFT37" s="12"/>
      <c r="FGK37" s="12"/>
      <c r="FGL37" s="12"/>
      <c r="FHC37" s="12"/>
      <c r="FHD37" s="12"/>
      <c r="FHU37" s="12"/>
      <c r="FHV37" s="12"/>
      <c r="FIM37" s="12"/>
      <c r="FIN37" s="12"/>
      <c r="FJE37" s="12"/>
      <c r="FJF37" s="12"/>
      <c r="FJW37" s="12"/>
      <c r="FJX37" s="12"/>
      <c r="FKO37" s="12"/>
      <c r="FKP37" s="12"/>
      <c r="FLG37" s="12"/>
      <c r="FLH37" s="12"/>
      <c r="FLY37" s="12"/>
      <c r="FLZ37" s="12"/>
      <c r="FMQ37" s="12"/>
      <c r="FMR37" s="12"/>
      <c r="FNI37" s="12"/>
      <c r="FNJ37" s="12"/>
      <c r="FOA37" s="12"/>
      <c r="FOB37" s="12"/>
      <c r="FOS37" s="12"/>
      <c r="FOT37" s="12"/>
      <c r="FPK37" s="12"/>
      <c r="FPL37" s="12"/>
      <c r="FQC37" s="12"/>
      <c r="FQD37" s="12"/>
      <c r="FQU37" s="12"/>
      <c r="FQV37" s="12"/>
      <c r="FRM37" s="12"/>
      <c r="FRN37" s="12"/>
      <c r="FSE37" s="12"/>
      <c r="FSF37" s="12"/>
      <c r="FSW37" s="12"/>
      <c r="FSX37" s="12"/>
      <c r="FTO37" s="12"/>
      <c r="FTP37" s="12"/>
      <c r="FUG37" s="12"/>
      <c r="FUH37" s="12"/>
      <c r="FUY37" s="12"/>
      <c r="FUZ37" s="12"/>
      <c r="FVQ37" s="12"/>
      <c r="FVR37" s="12"/>
      <c r="FWI37" s="12"/>
      <c r="FWJ37" s="12"/>
      <c r="FXA37" s="12"/>
      <c r="FXB37" s="12"/>
      <c r="FXS37" s="12"/>
      <c r="FXT37" s="12"/>
      <c r="FYK37" s="12"/>
      <c r="FYL37" s="12"/>
      <c r="FZC37" s="12"/>
      <c r="FZD37" s="12"/>
      <c r="FZU37" s="12"/>
      <c r="FZV37" s="12"/>
      <c r="GAM37" s="12"/>
      <c r="GAN37" s="12"/>
      <c r="GBE37" s="12"/>
      <c r="GBF37" s="12"/>
      <c r="GBW37" s="12"/>
      <c r="GBX37" s="12"/>
      <c r="GCO37" s="12"/>
      <c r="GCP37" s="12"/>
      <c r="GDG37" s="12"/>
      <c r="GDH37" s="12"/>
      <c r="GDY37" s="12"/>
      <c r="GDZ37" s="12"/>
      <c r="GEQ37" s="12"/>
      <c r="GER37" s="12"/>
      <c r="GFI37" s="12"/>
      <c r="GFJ37" s="12"/>
      <c r="GGA37" s="12"/>
      <c r="GGB37" s="12"/>
      <c r="GGS37" s="12"/>
      <c r="GGT37" s="12"/>
      <c r="GHK37" s="12"/>
      <c r="GHL37" s="12"/>
      <c r="GIC37" s="12"/>
      <c r="GID37" s="12"/>
      <c r="GIU37" s="12"/>
      <c r="GIV37" s="12"/>
      <c r="GJM37" s="12"/>
      <c r="GJN37" s="12"/>
      <c r="GKE37" s="12"/>
      <c r="GKF37" s="12"/>
      <c r="GKW37" s="12"/>
      <c r="GKX37" s="12"/>
      <c r="GLO37" s="12"/>
      <c r="GLP37" s="12"/>
      <c r="GMG37" s="12"/>
      <c r="GMH37" s="12"/>
      <c r="GMY37" s="12"/>
      <c r="GMZ37" s="12"/>
      <c r="GNQ37" s="12"/>
      <c r="GNR37" s="12"/>
      <c r="GOI37" s="12"/>
      <c r="GOJ37" s="12"/>
      <c r="GPA37" s="12"/>
      <c r="GPB37" s="12"/>
      <c r="GPS37" s="12"/>
      <c r="GPT37" s="12"/>
      <c r="GQK37" s="12"/>
      <c r="GQL37" s="12"/>
      <c r="GRC37" s="12"/>
      <c r="GRD37" s="12"/>
      <c r="GRU37" s="12"/>
      <c r="GRV37" s="12"/>
      <c r="GSM37" s="12"/>
      <c r="GSN37" s="12"/>
      <c r="GTE37" s="12"/>
      <c r="GTF37" s="12"/>
      <c r="GTW37" s="12"/>
      <c r="GTX37" s="12"/>
      <c r="GUO37" s="12"/>
      <c r="GUP37" s="12"/>
      <c r="GVG37" s="12"/>
      <c r="GVH37" s="12"/>
      <c r="GVY37" s="12"/>
      <c r="GVZ37" s="12"/>
      <c r="GWQ37" s="12"/>
      <c r="GWR37" s="12"/>
      <c r="GXI37" s="12"/>
      <c r="GXJ37" s="12"/>
      <c r="GYA37" s="12"/>
      <c r="GYB37" s="12"/>
      <c r="GYS37" s="12"/>
      <c r="GYT37" s="12"/>
      <c r="GZK37" s="12"/>
      <c r="GZL37" s="12"/>
      <c r="HAC37" s="12"/>
      <c r="HAD37" s="12"/>
      <c r="HAU37" s="12"/>
      <c r="HAV37" s="12"/>
      <c r="HBM37" s="12"/>
      <c r="HBN37" s="12"/>
      <c r="HCE37" s="12"/>
      <c r="HCF37" s="12"/>
      <c r="HCW37" s="12"/>
      <c r="HCX37" s="12"/>
      <c r="HDO37" s="12"/>
      <c r="HDP37" s="12"/>
      <c r="HEG37" s="12"/>
      <c r="HEH37" s="12"/>
      <c r="HEY37" s="12"/>
      <c r="HEZ37" s="12"/>
      <c r="HFQ37" s="12"/>
      <c r="HFR37" s="12"/>
      <c r="HGI37" s="12"/>
      <c r="HGJ37" s="12"/>
      <c r="HHA37" s="12"/>
      <c r="HHB37" s="12"/>
      <c r="HHS37" s="12"/>
      <c r="HHT37" s="12"/>
      <c r="HIK37" s="12"/>
      <c r="HIL37" s="12"/>
      <c r="HJC37" s="12"/>
      <c r="HJD37" s="12"/>
      <c r="HJU37" s="12"/>
      <c r="HJV37" s="12"/>
      <c r="HKM37" s="12"/>
      <c r="HKN37" s="12"/>
      <c r="HLE37" s="12"/>
      <c r="HLF37" s="12"/>
      <c r="HLW37" s="12"/>
      <c r="HLX37" s="12"/>
      <c r="HMO37" s="12"/>
      <c r="HMP37" s="12"/>
      <c r="HNG37" s="12"/>
      <c r="HNH37" s="12"/>
      <c r="HNY37" s="12"/>
      <c r="HNZ37" s="12"/>
      <c r="HOQ37" s="12"/>
      <c r="HOR37" s="12"/>
      <c r="HPI37" s="12"/>
      <c r="HPJ37" s="12"/>
      <c r="HQA37" s="12"/>
      <c r="HQB37" s="12"/>
      <c r="HQS37" s="12"/>
      <c r="HQT37" s="12"/>
      <c r="HRK37" s="12"/>
      <c r="HRL37" s="12"/>
      <c r="HSC37" s="12"/>
      <c r="HSD37" s="12"/>
      <c r="HSU37" s="12"/>
      <c r="HSV37" s="12"/>
      <c r="HTM37" s="12"/>
      <c r="HTN37" s="12"/>
      <c r="HUE37" s="12"/>
      <c r="HUF37" s="12"/>
      <c r="HUW37" s="12"/>
      <c r="HUX37" s="12"/>
      <c r="HVO37" s="12"/>
      <c r="HVP37" s="12"/>
      <c r="HWG37" s="12"/>
      <c r="HWH37" s="12"/>
      <c r="HWY37" s="12"/>
      <c r="HWZ37" s="12"/>
      <c r="HXQ37" s="12"/>
      <c r="HXR37" s="12"/>
      <c r="HYI37" s="12"/>
      <c r="HYJ37" s="12"/>
      <c r="HZA37" s="12"/>
      <c r="HZB37" s="12"/>
      <c r="HZS37" s="12"/>
      <c r="HZT37" s="12"/>
      <c r="IAK37" s="12"/>
      <c r="IAL37" s="12"/>
      <c r="IBC37" s="12"/>
      <c r="IBD37" s="12"/>
      <c r="IBU37" s="12"/>
      <c r="IBV37" s="12"/>
      <c r="ICM37" s="12"/>
      <c r="ICN37" s="12"/>
      <c r="IDE37" s="12"/>
      <c r="IDF37" s="12"/>
      <c r="IDW37" s="12"/>
      <c r="IDX37" s="12"/>
      <c r="IEO37" s="12"/>
      <c r="IEP37" s="12"/>
      <c r="IFG37" s="12"/>
      <c r="IFH37" s="12"/>
      <c r="IFY37" s="12"/>
      <c r="IFZ37" s="12"/>
      <c r="IGQ37" s="12"/>
      <c r="IGR37" s="12"/>
      <c r="IHI37" s="12"/>
      <c r="IHJ37" s="12"/>
      <c r="IIA37" s="12"/>
      <c r="IIB37" s="12"/>
      <c r="IIS37" s="12"/>
      <c r="IIT37" s="12"/>
      <c r="IJK37" s="12"/>
      <c r="IJL37" s="12"/>
      <c r="IKC37" s="12"/>
      <c r="IKD37" s="12"/>
      <c r="IKU37" s="12"/>
      <c r="IKV37" s="12"/>
      <c r="ILM37" s="12"/>
      <c r="ILN37" s="12"/>
      <c r="IME37" s="12"/>
      <c r="IMF37" s="12"/>
      <c r="IMW37" s="12"/>
      <c r="IMX37" s="12"/>
      <c r="INO37" s="12"/>
      <c r="INP37" s="12"/>
      <c r="IOG37" s="12"/>
      <c r="IOH37" s="12"/>
      <c r="IOY37" s="12"/>
      <c r="IOZ37" s="12"/>
      <c r="IPQ37" s="12"/>
      <c r="IPR37" s="12"/>
      <c r="IQI37" s="12"/>
      <c r="IQJ37" s="12"/>
      <c r="IRA37" s="12"/>
      <c r="IRB37" s="12"/>
      <c r="IRS37" s="12"/>
      <c r="IRT37" s="12"/>
      <c r="ISK37" s="12"/>
      <c r="ISL37" s="12"/>
      <c r="ITC37" s="12"/>
      <c r="ITD37" s="12"/>
      <c r="ITU37" s="12"/>
      <c r="ITV37" s="12"/>
      <c r="IUM37" s="12"/>
      <c r="IUN37" s="12"/>
      <c r="IVE37" s="12"/>
      <c r="IVF37" s="12"/>
      <c r="IVW37" s="12"/>
      <c r="IVX37" s="12"/>
      <c r="IWO37" s="12"/>
      <c r="IWP37" s="12"/>
      <c r="IXG37" s="12"/>
      <c r="IXH37" s="12"/>
      <c r="IXY37" s="12"/>
      <c r="IXZ37" s="12"/>
      <c r="IYQ37" s="12"/>
      <c r="IYR37" s="12"/>
      <c r="IZI37" s="12"/>
      <c r="IZJ37" s="12"/>
      <c r="JAA37" s="12"/>
      <c r="JAB37" s="12"/>
      <c r="JAS37" s="12"/>
      <c r="JAT37" s="12"/>
      <c r="JBK37" s="12"/>
      <c r="JBL37" s="12"/>
      <c r="JCC37" s="12"/>
      <c r="JCD37" s="12"/>
      <c r="JCU37" s="12"/>
      <c r="JCV37" s="12"/>
      <c r="JDM37" s="12"/>
      <c r="JDN37" s="12"/>
      <c r="JEE37" s="12"/>
      <c r="JEF37" s="12"/>
      <c r="JEW37" s="12"/>
      <c r="JEX37" s="12"/>
      <c r="JFO37" s="12"/>
      <c r="JFP37" s="12"/>
      <c r="JGG37" s="12"/>
      <c r="JGH37" s="12"/>
      <c r="JGY37" s="12"/>
      <c r="JGZ37" s="12"/>
      <c r="JHQ37" s="12"/>
      <c r="JHR37" s="12"/>
      <c r="JII37" s="12"/>
      <c r="JIJ37" s="12"/>
      <c r="JJA37" s="12"/>
      <c r="JJB37" s="12"/>
      <c r="JJS37" s="12"/>
      <c r="JJT37" s="12"/>
      <c r="JKK37" s="12"/>
      <c r="JKL37" s="12"/>
      <c r="JLC37" s="12"/>
      <c r="JLD37" s="12"/>
      <c r="JLU37" s="12"/>
      <c r="JLV37" s="12"/>
      <c r="JMM37" s="12"/>
      <c r="JMN37" s="12"/>
      <c r="JNE37" s="12"/>
      <c r="JNF37" s="12"/>
      <c r="JNW37" s="12"/>
      <c r="JNX37" s="12"/>
      <c r="JOO37" s="12"/>
      <c r="JOP37" s="12"/>
      <c r="JPG37" s="12"/>
      <c r="JPH37" s="12"/>
      <c r="JPY37" s="12"/>
      <c r="JPZ37" s="12"/>
      <c r="JQQ37" s="12"/>
      <c r="JQR37" s="12"/>
      <c r="JRI37" s="12"/>
      <c r="JRJ37" s="12"/>
      <c r="JSA37" s="12"/>
      <c r="JSB37" s="12"/>
      <c r="JSS37" s="12"/>
      <c r="JST37" s="12"/>
      <c r="JTK37" s="12"/>
      <c r="JTL37" s="12"/>
      <c r="JUC37" s="12"/>
      <c r="JUD37" s="12"/>
      <c r="JUU37" s="12"/>
      <c r="JUV37" s="12"/>
      <c r="JVM37" s="12"/>
      <c r="JVN37" s="12"/>
      <c r="JWE37" s="12"/>
      <c r="JWF37" s="12"/>
      <c r="JWW37" s="12"/>
      <c r="JWX37" s="12"/>
      <c r="JXO37" s="12"/>
      <c r="JXP37" s="12"/>
      <c r="JYG37" s="12"/>
      <c r="JYH37" s="12"/>
      <c r="JYY37" s="12"/>
      <c r="JYZ37" s="12"/>
      <c r="JZQ37" s="12"/>
      <c r="JZR37" s="12"/>
      <c r="KAI37" s="12"/>
      <c r="KAJ37" s="12"/>
      <c r="KBA37" s="12"/>
      <c r="KBB37" s="12"/>
      <c r="KBS37" s="12"/>
      <c r="KBT37" s="12"/>
      <c r="KCK37" s="12"/>
      <c r="KCL37" s="12"/>
      <c r="KDC37" s="12"/>
      <c r="KDD37" s="12"/>
      <c r="KDU37" s="12"/>
      <c r="KDV37" s="12"/>
      <c r="KEM37" s="12"/>
      <c r="KEN37" s="12"/>
      <c r="KFE37" s="12"/>
      <c r="KFF37" s="12"/>
      <c r="KFW37" s="12"/>
      <c r="KFX37" s="12"/>
      <c r="KGO37" s="12"/>
      <c r="KGP37" s="12"/>
      <c r="KHG37" s="12"/>
      <c r="KHH37" s="12"/>
      <c r="KHY37" s="12"/>
      <c r="KHZ37" s="12"/>
      <c r="KIQ37" s="12"/>
      <c r="KIR37" s="12"/>
      <c r="KJI37" s="12"/>
      <c r="KJJ37" s="12"/>
      <c r="KKA37" s="12"/>
      <c r="KKB37" s="12"/>
      <c r="KKS37" s="12"/>
      <c r="KKT37" s="12"/>
      <c r="KLK37" s="12"/>
      <c r="KLL37" s="12"/>
      <c r="KMC37" s="12"/>
      <c r="KMD37" s="12"/>
      <c r="KMU37" s="12"/>
      <c r="KMV37" s="12"/>
      <c r="KNM37" s="12"/>
      <c r="KNN37" s="12"/>
      <c r="KOE37" s="12"/>
      <c r="KOF37" s="12"/>
      <c r="KOW37" s="12"/>
      <c r="KOX37" s="12"/>
      <c r="KPO37" s="12"/>
      <c r="KPP37" s="12"/>
      <c r="KQG37" s="12"/>
      <c r="KQH37" s="12"/>
      <c r="KQY37" s="12"/>
      <c r="KQZ37" s="12"/>
      <c r="KRQ37" s="12"/>
      <c r="KRR37" s="12"/>
      <c r="KSI37" s="12"/>
      <c r="KSJ37" s="12"/>
      <c r="KTA37" s="12"/>
      <c r="KTB37" s="12"/>
      <c r="KTS37" s="12"/>
      <c r="KTT37" s="12"/>
      <c r="KUK37" s="12"/>
      <c r="KUL37" s="12"/>
      <c r="KVC37" s="12"/>
      <c r="KVD37" s="12"/>
      <c r="KVU37" s="12"/>
      <c r="KVV37" s="12"/>
      <c r="KWM37" s="12"/>
      <c r="KWN37" s="12"/>
      <c r="KXE37" s="12"/>
      <c r="KXF37" s="12"/>
      <c r="KXW37" s="12"/>
      <c r="KXX37" s="12"/>
      <c r="KYO37" s="12"/>
      <c r="KYP37" s="12"/>
      <c r="KZG37" s="12"/>
      <c r="KZH37" s="12"/>
      <c r="KZY37" s="12"/>
      <c r="KZZ37" s="12"/>
      <c r="LAQ37" s="12"/>
      <c r="LAR37" s="12"/>
      <c r="LBI37" s="12"/>
      <c r="LBJ37" s="12"/>
      <c r="LCA37" s="12"/>
      <c r="LCB37" s="12"/>
      <c r="LCS37" s="12"/>
      <c r="LCT37" s="12"/>
      <c r="LDK37" s="12"/>
      <c r="LDL37" s="12"/>
      <c r="LEC37" s="12"/>
      <c r="LED37" s="12"/>
      <c r="LEU37" s="12"/>
      <c r="LEV37" s="12"/>
      <c r="LFM37" s="12"/>
      <c r="LFN37" s="12"/>
      <c r="LGE37" s="12"/>
      <c r="LGF37" s="12"/>
      <c r="LGW37" s="12"/>
      <c r="LGX37" s="12"/>
      <c r="LHO37" s="12"/>
      <c r="LHP37" s="12"/>
      <c r="LIG37" s="12"/>
      <c r="LIH37" s="12"/>
      <c r="LIY37" s="12"/>
      <c r="LIZ37" s="12"/>
      <c r="LJQ37" s="12"/>
      <c r="LJR37" s="12"/>
      <c r="LKI37" s="12"/>
      <c r="LKJ37" s="12"/>
      <c r="LLA37" s="12"/>
      <c r="LLB37" s="12"/>
      <c r="LLS37" s="12"/>
      <c r="LLT37" s="12"/>
      <c r="LMK37" s="12"/>
      <c r="LML37" s="12"/>
      <c r="LNC37" s="12"/>
      <c r="LND37" s="12"/>
      <c r="LNU37" s="12"/>
      <c r="LNV37" s="12"/>
      <c r="LOM37" s="12"/>
      <c r="LON37" s="12"/>
      <c r="LPE37" s="12"/>
      <c r="LPF37" s="12"/>
      <c r="LPW37" s="12"/>
      <c r="LPX37" s="12"/>
      <c r="LQO37" s="12"/>
      <c r="LQP37" s="12"/>
      <c r="LRG37" s="12"/>
      <c r="LRH37" s="12"/>
      <c r="LRY37" s="12"/>
      <c r="LRZ37" s="12"/>
      <c r="LSQ37" s="12"/>
      <c r="LSR37" s="12"/>
      <c r="LTI37" s="12"/>
      <c r="LTJ37" s="12"/>
      <c r="LUA37" s="12"/>
      <c r="LUB37" s="12"/>
      <c r="LUS37" s="12"/>
      <c r="LUT37" s="12"/>
      <c r="LVK37" s="12"/>
      <c r="LVL37" s="12"/>
      <c r="LWC37" s="12"/>
      <c r="LWD37" s="12"/>
      <c r="LWU37" s="12"/>
      <c r="LWV37" s="12"/>
      <c r="LXM37" s="12"/>
      <c r="LXN37" s="12"/>
      <c r="LYE37" s="12"/>
      <c r="LYF37" s="12"/>
      <c r="LYW37" s="12"/>
      <c r="LYX37" s="12"/>
      <c r="LZO37" s="12"/>
      <c r="LZP37" s="12"/>
      <c r="MAG37" s="12"/>
      <c r="MAH37" s="12"/>
      <c r="MAY37" s="12"/>
      <c r="MAZ37" s="12"/>
      <c r="MBQ37" s="12"/>
      <c r="MBR37" s="12"/>
      <c r="MCI37" s="12"/>
      <c r="MCJ37" s="12"/>
      <c r="MDA37" s="12"/>
      <c r="MDB37" s="12"/>
      <c r="MDS37" s="12"/>
      <c r="MDT37" s="12"/>
      <c r="MEK37" s="12"/>
      <c r="MEL37" s="12"/>
      <c r="MFC37" s="12"/>
      <c r="MFD37" s="12"/>
      <c r="MFU37" s="12"/>
      <c r="MFV37" s="12"/>
      <c r="MGM37" s="12"/>
      <c r="MGN37" s="12"/>
      <c r="MHE37" s="12"/>
      <c r="MHF37" s="12"/>
      <c r="MHW37" s="12"/>
      <c r="MHX37" s="12"/>
      <c r="MIO37" s="12"/>
      <c r="MIP37" s="12"/>
      <c r="MJG37" s="12"/>
      <c r="MJH37" s="12"/>
      <c r="MJY37" s="12"/>
      <c r="MJZ37" s="12"/>
      <c r="MKQ37" s="12"/>
      <c r="MKR37" s="12"/>
      <c r="MLI37" s="12"/>
      <c r="MLJ37" s="12"/>
      <c r="MMA37" s="12"/>
      <c r="MMB37" s="12"/>
      <c r="MMS37" s="12"/>
      <c r="MMT37" s="12"/>
      <c r="MNK37" s="12"/>
      <c r="MNL37" s="12"/>
      <c r="MOC37" s="12"/>
      <c r="MOD37" s="12"/>
      <c r="MOU37" s="12"/>
      <c r="MOV37" s="12"/>
      <c r="MPM37" s="12"/>
      <c r="MPN37" s="12"/>
      <c r="MQE37" s="12"/>
      <c r="MQF37" s="12"/>
      <c r="MQW37" s="12"/>
      <c r="MQX37" s="12"/>
      <c r="MRO37" s="12"/>
      <c r="MRP37" s="12"/>
      <c r="MSG37" s="12"/>
      <c r="MSH37" s="12"/>
      <c r="MSY37" s="12"/>
      <c r="MSZ37" s="12"/>
      <c r="MTQ37" s="12"/>
      <c r="MTR37" s="12"/>
      <c r="MUI37" s="12"/>
      <c r="MUJ37" s="12"/>
      <c r="MVA37" s="12"/>
      <c r="MVB37" s="12"/>
      <c r="MVS37" s="12"/>
      <c r="MVT37" s="12"/>
      <c r="MWK37" s="12"/>
      <c r="MWL37" s="12"/>
      <c r="MXC37" s="12"/>
      <c r="MXD37" s="12"/>
      <c r="MXU37" s="12"/>
      <c r="MXV37" s="12"/>
      <c r="MYM37" s="12"/>
      <c r="MYN37" s="12"/>
      <c r="MZE37" s="12"/>
      <c r="MZF37" s="12"/>
      <c r="MZW37" s="12"/>
      <c r="MZX37" s="12"/>
      <c r="NAO37" s="12"/>
      <c r="NAP37" s="12"/>
      <c r="NBG37" s="12"/>
      <c r="NBH37" s="12"/>
      <c r="NBY37" s="12"/>
      <c r="NBZ37" s="12"/>
      <c r="NCQ37" s="12"/>
      <c r="NCR37" s="12"/>
      <c r="NDI37" s="12"/>
      <c r="NDJ37" s="12"/>
      <c r="NEA37" s="12"/>
      <c r="NEB37" s="12"/>
      <c r="NES37" s="12"/>
      <c r="NET37" s="12"/>
      <c r="NFK37" s="12"/>
      <c r="NFL37" s="12"/>
      <c r="NGC37" s="12"/>
      <c r="NGD37" s="12"/>
      <c r="NGU37" s="12"/>
      <c r="NGV37" s="12"/>
      <c r="NHM37" s="12"/>
      <c r="NHN37" s="12"/>
      <c r="NIE37" s="12"/>
      <c r="NIF37" s="12"/>
      <c r="NIW37" s="12"/>
      <c r="NIX37" s="12"/>
      <c r="NJO37" s="12"/>
      <c r="NJP37" s="12"/>
      <c r="NKG37" s="12"/>
      <c r="NKH37" s="12"/>
      <c r="NKY37" s="12"/>
      <c r="NKZ37" s="12"/>
      <c r="NLQ37" s="12"/>
      <c r="NLR37" s="12"/>
      <c r="NMI37" s="12"/>
      <c r="NMJ37" s="12"/>
      <c r="NNA37" s="12"/>
      <c r="NNB37" s="12"/>
      <c r="NNS37" s="12"/>
      <c r="NNT37" s="12"/>
      <c r="NOK37" s="12"/>
      <c r="NOL37" s="12"/>
      <c r="NPC37" s="12"/>
      <c r="NPD37" s="12"/>
      <c r="NPU37" s="12"/>
      <c r="NPV37" s="12"/>
      <c r="NQM37" s="12"/>
      <c r="NQN37" s="12"/>
      <c r="NRE37" s="12"/>
      <c r="NRF37" s="12"/>
      <c r="NRW37" s="12"/>
      <c r="NRX37" s="12"/>
      <c r="NSO37" s="12"/>
      <c r="NSP37" s="12"/>
      <c r="NTG37" s="12"/>
      <c r="NTH37" s="12"/>
      <c r="NTY37" s="12"/>
      <c r="NTZ37" s="12"/>
      <c r="NUQ37" s="12"/>
      <c r="NUR37" s="12"/>
      <c r="NVI37" s="12"/>
      <c r="NVJ37" s="12"/>
      <c r="NWA37" s="12"/>
      <c r="NWB37" s="12"/>
      <c r="NWS37" s="12"/>
      <c r="NWT37" s="12"/>
      <c r="NXK37" s="12"/>
      <c r="NXL37" s="12"/>
      <c r="NYC37" s="12"/>
      <c r="NYD37" s="12"/>
      <c r="NYU37" s="12"/>
      <c r="NYV37" s="12"/>
      <c r="NZM37" s="12"/>
      <c r="NZN37" s="12"/>
      <c r="OAE37" s="12"/>
      <c r="OAF37" s="12"/>
      <c r="OAW37" s="12"/>
      <c r="OAX37" s="12"/>
      <c r="OBO37" s="12"/>
      <c r="OBP37" s="12"/>
      <c r="OCG37" s="12"/>
      <c r="OCH37" s="12"/>
      <c r="OCY37" s="12"/>
      <c r="OCZ37" s="12"/>
      <c r="ODQ37" s="12"/>
      <c r="ODR37" s="12"/>
      <c r="OEI37" s="12"/>
      <c r="OEJ37" s="12"/>
      <c r="OFA37" s="12"/>
      <c r="OFB37" s="12"/>
      <c r="OFS37" s="12"/>
      <c r="OFT37" s="12"/>
      <c r="OGK37" s="12"/>
      <c r="OGL37" s="12"/>
      <c r="OHC37" s="12"/>
      <c r="OHD37" s="12"/>
      <c r="OHU37" s="12"/>
      <c r="OHV37" s="12"/>
      <c r="OIM37" s="12"/>
      <c r="OIN37" s="12"/>
      <c r="OJE37" s="12"/>
      <c r="OJF37" s="12"/>
      <c r="OJW37" s="12"/>
      <c r="OJX37" s="12"/>
      <c r="OKO37" s="12"/>
      <c r="OKP37" s="12"/>
      <c r="OLG37" s="12"/>
      <c r="OLH37" s="12"/>
      <c r="OLY37" s="12"/>
      <c r="OLZ37" s="12"/>
      <c r="OMQ37" s="12"/>
      <c r="OMR37" s="12"/>
      <c r="ONI37" s="12"/>
      <c r="ONJ37" s="12"/>
      <c r="OOA37" s="12"/>
      <c r="OOB37" s="12"/>
      <c r="OOS37" s="12"/>
      <c r="OOT37" s="12"/>
      <c r="OPK37" s="12"/>
      <c r="OPL37" s="12"/>
      <c r="OQC37" s="12"/>
      <c r="OQD37" s="12"/>
      <c r="OQU37" s="12"/>
      <c r="OQV37" s="12"/>
      <c r="ORM37" s="12"/>
      <c r="ORN37" s="12"/>
      <c r="OSE37" s="12"/>
      <c r="OSF37" s="12"/>
      <c r="OSW37" s="12"/>
      <c r="OSX37" s="12"/>
      <c r="OTO37" s="12"/>
      <c r="OTP37" s="12"/>
      <c r="OUG37" s="12"/>
      <c r="OUH37" s="12"/>
      <c r="OUY37" s="12"/>
      <c r="OUZ37" s="12"/>
      <c r="OVQ37" s="12"/>
      <c r="OVR37" s="12"/>
      <c r="OWI37" s="12"/>
      <c r="OWJ37" s="12"/>
      <c r="OXA37" s="12"/>
      <c r="OXB37" s="12"/>
      <c r="OXS37" s="12"/>
      <c r="OXT37" s="12"/>
      <c r="OYK37" s="12"/>
      <c r="OYL37" s="12"/>
      <c r="OZC37" s="12"/>
      <c r="OZD37" s="12"/>
      <c r="OZU37" s="12"/>
      <c r="OZV37" s="12"/>
      <c r="PAM37" s="12"/>
      <c r="PAN37" s="12"/>
      <c r="PBE37" s="12"/>
      <c r="PBF37" s="12"/>
      <c r="PBW37" s="12"/>
      <c r="PBX37" s="12"/>
      <c r="PCO37" s="12"/>
      <c r="PCP37" s="12"/>
      <c r="PDG37" s="12"/>
      <c r="PDH37" s="12"/>
      <c r="PDY37" s="12"/>
      <c r="PDZ37" s="12"/>
      <c r="PEQ37" s="12"/>
      <c r="PER37" s="12"/>
      <c r="PFI37" s="12"/>
      <c r="PFJ37" s="12"/>
      <c r="PGA37" s="12"/>
      <c r="PGB37" s="12"/>
      <c r="PGS37" s="12"/>
      <c r="PGT37" s="12"/>
      <c r="PHK37" s="12"/>
      <c r="PHL37" s="12"/>
      <c r="PIC37" s="12"/>
      <c r="PID37" s="12"/>
      <c r="PIU37" s="12"/>
      <c r="PIV37" s="12"/>
      <c r="PJM37" s="12"/>
      <c r="PJN37" s="12"/>
      <c r="PKE37" s="12"/>
      <c r="PKF37" s="12"/>
      <c r="PKW37" s="12"/>
      <c r="PKX37" s="12"/>
      <c r="PLO37" s="12"/>
      <c r="PLP37" s="12"/>
      <c r="PMG37" s="12"/>
      <c r="PMH37" s="12"/>
      <c r="PMY37" s="12"/>
      <c r="PMZ37" s="12"/>
      <c r="PNQ37" s="12"/>
      <c r="PNR37" s="12"/>
      <c r="POI37" s="12"/>
      <c r="POJ37" s="12"/>
      <c r="PPA37" s="12"/>
      <c r="PPB37" s="12"/>
      <c r="PPS37" s="12"/>
      <c r="PPT37" s="12"/>
      <c r="PQK37" s="12"/>
      <c r="PQL37" s="12"/>
      <c r="PRC37" s="12"/>
      <c r="PRD37" s="12"/>
      <c r="PRU37" s="12"/>
      <c r="PRV37" s="12"/>
      <c r="PSM37" s="12"/>
      <c r="PSN37" s="12"/>
      <c r="PTE37" s="12"/>
      <c r="PTF37" s="12"/>
      <c r="PTW37" s="12"/>
      <c r="PTX37" s="12"/>
      <c r="PUO37" s="12"/>
      <c r="PUP37" s="12"/>
      <c r="PVG37" s="12"/>
      <c r="PVH37" s="12"/>
      <c r="PVY37" s="12"/>
      <c r="PVZ37" s="12"/>
      <c r="PWQ37" s="12"/>
      <c r="PWR37" s="12"/>
      <c r="PXI37" s="12"/>
      <c r="PXJ37" s="12"/>
      <c r="PYA37" s="12"/>
      <c r="PYB37" s="12"/>
      <c r="PYS37" s="12"/>
      <c r="PYT37" s="12"/>
      <c r="PZK37" s="12"/>
      <c r="PZL37" s="12"/>
      <c r="QAC37" s="12"/>
      <c r="QAD37" s="12"/>
      <c r="QAU37" s="12"/>
      <c r="QAV37" s="12"/>
      <c r="QBM37" s="12"/>
      <c r="QBN37" s="12"/>
      <c r="QCE37" s="12"/>
      <c r="QCF37" s="12"/>
      <c r="QCW37" s="12"/>
      <c r="QCX37" s="12"/>
      <c r="QDO37" s="12"/>
      <c r="QDP37" s="12"/>
      <c r="QEG37" s="12"/>
      <c r="QEH37" s="12"/>
      <c r="QEY37" s="12"/>
      <c r="QEZ37" s="12"/>
      <c r="QFQ37" s="12"/>
      <c r="QFR37" s="12"/>
      <c r="QGI37" s="12"/>
      <c r="QGJ37" s="12"/>
      <c r="QHA37" s="12"/>
      <c r="QHB37" s="12"/>
      <c r="QHS37" s="12"/>
      <c r="QHT37" s="12"/>
      <c r="QIK37" s="12"/>
      <c r="QIL37" s="12"/>
      <c r="QJC37" s="12"/>
      <c r="QJD37" s="12"/>
      <c r="QJU37" s="12"/>
      <c r="QJV37" s="12"/>
      <c r="QKM37" s="12"/>
      <c r="QKN37" s="12"/>
      <c r="QLE37" s="12"/>
      <c r="QLF37" s="12"/>
      <c r="QLW37" s="12"/>
      <c r="QLX37" s="12"/>
      <c r="QMO37" s="12"/>
      <c r="QMP37" s="12"/>
      <c r="QNG37" s="12"/>
      <c r="QNH37" s="12"/>
      <c r="QNY37" s="12"/>
      <c r="QNZ37" s="12"/>
      <c r="QOQ37" s="12"/>
      <c r="QOR37" s="12"/>
      <c r="QPI37" s="12"/>
      <c r="QPJ37" s="12"/>
      <c r="QQA37" s="12"/>
      <c r="QQB37" s="12"/>
      <c r="QQS37" s="12"/>
      <c r="QQT37" s="12"/>
      <c r="QRK37" s="12"/>
      <c r="QRL37" s="12"/>
      <c r="QSC37" s="12"/>
      <c r="QSD37" s="12"/>
      <c r="QSU37" s="12"/>
      <c r="QSV37" s="12"/>
      <c r="QTM37" s="12"/>
      <c r="QTN37" s="12"/>
      <c r="QUE37" s="12"/>
      <c r="QUF37" s="12"/>
      <c r="QUW37" s="12"/>
      <c r="QUX37" s="12"/>
      <c r="QVO37" s="12"/>
      <c r="QVP37" s="12"/>
      <c r="QWG37" s="12"/>
      <c r="QWH37" s="12"/>
      <c r="QWY37" s="12"/>
      <c r="QWZ37" s="12"/>
      <c r="QXQ37" s="12"/>
      <c r="QXR37" s="12"/>
      <c r="QYI37" s="12"/>
      <c r="QYJ37" s="12"/>
      <c r="QZA37" s="12"/>
      <c r="QZB37" s="12"/>
      <c r="QZS37" s="12"/>
      <c r="QZT37" s="12"/>
      <c r="RAK37" s="12"/>
      <c r="RAL37" s="12"/>
      <c r="RBC37" s="12"/>
      <c r="RBD37" s="12"/>
      <c r="RBU37" s="12"/>
      <c r="RBV37" s="12"/>
      <c r="RCM37" s="12"/>
      <c r="RCN37" s="12"/>
      <c r="RDE37" s="12"/>
      <c r="RDF37" s="12"/>
      <c r="RDW37" s="12"/>
      <c r="RDX37" s="12"/>
      <c r="REO37" s="12"/>
      <c r="REP37" s="12"/>
      <c r="RFG37" s="12"/>
      <c r="RFH37" s="12"/>
      <c r="RFY37" s="12"/>
      <c r="RFZ37" s="12"/>
      <c r="RGQ37" s="12"/>
      <c r="RGR37" s="12"/>
      <c r="RHI37" s="12"/>
      <c r="RHJ37" s="12"/>
      <c r="RIA37" s="12"/>
      <c r="RIB37" s="12"/>
      <c r="RIS37" s="12"/>
      <c r="RIT37" s="12"/>
      <c r="RJK37" s="12"/>
      <c r="RJL37" s="12"/>
      <c r="RKC37" s="12"/>
      <c r="RKD37" s="12"/>
      <c r="RKU37" s="12"/>
      <c r="RKV37" s="12"/>
      <c r="RLM37" s="12"/>
      <c r="RLN37" s="12"/>
      <c r="RME37" s="12"/>
      <c r="RMF37" s="12"/>
      <c r="RMW37" s="12"/>
      <c r="RMX37" s="12"/>
      <c r="RNO37" s="12"/>
      <c r="RNP37" s="12"/>
      <c r="ROG37" s="12"/>
      <c r="ROH37" s="12"/>
      <c r="ROY37" s="12"/>
      <c r="ROZ37" s="12"/>
      <c r="RPQ37" s="12"/>
      <c r="RPR37" s="12"/>
      <c r="RQI37" s="12"/>
      <c r="RQJ37" s="12"/>
      <c r="RRA37" s="12"/>
      <c r="RRB37" s="12"/>
      <c r="RRS37" s="12"/>
      <c r="RRT37" s="12"/>
      <c r="RSK37" s="12"/>
      <c r="RSL37" s="12"/>
      <c r="RTC37" s="12"/>
      <c r="RTD37" s="12"/>
      <c r="RTU37" s="12"/>
      <c r="RTV37" s="12"/>
      <c r="RUM37" s="12"/>
      <c r="RUN37" s="12"/>
      <c r="RVE37" s="12"/>
      <c r="RVF37" s="12"/>
      <c r="RVW37" s="12"/>
      <c r="RVX37" s="12"/>
      <c r="RWO37" s="12"/>
      <c r="RWP37" s="12"/>
      <c r="RXG37" s="12"/>
      <c r="RXH37" s="12"/>
      <c r="RXY37" s="12"/>
      <c r="RXZ37" s="12"/>
      <c r="RYQ37" s="12"/>
      <c r="RYR37" s="12"/>
      <c r="RZI37" s="12"/>
      <c r="RZJ37" s="12"/>
      <c r="SAA37" s="12"/>
      <c r="SAB37" s="12"/>
      <c r="SAS37" s="12"/>
      <c r="SAT37" s="12"/>
      <c r="SBK37" s="12"/>
      <c r="SBL37" s="12"/>
      <c r="SCC37" s="12"/>
      <c r="SCD37" s="12"/>
      <c r="SCU37" s="12"/>
      <c r="SCV37" s="12"/>
      <c r="SDM37" s="12"/>
      <c r="SDN37" s="12"/>
      <c r="SEE37" s="12"/>
      <c r="SEF37" s="12"/>
      <c r="SEW37" s="12"/>
      <c r="SEX37" s="12"/>
      <c r="SFO37" s="12"/>
      <c r="SFP37" s="12"/>
      <c r="SGG37" s="12"/>
      <c r="SGH37" s="12"/>
      <c r="SGY37" s="12"/>
      <c r="SGZ37" s="12"/>
      <c r="SHQ37" s="12"/>
      <c r="SHR37" s="12"/>
      <c r="SII37" s="12"/>
      <c r="SIJ37" s="12"/>
      <c r="SJA37" s="12"/>
      <c r="SJB37" s="12"/>
      <c r="SJS37" s="12"/>
      <c r="SJT37" s="12"/>
      <c r="SKK37" s="12"/>
      <c r="SKL37" s="12"/>
      <c r="SLC37" s="12"/>
      <c r="SLD37" s="12"/>
      <c r="SLU37" s="12"/>
      <c r="SLV37" s="12"/>
      <c r="SMM37" s="12"/>
      <c r="SMN37" s="12"/>
      <c r="SNE37" s="12"/>
      <c r="SNF37" s="12"/>
      <c r="SNW37" s="12"/>
      <c r="SNX37" s="12"/>
      <c r="SOO37" s="12"/>
      <c r="SOP37" s="12"/>
      <c r="SPG37" s="12"/>
      <c r="SPH37" s="12"/>
      <c r="SPY37" s="12"/>
      <c r="SPZ37" s="12"/>
      <c r="SQQ37" s="12"/>
      <c r="SQR37" s="12"/>
      <c r="SRI37" s="12"/>
      <c r="SRJ37" s="12"/>
      <c r="SSA37" s="12"/>
      <c r="SSB37" s="12"/>
      <c r="SSS37" s="12"/>
      <c r="SST37" s="12"/>
      <c r="STK37" s="12"/>
      <c r="STL37" s="12"/>
      <c r="SUC37" s="12"/>
      <c r="SUD37" s="12"/>
      <c r="SUU37" s="12"/>
      <c r="SUV37" s="12"/>
      <c r="SVM37" s="12"/>
      <c r="SVN37" s="12"/>
      <c r="SWE37" s="12"/>
      <c r="SWF37" s="12"/>
      <c r="SWW37" s="12"/>
      <c r="SWX37" s="12"/>
      <c r="SXO37" s="12"/>
      <c r="SXP37" s="12"/>
      <c r="SYG37" s="12"/>
      <c r="SYH37" s="12"/>
      <c r="SYY37" s="12"/>
      <c r="SYZ37" s="12"/>
      <c r="SZQ37" s="12"/>
      <c r="SZR37" s="12"/>
      <c r="TAI37" s="12"/>
      <c r="TAJ37" s="12"/>
      <c r="TBA37" s="12"/>
      <c r="TBB37" s="12"/>
      <c r="TBS37" s="12"/>
      <c r="TBT37" s="12"/>
      <c r="TCK37" s="12"/>
      <c r="TCL37" s="12"/>
      <c r="TDC37" s="12"/>
      <c r="TDD37" s="12"/>
      <c r="TDU37" s="12"/>
      <c r="TDV37" s="12"/>
      <c r="TEM37" s="12"/>
      <c r="TEN37" s="12"/>
      <c r="TFE37" s="12"/>
      <c r="TFF37" s="12"/>
      <c r="TFW37" s="12"/>
      <c r="TFX37" s="12"/>
      <c r="TGO37" s="12"/>
      <c r="TGP37" s="12"/>
      <c r="THG37" s="12"/>
      <c r="THH37" s="12"/>
      <c r="THY37" s="12"/>
      <c r="THZ37" s="12"/>
      <c r="TIQ37" s="12"/>
      <c r="TIR37" s="12"/>
      <c r="TJI37" s="12"/>
      <c r="TJJ37" s="12"/>
      <c r="TKA37" s="12"/>
      <c r="TKB37" s="12"/>
      <c r="TKS37" s="12"/>
      <c r="TKT37" s="12"/>
      <c r="TLK37" s="12"/>
      <c r="TLL37" s="12"/>
      <c r="TMC37" s="12"/>
      <c r="TMD37" s="12"/>
      <c r="TMU37" s="12"/>
      <c r="TMV37" s="12"/>
      <c r="TNM37" s="12"/>
      <c r="TNN37" s="12"/>
      <c r="TOE37" s="12"/>
      <c r="TOF37" s="12"/>
      <c r="TOW37" s="12"/>
      <c r="TOX37" s="12"/>
      <c r="TPO37" s="12"/>
      <c r="TPP37" s="12"/>
      <c r="TQG37" s="12"/>
      <c r="TQH37" s="12"/>
      <c r="TQY37" s="12"/>
      <c r="TQZ37" s="12"/>
      <c r="TRQ37" s="12"/>
      <c r="TRR37" s="12"/>
      <c r="TSI37" s="12"/>
      <c r="TSJ37" s="12"/>
      <c r="TTA37" s="12"/>
      <c r="TTB37" s="12"/>
      <c r="TTS37" s="12"/>
      <c r="TTT37" s="12"/>
      <c r="TUK37" s="12"/>
      <c r="TUL37" s="12"/>
      <c r="TVC37" s="12"/>
      <c r="TVD37" s="12"/>
      <c r="TVU37" s="12"/>
      <c r="TVV37" s="12"/>
      <c r="TWM37" s="12"/>
      <c r="TWN37" s="12"/>
      <c r="TXE37" s="12"/>
      <c r="TXF37" s="12"/>
      <c r="TXW37" s="12"/>
      <c r="TXX37" s="12"/>
      <c r="TYO37" s="12"/>
      <c r="TYP37" s="12"/>
      <c r="TZG37" s="12"/>
      <c r="TZH37" s="12"/>
      <c r="TZY37" s="12"/>
      <c r="TZZ37" s="12"/>
      <c r="UAQ37" s="12"/>
      <c r="UAR37" s="12"/>
      <c r="UBI37" s="12"/>
      <c r="UBJ37" s="12"/>
      <c r="UCA37" s="12"/>
      <c r="UCB37" s="12"/>
      <c r="UCS37" s="12"/>
      <c r="UCT37" s="12"/>
      <c r="UDK37" s="12"/>
      <c r="UDL37" s="12"/>
      <c r="UEC37" s="12"/>
      <c r="UED37" s="12"/>
      <c r="UEU37" s="12"/>
      <c r="UEV37" s="12"/>
      <c r="UFM37" s="12"/>
      <c r="UFN37" s="12"/>
      <c r="UGE37" s="12"/>
      <c r="UGF37" s="12"/>
      <c r="UGW37" s="12"/>
      <c r="UGX37" s="12"/>
      <c r="UHO37" s="12"/>
      <c r="UHP37" s="12"/>
      <c r="UIG37" s="12"/>
      <c r="UIH37" s="12"/>
      <c r="UIY37" s="12"/>
      <c r="UIZ37" s="12"/>
      <c r="UJQ37" s="12"/>
      <c r="UJR37" s="12"/>
      <c r="UKI37" s="12"/>
      <c r="UKJ37" s="12"/>
      <c r="ULA37" s="12"/>
      <c r="ULB37" s="12"/>
      <c r="ULS37" s="12"/>
      <c r="ULT37" s="12"/>
      <c r="UMK37" s="12"/>
      <c r="UML37" s="12"/>
      <c r="UNC37" s="12"/>
      <c r="UND37" s="12"/>
      <c r="UNU37" s="12"/>
      <c r="UNV37" s="12"/>
      <c r="UOM37" s="12"/>
      <c r="UON37" s="12"/>
      <c r="UPE37" s="12"/>
      <c r="UPF37" s="12"/>
      <c r="UPW37" s="12"/>
      <c r="UPX37" s="12"/>
      <c r="UQO37" s="12"/>
      <c r="UQP37" s="12"/>
      <c r="URG37" s="12"/>
      <c r="URH37" s="12"/>
      <c r="URY37" s="12"/>
      <c r="URZ37" s="12"/>
      <c r="USQ37" s="12"/>
      <c r="USR37" s="12"/>
      <c r="UTI37" s="12"/>
      <c r="UTJ37" s="12"/>
      <c r="UUA37" s="12"/>
      <c r="UUB37" s="12"/>
      <c r="UUS37" s="12"/>
      <c r="UUT37" s="12"/>
      <c r="UVK37" s="12"/>
      <c r="UVL37" s="12"/>
      <c r="UWC37" s="12"/>
      <c r="UWD37" s="12"/>
      <c r="UWU37" s="12"/>
      <c r="UWV37" s="12"/>
      <c r="UXM37" s="12"/>
      <c r="UXN37" s="12"/>
      <c r="UYE37" s="12"/>
      <c r="UYF37" s="12"/>
      <c r="UYW37" s="12"/>
      <c r="UYX37" s="12"/>
      <c r="UZO37" s="12"/>
      <c r="UZP37" s="12"/>
      <c r="VAG37" s="12"/>
      <c r="VAH37" s="12"/>
      <c r="VAY37" s="12"/>
      <c r="VAZ37" s="12"/>
      <c r="VBQ37" s="12"/>
      <c r="VBR37" s="12"/>
      <c r="VCI37" s="12"/>
      <c r="VCJ37" s="12"/>
      <c r="VDA37" s="12"/>
      <c r="VDB37" s="12"/>
      <c r="VDS37" s="12"/>
      <c r="VDT37" s="12"/>
      <c r="VEK37" s="12"/>
      <c r="VEL37" s="12"/>
      <c r="VFC37" s="12"/>
      <c r="VFD37" s="12"/>
      <c r="VFU37" s="12"/>
      <c r="VFV37" s="12"/>
      <c r="VGM37" s="12"/>
      <c r="VGN37" s="12"/>
      <c r="VHE37" s="12"/>
      <c r="VHF37" s="12"/>
      <c r="VHW37" s="12"/>
      <c r="VHX37" s="12"/>
      <c r="VIO37" s="12"/>
      <c r="VIP37" s="12"/>
      <c r="VJG37" s="12"/>
      <c r="VJH37" s="12"/>
      <c r="VJY37" s="12"/>
      <c r="VJZ37" s="12"/>
      <c r="VKQ37" s="12"/>
      <c r="VKR37" s="12"/>
      <c r="VLI37" s="12"/>
      <c r="VLJ37" s="12"/>
      <c r="VMA37" s="12"/>
      <c r="VMB37" s="12"/>
      <c r="VMS37" s="12"/>
      <c r="VMT37" s="12"/>
      <c r="VNK37" s="12"/>
      <c r="VNL37" s="12"/>
      <c r="VOC37" s="12"/>
      <c r="VOD37" s="12"/>
      <c r="VOU37" s="12"/>
      <c r="VOV37" s="12"/>
      <c r="VPM37" s="12"/>
      <c r="VPN37" s="12"/>
      <c r="VQE37" s="12"/>
      <c r="VQF37" s="12"/>
      <c r="VQW37" s="12"/>
      <c r="VQX37" s="12"/>
      <c r="VRO37" s="12"/>
      <c r="VRP37" s="12"/>
      <c r="VSG37" s="12"/>
      <c r="VSH37" s="12"/>
      <c r="VSY37" s="12"/>
      <c r="VSZ37" s="12"/>
      <c r="VTQ37" s="12"/>
      <c r="VTR37" s="12"/>
      <c r="VUI37" s="12"/>
      <c r="VUJ37" s="12"/>
      <c r="VVA37" s="12"/>
      <c r="VVB37" s="12"/>
      <c r="VVS37" s="12"/>
      <c r="VVT37" s="12"/>
      <c r="VWK37" s="12"/>
      <c r="VWL37" s="12"/>
      <c r="VXC37" s="12"/>
      <c r="VXD37" s="12"/>
      <c r="VXU37" s="12"/>
      <c r="VXV37" s="12"/>
      <c r="VYM37" s="12"/>
      <c r="VYN37" s="12"/>
      <c r="VZE37" s="12"/>
      <c r="VZF37" s="12"/>
      <c r="VZW37" s="12"/>
      <c r="VZX37" s="12"/>
      <c r="WAO37" s="12"/>
      <c r="WAP37" s="12"/>
      <c r="WBG37" s="12"/>
      <c r="WBH37" s="12"/>
      <c r="WBY37" s="12"/>
      <c r="WBZ37" s="12"/>
      <c r="WCQ37" s="12"/>
      <c r="WCR37" s="12"/>
      <c r="WDI37" s="12"/>
      <c r="WDJ37" s="12"/>
      <c r="WEA37" s="12"/>
      <c r="WEB37" s="12"/>
      <c r="WES37" s="12"/>
      <c r="WET37" s="12"/>
      <c r="WFK37" s="12"/>
      <c r="WFL37" s="12"/>
      <c r="WGC37" s="12"/>
      <c r="WGD37" s="12"/>
      <c r="WGU37" s="12"/>
      <c r="WGV37" s="12"/>
      <c r="WHM37" s="12"/>
      <c r="WHN37" s="12"/>
      <c r="WIE37" s="12"/>
      <c r="WIF37" s="12"/>
      <c r="WIW37" s="12"/>
      <c r="WIX37" s="12"/>
      <c r="WJO37" s="12"/>
      <c r="WJP37" s="12"/>
      <c r="WKG37" s="12"/>
      <c r="WKH37" s="12"/>
      <c r="WKY37" s="12"/>
      <c r="WKZ37" s="12"/>
      <c r="WLQ37" s="12"/>
      <c r="WLR37" s="12"/>
      <c r="WMI37" s="12"/>
      <c r="WMJ37" s="12"/>
      <c r="WNA37" s="12"/>
      <c r="WNB37" s="12"/>
      <c r="WNS37" s="12"/>
      <c r="WNT37" s="12"/>
      <c r="WOK37" s="12"/>
      <c r="WOL37" s="12"/>
      <c r="WPC37" s="12"/>
      <c r="WPD37" s="12"/>
      <c r="WPU37" s="12"/>
      <c r="WPV37" s="12"/>
      <c r="WQM37" s="12"/>
      <c r="WQN37" s="12"/>
      <c r="WRE37" s="12"/>
      <c r="WRF37" s="12"/>
      <c r="WRW37" s="12"/>
      <c r="WRX37" s="12"/>
      <c r="WSO37" s="12"/>
      <c r="WSP37" s="12"/>
      <c r="WTG37" s="12"/>
      <c r="WTH37" s="12"/>
      <c r="WTY37" s="12"/>
      <c r="WTZ37" s="12"/>
      <c r="WUQ37" s="12"/>
      <c r="WUR37" s="12"/>
      <c r="WVI37" s="12"/>
      <c r="WVJ37" s="12"/>
      <c r="WWA37" s="12"/>
      <c r="WWB37" s="12"/>
      <c r="WWS37" s="12"/>
      <c r="WWT37" s="12"/>
      <c r="WXK37" s="12"/>
      <c r="WXL37" s="12"/>
      <c r="WYC37" s="12"/>
      <c r="WYD37" s="12"/>
      <c r="WYU37" s="12"/>
      <c r="WYV37" s="12"/>
      <c r="WZM37" s="12"/>
      <c r="WZN37" s="12"/>
      <c r="XAE37" s="12"/>
      <c r="XAF37" s="12"/>
      <c r="XAW37" s="12"/>
      <c r="XAX37" s="12"/>
      <c r="XBO37" s="12"/>
      <c r="XBP37" s="12"/>
      <c r="XCG37" s="12"/>
      <c r="XCH37" s="12"/>
      <c r="XCY37" s="12"/>
      <c r="XCZ37" s="12"/>
      <c r="XDQ37" s="12"/>
      <c r="XDR37" s="12"/>
      <c r="XEI37" s="12"/>
      <c r="XEJ37" s="12"/>
      <c r="XFA37" s="12"/>
      <c r="XFB37" s="12"/>
    </row>
    <row r="38" spans="1:1010 1027:2036 2053:3062 3079:4088 4105:5114 5131:6140 6157:7166 7183:8192 8209:9200 9217:10226 10243:11252 11269:12278 12295:13304 13321:14330 14347:15356 15373:16382" s="11" customFormat="1" x14ac:dyDescent="0.35">
      <c r="A38" s="183" t="s">
        <v>266</v>
      </c>
      <c r="B38" s="183" t="s">
        <v>267</v>
      </c>
      <c r="C38" s="184">
        <v>0</v>
      </c>
      <c r="D38" s="184">
        <v>0</v>
      </c>
      <c r="E38" s="184">
        <v>0</v>
      </c>
      <c r="F38" s="184">
        <v>0</v>
      </c>
      <c r="G38" s="184">
        <v>0</v>
      </c>
      <c r="H38" s="184">
        <v>0</v>
      </c>
      <c r="I38" s="184">
        <v>0</v>
      </c>
      <c r="J38" s="184">
        <v>0</v>
      </c>
      <c r="K38" s="184">
        <v>0</v>
      </c>
      <c r="L38" s="184">
        <v>0</v>
      </c>
      <c r="S38" s="12"/>
      <c r="T38" s="12"/>
      <c r="AK38" s="12"/>
      <c r="AL38" s="12"/>
      <c r="BC38" s="12"/>
      <c r="BD38" s="12"/>
      <c r="BU38" s="12"/>
      <c r="BV38" s="12"/>
      <c r="CM38" s="12"/>
      <c r="CN38" s="12"/>
      <c r="DE38" s="12"/>
      <c r="DF38" s="12"/>
      <c r="DW38" s="12"/>
      <c r="DX38" s="12"/>
      <c r="EO38" s="12"/>
      <c r="EP38" s="12"/>
      <c r="FG38" s="12"/>
      <c r="FH38" s="12"/>
      <c r="FY38" s="12"/>
      <c r="FZ38" s="12"/>
      <c r="GQ38" s="12"/>
      <c r="GR38" s="12"/>
      <c r="HI38" s="12"/>
      <c r="HJ38" s="12"/>
      <c r="IA38" s="12"/>
      <c r="IB38" s="12"/>
      <c r="IS38" s="12"/>
      <c r="IT38" s="12"/>
      <c r="JK38" s="12"/>
      <c r="JL38" s="12"/>
      <c r="KC38" s="12"/>
      <c r="KD38" s="12"/>
      <c r="KU38" s="12"/>
      <c r="KV38" s="12"/>
      <c r="LM38" s="12"/>
      <c r="LN38" s="12"/>
      <c r="ME38" s="12"/>
      <c r="MF38" s="12"/>
      <c r="MW38" s="12"/>
      <c r="MX38" s="12"/>
      <c r="NO38" s="12"/>
      <c r="NP38" s="12"/>
      <c r="OG38" s="12"/>
      <c r="OH38" s="12"/>
      <c r="OY38" s="12"/>
      <c r="OZ38" s="12"/>
      <c r="PQ38" s="12"/>
      <c r="PR38" s="12"/>
      <c r="QI38" s="12"/>
      <c r="QJ38" s="12"/>
      <c r="RA38" s="12"/>
      <c r="RB38" s="12"/>
      <c r="RS38" s="12"/>
      <c r="RT38" s="12"/>
      <c r="SK38" s="12"/>
      <c r="SL38" s="12"/>
      <c r="TC38" s="12"/>
      <c r="TD38" s="12"/>
      <c r="TU38" s="12"/>
      <c r="TV38" s="12"/>
      <c r="UM38" s="12"/>
      <c r="UN38" s="12"/>
      <c r="VE38" s="12"/>
      <c r="VF38" s="12"/>
      <c r="VW38" s="12"/>
      <c r="VX38" s="12"/>
      <c r="WO38" s="12"/>
      <c r="WP38" s="12"/>
      <c r="XG38" s="12"/>
      <c r="XH38" s="12"/>
      <c r="XY38" s="12"/>
      <c r="XZ38" s="12"/>
      <c r="YQ38" s="12"/>
      <c r="YR38" s="12"/>
      <c r="ZI38" s="12"/>
      <c r="ZJ38" s="12"/>
      <c r="AAA38" s="12"/>
      <c r="AAB38" s="12"/>
      <c r="AAS38" s="12"/>
      <c r="AAT38" s="12"/>
      <c r="ABK38" s="12"/>
      <c r="ABL38" s="12"/>
      <c r="ACC38" s="12"/>
      <c r="ACD38" s="12"/>
      <c r="ACU38" s="12"/>
      <c r="ACV38" s="12"/>
      <c r="ADM38" s="12"/>
      <c r="ADN38" s="12"/>
      <c r="AEE38" s="12"/>
      <c r="AEF38" s="12"/>
      <c r="AEW38" s="12"/>
      <c r="AEX38" s="12"/>
      <c r="AFO38" s="12"/>
      <c r="AFP38" s="12"/>
      <c r="AGG38" s="12"/>
      <c r="AGH38" s="12"/>
      <c r="AGY38" s="12"/>
      <c r="AGZ38" s="12"/>
      <c r="AHQ38" s="12"/>
      <c r="AHR38" s="12"/>
      <c r="AII38" s="12"/>
      <c r="AIJ38" s="12"/>
      <c r="AJA38" s="12"/>
      <c r="AJB38" s="12"/>
      <c r="AJS38" s="12"/>
      <c r="AJT38" s="12"/>
      <c r="AKK38" s="12"/>
      <c r="AKL38" s="12"/>
      <c r="ALC38" s="12"/>
      <c r="ALD38" s="12"/>
      <c r="ALU38" s="12"/>
      <c r="ALV38" s="12"/>
      <c r="AMM38" s="12"/>
      <c r="AMN38" s="12"/>
      <c r="ANE38" s="12"/>
      <c r="ANF38" s="12"/>
      <c r="ANW38" s="12"/>
      <c r="ANX38" s="12"/>
      <c r="AOO38" s="12"/>
      <c r="AOP38" s="12"/>
      <c r="APG38" s="12"/>
      <c r="APH38" s="12"/>
      <c r="APY38" s="12"/>
      <c r="APZ38" s="12"/>
      <c r="AQQ38" s="12"/>
      <c r="AQR38" s="12"/>
      <c r="ARI38" s="12"/>
      <c r="ARJ38" s="12"/>
      <c r="ASA38" s="12"/>
      <c r="ASB38" s="12"/>
      <c r="ASS38" s="12"/>
      <c r="AST38" s="12"/>
      <c r="ATK38" s="12"/>
      <c r="ATL38" s="12"/>
      <c r="AUC38" s="12"/>
      <c r="AUD38" s="12"/>
      <c r="AUU38" s="12"/>
      <c r="AUV38" s="12"/>
      <c r="AVM38" s="12"/>
      <c r="AVN38" s="12"/>
      <c r="AWE38" s="12"/>
      <c r="AWF38" s="12"/>
      <c r="AWW38" s="12"/>
      <c r="AWX38" s="12"/>
      <c r="AXO38" s="12"/>
      <c r="AXP38" s="12"/>
      <c r="AYG38" s="12"/>
      <c r="AYH38" s="12"/>
      <c r="AYY38" s="12"/>
      <c r="AYZ38" s="12"/>
      <c r="AZQ38" s="12"/>
      <c r="AZR38" s="12"/>
      <c r="BAI38" s="12"/>
      <c r="BAJ38" s="12"/>
      <c r="BBA38" s="12"/>
      <c r="BBB38" s="12"/>
      <c r="BBS38" s="12"/>
      <c r="BBT38" s="12"/>
      <c r="BCK38" s="12"/>
      <c r="BCL38" s="12"/>
      <c r="BDC38" s="12"/>
      <c r="BDD38" s="12"/>
      <c r="BDU38" s="12"/>
      <c r="BDV38" s="12"/>
      <c r="BEM38" s="12"/>
      <c r="BEN38" s="12"/>
      <c r="BFE38" s="12"/>
      <c r="BFF38" s="12"/>
      <c r="BFW38" s="12"/>
      <c r="BFX38" s="12"/>
      <c r="BGO38" s="12"/>
      <c r="BGP38" s="12"/>
      <c r="BHG38" s="12"/>
      <c r="BHH38" s="12"/>
      <c r="BHY38" s="12"/>
      <c r="BHZ38" s="12"/>
      <c r="BIQ38" s="12"/>
      <c r="BIR38" s="12"/>
      <c r="BJI38" s="12"/>
      <c r="BJJ38" s="12"/>
      <c r="BKA38" s="12"/>
      <c r="BKB38" s="12"/>
      <c r="BKS38" s="12"/>
      <c r="BKT38" s="12"/>
      <c r="BLK38" s="12"/>
      <c r="BLL38" s="12"/>
      <c r="BMC38" s="12"/>
      <c r="BMD38" s="12"/>
      <c r="BMU38" s="12"/>
      <c r="BMV38" s="12"/>
      <c r="BNM38" s="12"/>
      <c r="BNN38" s="12"/>
      <c r="BOE38" s="12"/>
      <c r="BOF38" s="12"/>
      <c r="BOW38" s="12"/>
      <c r="BOX38" s="12"/>
      <c r="BPO38" s="12"/>
      <c r="BPP38" s="12"/>
      <c r="BQG38" s="12"/>
      <c r="BQH38" s="12"/>
      <c r="BQY38" s="12"/>
      <c r="BQZ38" s="12"/>
      <c r="BRQ38" s="12"/>
      <c r="BRR38" s="12"/>
      <c r="BSI38" s="12"/>
      <c r="BSJ38" s="12"/>
      <c r="BTA38" s="12"/>
      <c r="BTB38" s="12"/>
      <c r="BTS38" s="12"/>
      <c r="BTT38" s="12"/>
      <c r="BUK38" s="12"/>
      <c r="BUL38" s="12"/>
      <c r="BVC38" s="12"/>
      <c r="BVD38" s="12"/>
      <c r="BVU38" s="12"/>
      <c r="BVV38" s="12"/>
      <c r="BWM38" s="12"/>
      <c r="BWN38" s="12"/>
      <c r="BXE38" s="12"/>
      <c r="BXF38" s="12"/>
      <c r="BXW38" s="12"/>
      <c r="BXX38" s="12"/>
      <c r="BYO38" s="12"/>
      <c r="BYP38" s="12"/>
      <c r="BZG38" s="12"/>
      <c r="BZH38" s="12"/>
      <c r="BZY38" s="12"/>
      <c r="BZZ38" s="12"/>
      <c r="CAQ38" s="12"/>
      <c r="CAR38" s="12"/>
      <c r="CBI38" s="12"/>
      <c r="CBJ38" s="12"/>
      <c r="CCA38" s="12"/>
      <c r="CCB38" s="12"/>
      <c r="CCS38" s="12"/>
      <c r="CCT38" s="12"/>
      <c r="CDK38" s="12"/>
      <c r="CDL38" s="12"/>
      <c r="CEC38" s="12"/>
      <c r="CED38" s="12"/>
      <c r="CEU38" s="12"/>
      <c r="CEV38" s="12"/>
      <c r="CFM38" s="12"/>
      <c r="CFN38" s="12"/>
      <c r="CGE38" s="12"/>
      <c r="CGF38" s="12"/>
      <c r="CGW38" s="12"/>
      <c r="CGX38" s="12"/>
      <c r="CHO38" s="12"/>
      <c r="CHP38" s="12"/>
      <c r="CIG38" s="12"/>
      <c r="CIH38" s="12"/>
      <c r="CIY38" s="12"/>
      <c r="CIZ38" s="12"/>
      <c r="CJQ38" s="12"/>
      <c r="CJR38" s="12"/>
      <c r="CKI38" s="12"/>
      <c r="CKJ38" s="12"/>
      <c r="CLA38" s="12"/>
      <c r="CLB38" s="12"/>
      <c r="CLS38" s="12"/>
      <c r="CLT38" s="12"/>
      <c r="CMK38" s="12"/>
      <c r="CML38" s="12"/>
      <c r="CNC38" s="12"/>
      <c r="CND38" s="12"/>
      <c r="CNU38" s="12"/>
      <c r="CNV38" s="12"/>
      <c r="COM38" s="12"/>
      <c r="CON38" s="12"/>
      <c r="CPE38" s="12"/>
      <c r="CPF38" s="12"/>
      <c r="CPW38" s="12"/>
      <c r="CPX38" s="12"/>
      <c r="CQO38" s="12"/>
      <c r="CQP38" s="12"/>
      <c r="CRG38" s="12"/>
      <c r="CRH38" s="12"/>
      <c r="CRY38" s="12"/>
      <c r="CRZ38" s="12"/>
      <c r="CSQ38" s="12"/>
      <c r="CSR38" s="12"/>
      <c r="CTI38" s="12"/>
      <c r="CTJ38" s="12"/>
      <c r="CUA38" s="12"/>
      <c r="CUB38" s="12"/>
      <c r="CUS38" s="12"/>
      <c r="CUT38" s="12"/>
      <c r="CVK38" s="12"/>
      <c r="CVL38" s="12"/>
      <c r="CWC38" s="12"/>
      <c r="CWD38" s="12"/>
      <c r="CWU38" s="12"/>
      <c r="CWV38" s="12"/>
      <c r="CXM38" s="12"/>
      <c r="CXN38" s="12"/>
      <c r="CYE38" s="12"/>
      <c r="CYF38" s="12"/>
      <c r="CYW38" s="12"/>
      <c r="CYX38" s="12"/>
      <c r="CZO38" s="12"/>
      <c r="CZP38" s="12"/>
      <c r="DAG38" s="12"/>
      <c r="DAH38" s="12"/>
      <c r="DAY38" s="12"/>
      <c r="DAZ38" s="12"/>
      <c r="DBQ38" s="12"/>
      <c r="DBR38" s="12"/>
      <c r="DCI38" s="12"/>
      <c r="DCJ38" s="12"/>
      <c r="DDA38" s="12"/>
      <c r="DDB38" s="12"/>
      <c r="DDS38" s="12"/>
      <c r="DDT38" s="12"/>
      <c r="DEK38" s="12"/>
      <c r="DEL38" s="12"/>
      <c r="DFC38" s="12"/>
      <c r="DFD38" s="12"/>
      <c r="DFU38" s="12"/>
      <c r="DFV38" s="12"/>
      <c r="DGM38" s="12"/>
      <c r="DGN38" s="12"/>
      <c r="DHE38" s="12"/>
      <c r="DHF38" s="12"/>
      <c r="DHW38" s="12"/>
      <c r="DHX38" s="12"/>
      <c r="DIO38" s="12"/>
      <c r="DIP38" s="12"/>
      <c r="DJG38" s="12"/>
      <c r="DJH38" s="12"/>
      <c r="DJY38" s="12"/>
      <c r="DJZ38" s="12"/>
      <c r="DKQ38" s="12"/>
      <c r="DKR38" s="12"/>
      <c r="DLI38" s="12"/>
      <c r="DLJ38" s="12"/>
      <c r="DMA38" s="12"/>
      <c r="DMB38" s="12"/>
      <c r="DMS38" s="12"/>
      <c r="DMT38" s="12"/>
      <c r="DNK38" s="12"/>
      <c r="DNL38" s="12"/>
      <c r="DOC38" s="12"/>
      <c r="DOD38" s="12"/>
      <c r="DOU38" s="12"/>
      <c r="DOV38" s="12"/>
      <c r="DPM38" s="12"/>
      <c r="DPN38" s="12"/>
      <c r="DQE38" s="12"/>
      <c r="DQF38" s="12"/>
      <c r="DQW38" s="12"/>
      <c r="DQX38" s="12"/>
      <c r="DRO38" s="12"/>
      <c r="DRP38" s="12"/>
      <c r="DSG38" s="12"/>
      <c r="DSH38" s="12"/>
      <c r="DSY38" s="12"/>
      <c r="DSZ38" s="12"/>
      <c r="DTQ38" s="12"/>
      <c r="DTR38" s="12"/>
      <c r="DUI38" s="12"/>
      <c r="DUJ38" s="12"/>
      <c r="DVA38" s="12"/>
      <c r="DVB38" s="12"/>
      <c r="DVS38" s="12"/>
      <c r="DVT38" s="12"/>
      <c r="DWK38" s="12"/>
      <c r="DWL38" s="12"/>
      <c r="DXC38" s="12"/>
      <c r="DXD38" s="12"/>
      <c r="DXU38" s="12"/>
      <c r="DXV38" s="12"/>
      <c r="DYM38" s="12"/>
      <c r="DYN38" s="12"/>
      <c r="DZE38" s="12"/>
      <c r="DZF38" s="12"/>
      <c r="DZW38" s="12"/>
      <c r="DZX38" s="12"/>
      <c r="EAO38" s="12"/>
      <c r="EAP38" s="12"/>
      <c r="EBG38" s="12"/>
      <c r="EBH38" s="12"/>
      <c r="EBY38" s="12"/>
      <c r="EBZ38" s="12"/>
      <c r="ECQ38" s="12"/>
      <c r="ECR38" s="12"/>
      <c r="EDI38" s="12"/>
      <c r="EDJ38" s="12"/>
      <c r="EEA38" s="12"/>
      <c r="EEB38" s="12"/>
      <c r="EES38" s="12"/>
      <c r="EET38" s="12"/>
      <c r="EFK38" s="12"/>
      <c r="EFL38" s="12"/>
      <c r="EGC38" s="12"/>
      <c r="EGD38" s="12"/>
      <c r="EGU38" s="12"/>
      <c r="EGV38" s="12"/>
      <c r="EHM38" s="12"/>
      <c r="EHN38" s="12"/>
      <c r="EIE38" s="12"/>
      <c r="EIF38" s="12"/>
      <c r="EIW38" s="12"/>
      <c r="EIX38" s="12"/>
      <c r="EJO38" s="12"/>
      <c r="EJP38" s="12"/>
      <c r="EKG38" s="12"/>
      <c r="EKH38" s="12"/>
      <c r="EKY38" s="12"/>
      <c r="EKZ38" s="12"/>
      <c r="ELQ38" s="12"/>
      <c r="ELR38" s="12"/>
      <c r="EMI38" s="12"/>
      <c r="EMJ38" s="12"/>
      <c r="ENA38" s="12"/>
      <c r="ENB38" s="12"/>
      <c r="ENS38" s="12"/>
      <c r="ENT38" s="12"/>
      <c r="EOK38" s="12"/>
      <c r="EOL38" s="12"/>
      <c r="EPC38" s="12"/>
      <c r="EPD38" s="12"/>
      <c r="EPU38" s="12"/>
      <c r="EPV38" s="12"/>
      <c r="EQM38" s="12"/>
      <c r="EQN38" s="12"/>
      <c r="ERE38" s="12"/>
      <c r="ERF38" s="12"/>
      <c r="ERW38" s="12"/>
      <c r="ERX38" s="12"/>
      <c r="ESO38" s="12"/>
      <c r="ESP38" s="12"/>
      <c r="ETG38" s="12"/>
      <c r="ETH38" s="12"/>
      <c r="ETY38" s="12"/>
      <c r="ETZ38" s="12"/>
      <c r="EUQ38" s="12"/>
      <c r="EUR38" s="12"/>
      <c r="EVI38" s="12"/>
      <c r="EVJ38" s="12"/>
      <c r="EWA38" s="12"/>
      <c r="EWB38" s="12"/>
      <c r="EWS38" s="12"/>
      <c r="EWT38" s="12"/>
      <c r="EXK38" s="12"/>
      <c r="EXL38" s="12"/>
      <c r="EYC38" s="12"/>
      <c r="EYD38" s="12"/>
      <c r="EYU38" s="12"/>
      <c r="EYV38" s="12"/>
      <c r="EZM38" s="12"/>
      <c r="EZN38" s="12"/>
      <c r="FAE38" s="12"/>
      <c r="FAF38" s="12"/>
      <c r="FAW38" s="12"/>
      <c r="FAX38" s="12"/>
      <c r="FBO38" s="12"/>
      <c r="FBP38" s="12"/>
      <c r="FCG38" s="12"/>
      <c r="FCH38" s="12"/>
      <c r="FCY38" s="12"/>
      <c r="FCZ38" s="12"/>
      <c r="FDQ38" s="12"/>
      <c r="FDR38" s="12"/>
      <c r="FEI38" s="12"/>
      <c r="FEJ38" s="12"/>
      <c r="FFA38" s="12"/>
      <c r="FFB38" s="12"/>
      <c r="FFS38" s="12"/>
      <c r="FFT38" s="12"/>
      <c r="FGK38" s="12"/>
      <c r="FGL38" s="12"/>
      <c r="FHC38" s="12"/>
      <c r="FHD38" s="12"/>
      <c r="FHU38" s="12"/>
      <c r="FHV38" s="12"/>
      <c r="FIM38" s="12"/>
      <c r="FIN38" s="12"/>
      <c r="FJE38" s="12"/>
      <c r="FJF38" s="12"/>
      <c r="FJW38" s="12"/>
      <c r="FJX38" s="12"/>
      <c r="FKO38" s="12"/>
      <c r="FKP38" s="12"/>
      <c r="FLG38" s="12"/>
      <c r="FLH38" s="12"/>
      <c r="FLY38" s="12"/>
      <c r="FLZ38" s="12"/>
      <c r="FMQ38" s="12"/>
      <c r="FMR38" s="12"/>
      <c r="FNI38" s="12"/>
      <c r="FNJ38" s="12"/>
      <c r="FOA38" s="12"/>
      <c r="FOB38" s="12"/>
      <c r="FOS38" s="12"/>
      <c r="FOT38" s="12"/>
      <c r="FPK38" s="12"/>
      <c r="FPL38" s="12"/>
      <c r="FQC38" s="12"/>
      <c r="FQD38" s="12"/>
      <c r="FQU38" s="12"/>
      <c r="FQV38" s="12"/>
      <c r="FRM38" s="12"/>
      <c r="FRN38" s="12"/>
      <c r="FSE38" s="12"/>
      <c r="FSF38" s="12"/>
      <c r="FSW38" s="12"/>
      <c r="FSX38" s="12"/>
      <c r="FTO38" s="12"/>
      <c r="FTP38" s="12"/>
      <c r="FUG38" s="12"/>
      <c r="FUH38" s="12"/>
      <c r="FUY38" s="12"/>
      <c r="FUZ38" s="12"/>
      <c r="FVQ38" s="12"/>
      <c r="FVR38" s="12"/>
      <c r="FWI38" s="12"/>
      <c r="FWJ38" s="12"/>
      <c r="FXA38" s="12"/>
      <c r="FXB38" s="12"/>
      <c r="FXS38" s="12"/>
      <c r="FXT38" s="12"/>
      <c r="FYK38" s="12"/>
      <c r="FYL38" s="12"/>
      <c r="FZC38" s="12"/>
      <c r="FZD38" s="12"/>
      <c r="FZU38" s="12"/>
      <c r="FZV38" s="12"/>
      <c r="GAM38" s="12"/>
      <c r="GAN38" s="12"/>
      <c r="GBE38" s="12"/>
      <c r="GBF38" s="12"/>
      <c r="GBW38" s="12"/>
      <c r="GBX38" s="12"/>
      <c r="GCO38" s="12"/>
      <c r="GCP38" s="12"/>
      <c r="GDG38" s="12"/>
      <c r="GDH38" s="12"/>
      <c r="GDY38" s="12"/>
      <c r="GDZ38" s="12"/>
      <c r="GEQ38" s="12"/>
      <c r="GER38" s="12"/>
      <c r="GFI38" s="12"/>
      <c r="GFJ38" s="12"/>
      <c r="GGA38" s="12"/>
      <c r="GGB38" s="12"/>
      <c r="GGS38" s="12"/>
      <c r="GGT38" s="12"/>
      <c r="GHK38" s="12"/>
      <c r="GHL38" s="12"/>
      <c r="GIC38" s="12"/>
      <c r="GID38" s="12"/>
      <c r="GIU38" s="12"/>
      <c r="GIV38" s="12"/>
      <c r="GJM38" s="12"/>
      <c r="GJN38" s="12"/>
      <c r="GKE38" s="12"/>
      <c r="GKF38" s="12"/>
      <c r="GKW38" s="12"/>
      <c r="GKX38" s="12"/>
      <c r="GLO38" s="12"/>
      <c r="GLP38" s="12"/>
      <c r="GMG38" s="12"/>
      <c r="GMH38" s="12"/>
      <c r="GMY38" s="12"/>
      <c r="GMZ38" s="12"/>
      <c r="GNQ38" s="12"/>
      <c r="GNR38" s="12"/>
      <c r="GOI38" s="12"/>
      <c r="GOJ38" s="12"/>
      <c r="GPA38" s="12"/>
      <c r="GPB38" s="12"/>
      <c r="GPS38" s="12"/>
      <c r="GPT38" s="12"/>
      <c r="GQK38" s="12"/>
      <c r="GQL38" s="12"/>
      <c r="GRC38" s="12"/>
      <c r="GRD38" s="12"/>
      <c r="GRU38" s="12"/>
      <c r="GRV38" s="12"/>
      <c r="GSM38" s="12"/>
      <c r="GSN38" s="12"/>
      <c r="GTE38" s="12"/>
      <c r="GTF38" s="12"/>
      <c r="GTW38" s="12"/>
      <c r="GTX38" s="12"/>
      <c r="GUO38" s="12"/>
      <c r="GUP38" s="12"/>
      <c r="GVG38" s="12"/>
      <c r="GVH38" s="12"/>
      <c r="GVY38" s="12"/>
      <c r="GVZ38" s="12"/>
      <c r="GWQ38" s="12"/>
      <c r="GWR38" s="12"/>
      <c r="GXI38" s="12"/>
      <c r="GXJ38" s="12"/>
      <c r="GYA38" s="12"/>
      <c r="GYB38" s="12"/>
      <c r="GYS38" s="12"/>
      <c r="GYT38" s="12"/>
      <c r="GZK38" s="12"/>
      <c r="GZL38" s="12"/>
      <c r="HAC38" s="12"/>
      <c r="HAD38" s="12"/>
      <c r="HAU38" s="12"/>
      <c r="HAV38" s="12"/>
      <c r="HBM38" s="12"/>
      <c r="HBN38" s="12"/>
      <c r="HCE38" s="12"/>
      <c r="HCF38" s="12"/>
      <c r="HCW38" s="12"/>
      <c r="HCX38" s="12"/>
      <c r="HDO38" s="12"/>
      <c r="HDP38" s="12"/>
      <c r="HEG38" s="12"/>
      <c r="HEH38" s="12"/>
      <c r="HEY38" s="12"/>
      <c r="HEZ38" s="12"/>
      <c r="HFQ38" s="12"/>
      <c r="HFR38" s="12"/>
      <c r="HGI38" s="12"/>
      <c r="HGJ38" s="12"/>
      <c r="HHA38" s="12"/>
      <c r="HHB38" s="12"/>
      <c r="HHS38" s="12"/>
      <c r="HHT38" s="12"/>
      <c r="HIK38" s="12"/>
      <c r="HIL38" s="12"/>
      <c r="HJC38" s="12"/>
      <c r="HJD38" s="12"/>
      <c r="HJU38" s="12"/>
      <c r="HJV38" s="12"/>
      <c r="HKM38" s="12"/>
      <c r="HKN38" s="12"/>
      <c r="HLE38" s="12"/>
      <c r="HLF38" s="12"/>
      <c r="HLW38" s="12"/>
      <c r="HLX38" s="12"/>
      <c r="HMO38" s="12"/>
      <c r="HMP38" s="12"/>
      <c r="HNG38" s="12"/>
      <c r="HNH38" s="12"/>
      <c r="HNY38" s="12"/>
      <c r="HNZ38" s="12"/>
      <c r="HOQ38" s="12"/>
      <c r="HOR38" s="12"/>
      <c r="HPI38" s="12"/>
      <c r="HPJ38" s="12"/>
      <c r="HQA38" s="12"/>
      <c r="HQB38" s="12"/>
      <c r="HQS38" s="12"/>
      <c r="HQT38" s="12"/>
      <c r="HRK38" s="12"/>
      <c r="HRL38" s="12"/>
      <c r="HSC38" s="12"/>
      <c r="HSD38" s="12"/>
      <c r="HSU38" s="12"/>
      <c r="HSV38" s="12"/>
      <c r="HTM38" s="12"/>
      <c r="HTN38" s="12"/>
      <c r="HUE38" s="12"/>
      <c r="HUF38" s="12"/>
      <c r="HUW38" s="12"/>
      <c r="HUX38" s="12"/>
      <c r="HVO38" s="12"/>
      <c r="HVP38" s="12"/>
      <c r="HWG38" s="12"/>
      <c r="HWH38" s="12"/>
      <c r="HWY38" s="12"/>
      <c r="HWZ38" s="12"/>
      <c r="HXQ38" s="12"/>
      <c r="HXR38" s="12"/>
      <c r="HYI38" s="12"/>
      <c r="HYJ38" s="12"/>
      <c r="HZA38" s="12"/>
      <c r="HZB38" s="12"/>
      <c r="HZS38" s="12"/>
      <c r="HZT38" s="12"/>
      <c r="IAK38" s="12"/>
      <c r="IAL38" s="12"/>
      <c r="IBC38" s="12"/>
      <c r="IBD38" s="12"/>
      <c r="IBU38" s="12"/>
      <c r="IBV38" s="12"/>
      <c r="ICM38" s="12"/>
      <c r="ICN38" s="12"/>
      <c r="IDE38" s="12"/>
      <c r="IDF38" s="12"/>
      <c r="IDW38" s="12"/>
      <c r="IDX38" s="12"/>
      <c r="IEO38" s="12"/>
      <c r="IEP38" s="12"/>
      <c r="IFG38" s="12"/>
      <c r="IFH38" s="12"/>
      <c r="IFY38" s="12"/>
      <c r="IFZ38" s="12"/>
      <c r="IGQ38" s="12"/>
      <c r="IGR38" s="12"/>
      <c r="IHI38" s="12"/>
      <c r="IHJ38" s="12"/>
      <c r="IIA38" s="12"/>
      <c r="IIB38" s="12"/>
      <c r="IIS38" s="12"/>
      <c r="IIT38" s="12"/>
      <c r="IJK38" s="12"/>
      <c r="IJL38" s="12"/>
      <c r="IKC38" s="12"/>
      <c r="IKD38" s="12"/>
      <c r="IKU38" s="12"/>
      <c r="IKV38" s="12"/>
      <c r="ILM38" s="12"/>
      <c r="ILN38" s="12"/>
      <c r="IME38" s="12"/>
      <c r="IMF38" s="12"/>
      <c r="IMW38" s="12"/>
      <c r="IMX38" s="12"/>
      <c r="INO38" s="12"/>
      <c r="INP38" s="12"/>
      <c r="IOG38" s="12"/>
      <c r="IOH38" s="12"/>
      <c r="IOY38" s="12"/>
      <c r="IOZ38" s="12"/>
      <c r="IPQ38" s="12"/>
      <c r="IPR38" s="12"/>
      <c r="IQI38" s="12"/>
      <c r="IQJ38" s="12"/>
      <c r="IRA38" s="12"/>
      <c r="IRB38" s="12"/>
      <c r="IRS38" s="12"/>
      <c r="IRT38" s="12"/>
      <c r="ISK38" s="12"/>
      <c r="ISL38" s="12"/>
      <c r="ITC38" s="12"/>
      <c r="ITD38" s="12"/>
      <c r="ITU38" s="12"/>
      <c r="ITV38" s="12"/>
      <c r="IUM38" s="12"/>
      <c r="IUN38" s="12"/>
      <c r="IVE38" s="12"/>
      <c r="IVF38" s="12"/>
      <c r="IVW38" s="12"/>
      <c r="IVX38" s="12"/>
      <c r="IWO38" s="12"/>
      <c r="IWP38" s="12"/>
      <c r="IXG38" s="12"/>
      <c r="IXH38" s="12"/>
      <c r="IXY38" s="12"/>
      <c r="IXZ38" s="12"/>
      <c r="IYQ38" s="12"/>
      <c r="IYR38" s="12"/>
      <c r="IZI38" s="12"/>
      <c r="IZJ38" s="12"/>
      <c r="JAA38" s="12"/>
      <c r="JAB38" s="12"/>
      <c r="JAS38" s="12"/>
      <c r="JAT38" s="12"/>
      <c r="JBK38" s="12"/>
      <c r="JBL38" s="12"/>
      <c r="JCC38" s="12"/>
      <c r="JCD38" s="12"/>
      <c r="JCU38" s="12"/>
      <c r="JCV38" s="12"/>
      <c r="JDM38" s="12"/>
      <c r="JDN38" s="12"/>
      <c r="JEE38" s="12"/>
      <c r="JEF38" s="12"/>
      <c r="JEW38" s="12"/>
      <c r="JEX38" s="12"/>
      <c r="JFO38" s="12"/>
      <c r="JFP38" s="12"/>
      <c r="JGG38" s="12"/>
      <c r="JGH38" s="12"/>
      <c r="JGY38" s="12"/>
      <c r="JGZ38" s="12"/>
      <c r="JHQ38" s="12"/>
      <c r="JHR38" s="12"/>
      <c r="JII38" s="12"/>
      <c r="JIJ38" s="12"/>
      <c r="JJA38" s="12"/>
      <c r="JJB38" s="12"/>
      <c r="JJS38" s="12"/>
      <c r="JJT38" s="12"/>
      <c r="JKK38" s="12"/>
      <c r="JKL38" s="12"/>
      <c r="JLC38" s="12"/>
      <c r="JLD38" s="12"/>
      <c r="JLU38" s="12"/>
      <c r="JLV38" s="12"/>
      <c r="JMM38" s="12"/>
      <c r="JMN38" s="12"/>
      <c r="JNE38" s="12"/>
      <c r="JNF38" s="12"/>
      <c r="JNW38" s="12"/>
      <c r="JNX38" s="12"/>
      <c r="JOO38" s="12"/>
      <c r="JOP38" s="12"/>
      <c r="JPG38" s="12"/>
      <c r="JPH38" s="12"/>
      <c r="JPY38" s="12"/>
      <c r="JPZ38" s="12"/>
      <c r="JQQ38" s="12"/>
      <c r="JQR38" s="12"/>
      <c r="JRI38" s="12"/>
      <c r="JRJ38" s="12"/>
      <c r="JSA38" s="12"/>
      <c r="JSB38" s="12"/>
      <c r="JSS38" s="12"/>
      <c r="JST38" s="12"/>
      <c r="JTK38" s="12"/>
      <c r="JTL38" s="12"/>
      <c r="JUC38" s="12"/>
      <c r="JUD38" s="12"/>
      <c r="JUU38" s="12"/>
      <c r="JUV38" s="12"/>
      <c r="JVM38" s="12"/>
      <c r="JVN38" s="12"/>
      <c r="JWE38" s="12"/>
      <c r="JWF38" s="12"/>
      <c r="JWW38" s="12"/>
      <c r="JWX38" s="12"/>
      <c r="JXO38" s="12"/>
      <c r="JXP38" s="12"/>
      <c r="JYG38" s="12"/>
      <c r="JYH38" s="12"/>
      <c r="JYY38" s="12"/>
      <c r="JYZ38" s="12"/>
      <c r="JZQ38" s="12"/>
      <c r="JZR38" s="12"/>
      <c r="KAI38" s="12"/>
      <c r="KAJ38" s="12"/>
      <c r="KBA38" s="12"/>
      <c r="KBB38" s="12"/>
      <c r="KBS38" s="12"/>
      <c r="KBT38" s="12"/>
      <c r="KCK38" s="12"/>
      <c r="KCL38" s="12"/>
      <c r="KDC38" s="12"/>
      <c r="KDD38" s="12"/>
      <c r="KDU38" s="12"/>
      <c r="KDV38" s="12"/>
      <c r="KEM38" s="12"/>
      <c r="KEN38" s="12"/>
      <c r="KFE38" s="12"/>
      <c r="KFF38" s="12"/>
      <c r="KFW38" s="12"/>
      <c r="KFX38" s="12"/>
      <c r="KGO38" s="12"/>
      <c r="KGP38" s="12"/>
      <c r="KHG38" s="12"/>
      <c r="KHH38" s="12"/>
      <c r="KHY38" s="12"/>
      <c r="KHZ38" s="12"/>
      <c r="KIQ38" s="12"/>
      <c r="KIR38" s="12"/>
      <c r="KJI38" s="12"/>
      <c r="KJJ38" s="12"/>
      <c r="KKA38" s="12"/>
      <c r="KKB38" s="12"/>
      <c r="KKS38" s="12"/>
      <c r="KKT38" s="12"/>
      <c r="KLK38" s="12"/>
      <c r="KLL38" s="12"/>
      <c r="KMC38" s="12"/>
      <c r="KMD38" s="12"/>
      <c r="KMU38" s="12"/>
      <c r="KMV38" s="12"/>
      <c r="KNM38" s="12"/>
      <c r="KNN38" s="12"/>
      <c r="KOE38" s="12"/>
      <c r="KOF38" s="12"/>
      <c r="KOW38" s="12"/>
      <c r="KOX38" s="12"/>
      <c r="KPO38" s="12"/>
      <c r="KPP38" s="12"/>
      <c r="KQG38" s="12"/>
      <c r="KQH38" s="12"/>
      <c r="KQY38" s="12"/>
      <c r="KQZ38" s="12"/>
      <c r="KRQ38" s="12"/>
      <c r="KRR38" s="12"/>
      <c r="KSI38" s="12"/>
      <c r="KSJ38" s="12"/>
      <c r="KTA38" s="12"/>
      <c r="KTB38" s="12"/>
      <c r="KTS38" s="12"/>
      <c r="KTT38" s="12"/>
      <c r="KUK38" s="12"/>
      <c r="KUL38" s="12"/>
      <c r="KVC38" s="12"/>
      <c r="KVD38" s="12"/>
      <c r="KVU38" s="12"/>
      <c r="KVV38" s="12"/>
      <c r="KWM38" s="12"/>
      <c r="KWN38" s="12"/>
      <c r="KXE38" s="12"/>
      <c r="KXF38" s="12"/>
      <c r="KXW38" s="12"/>
      <c r="KXX38" s="12"/>
      <c r="KYO38" s="12"/>
      <c r="KYP38" s="12"/>
      <c r="KZG38" s="12"/>
      <c r="KZH38" s="12"/>
      <c r="KZY38" s="12"/>
      <c r="KZZ38" s="12"/>
      <c r="LAQ38" s="12"/>
      <c r="LAR38" s="12"/>
      <c r="LBI38" s="12"/>
      <c r="LBJ38" s="12"/>
      <c r="LCA38" s="12"/>
      <c r="LCB38" s="12"/>
      <c r="LCS38" s="12"/>
      <c r="LCT38" s="12"/>
      <c r="LDK38" s="12"/>
      <c r="LDL38" s="12"/>
      <c r="LEC38" s="12"/>
      <c r="LED38" s="12"/>
      <c r="LEU38" s="12"/>
      <c r="LEV38" s="12"/>
      <c r="LFM38" s="12"/>
      <c r="LFN38" s="12"/>
      <c r="LGE38" s="12"/>
      <c r="LGF38" s="12"/>
      <c r="LGW38" s="12"/>
      <c r="LGX38" s="12"/>
      <c r="LHO38" s="12"/>
      <c r="LHP38" s="12"/>
      <c r="LIG38" s="12"/>
      <c r="LIH38" s="12"/>
      <c r="LIY38" s="12"/>
      <c r="LIZ38" s="12"/>
      <c r="LJQ38" s="12"/>
      <c r="LJR38" s="12"/>
      <c r="LKI38" s="12"/>
      <c r="LKJ38" s="12"/>
      <c r="LLA38" s="12"/>
      <c r="LLB38" s="12"/>
      <c r="LLS38" s="12"/>
      <c r="LLT38" s="12"/>
      <c r="LMK38" s="12"/>
      <c r="LML38" s="12"/>
      <c r="LNC38" s="12"/>
      <c r="LND38" s="12"/>
      <c r="LNU38" s="12"/>
      <c r="LNV38" s="12"/>
      <c r="LOM38" s="12"/>
      <c r="LON38" s="12"/>
      <c r="LPE38" s="12"/>
      <c r="LPF38" s="12"/>
      <c r="LPW38" s="12"/>
      <c r="LPX38" s="12"/>
      <c r="LQO38" s="12"/>
      <c r="LQP38" s="12"/>
      <c r="LRG38" s="12"/>
      <c r="LRH38" s="12"/>
      <c r="LRY38" s="12"/>
      <c r="LRZ38" s="12"/>
      <c r="LSQ38" s="12"/>
      <c r="LSR38" s="12"/>
      <c r="LTI38" s="12"/>
      <c r="LTJ38" s="12"/>
      <c r="LUA38" s="12"/>
      <c r="LUB38" s="12"/>
      <c r="LUS38" s="12"/>
      <c r="LUT38" s="12"/>
      <c r="LVK38" s="12"/>
      <c r="LVL38" s="12"/>
      <c r="LWC38" s="12"/>
      <c r="LWD38" s="12"/>
      <c r="LWU38" s="12"/>
      <c r="LWV38" s="12"/>
      <c r="LXM38" s="12"/>
      <c r="LXN38" s="12"/>
      <c r="LYE38" s="12"/>
      <c r="LYF38" s="12"/>
      <c r="LYW38" s="12"/>
      <c r="LYX38" s="12"/>
      <c r="LZO38" s="12"/>
      <c r="LZP38" s="12"/>
      <c r="MAG38" s="12"/>
      <c r="MAH38" s="12"/>
      <c r="MAY38" s="12"/>
      <c r="MAZ38" s="12"/>
      <c r="MBQ38" s="12"/>
      <c r="MBR38" s="12"/>
      <c r="MCI38" s="12"/>
      <c r="MCJ38" s="12"/>
      <c r="MDA38" s="12"/>
      <c r="MDB38" s="12"/>
      <c r="MDS38" s="12"/>
      <c r="MDT38" s="12"/>
      <c r="MEK38" s="12"/>
      <c r="MEL38" s="12"/>
      <c r="MFC38" s="12"/>
      <c r="MFD38" s="12"/>
      <c r="MFU38" s="12"/>
      <c r="MFV38" s="12"/>
      <c r="MGM38" s="12"/>
      <c r="MGN38" s="12"/>
      <c r="MHE38" s="12"/>
      <c r="MHF38" s="12"/>
      <c r="MHW38" s="12"/>
      <c r="MHX38" s="12"/>
      <c r="MIO38" s="12"/>
      <c r="MIP38" s="12"/>
      <c r="MJG38" s="12"/>
      <c r="MJH38" s="12"/>
      <c r="MJY38" s="12"/>
      <c r="MJZ38" s="12"/>
      <c r="MKQ38" s="12"/>
      <c r="MKR38" s="12"/>
      <c r="MLI38" s="12"/>
      <c r="MLJ38" s="12"/>
      <c r="MMA38" s="12"/>
      <c r="MMB38" s="12"/>
      <c r="MMS38" s="12"/>
      <c r="MMT38" s="12"/>
      <c r="MNK38" s="12"/>
      <c r="MNL38" s="12"/>
      <c r="MOC38" s="12"/>
      <c r="MOD38" s="12"/>
      <c r="MOU38" s="12"/>
      <c r="MOV38" s="12"/>
      <c r="MPM38" s="12"/>
      <c r="MPN38" s="12"/>
      <c r="MQE38" s="12"/>
      <c r="MQF38" s="12"/>
      <c r="MQW38" s="12"/>
      <c r="MQX38" s="12"/>
      <c r="MRO38" s="12"/>
      <c r="MRP38" s="12"/>
      <c r="MSG38" s="12"/>
      <c r="MSH38" s="12"/>
      <c r="MSY38" s="12"/>
      <c r="MSZ38" s="12"/>
      <c r="MTQ38" s="12"/>
      <c r="MTR38" s="12"/>
      <c r="MUI38" s="12"/>
      <c r="MUJ38" s="12"/>
      <c r="MVA38" s="12"/>
      <c r="MVB38" s="12"/>
      <c r="MVS38" s="12"/>
      <c r="MVT38" s="12"/>
      <c r="MWK38" s="12"/>
      <c r="MWL38" s="12"/>
      <c r="MXC38" s="12"/>
      <c r="MXD38" s="12"/>
      <c r="MXU38" s="12"/>
      <c r="MXV38" s="12"/>
      <c r="MYM38" s="12"/>
      <c r="MYN38" s="12"/>
      <c r="MZE38" s="12"/>
      <c r="MZF38" s="12"/>
      <c r="MZW38" s="12"/>
      <c r="MZX38" s="12"/>
      <c r="NAO38" s="12"/>
      <c r="NAP38" s="12"/>
      <c r="NBG38" s="12"/>
      <c r="NBH38" s="12"/>
      <c r="NBY38" s="12"/>
      <c r="NBZ38" s="12"/>
      <c r="NCQ38" s="12"/>
      <c r="NCR38" s="12"/>
      <c r="NDI38" s="12"/>
      <c r="NDJ38" s="12"/>
      <c r="NEA38" s="12"/>
      <c r="NEB38" s="12"/>
      <c r="NES38" s="12"/>
      <c r="NET38" s="12"/>
      <c r="NFK38" s="12"/>
      <c r="NFL38" s="12"/>
      <c r="NGC38" s="12"/>
      <c r="NGD38" s="12"/>
      <c r="NGU38" s="12"/>
      <c r="NGV38" s="12"/>
      <c r="NHM38" s="12"/>
      <c r="NHN38" s="12"/>
      <c r="NIE38" s="12"/>
      <c r="NIF38" s="12"/>
      <c r="NIW38" s="12"/>
      <c r="NIX38" s="12"/>
      <c r="NJO38" s="12"/>
      <c r="NJP38" s="12"/>
      <c r="NKG38" s="12"/>
      <c r="NKH38" s="12"/>
      <c r="NKY38" s="12"/>
      <c r="NKZ38" s="12"/>
      <c r="NLQ38" s="12"/>
      <c r="NLR38" s="12"/>
      <c r="NMI38" s="12"/>
      <c r="NMJ38" s="12"/>
      <c r="NNA38" s="12"/>
      <c r="NNB38" s="12"/>
      <c r="NNS38" s="12"/>
      <c r="NNT38" s="12"/>
      <c r="NOK38" s="12"/>
      <c r="NOL38" s="12"/>
      <c r="NPC38" s="12"/>
      <c r="NPD38" s="12"/>
      <c r="NPU38" s="12"/>
      <c r="NPV38" s="12"/>
      <c r="NQM38" s="12"/>
      <c r="NQN38" s="12"/>
      <c r="NRE38" s="12"/>
      <c r="NRF38" s="12"/>
      <c r="NRW38" s="12"/>
      <c r="NRX38" s="12"/>
      <c r="NSO38" s="12"/>
      <c r="NSP38" s="12"/>
      <c r="NTG38" s="12"/>
      <c r="NTH38" s="12"/>
      <c r="NTY38" s="12"/>
      <c r="NTZ38" s="12"/>
      <c r="NUQ38" s="12"/>
      <c r="NUR38" s="12"/>
      <c r="NVI38" s="12"/>
      <c r="NVJ38" s="12"/>
      <c r="NWA38" s="12"/>
      <c r="NWB38" s="12"/>
      <c r="NWS38" s="12"/>
      <c r="NWT38" s="12"/>
      <c r="NXK38" s="12"/>
      <c r="NXL38" s="12"/>
      <c r="NYC38" s="12"/>
      <c r="NYD38" s="12"/>
      <c r="NYU38" s="12"/>
      <c r="NYV38" s="12"/>
      <c r="NZM38" s="12"/>
      <c r="NZN38" s="12"/>
      <c r="OAE38" s="12"/>
      <c r="OAF38" s="12"/>
      <c r="OAW38" s="12"/>
      <c r="OAX38" s="12"/>
      <c r="OBO38" s="12"/>
      <c r="OBP38" s="12"/>
      <c r="OCG38" s="12"/>
      <c r="OCH38" s="12"/>
      <c r="OCY38" s="12"/>
      <c r="OCZ38" s="12"/>
      <c r="ODQ38" s="12"/>
      <c r="ODR38" s="12"/>
      <c r="OEI38" s="12"/>
      <c r="OEJ38" s="12"/>
      <c r="OFA38" s="12"/>
      <c r="OFB38" s="12"/>
      <c r="OFS38" s="12"/>
      <c r="OFT38" s="12"/>
      <c r="OGK38" s="12"/>
      <c r="OGL38" s="12"/>
      <c r="OHC38" s="12"/>
      <c r="OHD38" s="12"/>
      <c r="OHU38" s="12"/>
      <c r="OHV38" s="12"/>
      <c r="OIM38" s="12"/>
      <c r="OIN38" s="12"/>
      <c r="OJE38" s="12"/>
      <c r="OJF38" s="12"/>
      <c r="OJW38" s="12"/>
      <c r="OJX38" s="12"/>
      <c r="OKO38" s="12"/>
      <c r="OKP38" s="12"/>
      <c r="OLG38" s="12"/>
      <c r="OLH38" s="12"/>
      <c r="OLY38" s="12"/>
      <c r="OLZ38" s="12"/>
      <c r="OMQ38" s="12"/>
      <c r="OMR38" s="12"/>
      <c r="ONI38" s="12"/>
      <c r="ONJ38" s="12"/>
      <c r="OOA38" s="12"/>
      <c r="OOB38" s="12"/>
      <c r="OOS38" s="12"/>
      <c r="OOT38" s="12"/>
      <c r="OPK38" s="12"/>
      <c r="OPL38" s="12"/>
      <c r="OQC38" s="12"/>
      <c r="OQD38" s="12"/>
      <c r="OQU38" s="12"/>
      <c r="OQV38" s="12"/>
      <c r="ORM38" s="12"/>
      <c r="ORN38" s="12"/>
      <c r="OSE38" s="12"/>
      <c r="OSF38" s="12"/>
      <c r="OSW38" s="12"/>
      <c r="OSX38" s="12"/>
      <c r="OTO38" s="12"/>
      <c r="OTP38" s="12"/>
      <c r="OUG38" s="12"/>
      <c r="OUH38" s="12"/>
      <c r="OUY38" s="12"/>
      <c r="OUZ38" s="12"/>
      <c r="OVQ38" s="12"/>
      <c r="OVR38" s="12"/>
      <c r="OWI38" s="12"/>
      <c r="OWJ38" s="12"/>
      <c r="OXA38" s="12"/>
      <c r="OXB38" s="12"/>
      <c r="OXS38" s="12"/>
      <c r="OXT38" s="12"/>
      <c r="OYK38" s="12"/>
      <c r="OYL38" s="12"/>
      <c r="OZC38" s="12"/>
      <c r="OZD38" s="12"/>
      <c r="OZU38" s="12"/>
      <c r="OZV38" s="12"/>
      <c r="PAM38" s="12"/>
      <c r="PAN38" s="12"/>
      <c r="PBE38" s="12"/>
      <c r="PBF38" s="12"/>
      <c r="PBW38" s="12"/>
      <c r="PBX38" s="12"/>
      <c r="PCO38" s="12"/>
      <c r="PCP38" s="12"/>
      <c r="PDG38" s="12"/>
      <c r="PDH38" s="12"/>
      <c r="PDY38" s="12"/>
      <c r="PDZ38" s="12"/>
      <c r="PEQ38" s="12"/>
      <c r="PER38" s="12"/>
      <c r="PFI38" s="12"/>
      <c r="PFJ38" s="12"/>
      <c r="PGA38" s="12"/>
      <c r="PGB38" s="12"/>
      <c r="PGS38" s="12"/>
      <c r="PGT38" s="12"/>
      <c r="PHK38" s="12"/>
      <c r="PHL38" s="12"/>
      <c r="PIC38" s="12"/>
      <c r="PID38" s="12"/>
      <c r="PIU38" s="12"/>
      <c r="PIV38" s="12"/>
      <c r="PJM38" s="12"/>
      <c r="PJN38" s="12"/>
      <c r="PKE38" s="12"/>
      <c r="PKF38" s="12"/>
      <c r="PKW38" s="12"/>
      <c r="PKX38" s="12"/>
      <c r="PLO38" s="12"/>
      <c r="PLP38" s="12"/>
      <c r="PMG38" s="12"/>
      <c r="PMH38" s="12"/>
      <c r="PMY38" s="12"/>
      <c r="PMZ38" s="12"/>
      <c r="PNQ38" s="12"/>
      <c r="PNR38" s="12"/>
      <c r="POI38" s="12"/>
      <c r="POJ38" s="12"/>
      <c r="PPA38" s="12"/>
      <c r="PPB38" s="12"/>
      <c r="PPS38" s="12"/>
      <c r="PPT38" s="12"/>
      <c r="PQK38" s="12"/>
      <c r="PQL38" s="12"/>
      <c r="PRC38" s="12"/>
      <c r="PRD38" s="12"/>
      <c r="PRU38" s="12"/>
      <c r="PRV38" s="12"/>
      <c r="PSM38" s="12"/>
      <c r="PSN38" s="12"/>
      <c r="PTE38" s="12"/>
      <c r="PTF38" s="12"/>
      <c r="PTW38" s="12"/>
      <c r="PTX38" s="12"/>
      <c r="PUO38" s="12"/>
      <c r="PUP38" s="12"/>
      <c r="PVG38" s="12"/>
      <c r="PVH38" s="12"/>
      <c r="PVY38" s="12"/>
      <c r="PVZ38" s="12"/>
      <c r="PWQ38" s="12"/>
      <c r="PWR38" s="12"/>
      <c r="PXI38" s="12"/>
      <c r="PXJ38" s="12"/>
      <c r="PYA38" s="12"/>
      <c r="PYB38" s="12"/>
      <c r="PYS38" s="12"/>
      <c r="PYT38" s="12"/>
      <c r="PZK38" s="12"/>
      <c r="PZL38" s="12"/>
      <c r="QAC38" s="12"/>
      <c r="QAD38" s="12"/>
      <c r="QAU38" s="12"/>
      <c r="QAV38" s="12"/>
      <c r="QBM38" s="12"/>
      <c r="QBN38" s="12"/>
      <c r="QCE38" s="12"/>
      <c r="QCF38" s="12"/>
      <c r="QCW38" s="12"/>
      <c r="QCX38" s="12"/>
      <c r="QDO38" s="12"/>
      <c r="QDP38" s="12"/>
      <c r="QEG38" s="12"/>
      <c r="QEH38" s="12"/>
      <c r="QEY38" s="12"/>
      <c r="QEZ38" s="12"/>
      <c r="QFQ38" s="12"/>
      <c r="QFR38" s="12"/>
      <c r="QGI38" s="12"/>
      <c r="QGJ38" s="12"/>
      <c r="QHA38" s="12"/>
      <c r="QHB38" s="12"/>
      <c r="QHS38" s="12"/>
      <c r="QHT38" s="12"/>
      <c r="QIK38" s="12"/>
      <c r="QIL38" s="12"/>
      <c r="QJC38" s="12"/>
      <c r="QJD38" s="12"/>
      <c r="QJU38" s="12"/>
      <c r="QJV38" s="12"/>
      <c r="QKM38" s="12"/>
      <c r="QKN38" s="12"/>
      <c r="QLE38" s="12"/>
      <c r="QLF38" s="12"/>
      <c r="QLW38" s="12"/>
      <c r="QLX38" s="12"/>
      <c r="QMO38" s="12"/>
      <c r="QMP38" s="12"/>
      <c r="QNG38" s="12"/>
      <c r="QNH38" s="12"/>
      <c r="QNY38" s="12"/>
      <c r="QNZ38" s="12"/>
      <c r="QOQ38" s="12"/>
      <c r="QOR38" s="12"/>
      <c r="QPI38" s="12"/>
      <c r="QPJ38" s="12"/>
      <c r="QQA38" s="12"/>
      <c r="QQB38" s="12"/>
      <c r="QQS38" s="12"/>
      <c r="QQT38" s="12"/>
      <c r="QRK38" s="12"/>
      <c r="QRL38" s="12"/>
      <c r="QSC38" s="12"/>
      <c r="QSD38" s="12"/>
      <c r="QSU38" s="12"/>
      <c r="QSV38" s="12"/>
      <c r="QTM38" s="12"/>
      <c r="QTN38" s="12"/>
      <c r="QUE38" s="12"/>
      <c r="QUF38" s="12"/>
      <c r="QUW38" s="12"/>
      <c r="QUX38" s="12"/>
      <c r="QVO38" s="12"/>
      <c r="QVP38" s="12"/>
      <c r="QWG38" s="12"/>
      <c r="QWH38" s="12"/>
      <c r="QWY38" s="12"/>
      <c r="QWZ38" s="12"/>
      <c r="QXQ38" s="12"/>
      <c r="QXR38" s="12"/>
      <c r="QYI38" s="12"/>
      <c r="QYJ38" s="12"/>
      <c r="QZA38" s="12"/>
      <c r="QZB38" s="12"/>
      <c r="QZS38" s="12"/>
      <c r="QZT38" s="12"/>
      <c r="RAK38" s="12"/>
      <c r="RAL38" s="12"/>
      <c r="RBC38" s="12"/>
      <c r="RBD38" s="12"/>
      <c r="RBU38" s="12"/>
      <c r="RBV38" s="12"/>
      <c r="RCM38" s="12"/>
      <c r="RCN38" s="12"/>
      <c r="RDE38" s="12"/>
      <c r="RDF38" s="12"/>
      <c r="RDW38" s="12"/>
      <c r="RDX38" s="12"/>
      <c r="REO38" s="12"/>
      <c r="REP38" s="12"/>
      <c r="RFG38" s="12"/>
      <c r="RFH38" s="12"/>
      <c r="RFY38" s="12"/>
      <c r="RFZ38" s="12"/>
      <c r="RGQ38" s="12"/>
      <c r="RGR38" s="12"/>
      <c r="RHI38" s="12"/>
      <c r="RHJ38" s="12"/>
      <c r="RIA38" s="12"/>
      <c r="RIB38" s="12"/>
      <c r="RIS38" s="12"/>
      <c r="RIT38" s="12"/>
      <c r="RJK38" s="12"/>
      <c r="RJL38" s="12"/>
      <c r="RKC38" s="12"/>
      <c r="RKD38" s="12"/>
      <c r="RKU38" s="12"/>
      <c r="RKV38" s="12"/>
      <c r="RLM38" s="12"/>
      <c r="RLN38" s="12"/>
      <c r="RME38" s="12"/>
      <c r="RMF38" s="12"/>
      <c r="RMW38" s="12"/>
      <c r="RMX38" s="12"/>
      <c r="RNO38" s="12"/>
      <c r="RNP38" s="12"/>
      <c r="ROG38" s="12"/>
      <c r="ROH38" s="12"/>
      <c r="ROY38" s="12"/>
      <c r="ROZ38" s="12"/>
      <c r="RPQ38" s="12"/>
      <c r="RPR38" s="12"/>
      <c r="RQI38" s="12"/>
      <c r="RQJ38" s="12"/>
      <c r="RRA38" s="12"/>
      <c r="RRB38" s="12"/>
      <c r="RRS38" s="12"/>
      <c r="RRT38" s="12"/>
      <c r="RSK38" s="12"/>
      <c r="RSL38" s="12"/>
      <c r="RTC38" s="12"/>
      <c r="RTD38" s="12"/>
      <c r="RTU38" s="12"/>
      <c r="RTV38" s="12"/>
      <c r="RUM38" s="12"/>
      <c r="RUN38" s="12"/>
      <c r="RVE38" s="12"/>
      <c r="RVF38" s="12"/>
      <c r="RVW38" s="12"/>
      <c r="RVX38" s="12"/>
      <c r="RWO38" s="12"/>
      <c r="RWP38" s="12"/>
      <c r="RXG38" s="12"/>
      <c r="RXH38" s="12"/>
      <c r="RXY38" s="12"/>
      <c r="RXZ38" s="12"/>
      <c r="RYQ38" s="12"/>
      <c r="RYR38" s="12"/>
      <c r="RZI38" s="12"/>
      <c r="RZJ38" s="12"/>
      <c r="SAA38" s="12"/>
      <c r="SAB38" s="12"/>
      <c r="SAS38" s="12"/>
      <c r="SAT38" s="12"/>
      <c r="SBK38" s="12"/>
      <c r="SBL38" s="12"/>
      <c r="SCC38" s="12"/>
      <c r="SCD38" s="12"/>
      <c r="SCU38" s="12"/>
      <c r="SCV38" s="12"/>
      <c r="SDM38" s="12"/>
      <c r="SDN38" s="12"/>
      <c r="SEE38" s="12"/>
      <c r="SEF38" s="12"/>
      <c r="SEW38" s="12"/>
      <c r="SEX38" s="12"/>
      <c r="SFO38" s="12"/>
      <c r="SFP38" s="12"/>
      <c r="SGG38" s="12"/>
      <c r="SGH38" s="12"/>
      <c r="SGY38" s="12"/>
      <c r="SGZ38" s="12"/>
      <c r="SHQ38" s="12"/>
      <c r="SHR38" s="12"/>
      <c r="SII38" s="12"/>
      <c r="SIJ38" s="12"/>
      <c r="SJA38" s="12"/>
      <c r="SJB38" s="12"/>
      <c r="SJS38" s="12"/>
      <c r="SJT38" s="12"/>
      <c r="SKK38" s="12"/>
      <c r="SKL38" s="12"/>
      <c r="SLC38" s="12"/>
      <c r="SLD38" s="12"/>
      <c r="SLU38" s="12"/>
      <c r="SLV38" s="12"/>
      <c r="SMM38" s="12"/>
      <c r="SMN38" s="12"/>
      <c r="SNE38" s="12"/>
      <c r="SNF38" s="12"/>
      <c r="SNW38" s="12"/>
      <c r="SNX38" s="12"/>
      <c r="SOO38" s="12"/>
      <c r="SOP38" s="12"/>
      <c r="SPG38" s="12"/>
      <c r="SPH38" s="12"/>
      <c r="SPY38" s="12"/>
      <c r="SPZ38" s="12"/>
      <c r="SQQ38" s="12"/>
      <c r="SQR38" s="12"/>
      <c r="SRI38" s="12"/>
      <c r="SRJ38" s="12"/>
      <c r="SSA38" s="12"/>
      <c r="SSB38" s="12"/>
      <c r="SSS38" s="12"/>
      <c r="SST38" s="12"/>
      <c r="STK38" s="12"/>
      <c r="STL38" s="12"/>
      <c r="SUC38" s="12"/>
      <c r="SUD38" s="12"/>
      <c r="SUU38" s="12"/>
      <c r="SUV38" s="12"/>
      <c r="SVM38" s="12"/>
      <c r="SVN38" s="12"/>
      <c r="SWE38" s="12"/>
      <c r="SWF38" s="12"/>
      <c r="SWW38" s="12"/>
      <c r="SWX38" s="12"/>
      <c r="SXO38" s="12"/>
      <c r="SXP38" s="12"/>
      <c r="SYG38" s="12"/>
      <c r="SYH38" s="12"/>
      <c r="SYY38" s="12"/>
      <c r="SYZ38" s="12"/>
      <c r="SZQ38" s="12"/>
      <c r="SZR38" s="12"/>
      <c r="TAI38" s="12"/>
      <c r="TAJ38" s="12"/>
      <c r="TBA38" s="12"/>
      <c r="TBB38" s="12"/>
      <c r="TBS38" s="12"/>
      <c r="TBT38" s="12"/>
      <c r="TCK38" s="12"/>
      <c r="TCL38" s="12"/>
      <c r="TDC38" s="12"/>
      <c r="TDD38" s="12"/>
      <c r="TDU38" s="12"/>
      <c r="TDV38" s="12"/>
      <c r="TEM38" s="12"/>
      <c r="TEN38" s="12"/>
      <c r="TFE38" s="12"/>
      <c r="TFF38" s="12"/>
      <c r="TFW38" s="12"/>
      <c r="TFX38" s="12"/>
      <c r="TGO38" s="12"/>
      <c r="TGP38" s="12"/>
      <c r="THG38" s="12"/>
      <c r="THH38" s="12"/>
      <c r="THY38" s="12"/>
      <c r="THZ38" s="12"/>
      <c r="TIQ38" s="12"/>
      <c r="TIR38" s="12"/>
      <c r="TJI38" s="12"/>
      <c r="TJJ38" s="12"/>
      <c r="TKA38" s="12"/>
      <c r="TKB38" s="12"/>
      <c r="TKS38" s="12"/>
      <c r="TKT38" s="12"/>
      <c r="TLK38" s="12"/>
      <c r="TLL38" s="12"/>
      <c r="TMC38" s="12"/>
      <c r="TMD38" s="12"/>
      <c r="TMU38" s="12"/>
      <c r="TMV38" s="12"/>
      <c r="TNM38" s="12"/>
      <c r="TNN38" s="12"/>
      <c r="TOE38" s="12"/>
      <c r="TOF38" s="12"/>
      <c r="TOW38" s="12"/>
      <c r="TOX38" s="12"/>
      <c r="TPO38" s="12"/>
      <c r="TPP38" s="12"/>
      <c r="TQG38" s="12"/>
      <c r="TQH38" s="12"/>
      <c r="TQY38" s="12"/>
      <c r="TQZ38" s="12"/>
      <c r="TRQ38" s="12"/>
      <c r="TRR38" s="12"/>
      <c r="TSI38" s="12"/>
      <c r="TSJ38" s="12"/>
      <c r="TTA38" s="12"/>
      <c r="TTB38" s="12"/>
      <c r="TTS38" s="12"/>
      <c r="TTT38" s="12"/>
      <c r="TUK38" s="12"/>
      <c r="TUL38" s="12"/>
      <c r="TVC38" s="12"/>
      <c r="TVD38" s="12"/>
      <c r="TVU38" s="12"/>
      <c r="TVV38" s="12"/>
      <c r="TWM38" s="12"/>
      <c r="TWN38" s="12"/>
      <c r="TXE38" s="12"/>
      <c r="TXF38" s="12"/>
      <c r="TXW38" s="12"/>
      <c r="TXX38" s="12"/>
      <c r="TYO38" s="12"/>
      <c r="TYP38" s="12"/>
      <c r="TZG38" s="12"/>
      <c r="TZH38" s="12"/>
      <c r="TZY38" s="12"/>
      <c r="TZZ38" s="12"/>
      <c r="UAQ38" s="12"/>
      <c r="UAR38" s="12"/>
      <c r="UBI38" s="12"/>
      <c r="UBJ38" s="12"/>
      <c r="UCA38" s="12"/>
      <c r="UCB38" s="12"/>
      <c r="UCS38" s="12"/>
      <c r="UCT38" s="12"/>
      <c r="UDK38" s="12"/>
      <c r="UDL38" s="12"/>
      <c r="UEC38" s="12"/>
      <c r="UED38" s="12"/>
      <c r="UEU38" s="12"/>
      <c r="UEV38" s="12"/>
      <c r="UFM38" s="12"/>
      <c r="UFN38" s="12"/>
      <c r="UGE38" s="12"/>
      <c r="UGF38" s="12"/>
      <c r="UGW38" s="12"/>
      <c r="UGX38" s="12"/>
      <c r="UHO38" s="12"/>
      <c r="UHP38" s="12"/>
      <c r="UIG38" s="12"/>
      <c r="UIH38" s="12"/>
      <c r="UIY38" s="12"/>
      <c r="UIZ38" s="12"/>
      <c r="UJQ38" s="12"/>
      <c r="UJR38" s="12"/>
      <c r="UKI38" s="12"/>
      <c r="UKJ38" s="12"/>
      <c r="ULA38" s="12"/>
      <c r="ULB38" s="12"/>
      <c r="ULS38" s="12"/>
      <c r="ULT38" s="12"/>
      <c r="UMK38" s="12"/>
      <c r="UML38" s="12"/>
      <c r="UNC38" s="12"/>
      <c r="UND38" s="12"/>
      <c r="UNU38" s="12"/>
      <c r="UNV38" s="12"/>
      <c r="UOM38" s="12"/>
      <c r="UON38" s="12"/>
      <c r="UPE38" s="12"/>
      <c r="UPF38" s="12"/>
      <c r="UPW38" s="12"/>
      <c r="UPX38" s="12"/>
      <c r="UQO38" s="12"/>
      <c r="UQP38" s="12"/>
      <c r="URG38" s="12"/>
      <c r="URH38" s="12"/>
      <c r="URY38" s="12"/>
      <c r="URZ38" s="12"/>
      <c r="USQ38" s="12"/>
      <c r="USR38" s="12"/>
      <c r="UTI38" s="12"/>
      <c r="UTJ38" s="12"/>
      <c r="UUA38" s="12"/>
      <c r="UUB38" s="12"/>
      <c r="UUS38" s="12"/>
      <c r="UUT38" s="12"/>
      <c r="UVK38" s="12"/>
      <c r="UVL38" s="12"/>
      <c r="UWC38" s="12"/>
      <c r="UWD38" s="12"/>
      <c r="UWU38" s="12"/>
      <c r="UWV38" s="12"/>
      <c r="UXM38" s="12"/>
      <c r="UXN38" s="12"/>
      <c r="UYE38" s="12"/>
      <c r="UYF38" s="12"/>
      <c r="UYW38" s="12"/>
      <c r="UYX38" s="12"/>
      <c r="UZO38" s="12"/>
      <c r="UZP38" s="12"/>
      <c r="VAG38" s="12"/>
      <c r="VAH38" s="12"/>
      <c r="VAY38" s="12"/>
      <c r="VAZ38" s="12"/>
      <c r="VBQ38" s="12"/>
      <c r="VBR38" s="12"/>
      <c r="VCI38" s="12"/>
      <c r="VCJ38" s="12"/>
      <c r="VDA38" s="12"/>
      <c r="VDB38" s="12"/>
      <c r="VDS38" s="12"/>
      <c r="VDT38" s="12"/>
      <c r="VEK38" s="12"/>
      <c r="VEL38" s="12"/>
      <c r="VFC38" s="12"/>
      <c r="VFD38" s="12"/>
      <c r="VFU38" s="12"/>
      <c r="VFV38" s="12"/>
      <c r="VGM38" s="12"/>
      <c r="VGN38" s="12"/>
      <c r="VHE38" s="12"/>
      <c r="VHF38" s="12"/>
      <c r="VHW38" s="12"/>
      <c r="VHX38" s="12"/>
      <c r="VIO38" s="12"/>
      <c r="VIP38" s="12"/>
      <c r="VJG38" s="12"/>
      <c r="VJH38" s="12"/>
      <c r="VJY38" s="12"/>
      <c r="VJZ38" s="12"/>
      <c r="VKQ38" s="12"/>
      <c r="VKR38" s="12"/>
      <c r="VLI38" s="12"/>
      <c r="VLJ38" s="12"/>
      <c r="VMA38" s="12"/>
      <c r="VMB38" s="12"/>
      <c r="VMS38" s="12"/>
      <c r="VMT38" s="12"/>
      <c r="VNK38" s="12"/>
      <c r="VNL38" s="12"/>
      <c r="VOC38" s="12"/>
      <c r="VOD38" s="12"/>
      <c r="VOU38" s="12"/>
      <c r="VOV38" s="12"/>
      <c r="VPM38" s="12"/>
      <c r="VPN38" s="12"/>
      <c r="VQE38" s="12"/>
      <c r="VQF38" s="12"/>
      <c r="VQW38" s="12"/>
      <c r="VQX38" s="12"/>
      <c r="VRO38" s="12"/>
      <c r="VRP38" s="12"/>
      <c r="VSG38" s="12"/>
      <c r="VSH38" s="12"/>
      <c r="VSY38" s="12"/>
      <c r="VSZ38" s="12"/>
      <c r="VTQ38" s="12"/>
      <c r="VTR38" s="12"/>
      <c r="VUI38" s="12"/>
      <c r="VUJ38" s="12"/>
      <c r="VVA38" s="12"/>
      <c r="VVB38" s="12"/>
      <c r="VVS38" s="12"/>
      <c r="VVT38" s="12"/>
      <c r="VWK38" s="12"/>
      <c r="VWL38" s="12"/>
      <c r="VXC38" s="12"/>
      <c r="VXD38" s="12"/>
      <c r="VXU38" s="12"/>
      <c r="VXV38" s="12"/>
      <c r="VYM38" s="12"/>
      <c r="VYN38" s="12"/>
      <c r="VZE38" s="12"/>
      <c r="VZF38" s="12"/>
      <c r="VZW38" s="12"/>
      <c r="VZX38" s="12"/>
      <c r="WAO38" s="12"/>
      <c r="WAP38" s="12"/>
      <c r="WBG38" s="12"/>
      <c r="WBH38" s="12"/>
      <c r="WBY38" s="12"/>
      <c r="WBZ38" s="12"/>
      <c r="WCQ38" s="12"/>
      <c r="WCR38" s="12"/>
      <c r="WDI38" s="12"/>
      <c r="WDJ38" s="12"/>
      <c r="WEA38" s="12"/>
      <c r="WEB38" s="12"/>
      <c r="WES38" s="12"/>
      <c r="WET38" s="12"/>
      <c r="WFK38" s="12"/>
      <c r="WFL38" s="12"/>
      <c r="WGC38" s="12"/>
      <c r="WGD38" s="12"/>
      <c r="WGU38" s="12"/>
      <c r="WGV38" s="12"/>
      <c r="WHM38" s="12"/>
      <c r="WHN38" s="12"/>
      <c r="WIE38" s="12"/>
      <c r="WIF38" s="12"/>
      <c r="WIW38" s="12"/>
      <c r="WIX38" s="12"/>
      <c r="WJO38" s="12"/>
      <c r="WJP38" s="12"/>
      <c r="WKG38" s="12"/>
      <c r="WKH38" s="12"/>
      <c r="WKY38" s="12"/>
      <c r="WKZ38" s="12"/>
      <c r="WLQ38" s="12"/>
      <c r="WLR38" s="12"/>
      <c r="WMI38" s="12"/>
      <c r="WMJ38" s="12"/>
      <c r="WNA38" s="12"/>
      <c r="WNB38" s="12"/>
      <c r="WNS38" s="12"/>
      <c r="WNT38" s="12"/>
      <c r="WOK38" s="12"/>
      <c r="WOL38" s="12"/>
      <c r="WPC38" s="12"/>
      <c r="WPD38" s="12"/>
      <c r="WPU38" s="12"/>
      <c r="WPV38" s="12"/>
      <c r="WQM38" s="12"/>
      <c r="WQN38" s="12"/>
      <c r="WRE38" s="12"/>
      <c r="WRF38" s="12"/>
      <c r="WRW38" s="12"/>
      <c r="WRX38" s="12"/>
      <c r="WSO38" s="12"/>
      <c r="WSP38" s="12"/>
      <c r="WTG38" s="12"/>
      <c r="WTH38" s="12"/>
      <c r="WTY38" s="12"/>
      <c r="WTZ38" s="12"/>
      <c r="WUQ38" s="12"/>
      <c r="WUR38" s="12"/>
      <c r="WVI38" s="12"/>
      <c r="WVJ38" s="12"/>
      <c r="WWA38" s="12"/>
      <c r="WWB38" s="12"/>
      <c r="WWS38" s="12"/>
      <c r="WWT38" s="12"/>
      <c r="WXK38" s="12"/>
      <c r="WXL38" s="12"/>
      <c r="WYC38" s="12"/>
      <c r="WYD38" s="12"/>
      <c r="WYU38" s="12"/>
      <c r="WYV38" s="12"/>
      <c r="WZM38" s="12"/>
      <c r="WZN38" s="12"/>
      <c r="XAE38" s="12"/>
      <c r="XAF38" s="12"/>
      <c r="XAW38" s="12"/>
      <c r="XAX38" s="12"/>
      <c r="XBO38" s="12"/>
      <c r="XBP38" s="12"/>
      <c r="XCG38" s="12"/>
      <c r="XCH38" s="12"/>
      <c r="XCY38" s="12"/>
      <c r="XCZ38" s="12"/>
      <c r="XDQ38" s="12"/>
      <c r="XDR38" s="12"/>
      <c r="XEI38" s="12"/>
      <c r="XEJ38" s="12"/>
      <c r="XFA38" s="12"/>
      <c r="XFB38" s="12"/>
    </row>
    <row r="39" spans="1:1010 1027:2036 2053:3062 3079:4088 4105:5114 5131:6140 6157:7166 7183:8192 8209:9200 9217:10226 10243:11252 11269:12278 12295:13304 13321:14330 14347:15356 15373:16382" s="11" customFormat="1" x14ac:dyDescent="0.35">
      <c r="A39" s="183" t="s">
        <v>268</v>
      </c>
      <c r="B39" s="183" t="s">
        <v>269</v>
      </c>
      <c r="C39" s="184"/>
      <c r="D39" s="184"/>
      <c r="E39" s="184"/>
      <c r="F39" s="184"/>
      <c r="G39" s="184"/>
      <c r="H39" s="184"/>
      <c r="I39" s="184"/>
      <c r="J39" s="184"/>
      <c r="K39" s="184"/>
      <c r="L39" s="184"/>
      <c r="S39" s="12"/>
      <c r="T39" s="12"/>
      <c r="AK39" s="12"/>
      <c r="AL39" s="12"/>
      <c r="BC39" s="12"/>
      <c r="BD39" s="12"/>
      <c r="BU39" s="12"/>
      <c r="BV39" s="12"/>
      <c r="CM39" s="12"/>
      <c r="CN39" s="12"/>
      <c r="DE39" s="12"/>
      <c r="DF39" s="12"/>
      <c r="DW39" s="12"/>
      <c r="DX39" s="12"/>
      <c r="EO39" s="12"/>
      <c r="EP39" s="12"/>
      <c r="FG39" s="12"/>
      <c r="FH39" s="12"/>
      <c r="FY39" s="12"/>
      <c r="FZ39" s="12"/>
      <c r="GQ39" s="12"/>
      <c r="GR39" s="12"/>
      <c r="HI39" s="12"/>
      <c r="HJ39" s="12"/>
      <c r="IA39" s="12"/>
      <c r="IB39" s="12"/>
      <c r="IS39" s="12"/>
      <c r="IT39" s="12"/>
      <c r="JK39" s="12"/>
      <c r="JL39" s="12"/>
      <c r="KC39" s="12"/>
      <c r="KD39" s="12"/>
      <c r="KU39" s="12"/>
      <c r="KV39" s="12"/>
      <c r="LM39" s="12"/>
      <c r="LN39" s="12"/>
      <c r="ME39" s="12"/>
      <c r="MF39" s="12"/>
      <c r="MW39" s="12"/>
      <c r="MX39" s="12"/>
      <c r="NO39" s="12"/>
      <c r="NP39" s="12"/>
      <c r="OG39" s="12"/>
      <c r="OH39" s="12"/>
      <c r="OY39" s="12"/>
      <c r="OZ39" s="12"/>
      <c r="PQ39" s="12"/>
      <c r="PR39" s="12"/>
      <c r="QI39" s="12"/>
      <c r="QJ39" s="12"/>
      <c r="RA39" s="12"/>
      <c r="RB39" s="12"/>
      <c r="RS39" s="12"/>
      <c r="RT39" s="12"/>
      <c r="SK39" s="12"/>
      <c r="SL39" s="12"/>
      <c r="TC39" s="12"/>
      <c r="TD39" s="12"/>
      <c r="TU39" s="12"/>
      <c r="TV39" s="12"/>
      <c r="UM39" s="12"/>
      <c r="UN39" s="12"/>
      <c r="VE39" s="12"/>
      <c r="VF39" s="12"/>
      <c r="VW39" s="12"/>
      <c r="VX39" s="12"/>
      <c r="WO39" s="12"/>
      <c r="WP39" s="12"/>
      <c r="XG39" s="12"/>
      <c r="XH39" s="12"/>
      <c r="XY39" s="12"/>
      <c r="XZ39" s="12"/>
      <c r="YQ39" s="12"/>
      <c r="YR39" s="12"/>
      <c r="ZI39" s="12"/>
      <c r="ZJ39" s="12"/>
      <c r="AAA39" s="12"/>
      <c r="AAB39" s="12"/>
      <c r="AAS39" s="12"/>
      <c r="AAT39" s="12"/>
      <c r="ABK39" s="12"/>
      <c r="ABL39" s="12"/>
      <c r="ACC39" s="12"/>
      <c r="ACD39" s="12"/>
      <c r="ACU39" s="12"/>
      <c r="ACV39" s="12"/>
      <c r="ADM39" s="12"/>
      <c r="ADN39" s="12"/>
      <c r="AEE39" s="12"/>
      <c r="AEF39" s="12"/>
      <c r="AEW39" s="12"/>
      <c r="AEX39" s="12"/>
      <c r="AFO39" s="12"/>
      <c r="AFP39" s="12"/>
      <c r="AGG39" s="12"/>
      <c r="AGH39" s="12"/>
      <c r="AGY39" s="12"/>
      <c r="AGZ39" s="12"/>
      <c r="AHQ39" s="12"/>
      <c r="AHR39" s="12"/>
      <c r="AII39" s="12"/>
      <c r="AIJ39" s="12"/>
      <c r="AJA39" s="12"/>
      <c r="AJB39" s="12"/>
      <c r="AJS39" s="12"/>
      <c r="AJT39" s="12"/>
      <c r="AKK39" s="12"/>
      <c r="AKL39" s="12"/>
      <c r="ALC39" s="12"/>
      <c r="ALD39" s="12"/>
      <c r="ALU39" s="12"/>
      <c r="ALV39" s="12"/>
      <c r="AMM39" s="12"/>
      <c r="AMN39" s="12"/>
      <c r="ANE39" s="12"/>
      <c r="ANF39" s="12"/>
      <c r="ANW39" s="12"/>
      <c r="ANX39" s="12"/>
      <c r="AOO39" s="12"/>
      <c r="AOP39" s="12"/>
      <c r="APG39" s="12"/>
      <c r="APH39" s="12"/>
      <c r="APY39" s="12"/>
      <c r="APZ39" s="12"/>
      <c r="AQQ39" s="12"/>
      <c r="AQR39" s="12"/>
      <c r="ARI39" s="12"/>
      <c r="ARJ39" s="12"/>
      <c r="ASA39" s="12"/>
      <c r="ASB39" s="12"/>
      <c r="ASS39" s="12"/>
      <c r="AST39" s="12"/>
      <c r="ATK39" s="12"/>
      <c r="ATL39" s="12"/>
      <c r="AUC39" s="12"/>
      <c r="AUD39" s="12"/>
      <c r="AUU39" s="12"/>
      <c r="AUV39" s="12"/>
      <c r="AVM39" s="12"/>
      <c r="AVN39" s="12"/>
      <c r="AWE39" s="12"/>
      <c r="AWF39" s="12"/>
      <c r="AWW39" s="12"/>
      <c r="AWX39" s="12"/>
      <c r="AXO39" s="12"/>
      <c r="AXP39" s="12"/>
      <c r="AYG39" s="12"/>
      <c r="AYH39" s="12"/>
      <c r="AYY39" s="12"/>
      <c r="AYZ39" s="12"/>
      <c r="AZQ39" s="12"/>
      <c r="AZR39" s="12"/>
      <c r="BAI39" s="12"/>
      <c r="BAJ39" s="12"/>
      <c r="BBA39" s="12"/>
      <c r="BBB39" s="12"/>
      <c r="BBS39" s="12"/>
      <c r="BBT39" s="12"/>
      <c r="BCK39" s="12"/>
      <c r="BCL39" s="12"/>
      <c r="BDC39" s="12"/>
      <c r="BDD39" s="12"/>
      <c r="BDU39" s="12"/>
      <c r="BDV39" s="12"/>
      <c r="BEM39" s="12"/>
      <c r="BEN39" s="12"/>
      <c r="BFE39" s="12"/>
      <c r="BFF39" s="12"/>
      <c r="BFW39" s="12"/>
      <c r="BFX39" s="12"/>
      <c r="BGO39" s="12"/>
      <c r="BGP39" s="12"/>
      <c r="BHG39" s="12"/>
      <c r="BHH39" s="12"/>
      <c r="BHY39" s="12"/>
      <c r="BHZ39" s="12"/>
      <c r="BIQ39" s="12"/>
      <c r="BIR39" s="12"/>
      <c r="BJI39" s="12"/>
      <c r="BJJ39" s="12"/>
      <c r="BKA39" s="12"/>
      <c r="BKB39" s="12"/>
      <c r="BKS39" s="12"/>
      <c r="BKT39" s="12"/>
      <c r="BLK39" s="12"/>
      <c r="BLL39" s="12"/>
      <c r="BMC39" s="12"/>
      <c r="BMD39" s="12"/>
      <c r="BMU39" s="12"/>
      <c r="BMV39" s="12"/>
      <c r="BNM39" s="12"/>
      <c r="BNN39" s="12"/>
      <c r="BOE39" s="12"/>
      <c r="BOF39" s="12"/>
      <c r="BOW39" s="12"/>
      <c r="BOX39" s="12"/>
      <c r="BPO39" s="12"/>
      <c r="BPP39" s="12"/>
      <c r="BQG39" s="12"/>
      <c r="BQH39" s="12"/>
      <c r="BQY39" s="12"/>
      <c r="BQZ39" s="12"/>
      <c r="BRQ39" s="12"/>
      <c r="BRR39" s="12"/>
      <c r="BSI39" s="12"/>
      <c r="BSJ39" s="12"/>
      <c r="BTA39" s="12"/>
      <c r="BTB39" s="12"/>
      <c r="BTS39" s="12"/>
      <c r="BTT39" s="12"/>
      <c r="BUK39" s="12"/>
      <c r="BUL39" s="12"/>
      <c r="BVC39" s="12"/>
      <c r="BVD39" s="12"/>
      <c r="BVU39" s="12"/>
      <c r="BVV39" s="12"/>
      <c r="BWM39" s="12"/>
      <c r="BWN39" s="12"/>
      <c r="BXE39" s="12"/>
      <c r="BXF39" s="12"/>
      <c r="BXW39" s="12"/>
      <c r="BXX39" s="12"/>
      <c r="BYO39" s="12"/>
      <c r="BYP39" s="12"/>
      <c r="BZG39" s="12"/>
      <c r="BZH39" s="12"/>
      <c r="BZY39" s="12"/>
      <c r="BZZ39" s="12"/>
      <c r="CAQ39" s="12"/>
      <c r="CAR39" s="12"/>
      <c r="CBI39" s="12"/>
      <c r="CBJ39" s="12"/>
      <c r="CCA39" s="12"/>
      <c r="CCB39" s="12"/>
      <c r="CCS39" s="12"/>
      <c r="CCT39" s="12"/>
      <c r="CDK39" s="12"/>
      <c r="CDL39" s="12"/>
      <c r="CEC39" s="12"/>
      <c r="CED39" s="12"/>
      <c r="CEU39" s="12"/>
      <c r="CEV39" s="12"/>
      <c r="CFM39" s="12"/>
      <c r="CFN39" s="12"/>
      <c r="CGE39" s="12"/>
      <c r="CGF39" s="12"/>
      <c r="CGW39" s="12"/>
      <c r="CGX39" s="12"/>
      <c r="CHO39" s="12"/>
      <c r="CHP39" s="12"/>
      <c r="CIG39" s="12"/>
      <c r="CIH39" s="12"/>
      <c r="CIY39" s="12"/>
      <c r="CIZ39" s="12"/>
      <c r="CJQ39" s="12"/>
      <c r="CJR39" s="12"/>
      <c r="CKI39" s="12"/>
      <c r="CKJ39" s="12"/>
      <c r="CLA39" s="12"/>
      <c r="CLB39" s="12"/>
      <c r="CLS39" s="12"/>
      <c r="CLT39" s="12"/>
      <c r="CMK39" s="12"/>
      <c r="CML39" s="12"/>
      <c r="CNC39" s="12"/>
      <c r="CND39" s="12"/>
      <c r="CNU39" s="12"/>
      <c r="CNV39" s="12"/>
      <c r="COM39" s="12"/>
      <c r="CON39" s="12"/>
      <c r="CPE39" s="12"/>
      <c r="CPF39" s="12"/>
      <c r="CPW39" s="12"/>
      <c r="CPX39" s="12"/>
      <c r="CQO39" s="12"/>
      <c r="CQP39" s="12"/>
      <c r="CRG39" s="12"/>
      <c r="CRH39" s="12"/>
      <c r="CRY39" s="12"/>
      <c r="CRZ39" s="12"/>
      <c r="CSQ39" s="12"/>
      <c r="CSR39" s="12"/>
      <c r="CTI39" s="12"/>
      <c r="CTJ39" s="12"/>
      <c r="CUA39" s="12"/>
      <c r="CUB39" s="12"/>
      <c r="CUS39" s="12"/>
      <c r="CUT39" s="12"/>
      <c r="CVK39" s="12"/>
      <c r="CVL39" s="12"/>
      <c r="CWC39" s="12"/>
      <c r="CWD39" s="12"/>
      <c r="CWU39" s="12"/>
      <c r="CWV39" s="12"/>
      <c r="CXM39" s="12"/>
      <c r="CXN39" s="12"/>
      <c r="CYE39" s="12"/>
      <c r="CYF39" s="12"/>
      <c r="CYW39" s="12"/>
      <c r="CYX39" s="12"/>
      <c r="CZO39" s="12"/>
      <c r="CZP39" s="12"/>
      <c r="DAG39" s="12"/>
      <c r="DAH39" s="12"/>
      <c r="DAY39" s="12"/>
      <c r="DAZ39" s="12"/>
      <c r="DBQ39" s="12"/>
      <c r="DBR39" s="12"/>
      <c r="DCI39" s="12"/>
      <c r="DCJ39" s="12"/>
      <c r="DDA39" s="12"/>
      <c r="DDB39" s="12"/>
      <c r="DDS39" s="12"/>
      <c r="DDT39" s="12"/>
      <c r="DEK39" s="12"/>
      <c r="DEL39" s="12"/>
      <c r="DFC39" s="12"/>
      <c r="DFD39" s="12"/>
      <c r="DFU39" s="12"/>
      <c r="DFV39" s="12"/>
      <c r="DGM39" s="12"/>
      <c r="DGN39" s="12"/>
      <c r="DHE39" s="12"/>
      <c r="DHF39" s="12"/>
      <c r="DHW39" s="12"/>
      <c r="DHX39" s="12"/>
      <c r="DIO39" s="12"/>
      <c r="DIP39" s="12"/>
      <c r="DJG39" s="12"/>
      <c r="DJH39" s="12"/>
      <c r="DJY39" s="12"/>
      <c r="DJZ39" s="12"/>
      <c r="DKQ39" s="12"/>
      <c r="DKR39" s="12"/>
      <c r="DLI39" s="12"/>
      <c r="DLJ39" s="12"/>
      <c r="DMA39" s="12"/>
      <c r="DMB39" s="12"/>
      <c r="DMS39" s="12"/>
      <c r="DMT39" s="12"/>
      <c r="DNK39" s="12"/>
      <c r="DNL39" s="12"/>
      <c r="DOC39" s="12"/>
      <c r="DOD39" s="12"/>
      <c r="DOU39" s="12"/>
      <c r="DOV39" s="12"/>
      <c r="DPM39" s="12"/>
      <c r="DPN39" s="12"/>
      <c r="DQE39" s="12"/>
      <c r="DQF39" s="12"/>
      <c r="DQW39" s="12"/>
      <c r="DQX39" s="12"/>
      <c r="DRO39" s="12"/>
      <c r="DRP39" s="12"/>
      <c r="DSG39" s="12"/>
      <c r="DSH39" s="12"/>
      <c r="DSY39" s="12"/>
      <c r="DSZ39" s="12"/>
      <c r="DTQ39" s="12"/>
      <c r="DTR39" s="12"/>
      <c r="DUI39" s="12"/>
      <c r="DUJ39" s="12"/>
      <c r="DVA39" s="12"/>
      <c r="DVB39" s="12"/>
      <c r="DVS39" s="12"/>
      <c r="DVT39" s="12"/>
      <c r="DWK39" s="12"/>
      <c r="DWL39" s="12"/>
      <c r="DXC39" s="12"/>
      <c r="DXD39" s="12"/>
      <c r="DXU39" s="12"/>
      <c r="DXV39" s="12"/>
      <c r="DYM39" s="12"/>
      <c r="DYN39" s="12"/>
      <c r="DZE39" s="12"/>
      <c r="DZF39" s="12"/>
      <c r="DZW39" s="12"/>
      <c r="DZX39" s="12"/>
      <c r="EAO39" s="12"/>
      <c r="EAP39" s="12"/>
      <c r="EBG39" s="12"/>
      <c r="EBH39" s="12"/>
      <c r="EBY39" s="12"/>
      <c r="EBZ39" s="12"/>
      <c r="ECQ39" s="12"/>
      <c r="ECR39" s="12"/>
      <c r="EDI39" s="12"/>
      <c r="EDJ39" s="12"/>
      <c r="EEA39" s="12"/>
      <c r="EEB39" s="12"/>
      <c r="EES39" s="12"/>
      <c r="EET39" s="12"/>
      <c r="EFK39" s="12"/>
      <c r="EFL39" s="12"/>
      <c r="EGC39" s="12"/>
      <c r="EGD39" s="12"/>
      <c r="EGU39" s="12"/>
      <c r="EGV39" s="12"/>
      <c r="EHM39" s="12"/>
      <c r="EHN39" s="12"/>
      <c r="EIE39" s="12"/>
      <c r="EIF39" s="12"/>
      <c r="EIW39" s="12"/>
      <c r="EIX39" s="12"/>
      <c r="EJO39" s="12"/>
      <c r="EJP39" s="12"/>
      <c r="EKG39" s="12"/>
      <c r="EKH39" s="12"/>
      <c r="EKY39" s="12"/>
      <c r="EKZ39" s="12"/>
      <c r="ELQ39" s="12"/>
      <c r="ELR39" s="12"/>
      <c r="EMI39" s="12"/>
      <c r="EMJ39" s="12"/>
      <c r="ENA39" s="12"/>
      <c r="ENB39" s="12"/>
      <c r="ENS39" s="12"/>
      <c r="ENT39" s="12"/>
      <c r="EOK39" s="12"/>
      <c r="EOL39" s="12"/>
      <c r="EPC39" s="12"/>
      <c r="EPD39" s="12"/>
      <c r="EPU39" s="12"/>
      <c r="EPV39" s="12"/>
      <c r="EQM39" s="12"/>
      <c r="EQN39" s="12"/>
      <c r="ERE39" s="12"/>
      <c r="ERF39" s="12"/>
      <c r="ERW39" s="12"/>
      <c r="ERX39" s="12"/>
      <c r="ESO39" s="12"/>
      <c r="ESP39" s="12"/>
      <c r="ETG39" s="12"/>
      <c r="ETH39" s="12"/>
      <c r="ETY39" s="12"/>
      <c r="ETZ39" s="12"/>
      <c r="EUQ39" s="12"/>
      <c r="EUR39" s="12"/>
      <c r="EVI39" s="12"/>
      <c r="EVJ39" s="12"/>
      <c r="EWA39" s="12"/>
      <c r="EWB39" s="12"/>
      <c r="EWS39" s="12"/>
      <c r="EWT39" s="12"/>
      <c r="EXK39" s="12"/>
      <c r="EXL39" s="12"/>
      <c r="EYC39" s="12"/>
      <c r="EYD39" s="12"/>
      <c r="EYU39" s="12"/>
      <c r="EYV39" s="12"/>
      <c r="EZM39" s="12"/>
      <c r="EZN39" s="12"/>
      <c r="FAE39" s="12"/>
      <c r="FAF39" s="12"/>
      <c r="FAW39" s="12"/>
      <c r="FAX39" s="12"/>
      <c r="FBO39" s="12"/>
      <c r="FBP39" s="12"/>
      <c r="FCG39" s="12"/>
      <c r="FCH39" s="12"/>
      <c r="FCY39" s="12"/>
      <c r="FCZ39" s="12"/>
      <c r="FDQ39" s="12"/>
      <c r="FDR39" s="12"/>
      <c r="FEI39" s="12"/>
      <c r="FEJ39" s="12"/>
      <c r="FFA39" s="12"/>
      <c r="FFB39" s="12"/>
      <c r="FFS39" s="12"/>
      <c r="FFT39" s="12"/>
      <c r="FGK39" s="12"/>
      <c r="FGL39" s="12"/>
      <c r="FHC39" s="12"/>
      <c r="FHD39" s="12"/>
      <c r="FHU39" s="12"/>
      <c r="FHV39" s="12"/>
      <c r="FIM39" s="12"/>
      <c r="FIN39" s="12"/>
      <c r="FJE39" s="12"/>
      <c r="FJF39" s="12"/>
      <c r="FJW39" s="12"/>
      <c r="FJX39" s="12"/>
      <c r="FKO39" s="12"/>
      <c r="FKP39" s="12"/>
      <c r="FLG39" s="12"/>
      <c r="FLH39" s="12"/>
      <c r="FLY39" s="12"/>
      <c r="FLZ39" s="12"/>
      <c r="FMQ39" s="12"/>
      <c r="FMR39" s="12"/>
      <c r="FNI39" s="12"/>
      <c r="FNJ39" s="12"/>
      <c r="FOA39" s="12"/>
      <c r="FOB39" s="12"/>
      <c r="FOS39" s="12"/>
      <c r="FOT39" s="12"/>
      <c r="FPK39" s="12"/>
      <c r="FPL39" s="12"/>
      <c r="FQC39" s="12"/>
      <c r="FQD39" s="12"/>
      <c r="FQU39" s="12"/>
      <c r="FQV39" s="12"/>
      <c r="FRM39" s="12"/>
      <c r="FRN39" s="12"/>
      <c r="FSE39" s="12"/>
      <c r="FSF39" s="12"/>
      <c r="FSW39" s="12"/>
      <c r="FSX39" s="12"/>
      <c r="FTO39" s="12"/>
      <c r="FTP39" s="12"/>
      <c r="FUG39" s="12"/>
      <c r="FUH39" s="12"/>
      <c r="FUY39" s="12"/>
      <c r="FUZ39" s="12"/>
      <c r="FVQ39" s="12"/>
      <c r="FVR39" s="12"/>
      <c r="FWI39" s="12"/>
      <c r="FWJ39" s="12"/>
      <c r="FXA39" s="12"/>
      <c r="FXB39" s="12"/>
      <c r="FXS39" s="12"/>
      <c r="FXT39" s="12"/>
      <c r="FYK39" s="12"/>
      <c r="FYL39" s="12"/>
      <c r="FZC39" s="12"/>
      <c r="FZD39" s="12"/>
      <c r="FZU39" s="12"/>
      <c r="FZV39" s="12"/>
      <c r="GAM39" s="12"/>
      <c r="GAN39" s="12"/>
      <c r="GBE39" s="12"/>
      <c r="GBF39" s="12"/>
      <c r="GBW39" s="12"/>
      <c r="GBX39" s="12"/>
      <c r="GCO39" s="12"/>
      <c r="GCP39" s="12"/>
      <c r="GDG39" s="12"/>
      <c r="GDH39" s="12"/>
      <c r="GDY39" s="12"/>
      <c r="GDZ39" s="12"/>
      <c r="GEQ39" s="12"/>
      <c r="GER39" s="12"/>
      <c r="GFI39" s="12"/>
      <c r="GFJ39" s="12"/>
      <c r="GGA39" s="12"/>
      <c r="GGB39" s="12"/>
      <c r="GGS39" s="12"/>
      <c r="GGT39" s="12"/>
      <c r="GHK39" s="12"/>
      <c r="GHL39" s="12"/>
      <c r="GIC39" s="12"/>
      <c r="GID39" s="12"/>
      <c r="GIU39" s="12"/>
      <c r="GIV39" s="12"/>
      <c r="GJM39" s="12"/>
      <c r="GJN39" s="12"/>
      <c r="GKE39" s="12"/>
      <c r="GKF39" s="12"/>
      <c r="GKW39" s="12"/>
      <c r="GKX39" s="12"/>
      <c r="GLO39" s="12"/>
      <c r="GLP39" s="12"/>
      <c r="GMG39" s="12"/>
      <c r="GMH39" s="12"/>
      <c r="GMY39" s="12"/>
      <c r="GMZ39" s="12"/>
      <c r="GNQ39" s="12"/>
      <c r="GNR39" s="12"/>
      <c r="GOI39" s="12"/>
      <c r="GOJ39" s="12"/>
      <c r="GPA39" s="12"/>
      <c r="GPB39" s="12"/>
      <c r="GPS39" s="12"/>
      <c r="GPT39" s="12"/>
      <c r="GQK39" s="12"/>
      <c r="GQL39" s="12"/>
      <c r="GRC39" s="12"/>
      <c r="GRD39" s="12"/>
      <c r="GRU39" s="12"/>
      <c r="GRV39" s="12"/>
      <c r="GSM39" s="12"/>
      <c r="GSN39" s="12"/>
      <c r="GTE39" s="12"/>
      <c r="GTF39" s="12"/>
      <c r="GTW39" s="12"/>
      <c r="GTX39" s="12"/>
      <c r="GUO39" s="12"/>
      <c r="GUP39" s="12"/>
      <c r="GVG39" s="12"/>
      <c r="GVH39" s="12"/>
      <c r="GVY39" s="12"/>
      <c r="GVZ39" s="12"/>
      <c r="GWQ39" s="12"/>
      <c r="GWR39" s="12"/>
      <c r="GXI39" s="12"/>
      <c r="GXJ39" s="12"/>
      <c r="GYA39" s="12"/>
      <c r="GYB39" s="12"/>
      <c r="GYS39" s="12"/>
      <c r="GYT39" s="12"/>
      <c r="GZK39" s="12"/>
      <c r="GZL39" s="12"/>
      <c r="HAC39" s="12"/>
      <c r="HAD39" s="12"/>
      <c r="HAU39" s="12"/>
      <c r="HAV39" s="12"/>
      <c r="HBM39" s="12"/>
      <c r="HBN39" s="12"/>
      <c r="HCE39" s="12"/>
      <c r="HCF39" s="12"/>
      <c r="HCW39" s="12"/>
      <c r="HCX39" s="12"/>
      <c r="HDO39" s="12"/>
      <c r="HDP39" s="12"/>
      <c r="HEG39" s="12"/>
      <c r="HEH39" s="12"/>
      <c r="HEY39" s="12"/>
      <c r="HEZ39" s="12"/>
      <c r="HFQ39" s="12"/>
      <c r="HFR39" s="12"/>
      <c r="HGI39" s="12"/>
      <c r="HGJ39" s="12"/>
      <c r="HHA39" s="12"/>
      <c r="HHB39" s="12"/>
      <c r="HHS39" s="12"/>
      <c r="HHT39" s="12"/>
      <c r="HIK39" s="12"/>
      <c r="HIL39" s="12"/>
      <c r="HJC39" s="12"/>
      <c r="HJD39" s="12"/>
      <c r="HJU39" s="12"/>
      <c r="HJV39" s="12"/>
      <c r="HKM39" s="12"/>
      <c r="HKN39" s="12"/>
      <c r="HLE39" s="12"/>
      <c r="HLF39" s="12"/>
      <c r="HLW39" s="12"/>
      <c r="HLX39" s="12"/>
      <c r="HMO39" s="12"/>
      <c r="HMP39" s="12"/>
      <c r="HNG39" s="12"/>
      <c r="HNH39" s="12"/>
      <c r="HNY39" s="12"/>
      <c r="HNZ39" s="12"/>
      <c r="HOQ39" s="12"/>
      <c r="HOR39" s="12"/>
      <c r="HPI39" s="12"/>
      <c r="HPJ39" s="12"/>
      <c r="HQA39" s="12"/>
      <c r="HQB39" s="12"/>
      <c r="HQS39" s="12"/>
      <c r="HQT39" s="12"/>
      <c r="HRK39" s="12"/>
      <c r="HRL39" s="12"/>
      <c r="HSC39" s="12"/>
      <c r="HSD39" s="12"/>
      <c r="HSU39" s="12"/>
      <c r="HSV39" s="12"/>
      <c r="HTM39" s="12"/>
      <c r="HTN39" s="12"/>
      <c r="HUE39" s="12"/>
      <c r="HUF39" s="12"/>
      <c r="HUW39" s="12"/>
      <c r="HUX39" s="12"/>
      <c r="HVO39" s="12"/>
      <c r="HVP39" s="12"/>
      <c r="HWG39" s="12"/>
      <c r="HWH39" s="12"/>
      <c r="HWY39" s="12"/>
      <c r="HWZ39" s="12"/>
      <c r="HXQ39" s="12"/>
      <c r="HXR39" s="12"/>
      <c r="HYI39" s="12"/>
      <c r="HYJ39" s="12"/>
      <c r="HZA39" s="12"/>
      <c r="HZB39" s="12"/>
      <c r="HZS39" s="12"/>
      <c r="HZT39" s="12"/>
      <c r="IAK39" s="12"/>
      <c r="IAL39" s="12"/>
      <c r="IBC39" s="12"/>
      <c r="IBD39" s="12"/>
      <c r="IBU39" s="12"/>
      <c r="IBV39" s="12"/>
      <c r="ICM39" s="12"/>
      <c r="ICN39" s="12"/>
      <c r="IDE39" s="12"/>
      <c r="IDF39" s="12"/>
      <c r="IDW39" s="12"/>
      <c r="IDX39" s="12"/>
      <c r="IEO39" s="12"/>
      <c r="IEP39" s="12"/>
      <c r="IFG39" s="12"/>
      <c r="IFH39" s="12"/>
      <c r="IFY39" s="12"/>
      <c r="IFZ39" s="12"/>
      <c r="IGQ39" s="12"/>
      <c r="IGR39" s="12"/>
      <c r="IHI39" s="12"/>
      <c r="IHJ39" s="12"/>
      <c r="IIA39" s="12"/>
      <c r="IIB39" s="12"/>
      <c r="IIS39" s="12"/>
      <c r="IIT39" s="12"/>
      <c r="IJK39" s="12"/>
      <c r="IJL39" s="12"/>
      <c r="IKC39" s="12"/>
      <c r="IKD39" s="12"/>
      <c r="IKU39" s="12"/>
      <c r="IKV39" s="12"/>
      <c r="ILM39" s="12"/>
      <c r="ILN39" s="12"/>
      <c r="IME39" s="12"/>
      <c r="IMF39" s="12"/>
      <c r="IMW39" s="12"/>
      <c r="IMX39" s="12"/>
      <c r="INO39" s="12"/>
      <c r="INP39" s="12"/>
      <c r="IOG39" s="12"/>
      <c r="IOH39" s="12"/>
      <c r="IOY39" s="12"/>
      <c r="IOZ39" s="12"/>
      <c r="IPQ39" s="12"/>
      <c r="IPR39" s="12"/>
      <c r="IQI39" s="12"/>
      <c r="IQJ39" s="12"/>
      <c r="IRA39" s="12"/>
      <c r="IRB39" s="12"/>
      <c r="IRS39" s="12"/>
      <c r="IRT39" s="12"/>
      <c r="ISK39" s="12"/>
      <c r="ISL39" s="12"/>
      <c r="ITC39" s="12"/>
      <c r="ITD39" s="12"/>
      <c r="ITU39" s="12"/>
      <c r="ITV39" s="12"/>
      <c r="IUM39" s="12"/>
      <c r="IUN39" s="12"/>
      <c r="IVE39" s="12"/>
      <c r="IVF39" s="12"/>
      <c r="IVW39" s="12"/>
      <c r="IVX39" s="12"/>
      <c r="IWO39" s="12"/>
      <c r="IWP39" s="12"/>
      <c r="IXG39" s="12"/>
      <c r="IXH39" s="12"/>
      <c r="IXY39" s="12"/>
      <c r="IXZ39" s="12"/>
      <c r="IYQ39" s="12"/>
      <c r="IYR39" s="12"/>
      <c r="IZI39" s="12"/>
      <c r="IZJ39" s="12"/>
      <c r="JAA39" s="12"/>
      <c r="JAB39" s="12"/>
      <c r="JAS39" s="12"/>
      <c r="JAT39" s="12"/>
      <c r="JBK39" s="12"/>
      <c r="JBL39" s="12"/>
      <c r="JCC39" s="12"/>
      <c r="JCD39" s="12"/>
      <c r="JCU39" s="12"/>
      <c r="JCV39" s="12"/>
      <c r="JDM39" s="12"/>
      <c r="JDN39" s="12"/>
      <c r="JEE39" s="12"/>
      <c r="JEF39" s="12"/>
      <c r="JEW39" s="12"/>
      <c r="JEX39" s="12"/>
      <c r="JFO39" s="12"/>
      <c r="JFP39" s="12"/>
      <c r="JGG39" s="12"/>
      <c r="JGH39" s="12"/>
      <c r="JGY39" s="12"/>
      <c r="JGZ39" s="12"/>
      <c r="JHQ39" s="12"/>
      <c r="JHR39" s="12"/>
      <c r="JII39" s="12"/>
      <c r="JIJ39" s="12"/>
      <c r="JJA39" s="12"/>
      <c r="JJB39" s="12"/>
      <c r="JJS39" s="12"/>
      <c r="JJT39" s="12"/>
      <c r="JKK39" s="12"/>
      <c r="JKL39" s="12"/>
      <c r="JLC39" s="12"/>
      <c r="JLD39" s="12"/>
      <c r="JLU39" s="12"/>
      <c r="JLV39" s="12"/>
      <c r="JMM39" s="12"/>
      <c r="JMN39" s="12"/>
      <c r="JNE39" s="12"/>
      <c r="JNF39" s="12"/>
      <c r="JNW39" s="12"/>
      <c r="JNX39" s="12"/>
      <c r="JOO39" s="12"/>
      <c r="JOP39" s="12"/>
      <c r="JPG39" s="12"/>
      <c r="JPH39" s="12"/>
      <c r="JPY39" s="12"/>
      <c r="JPZ39" s="12"/>
      <c r="JQQ39" s="12"/>
      <c r="JQR39" s="12"/>
      <c r="JRI39" s="12"/>
      <c r="JRJ39" s="12"/>
      <c r="JSA39" s="12"/>
      <c r="JSB39" s="12"/>
      <c r="JSS39" s="12"/>
      <c r="JST39" s="12"/>
      <c r="JTK39" s="12"/>
      <c r="JTL39" s="12"/>
      <c r="JUC39" s="12"/>
      <c r="JUD39" s="12"/>
      <c r="JUU39" s="12"/>
      <c r="JUV39" s="12"/>
      <c r="JVM39" s="12"/>
      <c r="JVN39" s="12"/>
      <c r="JWE39" s="12"/>
      <c r="JWF39" s="12"/>
      <c r="JWW39" s="12"/>
      <c r="JWX39" s="12"/>
      <c r="JXO39" s="12"/>
      <c r="JXP39" s="12"/>
      <c r="JYG39" s="12"/>
      <c r="JYH39" s="12"/>
      <c r="JYY39" s="12"/>
      <c r="JYZ39" s="12"/>
      <c r="JZQ39" s="12"/>
      <c r="JZR39" s="12"/>
      <c r="KAI39" s="12"/>
      <c r="KAJ39" s="12"/>
      <c r="KBA39" s="12"/>
      <c r="KBB39" s="12"/>
      <c r="KBS39" s="12"/>
      <c r="KBT39" s="12"/>
      <c r="KCK39" s="12"/>
      <c r="KCL39" s="12"/>
      <c r="KDC39" s="12"/>
      <c r="KDD39" s="12"/>
      <c r="KDU39" s="12"/>
      <c r="KDV39" s="12"/>
      <c r="KEM39" s="12"/>
      <c r="KEN39" s="12"/>
      <c r="KFE39" s="12"/>
      <c r="KFF39" s="12"/>
      <c r="KFW39" s="12"/>
      <c r="KFX39" s="12"/>
      <c r="KGO39" s="12"/>
      <c r="KGP39" s="12"/>
      <c r="KHG39" s="12"/>
      <c r="KHH39" s="12"/>
      <c r="KHY39" s="12"/>
      <c r="KHZ39" s="12"/>
      <c r="KIQ39" s="12"/>
      <c r="KIR39" s="12"/>
      <c r="KJI39" s="12"/>
      <c r="KJJ39" s="12"/>
      <c r="KKA39" s="12"/>
      <c r="KKB39" s="12"/>
      <c r="KKS39" s="12"/>
      <c r="KKT39" s="12"/>
      <c r="KLK39" s="12"/>
      <c r="KLL39" s="12"/>
      <c r="KMC39" s="12"/>
      <c r="KMD39" s="12"/>
      <c r="KMU39" s="12"/>
      <c r="KMV39" s="12"/>
      <c r="KNM39" s="12"/>
      <c r="KNN39" s="12"/>
      <c r="KOE39" s="12"/>
      <c r="KOF39" s="12"/>
      <c r="KOW39" s="12"/>
      <c r="KOX39" s="12"/>
      <c r="KPO39" s="12"/>
      <c r="KPP39" s="12"/>
      <c r="KQG39" s="12"/>
      <c r="KQH39" s="12"/>
      <c r="KQY39" s="12"/>
      <c r="KQZ39" s="12"/>
      <c r="KRQ39" s="12"/>
      <c r="KRR39" s="12"/>
      <c r="KSI39" s="12"/>
      <c r="KSJ39" s="12"/>
      <c r="KTA39" s="12"/>
      <c r="KTB39" s="12"/>
      <c r="KTS39" s="12"/>
      <c r="KTT39" s="12"/>
      <c r="KUK39" s="12"/>
      <c r="KUL39" s="12"/>
      <c r="KVC39" s="12"/>
      <c r="KVD39" s="12"/>
      <c r="KVU39" s="12"/>
      <c r="KVV39" s="12"/>
      <c r="KWM39" s="12"/>
      <c r="KWN39" s="12"/>
      <c r="KXE39" s="12"/>
      <c r="KXF39" s="12"/>
      <c r="KXW39" s="12"/>
      <c r="KXX39" s="12"/>
      <c r="KYO39" s="12"/>
      <c r="KYP39" s="12"/>
      <c r="KZG39" s="12"/>
      <c r="KZH39" s="12"/>
      <c r="KZY39" s="12"/>
      <c r="KZZ39" s="12"/>
      <c r="LAQ39" s="12"/>
      <c r="LAR39" s="12"/>
      <c r="LBI39" s="12"/>
      <c r="LBJ39" s="12"/>
      <c r="LCA39" s="12"/>
      <c r="LCB39" s="12"/>
      <c r="LCS39" s="12"/>
      <c r="LCT39" s="12"/>
      <c r="LDK39" s="12"/>
      <c r="LDL39" s="12"/>
      <c r="LEC39" s="12"/>
      <c r="LED39" s="12"/>
      <c r="LEU39" s="12"/>
      <c r="LEV39" s="12"/>
      <c r="LFM39" s="12"/>
      <c r="LFN39" s="12"/>
      <c r="LGE39" s="12"/>
      <c r="LGF39" s="12"/>
      <c r="LGW39" s="12"/>
      <c r="LGX39" s="12"/>
      <c r="LHO39" s="12"/>
      <c r="LHP39" s="12"/>
      <c r="LIG39" s="12"/>
      <c r="LIH39" s="12"/>
      <c r="LIY39" s="12"/>
      <c r="LIZ39" s="12"/>
      <c r="LJQ39" s="12"/>
      <c r="LJR39" s="12"/>
      <c r="LKI39" s="12"/>
      <c r="LKJ39" s="12"/>
      <c r="LLA39" s="12"/>
      <c r="LLB39" s="12"/>
      <c r="LLS39" s="12"/>
      <c r="LLT39" s="12"/>
      <c r="LMK39" s="12"/>
      <c r="LML39" s="12"/>
      <c r="LNC39" s="12"/>
      <c r="LND39" s="12"/>
      <c r="LNU39" s="12"/>
      <c r="LNV39" s="12"/>
      <c r="LOM39" s="12"/>
      <c r="LON39" s="12"/>
      <c r="LPE39" s="12"/>
      <c r="LPF39" s="12"/>
      <c r="LPW39" s="12"/>
      <c r="LPX39" s="12"/>
      <c r="LQO39" s="12"/>
      <c r="LQP39" s="12"/>
      <c r="LRG39" s="12"/>
      <c r="LRH39" s="12"/>
      <c r="LRY39" s="12"/>
      <c r="LRZ39" s="12"/>
      <c r="LSQ39" s="12"/>
      <c r="LSR39" s="12"/>
      <c r="LTI39" s="12"/>
      <c r="LTJ39" s="12"/>
      <c r="LUA39" s="12"/>
      <c r="LUB39" s="12"/>
      <c r="LUS39" s="12"/>
      <c r="LUT39" s="12"/>
      <c r="LVK39" s="12"/>
      <c r="LVL39" s="12"/>
      <c r="LWC39" s="12"/>
      <c r="LWD39" s="12"/>
      <c r="LWU39" s="12"/>
      <c r="LWV39" s="12"/>
      <c r="LXM39" s="12"/>
      <c r="LXN39" s="12"/>
      <c r="LYE39" s="12"/>
      <c r="LYF39" s="12"/>
      <c r="LYW39" s="12"/>
      <c r="LYX39" s="12"/>
      <c r="LZO39" s="12"/>
      <c r="LZP39" s="12"/>
      <c r="MAG39" s="12"/>
      <c r="MAH39" s="12"/>
      <c r="MAY39" s="12"/>
      <c r="MAZ39" s="12"/>
      <c r="MBQ39" s="12"/>
      <c r="MBR39" s="12"/>
      <c r="MCI39" s="12"/>
      <c r="MCJ39" s="12"/>
      <c r="MDA39" s="12"/>
      <c r="MDB39" s="12"/>
      <c r="MDS39" s="12"/>
      <c r="MDT39" s="12"/>
      <c r="MEK39" s="12"/>
      <c r="MEL39" s="12"/>
      <c r="MFC39" s="12"/>
      <c r="MFD39" s="12"/>
      <c r="MFU39" s="12"/>
      <c r="MFV39" s="12"/>
      <c r="MGM39" s="12"/>
      <c r="MGN39" s="12"/>
      <c r="MHE39" s="12"/>
      <c r="MHF39" s="12"/>
      <c r="MHW39" s="12"/>
      <c r="MHX39" s="12"/>
      <c r="MIO39" s="12"/>
      <c r="MIP39" s="12"/>
      <c r="MJG39" s="12"/>
      <c r="MJH39" s="12"/>
      <c r="MJY39" s="12"/>
      <c r="MJZ39" s="12"/>
      <c r="MKQ39" s="12"/>
      <c r="MKR39" s="12"/>
      <c r="MLI39" s="12"/>
      <c r="MLJ39" s="12"/>
      <c r="MMA39" s="12"/>
      <c r="MMB39" s="12"/>
      <c r="MMS39" s="12"/>
      <c r="MMT39" s="12"/>
      <c r="MNK39" s="12"/>
      <c r="MNL39" s="12"/>
      <c r="MOC39" s="12"/>
      <c r="MOD39" s="12"/>
      <c r="MOU39" s="12"/>
      <c r="MOV39" s="12"/>
      <c r="MPM39" s="12"/>
      <c r="MPN39" s="12"/>
      <c r="MQE39" s="12"/>
      <c r="MQF39" s="12"/>
      <c r="MQW39" s="12"/>
      <c r="MQX39" s="12"/>
      <c r="MRO39" s="12"/>
      <c r="MRP39" s="12"/>
      <c r="MSG39" s="12"/>
      <c r="MSH39" s="12"/>
      <c r="MSY39" s="12"/>
      <c r="MSZ39" s="12"/>
      <c r="MTQ39" s="12"/>
      <c r="MTR39" s="12"/>
      <c r="MUI39" s="12"/>
      <c r="MUJ39" s="12"/>
      <c r="MVA39" s="12"/>
      <c r="MVB39" s="12"/>
      <c r="MVS39" s="12"/>
      <c r="MVT39" s="12"/>
      <c r="MWK39" s="12"/>
      <c r="MWL39" s="12"/>
      <c r="MXC39" s="12"/>
      <c r="MXD39" s="12"/>
      <c r="MXU39" s="12"/>
      <c r="MXV39" s="12"/>
      <c r="MYM39" s="12"/>
      <c r="MYN39" s="12"/>
      <c r="MZE39" s="12"/>
      <c r="MZF39" s="12"/>
      <c r="MZW39" s="12"/>
      <c r="MZX39" s="12"/>
      <c r="NAO39" s="12"/>
      <c r="NAP39" s="12"/>
      <c r="NBG39" s="12"/>
      <c r="NBH39" s="12"/>
      <c r="NBY39" s="12"/>
      <c r="NBZ39" s="12"/>
      <c r="NCQ39" s="12"/>
      <c r="NCR39" s="12"/>
      <c r="NDI39" s="12"/>
      <c r="NDJ39" s="12"/>
      <c r="NEA39" s="12"/>
      <c r="NEB39" s="12"/>
      <c r="NES39" s="12"/>
      <c r="NET39" s="12"/>
      <c r="NFK39" s="12"/>
      <c r="NFL39" s="12"/>
      <c r="NGC39" s="12"/>
      <c r="NGD39" s="12"/>
      <c r="NGU39" s="12"/>
      <c r="NGV39" s="12"/>
      <c r="NHM39" s="12"/>
      <c r="NHN39" s="12"/>
      <c r="NIE39" s="12"/>
      <c r="NIF39" s="12"/>
      <c r="NIW39" s="12"/>
      <c r="NIX39" s="12"/>
      <c r="NJO39" s="12"/>
      <c r="NJP39" s="12"/>
      <c r="NKG39" s="12"/>
      <c r="NKH39" s="12"/>
      <c r="NKY39" s="12"/>
      <c r="NKZ39" s="12"/>
      <c r="NLQ39" s="12"/>
      <c r="NLR39" s="12"/>
      <c r="NMI39" s="12"/>
      <c r="NMJ39" s="12"/>
      <c r="NNA39" s="12"/>
      <c r="NNB39" s="12"/>
      <c r="NNS39" s="12"/>
      <c r="NNT39" s="12"/>
      <c r="NOK39" s="12"/>
      <c r="NOL39" s="12"/>
      <c r="NPC39" s="12"/>
      <c r="NPD39" s="12"/>
      <c r="NPU39" s="12"/>
      <c r="NPV39" s="12"/>
      <c r="NQM39" s="12"/>
      <c r="NQN39" s="12"/>
      <c r="NRE39" s="12"/>
      <c r="NRF39" s="12"/>
      <c r="NRW39" s="12"/>
      <c r="NRX39" s="12"/>
      <c r="NSO39" s="12"/>
      <c r="NSP39" s="12"/>
      <c r="NTG39" s="12"/>
      <c r="NTH39" s="12"/>
      <c r="NTY39" s="12"/>
      <c r="NTZ39" s="12"/>
      <c r="NUQ39" s="12"/>
      <c r="NUR39" s="12"/>
      <c r="NVI39" s="12"/>
      <c r="NVJ39" s="12"/>
      <c r="NWA39" s="12"/>
      <c r="NWB39" s="12"/>
      <c r="NWS39" s="12"/>
      <c r="NWT39" s="12"/>
      <c r="NXK39" s="12"/>
      <c r="NXL39" s="12"/>
      <c r="NYC39" s="12"/>
      <c r="NYD39" s="12"/>
      <c r="NYU39" s="12"/>
      <c r="NYV39" s="12"/>
      <c r="NZM39" s="12"/>
      <c r="NZN39" s="12"/>
      <c r="OAE39" s="12"/>
      <c r="OAF39" s="12"/>
      <c r="OAW39" s="12"/>
      <c r="OAX39" s="12"/>
      <c r="OBO39" s="12"/>
      <c r="OBP39" s="12"/>
      <c r="OCG39" s="12"/>
      <c r="OCH39" s="12"/>
      <c r="OCY39" s="12"/>
      <c r="OCZ39" s="12"/>
      <c r="ODQ39" s="12"/>
      <c r="ODR39" s="12"/>
      <c r="OEI39" s="12"/>
      <c r="OEJ39" s="12"/>
      <c r="OFA39" s="12"/>
      <c r="OFB39" s="12"/>
      <c r="OFS39" s="12"/>
      <c r="OFT39" s="12"/>
      <c r="OGK39" s="12"/>
      <c r="OGL39" s="12"/>
      <c r="OHC39" s="12"/>
      <c r="OHD39" s="12"/>
      <c r="OHU39" s="12"/>
      <c r="OHV39" s="12"/>
      <c r="OIM39" s="12"/>
      <c r="OIN39" s="12"/>
      <c r="OJE39" s="12"/>
      <c r="OJF39" s="12"/>
      <c r="OJW39" s="12"/>
      <c r="OJX39" s="12"/>
      <c r="OKO39" s="12"/>
      <c r="OKP39" s="12"/>
      <c r="OLG39" s="12"/>
      <c r="OLH39" s="12"/>
      <c r="OLY39" s="12"/>
      <c r="OLZ39" s="12"/>
      <c r="OMQ39" s="12"/>
      <c r="OMR39" s="12"/>
      <c r="ONI39" s="12"/>
      <c r="ONJ39" s="12"/>
      <c r="OOA39" s="12"/>
      <c r="OOB39" s="12"/>
      <c r="OOS39" s="12"/>
      <c r="OOT39" s="12"/>
      <c r="OPK39" s="12"/>
      <c r="OPL39" s="12"/>
      <c r="OQC39" s="12"/>
      <c r="OQD39" s="12"/>
      <c r="OQU39" s="12"/>
      <c r="OQV39" s="12"/>
      <c r="ORM39" s="12"/>
      <c r="ORN39" s="12"/>
      <c r="OSE39" s="12"/>
      <c r="OSF39" s="12"/>
      <c r="OSW39" s="12"/>
      <c r="OSX39" s="12"/>
      <c r="OTO39" s="12"/>
      <c r="OTP39" s="12"/>
      <c r="OUG39" s="12"/>
      <c r="OUH39" s="12"/>
      <c r="OUY39" s="12"/>
      <c r="OUZ39" s="12"/>
      <c r="OVQ39" s="12"/>
      <c r="OVR39" s="12"/>
      <c r="OWI39" s="12"/>
      <c r="OWJ39" s="12"/>
      <c r="OXA39" s="12"/>
      <c r="OXB39" s="12"/>
      <c r="OXS39" s="12"/>
      <c r="OXT39" s="12"/>
      <c r="OYK39" s="12"/>
      <c r="OYL39" s="12"/>
      <c r="OZC39" s="12"/>
      <c r="OZD39" s="12"/>
      <c r="OZU39" s="12"/>
      <c r="OZV39" s="12"/>
      <c r="PAM39" s="12"/>
      <c r="PAN39" s="12"/>
      <c r="PBE39" s="12"/>
      <c r="PBF39" s="12"/>
      <c r="PBW39" s="12"/>
      <c r="PBX39" s="12"/>
      <c r="PCO39" s="12"/>
      <c r="PCP39" s="12"/>
      <c r="PDG39" s="12"/>
      <c r="PDH39" s="12"/>
      <c r="PDY39" s="12"/>
      <c r="PDZ39" s="12"/>
      <c r="PEQ39" s="12"/>
      <c r="PER39" s="12"/>
      <c r="PFI39" s="12"/>
      <c r="PFJ39" s="12"/>
      <c r="PGA39" s="12"/>
      <c r="PGB39" s="12"/>
      <c r="PGS39" s="12"/>
      <c r="PGT39" s="12"/>
      <c r="PHK39" s="12"/>
      <c r="PHL39" s="12"/>
      <c r="PIC39" s="12"/>
      <c r="PID39" s="12"/>
      <c r="PIU39" s="12"/>
      <c r="PIV39" s="12"/>
      <c r="PJM39" s="12"/>
      <c r="PJN39" s="12"/>
      <c r="PKE39" s="12"/>
      <c r="PKF39" s="12"/>
      <c r="PKW39" s="12"/>
      <c r="PKX39" s="12"/>
      <c r="PLO39" s="12"/>
      <c r="PLP39" s="12"/>
      <c r="PMG39" s="12"/>
      <c r="PMH39" s="12"/>
      <c r="PMY39" s="12"/>
      <c r="PMZ39" s="12"/>
      <c r="PNQ39" s="12"/>
      <c r="PNR39" s="12"/>
      <c r="POI39" s="12"/>
      <c r="POJ39" s="12"/>
      <c r="PPA39" s="12"/>
      <c r="PPB39" s="12"/>
      <c r="PPS39" s="12"/>
      <c r="PPT39" s="12"/>
      <c r="PQK39" s="12"/>
      <c r="PQL39" s="12"/>
      <c r="PRC39" s="12"/>
      <c r="PRD39" s="12"/>
      <c r="PRU39" s="12"/>
      <c r="PRV39" s="12"/>
      <c r="PSM39" s="12"/>
      <c r="PSN39" s="12"/>
      <c r="PTE39" s="12"/>
      <c r="PTF39" s="12"/>
      <c r="PTW39" s="12"/>
      <c r="PTX39" s="12"/>
      <c r="PUO39" s="12"/>
      <c r="PUP39" s="12"/>
      <c r="PVG39" s="12"/>
      <c r="PVH39" s="12"/>
      <c r="PVY39" s="12"/>
      <c r="PVZ39" s="12"/>
      <c r="PWQ39" s="12"/>
      <c r="PWR39" s="12"/>
      <c r="PXI39" s="12"/>
      <c r="PXJ39" s="12"/>
      <c r="PYA39" s="12"/>
      <c r="PYB39" s="12"/>
      <c r="PYS39" s="12"/>
      <c r="PYT39" s="12"/>
      <c r="PZK39" s="12"/>
      <c r="PZL39" s="12"/>
      <c r="QAC39" s="12"/>
      <c r="QAD39" s="12"/>
      <c r="QAU39" s="12"/>
      <c r="QAV39" s="12"/>
      <c r="QBM39" s="12"/>
      <c r="QBN39" s="12"/>
      <c r="QCE39" s="12"/>
      <c r="QCF39" s="12"/>
      <c r="QCW39" s="12"/>
      <c r="QCX39" s="12"/>
      <c r="QDO39" s="12"/>
      <c r="QDP39" s="12"/>
      <c r="QEG39" s="12"/>
      <c r="QEH39" s="12"/>
      <c r="QEY39" s="12"/>
      <c r="QEZ39" s="12"/>
      <c r="QFQ39" s="12"/>
      <c r="QFR39" s="12"/>
      <c r="QGI39" s="12"/>
      <c r="QGJ39" s="12"/>
      <c r="QHA39" s="12"/>
      <c r="QHB39" s="12"/>
      <c r="QHS39" s="12"/>
      <c r="QHT39" s="12"/>
      <c r="QIK39" s="12"/>
      <c r="QIL39" s="12"/>
      <c r="QJC39" s="12"/>
      <c r="QJD39" s="12"/>
      <c r="QJU39" s="12"/>
      <c r="QJV39" s="12"/>
      <c r="QKM39" s="12"/>
      <c r="QKN39" s="12"/>
      <c r="QLE39" s="12"/>
      <c r="QLF39" s="12"/>
      <c r="QLW39" s="12"/>
      <c r="QLX39" s="12"/>
      <c r="QMO39" s="12"/>
      <c r="QMP39" s="12"/>
      <c r="QNG39" s="12"/>
      <c r="QNH39" s="12"/>
      <c r="QNY39" s="12"/>
      <c r="QNZ39" s="12"/>
      <c r="QOQ39" s="12"/>
      <c r="QOR39" s="12"/>
      <c r="QPI39" s="12"/>
      <c r="QPJ39" s="12"/>
      <c r="QQA39" s="12"/>
      <c r="QQB39" s="12"/>
      <c r="QQS39" s="12"/>
      <c r="QQT39" s="12"/>
      <c r="QRK39" s="12"/>
      <c r="QRL39" s="12"/>
      <c r="QSC39" s="12"/>
      <c r="QSD39" s="12"/>
      <c r="QSU39" s="12"/>
      <c r="QSV39" s="12"/>
      <c r="QTM39" s="12"/>
      <c r="QTN39" s="12"/>
      <c r="QUE39" s="12"/>
      <c r="QUF39" s="12"/>
      <c r="QUW39" s="12"/>
      <c r="QUX39" s="12"/>
      <c r="QVO39" s="12"/>
      <c r="QVP39" s="12"/>
      <c r="QWG39" s="12"/>
      <c r="QWH39" s="12"/>
      <c r="QWY39" s="12"/>
      <c r="QWZ39" s="12"/>
      <c r="QXQ39" s="12"/>
      <c r="QXR39" s="12"/>
      <c r="QYI39" s="12"/>
      <c r="QYJ39" s="12"/>
      <c r="QZA39" s="12"/>
      <c r="QZB39" s="12"/>
      <c r="QZS39" s="12"/>
      <c r="QZT39" s="12"/>
      <c r="RAK39" s="12"/>
      <c r="RAL39" s="12"/>
      <c r="RBC39" s="12"/>
      <c r="RBD39" s="12"/>
      <c r="RBU39" s="12"/>
      <c r="RBV39" s="12"/>
      <c r="RCM39" s="12"/>
      <c r="RCN39" s="12"/>
      <c r="RDE39" s="12"/>
      <c r="RDF39" s="12"/>
      <c r="RDW39" s="12"/>
      <c r="RDX39" s="12"/>
      <c r="REO39" s="12"/>
      <c r="REP39" s="12"/>
      <c r="RFG39" s="12"/>
      <c r="RFH39" s="12"/>
      <c r="RFY39" s="12"/>
      <c r="RFZ39" s="12"/>
      <c r="RGQ39" s="12"/>
      <c r="RGR39" s="12"/>
      <c r="RHI39" s="12"/>
      <c r="RHJ39" s="12"/>
      <c r="RIA39" s="12"/>
      <c r="RIB39" s="12"/>
      <c r="RIS39" s="12"/>
      <c r="RIT39" s="12"/>
      <c r="RJK39" s="12"/>
      <c r="RJL39" s="12"/>
      <c r="RKC39" s="12"/>
      <c r="RKD39" s="12"/>
      <c r="RKU39" s="12"/>
      <c r="RKV39" s="12"/>
      <c r="RLM39" s="12"/>
      <c r="RLN39" s="12"/>
      <c r="RME39" s="12"/>
      <c r="RMF39" s="12"/>
      <c r="RMW39" s="12"/>
      <c r="RMX39" s="12"/>
      <c r="RNO39" s="12"/>
      <c r="RNP39" s="12"/>
      <c r="ROG39" s="12"/>
      <c r="ROH39" s="12"/>
      <c r="ROY39" s="12"/>
      <c r="ROZ39" s="12"/>
      <c r="RPQ39" s="12"/>
      <c r="RPR39" s="12"/>
      <c r="RQI39" s="12"/>
      <c r="RQJ39" s="12"/>
      <c r="RRA39" s="12"/>
      <c r="RRB39" s="12"/>
      <c r="RRS39" s="12"/>
      <c r="RRT39" s="12"/>
      <c r="RSK39" s="12"/>
      <c r="RSL39" s="12"/>
      <c r="RTC39" s="12"/>
      <c r="RTD39" s="12"/>
      <c r="RTU39" s="12"/>
      <c r="RTV39" s="12"/>
      <c r="RUM39" s="12"/>
      <c r="RUN39" s="12"/>
      <c r="RVE39" s="12"/>
      <c r="RVF39" s="12"/>
      <c r="RVW39" s="12"/>
      <c r="RVX39" s="12"/>
      <c r="RWO39" s="12"/>
      <c r="RWP39" s="12"/>
      <c r="RXG39" s="12"/>
      <c r="RXH39" s="12"/>
      <c r="RXY39" s="12"/>
      <c r="RXZ39" s="12"/>
      <c r="RYQ39" s="12"/>
      <c r="RYR39" s="12"/>
      <c r="RZI39" s="12"/>
      <c r="RZJ39" s="12"/>
      <c r="SAA39" s="12"/>
      <c r="SAB39" s="12"/>
      <c r="SAS39" s="12"/>
      <c r="SAT39" s="12"/>
      <c r="SBK39" s="12"/>
      <c r="SBL39" s="12"/>
      <c r="SCC39" s="12"/>
      <c r="SCD39" s="12"/>
      <c r="SCU39" s="12"/>
      <c r="SCV39" s="12"/>
      <c r="SDM39" s="12"/>
      <c r="SDN39" s="12"/>
      <c r="SEE39" s="12"/>
      <c r="SEF39" s="12"/>
      <c r="SEW39" s="12"/>
      <c r="SEX39" s="12"/>
      <c r="SFO39" s="12"/>
      <c r="SFP39" s="12"/>
      <c r="SGG39" s="12"/>
      <c r="SGH39" s="12"/>
      <c r="SGY39" s="12"/>
      <c r="SGZ39" s="12"/>
      <c r="SHQ39" s="12"/>
      <c r="SHR39" s="12"/>
      <c r="SII39" s="12"/>
      <c r="SIJ39" s="12"/>
      <c r="SJA39" s="12"/>
      <c r="SJB39" s="12"/>
      <c r="SJS39" s="12"/>
      <c r="SJT39" s="12"/>
      <c r="SKK39" s="12"/>
      <c r="SKL39" s="12"/>
      <c r="SLC39" s="12"/>
      <c r="SLD39" s="12"/>
      <c r="SLU39" s="12"/>
      <c r="SLV39" s="12"/>
      <c r="SMM39" s="12"/>
      <c r="SMN39" s="12"/>
      <c r="SNE39" s="12"/>
      <c r="SNF39" s="12"/>
      <c r="SNW39" s="12"/>
      <c r="SNX39" s="12"/>
      <c r="SOO39" s="12"/>
      <c r="SOP39" s="12"/>
      <c r="SPG39" s="12"/>
      <c r="SPH39" s="12"/>
      <c r="SPY39" s="12"/>
      <c r="SPZ39" s="12"/>
      <c r="SQQ39" s="12"/>
      <c r="SQR39" s="12"/>
      <c r="SRI39" s="12"/>
      <c r="SRJ39" s="12"/>
      <c r="SSA39" s="12"/>
      <c r="SSB39" s="12"/>
      <c r="SSS39" s="12"/>
      <c r="SST39" s="12"/>
      <c r="STK39" s="12"/>
      <c r="STL39" s="12"/>
      <c r="SUC39" s="12"/>
      <c r="SUD39" s="12"/>
      <c r="SUU39" s="12"/>
      <c r="SUV39" s="12"/>
      <c r="SVM39" s="12"/>
      <c r="SVN39" s="12"/>
      <c r="SWE39" s="12"/>
      <c r="SWF39" s="12"/>
      <c r="SWW39" s="12"/>
      <c r="SWX39" s="12"/>
      <c r="SXO39" s="12"/>
      <c r="SXP39" s="12"/>
      <c r="SYG39" s="12"/>
      <c r="SYH39" s="12"/>
      <c r="SYY39" s="12"/>
      <c r="SYZ39" s="12"/>
      <c r="SZQ39" s="12"/>
      <c r="SZR39" s="12"/>
      <c r="TAI39" s="12"/>
      <c r="TAJ39" s="12"/>
      <c r="TBA39" s="12"/>
      <c r="TBB39" s="12"/>
      <c r="TBS39" s="12"/>
      <c r="TBT39" s="12"/>
      <c r="TCK39" s="12"/>
      <c r="TCL39" s="12"/>
      <c r="TDC39" s="12"/>
      <c r="TDD39" s="12"/>
      <c r="TDU39" s="12"/>
      <c r="TDV39" s="12"/>
      <c r="TEM39" s="12"/>
      <c r="TEN39" s="12"/>
      <c r="TFE39" s="12"/>
      <c r="TFF39" s="12"/>
      <c r="TFW39" s="12"/>
      <c r="TFX39" s="12"/>
      <c r="TGO39" s="12"/>
      <c r="TGP39" s="12"/>
      <c r="THG39" s="12"/>
      <c r="THH39" s="12"/>
      <c r="THY39" s="12"/>
      <c r="THZ39" s="12"/>
      <c r="TIQ39" s="12"/>
      <c r="TIR39" s="12"/>
      <c r="TJI39" s="12"/>
      <c r="TJJ39" s="12"/>
      <c r="TKA39" s="12"/>
      <c r="TKB39" s="12"/>
      <c r="TKS39" s="12"/>
      <c r="TKT39" s="12"/>
      <c r="TLK39" s="12"/>
      <c r="TLL39" s="12"/>
      <c r="TMC39" s="12"/>
      <c r="TMD39" s="12"/>
      <c r="TMU39" s="12"/>
      <c r="TMV39" s="12"/>
      <c r="TNM39" s="12"/>
      <c r="TNN39" s="12"/>
      <c r="TOE39" s="12"/>
      <c r="TOF39" s="12"/>
      <c r="TOW39" s="12"/>
      <c r="TOX39" s="12"/>
      <c r="TPO39" s="12"/>
      <c r="TPP39" s="12"/>
      <c r="TQG39" s="12"/>
      <c r="TQH39" s="12"/>
      <c r="TQY39" s="12"/>
      <c r="TQZ39" s="12"/>
      <c r="TRQ39" s="12"/>
      <c r="TRR39" s="12"/>
      <c r="TSI39" s="12"/>
      <c r="TSJ39" s="12"/>
      <c r="TTA39" s="12"/>
      <c r="TTB39" s="12"/>
      <c r="TTS39" s="12"/>
      <c r="TTT39" s="12"/>
      <c r="TUK39" s="12"/>
      <c r="TUL39" s="12"/>
      <c r="TVC39" s="12"/>
      <c r="TVD39" s="12"/>
      <c r="TVU39" s="12"/>
      <c r="TVV39" s="12"/>
      <c r="TWM39" s="12"/>
      <c r="TWN39" s="12"/>
      <c r="TXE39" s="12"/>
      <c r="TXF39" s="12"/>
      <c r="TXW39" s="12"/>
      <c r="TXX39" s="12"/>
      <c r="TYO39" s="12"/>
      <c r="TYP39" s="12"/>
      <c r="TZG39" s="12"/>
      <c r="TZH39" s="12"/>
      <c r="TZY39" s="12"/>
      <c r="TZZ39" s="12"/>
      <c r="UAQ39" s="12"/>
      <c r="UAR39" s="12"/>
      <c r="UBI39" s="12"/>
      <c r="UBJ39" s="12"/>
      <c r="UCA39" s="12"/>
      <c r="UCB39" s="12"/>
      <c r="UCS39" s="12"/>
      <c r="UCT39" s="12"/>
      <c r="UDK39" s="12"/>
      <c r="UDL39" s="12"/>
      <c r="UEC39" s="12"/>
      <c r="UED39" s="12"/>
      <c r="UEU39" s="12"/>
      <c r="UEV39" s="12"/>
      <c r="UFM39" s="12"/>
      <c r="UFN39" s="12"/>
      <c r="UGE39" s="12"/>
      <c r="UGF39" s="12"/>
      <c r="UGW39" s="12"/>
      <c r="UGX39" s="12"/>
      <c r="UHO39" s="12"/>
      <c r="UHP39" s="12"/>
      <c r="UIG39" s="12"/>
      <c r="UIH39" s="12"/>
      <c r="UIY39" s="12"/>
      <c r="UIZ39" s="12"/>
      <c r="UJQ39" s="12"/>
      <c r="UJR39" s="12"/>
      <c r="UKI39" s="12"/>
      <c r="UKJ39" s="12"/>
      <c r="ULA39" s="12"/>
      <c r="ULB39" s="12"/>
      <c r="ULS39" s="12"/>
      <c r="ULT39" s="12"/>
      <c r="UMK39" s="12"/>
      <c r="UML39" s="12"/>
      <c r="UNC39" s="12"/>
      <c r="UND39" s="12"/>
      <c r="UNU39" s="12"/>
      <c r="UNV39" s="12"/>
      <c r="UOM39" s="12"/>
      <c r="UON39" s="12"/>
      <c r="UPE39" s="12"/>
      <c r="UPF39" s="12"/>
      <c r="UPW39" s="12"/>
      <c r="UPX39" s="12"/>
      <c r="UQO39" s="12"/>
      <c r="UQP39" s="12"/>
      <c r="URG39" s="12"/>
      <c r="URH39" s="12"/>
      <c r="URY39" s="12"/>
      <c r="URZ39" s="12"/>
      <c r="USQ39" s="12"/>
      <c r="USR39" s="12"/>
      <c r="UTI39" s="12"/>
      <c r="UTJ39" s="12"/>
      <c r="UUA39" s="12"/>
      <c r="UUB39" s="12"/>
      <c r="UUS39" s="12"/>
      <c r="UUT39" s="12"/>
      <c r="UVK39" s="12"/>
      <c r="UVL39" s="12"/>
      <c r="UWC39" s="12"/>
      <c r="UWD39" s="12"/>
      <c r="UWU39" s="12"/>
      <c r="UWV39" s="12"/>
      <c r="UXM39" s="12"/>
      <c r="UXN39" s="12"/>
      <c r="UYE39" s="12"/>
      <c r="UYF39" s="12"/>
      <c r="UYW39" s="12"/>
      <c r="UYX39" s="12"/>
      <c r="UZO39" s="12"/>
      <c r="UZP39" s="12"/>
      <c r="VAG39" s="12"/>
      <c r="VAH39" s="12"/>
      <c r="VAY39" s="12"/>
      <c r="VAZ39" s="12"/>
      <c r="VBQ39" s="12"/>
      <c r="VBR39" s="12"/>
      <c r="VCI39" s="12"/>
      <c r="VCJ39" s="12"/>
      <c r="VDA39" s="12"/>
      <c r="VDB39" s="12"/>
      <c r="VDS39" s="12"/>
      <c r="VDT39" s="12"/>
      <c r="VEK39" s="12"/>
      <c r="VEL39" s="12"/>
      <c r="VFC39" s="12"/>
      <c r="VFD39" s="12"/>
      <c r="VFU39" s="12"/>
      <c r="VFV39" s="12"/>
      <c r="VGM39" s="12"/>
      <c r="VGN39" s="12"/>
      <c r="VHE39" s="12"/>
      <c r="VHF39" s="12"/>
      <c r="VHW39" s="12"/>
      <c r="VHX39" s="12"/>
      <c r="VIO39" s="12"/>
      <c r="VIP39" s="12"/>
      <c r="VJG39" s="12"/>
      <c r="VJH39" s="12"/>
      <c r="VJY39" s="12"/>
      <c r="VJZ39" s="12"/>
      <c r="VKQ39" s="12"/>
      <c r="VKR39" s="12"/>
      <c r="VLI39" s="12"/>
      <c r="VLJ39" s="12"/>
      <c r="VMA39" s="12"/>
      <c r="VMB39" s="12"/>
      <c r="VMS39" s="12"/>
      <c r="VMT39" s="12"/>
      <c r="VNK39" s="12"/>
      <c r="VNL39" s="12"/>
      <c r="VOC39" s="12"/>
      <c r="VOD39" s="12"/>
      <c r="VOU39" s="12"/>
      <c r="VOV39" s="12"/>
      <c r="VPM39" s="12"/>
      <c r="VPN39" s="12"/>
      <c r="VQE39" s="12"/>
      <c r="VQF39" s="12"/>
      <c r="VQW39" s="12"/>
      <c r="VQX39" s="12"/>
      <c r="VRO39" s="12"/>
      <c r="VRP39" s="12"/>
      <c r="VSG39" s="12"/>
      <c r="VSH39" s="12"/>
      <c r="VSY39" s="12"/>
      <c r="VSZ39" s="12"/>
      <c r="VTQ39" s="12"/>
      <c r="VTR39" s="12"/>
      <c r="VUI39" s="12"/>
      <c r="VUJ39" s="12"/>
      <c r="VVA39" s="12"/>
      <c r="VVB39" s="12"/>
      <c r="VVS39" s="12"/>
      <c r="VVT39" s="12"/>
      <c r="VWK39" s="12"/>
      <c r="VWL39" s="12"/>
      <c r="VXC39" s="12"/>
      <c r="VXD39" s="12"/>
      <c r="VXU39" s="12"/>
      <c r="VXV39" s="12"/>
      <c r="VYM39" s="12"/>
      <c r="VYN39" s="12"/>
      <c r="VZE39" s="12"/>
      <c r="VZF39" s="12"/>
      <c r="VZW39" s="12"/>
      <c r="VZX39" s="12"/>
      <c r="WAO39" s="12"/>
      <c r="WAP39" s="12"/>
      <c r="WBG39" s="12"/>
      <c r="WBH39" s="12"/>
      <c r="WBY39" s="12"/>
      <c r="WBZ39" s="12"/>
      <c r="WCQ39" s="12"/>
      <c r="WCR39" s="12"/>
      <c r="WDI39" s="12"/>
      <c r="WDJ39" s="12"/>
      <c r="WEA39" s="12"/>
      <c r="WEB39" s="12"/>
      <c r="WES39" s="12"/>
      <c r="WET39" s="12"/>
      <c r="WFK39" s="12"/>
      <c r="WFL39" s="12"/>
      <c r="WGC39" s="12"/>
      <c r="WGD39" s="12"/>
      <c r="WGU39" s="12"/>
      <c r="WGV39" s="12"/>
      <c r="WHM39" s="12"/>
      <c r="WHN39" s="12"/>
      <c r="WIE39" s="12"/>
      <c r="WIF39" s="12"/>
      <c r="WIW39" s="12"/>
      <c r="WIX39" s="12"/>
      <c r="WJO39" s="12"/>
      <c r="WJP39" s="12"/>
      <c r="WKG39" s="12"/>
      <c r="WKH39" s="12"/>
      <c r="WKY39" s="12"/>
      <c r="WKZ39" s="12"/>
      <c r="WLQ39" s="12"/>
      <c r="WLR39" s="12"/>
      <c r="WMI39" s="12"/>
      <c r="WMJ39" s="12"/>
      <c r="WNA39" s="12"/>
      <c r="WNB39" s="12"/>
      <c r="WNS39" s="12"/>
      <c r="WNT39" s="12"/>
      <c r="WOK39" s="12"/>
      <c r="WOL39" s="12"/>
      <c r="WPC39" s="12"/>
      <c r="WPD39" s="12"/>
      <c r="WPU39" s="12"/>
      <c r="WPV39" s="12"/>
      <c r="WQM39" s="12"/>
      <c r="WQN39" s="12"/>
      <c r="WRE39" s="12"/>
      <c r="WRF39" s="12"/>
      <c r="WRW39" s="12"/>
      <c r="WRX39" s="12"/>
      <c r="WSO39" s="12"/>
      <c r="WSP39" s="12"/>
      <c r="WTG39" s="12"/>
      <c r="WTH39" s="12"/>
      <c r="WTY39" s="12"/>
      <c r="WTZ39" s="12"/>
      <c r="WUQ39" s="12"/>
      <c r="WUR39" s="12"/>
      <c r="WVI39" s="12"/>
      <c r="WVJ39" s="12"/>
      <c r="WWA39" s="12"/>
      <c r="WWB39" s="12"/>
      <c r="WWS39" s="12"/>
      <c r="WWT39" s="12"/>
      <c r="WXK39" s="12"/>
      <c r="WXL39" s="12"/>
      <c r="WYC39" s="12"/>
      <c r="WYD39" s="12"/>
      <c r="WYU39" s="12"/>
      <c r="WYV39" s="12"/>
      <c r="WZM39" s="12"/>
      <c r="WZN39" s="12"/>
      <c r="XAE39" s="12"/>
      <c r="XAF39" s="12"/>
      <c r="XAW39" s="12"/>
      <c r="XAX39" s="12"/>
      <c r="XBO39" s="12"/>
      <c r="XBP39" s="12"/>
      <c r="XCG39" s="12"/>
      <c r="XCH39" s="12"/>
      <c r="XCY39" s="12"/>
      <c r="XCZ39" s="12"/>
      <c r="XDQ39" s="12"/>
      <c r="XDR39" s="12"/>
      <c r="XEI39" s="12"/>
      <c r="XEJ39" s="12"/>
      <c r="XFA39" s="12"/>
      <c r="XFB39" s="12"/>
    </row>
    <row r="40" spans="1:1010 1027:2036 2053:3062 3079:4088 4105:5114 5131:6140 6157:7166 7183:8192 8209:9200 9217:10226 10243:11252 11269:12278 12295:13304 13321:14330 14347:15356 15373:16382" s="11" customFormat="1" x14ac:dyDescent="0.35">
      <c r="A40" s="183" t="s">
        <v>270</v>
      </c>
      <c r="B40" s="183" t="s">
        <v>271</v>
      </c>
      <c r="C40" s="184">
        <v>0.98099999999999998</v>
      </c>
      <c r="D40" s="184">
        <v>0.90700000000000003</v>
      </c>
      <c r="E40" s="184">
        <v>1.663</v>
      </c>
      <c r="F40" s="184">
        <v>1.643</v>
      </c>
      <c r="G40" s="184">
        <v>2.556</v>
      </c>
      <c r="H40" s="184">
        <v>5.2999999999999999E-2</v>
      </c>
      <c r="I40" s="184">
        <v>3.1280000000000001</v>
      </c>
      <c r="J40" s="184">
        <v>0.80400000000000005</v>
      </c>
      <c r="K40" s="184">
        <v>-0.48699999999999999</v>
      </c>
      <c r="L40" s="184">
        <v>-0.57399999999999995</v>
      </c>
      <c r="S40" s="12"/>
      <c r="T40" s="12"/>
      <c r="AK40" s="12"/>
      <c r="AL40" s="12"/>
      <c r="BC40" s="12"/>
      <c r="BD40" s="12"/>
      <c r="BU40" s="12"/>
      <c r="BV40" s="12"/>
      <c r="CM40" s="12"/>
      <c r="CN40" s="12"/>
      <c r="DE40" s="12"/>
      <c r="DF40" s="12"/>
      <c r="DW40" s="12"/>
      <c r="DX40" s="12"/>
      <c r="EO40" s="12"/>
      <c r="EP40" s="12"/>
      <c r="FG40" s="12"/>
      <c r="FH40" s="12"/>
      <c r="FY40" s="12"/>
      <c r="FZ40" s="12"/>
      <c r="GQ40" s="12"/>
      <c r="GR40" s="12"/>
      <c r="HI40" s="12"/>
      <c r="HJ40" s="12"/>
      <c r="IA40" s="12"/>
      <c r="IB40" s="12"/>
      <c r="IS40" s="12"/>
      <c r="IT40" s="12"/>
      <c r="JK40" s="12"/>
      <c r="JL40" s="12"/>
      <c r="KC40" s="12"/>
      <c r="KD40" s="12"/>
      <c r="KU40" s="12"/>
      <c r="KV40" s="12"/>
      <c r="LM40" s="12"/>
      <c r="LN40" s="12"/>
      <c r="ME40" s="12"/>
      <c r="MF40" s="12"/>
      <c r="MW40" s="12"/>
      <c r="MX40" s="12"/>
      <c r="NO40" s="12"/>
      <c r="NP40" s="12"/>
      <c r="OG40" s="12"/>
      <c r="OH40" s="12"/>
      <c r="OY40" s="12"/>
      <c r="OZ40" s="12"/>
      <c r="PQ40" s="12"/>
      <c r="PR40" s="12"/>
      <c r="QI40" s="12"/>
      <c r="QJ40" s="12"/>
      <c r="RA40" s="12"/>
      <c r="RB40" s="12"/>
      <c r="RS40" s="12"/>
      <c r="RT40" s="12"/>
      <c r="SK40" s="12"/>
      <c r="SL40" s="12"/>
      <c r="TC40" s="12"/>
      <c r="TD40" s="12"/>
      <c r="TU40" s="12"/>
      <c r="TV40" s="12"/>
      <c r="UM40" s="12"/>
      <c r="UN40" s="12"/>
      <c r="VE40" s="12"/>
      <c r="VF40" s="12"/>
      <c r="VW40" s="12"/>
      <c r="VX40" s="12"/>
      <c r="WO40" s="12"/>
      <c r="WP40" s="12"/>
      <c r="XG40" s="12"/>
      <c r="XH40" s="12"/>
      <c r="XY40" s="12"/>
      <c r="XZ40" s="12"/>
      <c r="YQ40" s="12"/>
      <c r="YR40" s="12"/>
      <c r="ZI40" s="12"/>
      <c r="ZJ40" s="12"/>
      <c r="AAA40" s="12"/>
      <c r="AAB40" s="12"/>
      <c r="AAS40" s="12"/>
      <c r="AAT40" s="12"/>
      <c r="ABK40" s="12"/>
      <c r="ABL40" s="12"/>
      <c r="ACC40" s="12"/>
      <c r="ACD40" s="12"/>
      <c r="ACU40" s="12"/>
      <c r="ACV40" s="12"/>
      <c r="ADM40" s="12"/>
      <c r="ADN40" s="12"/>
      <c r="AEE40" s="12"/>
      <c r="AEF40" s="12"/>
      <c r="AEW40" s="12"/>
      <c r="AEX40" s="12"/>
      <c r="AFO40" s="12"/>
      <c r="AFP40" s="12"/>
      <c r="AGG40" s="12"/>
      <c r="AGH40" s="12"/>
      <c r="AGY40" s="12"/>
      <c r="AGZ40" s="12"/>
      <c r="AHQ40" s="12"/>
      <c r="AHR40" s="12"/>
      <c r="AII40" s="12"/>
      <c r="AIJ40" s="12"/>
      <c r="AJA40" s="12"/>
      <c r="AJB40" s="12"/>
      <c r="AJS40" s="12"/>
      <c r="AJT40" s="12"/>
      <c r="AKK40" s="12"/>
      <c r="AKL40" s="12"/>
      <c r="ALC40" s="12"/>
      <c r="ALD40" s="12"/>
      <c r="ALU40" s="12"/>
      <c r="ALV40" s="12"/>
      <c r="AMM40" s="12"/>
      <c r="AMN40" s="12"/>
      <c r="ANE40" s="12"/>
      <c r="ANF40" s="12"/>
      <c r="ANW40" s="12"/>
      <c r="ANX40" s="12"/>
      <c r="AOO40" s="12"/>
      <c r="AOP40" s="12"/>
      <c r="APG40" s="12"/>
      <c r="APH40" s="12"/>
      <c r="APY40" s="12"/>
      <c r="APZ40" s="12"/>
      <c r="AQQ40" s="12"/>
      <c r="AQR40" s="12"/>
      <c r="ARI40" s="12"/>
      <c r="ARJ40" s="12"/>
      <c r="ASA40" s="12"/>
      <c r="ASB40" s="12"/>
      <c r="ASS40" s="12"/>
      <c r="AST40" s="12"/>
      <c r="ATK40" s="12"/>
      <c r="ATL40" s="12"/>
      <c r="AUC40" s="12"/>
      <c r="AUD40" s="12"/>
      <c r="AUU40" s="12"/>
      <c r="AUV40" s="12"/>
      <c r="AVM40" s="12"/>
      <c r="AVN40" s="12"/>
      <c r="AWE40" s="12"/>
      <c r="AWF40" s="12"/>
      <c r="AWW40" s="12"/>
      <c r="AWX40" s="12"/>
      <c r="AXO40" s="12"/>
      <c r="AXP40" s="12"/>
      <c r="AYG40" s="12"/>
      <c r="AYH40" s="12"/>
      <c r="AYY40" s="12"/>
      <c r="AYZ40" s="12"/>
      <c r="AZQ40" s="12"/>
      <c r="AZR40" s="12"/>
      <c r="BAI40" s="12"/>
      <c r="BAJ40" s="12"/>
      <c r="BBA40" s="12"/>
      <c r="BBB40" s="12"/>
      <c r="BBS40" s="12"/>
      <c r="BBT40" s="12"/>
      <c r="BCK40" s="12"/>
      <c r="BCL40" s="12"/>
      <c r="BDC40" s="12"/>
      <c r="BDD40" s="12"/>
      <c r="BDU40" s="12"/>
      <c r="BDV40" s="12"/>
      <c r="BEM40" s="12"/>
      <c r="BEN40" s="12"/>
      <c r="BFE40" s="12"/>
      <c r="BFF40" s="12"/>
      <c r="BFW40" s="12"/>
      <c r="BFX40" s="12"/>
      <c r="BGO40" s="12"/>
      <c r="BGP40" s="12"/>
      <c r="BHG40" s="12"/>
      <c r="BHH40" s="12"/>
      <c r="BHY40" s="12"/>
      <c r="BHZ40" s="12"/>
      <c r="BIQ40" s="12"/>
      <c r="BIR40" s="12"/>
      <c r="BJI40" s="12"/>
      <c r="BJJ40" s="12"/>
      <c r="BKA40" s="12"/>
      <c r="BKB40" s="12"/>
      <c r="BKS40" s="12"/>
      <c r="BKT40" s="12"/>
      <c r="BLK40" s="12"/>
      <c r="BLL40" s="12"/>
      <c r="BMC40" s="12"/>
      <c r="BMD40" s="12"/>
      <c r="BMU40" s="12"/>
      <c r="BMV40" s="12"/>
      <c r="BNM40" s="12"/>
      <c r="BNN40" s="12"/>
      <c r="BOE40" s="12"/>
      <c r="BOF40" s="12"/>
      <c r="BOW40" s="12"/>
      <c r="BOX40" s="12"/>
      <c r="BPO40" s="12"/>
      <c r="BPP40" s="12"/>
      <c r="BQG40" s="12"/>
      <c r="BQH40" s="12"/>
      <c r="BQY40" s="12"/>
      <c r="BQZ40" s="12"/>
      <c r="BRQ40" s="12"/>
      <c r="BRR40" s="12"/>
      <c r="BSI40" s="12"/>
      <c r="BSJ40" s="12"/>
      <c r="BTA40" s="12"/>
      <c r="BTB40" s="12"/>
      <c r="BTS40" s="12"/>
      <c r="BTT40" s="12"/>
      <c r="BUK40" s="12"/>
      <c r="BUL40" s="12"/>
      <c r="BVC40" s="12"/>
      <c r="BVD40" s="12"/>
      <c r="BVU40" s="12"/>
      <c r="BVV40" s="12"/>
      <c r="BWM40" s="12"/>
      <c r="BWN40" s="12"/>
      <c r="BXE40" s="12"/>
      <c r="BXF40" s="12"/>
      <c r="BXW40" s="12"/>
      <c r="BXX40" s="12"/>
      <c r="BYO40" s="12"/>
      <c r="BYP40" s="12"/>
      <c r="BZG40" s="12"/>
      <c r="BZH40" s="12"/>
      <c r="BZY40" s="12"/>
      <c r="BZZ40" s="12"/>
      <c r="CAQ40" s="12"/>
      <c r="CAR40" s="12"/>
      <c r="CBI40" s="12"/>
      <c r="CBJ40" s="12"/>
      <c r="CCA40" s="12"/>
      <c r="CCB40" s="12"/>
      <c r="CCS40" s="12"/>
      <c r="CCT40" s="12"/>
      <c r="CDK40" s="12"/>
      <c r="CDL40" s="12"/>
      <c r="CEC40" s="12"/>
      <c r="CED40" s="12"/>
      <c r="CEU40" s="12"/>
      <c r="CEV40" s="12"/>
      <c r="CFM40" s="12"/>
      <c r="CFN40" s="12"/>
      <c r="CGE40" s="12"/>
      <c r="CGF40" s="12"/>
      <c r="CGW40" s="12"/>
      <c r="CGX40" s="12"/>
      <c r="CHO40" s="12"/>
      <c r="CHP40" s="12"/>
      <c r="CIG40" s="12"/>
      <c r="CIH40" s="12"/>
      <c r="CIY40" s="12"/>
      <c r="CIZ40" s="12"/>
      <c r="CJQ40" s="12"/>
      <c r="CJR40" s="12"/>
      <c r="CKI40" s="12"/>
      <c r="CKJ40" s="12"/>
      <c r="CLA40" s="12"/>
      <c r="CLB40" s="12"/>
      <c r="CLS40" s="12"/>
      <c r="CLT40" s="12"/>
      <c r="CMK40" s="12"/>
      <c r="CML40" s="12"/>
      <c r="CNC40" s="12"/>
      <c r="CND40" s="12"/>
      <c r="CNU40" s="12"/>
      <c r="CNV40" s="12"/>
      <c r="COM40" s="12"/>
      <c r="CON40" s="12"/>
      <c r="CPE40" s="12"/>
      <c r="CPF40" s="12"/>
      <c r="CPW40" s="12"/>
      <c r="CPX40" s="12"/>
      <c r="CQO40" s="12"/>
      <c r="CQP40" s="12"/>
      <c r="CRG40" s="12"/>
      <c r="CRH40" s="12"/>
      <c r="CRY40" s="12"/>
      <c r="CRZ40" s="12"/>
      <c r="CSQ40" s="12"/>
      <c r="CSR40" s="12"/>
      <c r="CTI40" s="12"/>
      <c r="CTJ40" s="12"/>
      <c r="CUA40" s="12"/>
      <c r="CUB40" s="12"/>
      <c r="CUS40" s="12"/>
      <c r="CUT40" s="12"/>
      <c r="CVK40" s="12"/>
      <c r="CVL40" s="12"/>
      <c r="CWC40" s="12"/>
      <c r="CWD40" s="12"/>
      <c r="CWU40" s="12"/>
      <c r="CWV40" s="12"/>
      <c r="CXM40" s="12"/>
      <c r="CXN40" s="12"/>
      <c r="CYE40" s="12"/>
      <c r="CYF40" s="12"/>
      <c r="CYW40" s="12"/>
      <c r="CYX40" s="12"/>
      <c r="CZO40" s="12"/>
      <c r="CZP40" s="12"/>
      <c r="DAG40" s="12"/>
      <c r="DAH40" s="12"/>
      <c r="DAY40" s="12"/>
      <c r="DAZ40" s="12"/>
      <c r="DBQ40" s="12"/>
      <c r="DBR40" s="12"/>
      <c r="DCI40" s="12"/>
      <c r="DCJ40" s="12"/>
      <c r="DDA40" s="12"/>
      <c r="DDB40" s="12"/>
      <c r="DDS40" s="12"/>
      <c r="DDT40" s="12"/>
      <c r="DEK40" s="12"/>
      <c r="DEL40" s="12"/>
      <c r="DFC40" s="12"/>
      <c r="DFD40" s="12"/>
      <c r="DFU40" s="12"/>
      <c r="DFV40" s="12"/>
      <c r="DGM40" s="12"/>
      <c r="DGN40" s="12"/>
      <c r="DHE40" s="12"/>
      <c r="DHF40" s="12"/>
      <c r="DHW40" s="12"/>
      <c r="DHX40" s="12"/>
      <c r="DIO40" s="12"/>
      <c r="DIP40" s="12"/>
      <c r="DJG40" s="12"/>
      <c r="DJH40" s="12"/>
      <c r="DJY40" s="12"/>
      <c r="DJZ40" s="12"/>
      <c r="DKQ40" s="12"/>
      <c r="DKR40" s="12"/>
      <c r="DLI40" s="12"/>
      <c r="DLJ40" s="12"/>
      <c r="DMA40" s="12"/>
      <c r="DMB40" s="12"/>
      <c r="DMS40" s="12"/>
      <c r="DMT40" s="12"/>
      <c r="DNK40" s="12"/>
      <c r="DNL40" s="12"/>
      <c r="DOC40" s="12"/>
      <c r="DOD40" s="12"/>
      <c r="DOU40" s="12"/>
      <c r="DOV40" s="12"/>
      <c r="DPM40" s="12"/>
      <c r="DPN40" s="12"/>
      <c r="DQE40" s="12"/>
      <c r="DQF40" s="12"/>
      <c r="DQW40" s="12"/>
      <c r="DQX40" s="12"/>
      <c r="DRO40" s="12"/>
      <c r="DRP40" s="12"/>
      <c r="DSG40" s="12"/>
      <c r="DSH40" s="12"/>
      <c r="DSY40" s="12"/>
      <c r="DSZ40" s="12"/>
      <c r="DTQ40" s="12"/>
      <c r="DTR40" s="12"/>
      <c r="DUI40" s="12"/>
      <c r="DUJ40" s="12"/>
      <c r="DVA40" s="12"/>
      <c r="DVB40" s="12"/>
      <c r="DVS40" s="12"/>
      <c r="DVT40" s="12"/>
      <c r="DWK40" s="12"/>
      <c r="DWL40" s="12"/>
      <c r="DXC40" s="12"/>
      <c r="DXD40" s="12"/>
      <c r="DXU40" s="12"/>
      <c r="DXV40" s="12"/>
      <c r="DYM40" s="12"/>
      <c r="DYN40" s="12"/>
      <c r="DZE40" s="12"/>
      <c r="DZF40" s="12"/>
      <c r="DZW40" s="12"/>
      <c r="DZX40" s="12"/>
      <c r="EAO40" s="12"/>
      <c r="EAP40" s="12"/>
      <c r="EBG40" s="12"/>
      <c r="EBH40" s="12"/>
      <c r="EBY40" s="12"/>
      <c r="EBZ40" s="12"/>
      <c r="ECQ40" s="12"/>
      <c r="ECR40" s="12"/>
      <c r="EDI40" s="12"/>
      <c r="EDJ40" s="12"/>
      <c r="EEA40" s="12"/>
      <c r="EEB40" s="12"/>
      <c r="EES40" s="12"/>
      <c r="EET40" s="12"/>
      <c r="EFK40" s="12"/>
      <c r="EFL40" s="12"/>
      <c r="EGC40" s="12"/>
      <c r="EGD40" s="12"/>
      <c r="EGU40" s="12"/>
      <c r="EGV40" s="12"/>
      <c r="EHM40" s="12"/>
      <c r="EHN40" s="12"/>
      <c r="EIE40" s="12"/>
      <c r="EIF40" s="12"/>
      <c r="EIW40" s="12"/>
      <c r="EIX40" s="12"/>
      <c r="EJO40" s="12"/>
      <c r="EJP40" s="12"/>
      <c r="EKG40" s="12"/>
      <c r="EKH40" s="12"/>
      <c r="EKY40" s="12"/>
      <c r="EKZ40" s="12"/>
      <c r="ELQ40" s="12"/>
      <c r="ELR40" s="12"/>
      <c r="EMI40" s="12"/>
      <c r="EMJ40" s="12"/>
      <c r="ENA40" s="12"/>
      <c r="ENB40" s="12"/>
      <c r="ENS40" s="12"/>
      <c r="ENT40" s="12"/>
      <c r="EOK40" s="12"/>
      <c r="EOL40" s="12"/>
      <c r="EPC40" s="12"/>
      <c r="EPD40" s="12"/>
      <c r="EPU40" s="12"/>
      <c r="EPV40" s="12"/>
      <c r="EQM40" s="12"/>
      <c r="EQN40" s="12"/>
      <c r="ERE40" s="12"/>
      <c r="ERF40" s="12"/>
      <c r="ERW40" s="12"/>
      <c r="ERX40" s="12"/>
      <c r="ESO40" s="12"/>
      <c r="ESP40" s="12"/>
      <c r="ETG40" s="12"/>
      <c r="ETH40" s="12"/>
      <c r="ETY40" s="12"/>
      <c r="ETZ40" s="12"/>
      <c r="EUQ40" s="12"/>
      <c r="EUR40" s="12"/>
      <c r="EVI40" s="12"/>
      <c r="EVJ40" s="12"/>
      <c r="EWA40" s="12"/>
      <c r="EWB40" s="12"/>
      <c r="EWS40" s="12"/>
      <c r="EWT40" s="12"/>
      <c r="EXK40" s="12"/>
      <c r="EXL40" s="12"/>
      <c r="EYC40" s="12"/>
      <c r="EYD40" s="12"/>
      <c r="EYU40" s="12"/>
      <c r="EYV40" s="12"/>
      <c r="EZM40" s="12"/>
      <c r="EZN40" s="12"/>
      <c r="FAE40" s="12"/>
      <c r="FAF40" s="12"/>
      <c r="FAW40" s="12"/>
      <c r="FAX40" s="12"/>
      <c r="FBO40" s="12"/>
      <c r="FBP40" s="12"/>
      <c r="FCG40" s="12"/>
      <c r="FCH40" s="12"/>
      <c r="FCY40" s="12"/>
      <c r="FCZ40" s="12"/>
      <c r="FDQ40" s="12"/>
      <c r="FDR40" s="12"/>
      <c r="FEI40" s="12"/>
      <c r="FEJ40" s="12"/>
      <c r="FFA40" s="12"/>
      <c r="FFB40" s="12"/>
      <c r="FFS40" s="12"/>
      <c r="FFT40" s="12"/>
      <c r="FGK40" s="12"/>
      <c r="FGL40" s="12"/>
      <c r="FHC40" s="12"/>
      <c r="FHD40" s="12"/>
      <c r="FHU40" s="12"/>
      <c r="FHV40" s="12"/>
      <c r="FIM40" s="12"/>
      <c r="FIN40" s="12"/>
      <c r="FJE40" s="12"/>
      <c r="FJF40" s="12"/>
      <c r="FJW40" s="12"/>
      <c r="FJX40" s="12"/>
      <c r="FKO40" s="12"/>
      <c r="FKP40" s="12"/>
      <c r="FLG40" s="12"/>
      <c r="FLH40" s="12"/>
      <c r="FLY40" s="12"/>
      <c r="FLZ40" s="12"/>
      <c r="FMQ40" s="12"/>
      <c r="FMR40" s="12"/>
      <c r="FNI40" s="12"/>
      <c r="FNJ40" s="12"/>
      <c r="FOA40" s="12"/>
      <c r="FOB40" s="12"/>
      <c r="FOS40" s="12"/>
      <c r="FOT40" s="12"/>
      <c r="FPK40" s="12"/>
      <c r="FPL40" s="12"/>
      <c r="FQC40" s="12"/>
      <c r="FQD40" s="12"/>
      <c r="FQU40" s="12"/>
      <c r="FQV40" s="12"/>
      <c r="FRM40" s="12"/>
      <c r="FRN40" s="12"/>
      <c r="FSE40" s="12"/>
      <c r="FSF40" s="12"/>
      <c r="FSW40" s="12"/>
      <c r="FSX40" s="12"/>
      <c r="FTO40" s="12"/>
      <c r="FTP40" s="12"/>
      <c r="FUG40" s="12"/>
      <c r="FUH40" s="12"/>
      <c r="FUY40" s="12"/>
      <c r="FUZ40" s="12"/>
      <c r="FVQ40" s="12"/>
      <c r="FVR40" s="12"/>
      <c r="FWI40" s="12"/>
      <c r="FWJ40" s="12"/>
      <c r="FXA40" s="12"/>
      <c r="FXB40" s="12"/>
      <c r="FXS40" s="12"/>
      <c r="FXT40" s="12"/>
      <c r="FYK40" s="12"/>
      <c r="FYL40" s="12"/>
      <c r="FZC40" s="12"/>
      <c r="FZD40" s="12"/>
      <c r="FZU40" s="12"/>
      <c r="FZV40" s="12"/>
      <c r="GAM40" s="12"/>
      <c r="GAN40" s="12"/>
      <c r="GBE40" s="12"/>
      <c r="GBF40" s="12"/>
      <c r="GBW40" s="12"/>
      <c r="GBX40" s="12"/>
      <c r="GCO40" s="12"/>
      <c r="GCP40" s="12"/>
      <c r="GDG40" s="12"/>
      <c r="GDH40" s="12"/>
      <c r="GDY40" s="12"/>
      <c r="GDZ40" s="12"/>
      <c r="GEQ40" s="12"/>
      <c r="GER40" s="12"/>
      <c r="GFI40" s="12"/>
      <c r="GFJ40" s="12"/>
      <c r="GGA40" s="12"/>
      <c r="GGB40" s="12"/>
      <c r="GGS40" s="12"/>
      <c r="GGT40" s="12"/>
      <c r="GHK40" s="12"/>
      <c r="GHL40" s="12"/>
      <c r="GIC40" s="12"/>
      <c r="GID40" s="12"/>
      <c r="GIU40" s="12"/>
      <c r="GIV40" s="12"/>
      <c r="GJM40" s="12"/>
      <c r="GJN40" s="12"/>
      <c r="GKE40" s="12"/>
      <c r="GKF40" s="12"/>
      <c r="GKW40" s="12"/>
      <c r="GKX40" s="12"/>
      <c r="GLO40" s="12"/>
      <c r="GLP40" s="12"/>
      <c r="GMG40" s="12"/>
      <c r="GMH40" s="12"/>
      <c r="GMY40" s="12"/>
      <c r="GMZ40" s="12"/>
      <c r="GNQ40" s="12"/>
      <c r="GNR40" s="12"/>
      <c r="GOI40" s="12"/>
      <c r="GOJ40" s="12"/>
      <c r="GPA40" s="12"/>
      <c r="GPB40" s="12"/>
      <c r="GPS40" s="12"/>
      <c r="GPT40" s="12"/>
      <c r="GQK40" s="12"/>
      <c r="GQL40" s="12"/>
      <c r="GRC40" s="12"/>
      <c r="GRD40" s="12"/>
      <c r="GRU40" s="12"/>
      <c r="GRV40" s="12"/>
      <c r="GSM40" s="12"/>
      <c r="GSN40" s="12"/>
      <c r="GTE40" s="12"/>
      <c r="GTF40" s="12"/>
      <c r="GTW40" s="12"/>
      <c r="GTX40" s="12"/>
      <c r="GUO40" s="12"/>
      <c r="GUP40" s="12"/>
      <c r="GVG40" s="12"/>
      <c r="GVH40" s="12"/>
      <c r="GVY40" s="12"/>
      <c r="GVZ40" s="12"/>
      <c r="GWQ40" s="12"/>
      <c r="GWR40" s="12"/>
      <c r="GXI40" s="12"/>
      <c r="GXJ40" s="12"/>
      <c r="GYA40" s="12"/>
      <c r="GYB40" s="12"/>
      <c r="GYS40" s="12"/>
      <c r="GYT40" s="12"/>
      <c r="GZK40" s="12"/>
      <c r="GZL40" s="12"/>
      <c r="HAC40" s="12"/>
      <c r="HAD40" s="12"/>
      <c r="HAU40" s="12"/>
      <c r="HAV40" s="12"/>
      <c r="HBM40" s="12"/>
      <c r="HBN40" s="12"/>
      <c r="HCE40" s="12"/>
      <c r="HCF40" s="12"/>
      <c r="HCW40" s="12"/>
      <c r="HCX40" s="12"/>
      <c r="HDO40" s="12"/>
      <c r="HDP40" s="12"/>
      <c r="HEG40" s="12"/>
      <c r="HEH40" s="12"/>
      <c r="HEY40" s="12"/>
      <c r="HEZ40" s="12"/>
      <c r="HFQ40" s="12"/>
      <c r="HFR40" s="12"/>
      <c r="HGI40" s="12"/>
      <c r="HGJ40" s="12"/>
      <c r="HHA40" s="12"/>
      <c r="HHB40" s="12"/>
      <c r="HHS40" s="12"/>
      <c r="HHT40" s="12"/>
      <c r="HIK40" s="12"/>
      <c r="HIL40" s="12"/>
      <c r="HJC40" s="12"/>
      <c r="HJD40" s="12"/>
      <c r="HJU40" s="12"/>
      <c r="HJV40" s="12"/>
      <c r="HKM40" s="12"/>
      <c r="HKN40" s="12"/>
      <c r="HLE40" s="12"/>
      <c r="HLF40" s="12"/>
      <c r="HLW40" s="12"/>
      <c r="HLX40" s="12"/>
      <c r="HMO40" s="12"/>
      <c r="HMP40" s="12"/>
      <c r="HNG40" s="12"/>
      <c r="HNH40" s="12"/>
      <c r="HNY40" s="12"/>
      <c r="HNZ40" s="12"/>
      <c r="HOQ40" s="12"/>
      <c r="HOR40" s="12"/>
      <c r="HPI40" s="12"/>
      <c r="HPJ40" s="12"/>
      <c r="HQA40" s="12"/>
      <c r="HQB40" s="12"/>
      <c r="HQS40" s="12"/>
      <c r="HQT40" s="12"/>
      <c r="HRK40" s="12"/>
      <c r="HRL40" s="12"/>
      <c r="HSC40" s="12"/>
      <c r="HSD40" s="12"/>
      <c r="HSU40" s="12"/>
      <c r="HSV40" s="12"/>
      <c r="HTM40" s="12"/>
      <c r="HTN40" s="12"/>
      <c r="HUE40" s="12"/>
      <c r="HUF40" s="12"/>
      <c r="HUW40" s="12"/>
      <c r="HUX40" s="12"/>
      <c r="HVO40" s="12"/>
      <c r="HVP40" s="12"/>
      <c r="HWG40" s="12"/>
      <c r="HWH40" s="12"/>
      <c r="HWY40" s="12"/>
      <c r="HWZ40" s="12"/>
      <c r="HXQ40" s="12"/>
      <c r="HXR40" s="12"/>
      <c r="HYI40" s="12"/>
      <c r="HYJ40" s="12"/>
      <c r="HZA40" s="12"/>
      <c r="HZB40" s="12"/>
      <c r="HZS40" s="12"/>
      <c r="HZT40" s="12"/>
      <c r="IAK40" s="12"/>
      <c r="IAL40" s="12"/>
      <c r="IBC40" s="12"/>
      <c r="IBD40" s="12"/>
      <c r="IBU40" s="12"/>
      <c r="IBV40" s="12"/>
      <c r="ICM40" s="12"/>
      <c r="ICN40" s="12"/>
      <c r="IDE40" s="12"/>
      <c r="IDF40" s="12"/>
      <c r="IDW40" s="12"/>
      <c r="IDX40" s="12"/>
      <c r="IEO40" s="12"/>
      <c r="IEP40" s="12"/>
      <c r="IFG40" s="12"/>
      <c r="IFH40" s="12"/>
      <c r="IFY40" s="12"/>
      <c r="IFZ40" s="12"/>
      <c r="IGQ40" s="12"/>
      <c r="IGR40" s="12"/>
      <c r="IHI40" s="12"/>
      <c r="IHJ40" s="12"/>
      <c r="IIA40" s="12"/>
      <c r="IIB40" s="12"/>
      <c r="IIS40" s="12"/>
      <c r="IIT40" s="12"/>
      <c r="IJK40" s="12"/>
      <c r="IJL40" s="12"/>
      <c r="IKC40" s="12"/>
      <c r="IKD40" s="12"/>
      <c r="IKU40" s="12"/>
      <c r="IKV40" s="12"/>
      <c r="ILM40" s="12"/>
      <c r="ILN40" s="12"/>
      <c r="IME40" s="12"/>
      <c r="IMF40" s="12"/>
      <c r="IMW40" s="12"/>
      <c r="IMX40" s="12"/>
      <c r="INO40" s="12"/>
      <c r="INP40" s="12"/>
      <c r="IOG40" s="12"/>
      <c r="IOH40" s="12"/>
      <c r="IOY40" s="12"/>
      <c r="IOZ40" s="12"/>
      <c r="IPQ40" s="12"/>
      <c r="IPR40" s="12"/>
      <c r="IQI40" s="12"/>
      <c r="IQJ40" s="12"/>
      <c r="IRA40" s="12"/>
      <c r="IRB40" s="12"/>
      <c r="IRS40" s="12"/>
      <c r="IRT40" s="12"/>
      <c r="ISK40" s="12"/>
      <c r="ISL40" s="12"/>
      <c r="ITC40" s="12"/>
      <c r="ITD40" s="12"/>
      <c r="ITU40" s="12"/>
      <c r="ITV40" s="12"/>
      <c r="IUM40" s="12"/>
      <c r="IUN40" s="12"/>
      <c r="IVE40" s="12"/>
      <c r="IVF40" s="12"/>
      <c r="IVW40" s="12"/>
      <c r="IVX40" s="12"/>
      <c r="IWO40" s="12"/>
      <c r="IWP40" s="12"/>
      <c r="IXG40" s="12"/>
      <c r="IXH40" s="12"/>
      <c r="IXY40" s="12"/>
      <c r="IXZ40" s="12"/>
      <c r="IYQ40" s="12"/>
      <c r="IYR40" s="12"/>
      <c r="IZI40" s="12"/>
      <c r="IZJ40" s="12"/>
      <c r="JAA40" s="12"/>
      <c r="JAB40" s="12"/>
      <c r="JAS40" s="12"/>
      <c r="JAT40" s="12"/>
      <c r="JBK40" s="12"/>
      <c r="JBL40" s="12"/>
      <c r="JCC40" s="12"/>
      <c r="JCD40" s="12"/>
      <c r="JCU40" s="12"/>
      <c r="JCV40" s="12"/>
      <c r="JDM40" s="12"/>
      <c r="JDN40" s="12"/>
      <c r="JEE40" s="12"/>
      <c r="JEF40" s="12"/>
      <c r="JEW40" s="12"/>
      <c r="JEX40" s="12"/>
      <c r="JFO40" s="12"/>
      <c r="JFP40" s="12"/>
      <c r="JGG40" s="12"/>
      <c r="JGH40" s="12"/>
      <c r="JGY40" s="12"/>
      <c r="JGZ40" s="12"/>
      <c r="JHQ40" s="12"/>
      <c r="JHR40" s="12"/>
      <c r="JII40" s="12"/>
      <c r="JIJ40" s="12"/>
      <c r="JJA40" s="12"/>
      <c r="JJB40" s="12"/>
      <c r="JJS40" s="12"/>
      <c r="JJT40" s="12"/>
      <c r="JKK40" s="12"/>
      <c r="JKL40" s="12"/>
      <c r="JLC40" s="12"/>
      <c r="JLD40" s="12"/>
      <c r="JLU40" s="12"/>
      <c r="JLV40" s="12"/>
      <c r="JMM40" s="12"/>
      <c r="JMN40" s="12"/>
      <c r="JNE40" s="12"/>
      <c r="JNF40" s="12"/>
      <c r="JNW40" s="12"/>
      <c r="JNX40" s="12"/>
      <c r="JOO40" s="12"/>
      <c r="JOP40" s="12"/>
      <c r="JPG40" s="12"/>
      <c r="JPH40" s="12"/>
      <c r="JPY40" s="12"/>
      <c r="JPZ40" s="12"/>
      <c r="JQQ40" s="12"/>
      <c r="JQR40" s="12"/>
      <c r="JRI40" s="12"/>
      <c r="JRJ40" s="12"/>
      <c r="JSA40" s="12"/>
      <c r="JSB40" s="12"/>
      <c r="JSS40" s="12"/>
      <c r="JST40" s="12"/>
      <c r="JTK40" s="12"/>
      <c r="JTL40" s="12"/>
      <c r="JUC40" s="12"/>
      <c r="JUD40" s="12"/>
      <c r="JUU40" s="12"/>
      <c r="JUV40" s="12"/>
      <c r="JVM40" s="12"/>
      <c r="JVN40" s="12"/>
      <c r="JWE40" s="12"/>
      <c r="JWF40" s="12"/>
      <c r="JWW40" s="12"/>
      <c r="JWX40" s="12"/>
      <c r="JXO40" s="12"/>
      <c r="JXP40" s="12"/>
      <c r="JYG40" s="12"/>
      <c r="JYH40" s="12"/>
      <c r="JYY40" s="12"/>
      <c r="JYZ40" s="12"/>
      <c r="JZQ40" s="12"/>
      <c r="JZR40" s="12"/>
      <c r="KAI40" s="12"/>
      <c r="KAJ40" s="12"/>
      <c r="KBA40" s="12"/>
      <c r="KBB40" s="12"/>
      <c r="KBS40" s="12"/>
      <c r="KBT40" s="12"/>
      <c r="KCK40" s="12"/>
      <c r="KCL40" s="12"/>
      <c r="KDC40" s="12"/>
      <c r="KDD40" s="12"/>
      <c r="KDU40" s="12"/>
      <c r="KDV40" s="12"/>
      <c r="KEM40" s="12"/>
      <c r="KEN40" s="12"/>
      <c r="KFE40" s="12"/>
      <c r="KFF40" s="12"/>
      <c r="KFW40" s="12"/>
      <c r="KFX40" s="12"/>
      <c r="KGO40" s="12"/>
      <c r="KGP40" s="12"/>
      <c r="KHG40" s="12"/>
      <c r="KHH40" s="12"/>
      <c r="KHY40" s="12"/>
      <c r="KHZ40" s="12"/>
      <c r="KIQ40" s="12"/>
      <c r="KIR40" s="12"/>
      <c r="KJI40" s="12"/>
      <c r="KJJ40" s="12"/>
      <c r="KKA40" s="12"/>
      <c r="KKB40" s="12"/>
      <c r="KKS40" s="12"/>
      <c r="KKT40" s="12"/>
      <c r="KLK40" s="12"/>
      <c r="KLL40" s="12"/>
      <c r="KMC40" s="12"/>
      <c r="KMD40" s="12"/>
      <c r="KMU40" s="12"/>
      <c r="KMV40" s="12"/>
      <c r="KNM40" s="12"/>
      <c r="KNN40" s="12"/>
      <c r="KOE40" s="12"/>
      <c r="KOF40" s="12"/>
      <c r="KOW40" s="12"/>
      <c r="KOX40" s="12"/>
      <c r="KPO40" s="12"/>
      <c r="KPP40" s="12"/>
      <c r="KQG40" s="12"/>
      <c r="KQH40" s="12"/>
      <c r="KQY40" s="12"/>
      <c r="KQZ40" s="12"/>
      <c r="KRQ40" s="12"/>
      <c r="KRR40" s="12"/>
      <c r="KSI40" s="12"/>
      <c r="KSJ40" s="12"/>
      <c r="KTA40" s="12"/>
      <c r="KTB40" s="12"/>
      <c r="KTS40" s="12"/>
      <c r="KTT40" s="12"/>
      <c r="KUK40" s="12"/>
      <c r="KUL40" s="12"/>
      <c r="KVC40" s="12"/>
      <c r="KVD40" s="12"/>
      <c r="KVU40" s="12"/>
      <c r="KVV40" s="12"/>
      <c r="KWM40" s="12"/>
      <c r="KWN40" s="12"/>
      <c r="KXE40" s="12"/>
      <c r="KXF40" s="12"/>
      <c r="KXW40" s="12"/>
      <c r="KXX40" s="12"/>
      <c r="KYO40" s="12"/>
      <c r="KYP40" s="12"/>
      <c r="KZG40" s="12"/>
      <c r="KZH40" s="12"/>
      <c r="KZY40" s="12"/>
      <c r="KZZ40" s="12"/>
      <c r="LAQ40" s="12"/>
      <c r="LAR40" s="12"/>
      <c r="LBI40" s="12"/>
      <c r="LBJ40" s="12"/>
      <c r="LCA40" s="12"/>
      <c r="LCB40" s="12"/>
      <c r="LCS40" s="12"/>
      <c r="LCT40" s="12"/>
      <c r="LDK40" s="12"/>
      <c r="LDL40" s="12"/>
      <c r="LEC40" s="12"/>
      <c r="LED40" s="12"/>
      <c r="LEU40" s="12"/>
      <c r="LEV40" s="12"/>
      <c r="LFM40" s="12"/>
      <c r="LFN40" s="12"/>
      <c r="LGE40" s="12"/>
      <c r="LGF40" s="12"/>
      <c r="LGW40" s="12"/>
      <c r="LGX40" s="12"/>
      <c r="LHO40" s="12"/>
      <c r="LHP40" s="12"/>
      <c r="LIG40" s="12"/>
      <c r="LIH40" s="12"/>
      <c r="LIY40" s="12"/>
      <c r="LIZ40" s="12"/>
      <c r="LJQ40" s="12"/>
      <c r="LJR40" s="12"/>
      <c r="LKI40" s="12"/>
      <c r="LKJ40" s="12"/>
      <c r="LLA40" s="12"/>
      <c r="LLB40" s="12"/>
      <c r="LLS40" s="12"/>
      <c r="LLT40" s="12"/>
      <c r="LMK40" s="12"/>
      <c r="LML40" s="12"/>
      <c r="LNC40" s="12"/>
      <c r="LND40" s="12"/>
      <c r="LNU40" s="12"/>
      <c r="LNV40" s="12"/>
      <c r="LOM40" s="12"/>
      <c r="LON40" s="12"/>
      <c r="LPE40" s="12"/>
      <c r="LPF40" s="12"/>
      <c r="LPW40" s="12"/>
      <c r="LPX40" s="12"/>
      <c r="LQO40" s="12"/>
      <c r="LQP40" s="12"/>
      <c r="LRG40" s="12"/>
      <c r="LRH40" s="12"/>
      <c r="LRY40" s="12"/>
      <c r="LRZ40" s="12"/>
      <c r="LSQ40" s="12"/>
      <c r="LSR40" s="12"/>
      <c r="LTI40" s="12"/>
      <c r="LTJ40" s="12"/>
      <c r="LUA40" s="12"/>
      <c r="LUB40" s="12"/>
      <c r="LUS40" s="12"/>
      <c r="LUT40" s="12"/>
      <c r="LVK40" s="12"/>
      <c r="LVL40" s="12"/>
      <c r="LWC40" s="12"/>
      <c r="LWD40" s="12"/>
      <c r="LWU40" s="12"/>
      <c r="LWV40" s="12"/>
      <c r="LXM40" s="12"/>
      <c r="LXN40" s="12"/>
      <c r="LYE40" s="12"/>
      <c r="LYF40" s="12"/>
      <c r="LYW40" s="12"/>
      <c r="LYX40" s="12"/>
      <c r="LZO40" s="12"/>
      <c r="LZP40" s="12"/>
      <c r="MAG40" s="12"/>
      <c r="MAH40" s="12"/>
      <c r="MAY40" s="12"/>
      <c r="MAZ40" s="12"/>
      <c r="MBQ40" s="12"/>
      <c r="MBR40" s="12"/>
      <c r="MCI40" s="12"/>
      <c r="MCJ40" s="12"/>
      <c r="MDA40" s="12"/>
      <c r="MDB40" s="12"/>
      <c r="MDS40" s="12"/>
      <c r="MDT40" s="12"/>
      <c r="MEK40" s="12"/>
      <c r="MEL40" s="12"/>
      <c r="MFC40" s="12"/>
      <c r="MFD40" s="12"/>
      <c r="MFU40" s="12"/>
      <c r="MFV40" s="12"/>
      <c r="MGM40" s="12"/>
      <c r="MGN40" s="12"/>
      <c r="MHE40" s="12"/>
      <c r="MHF40" s="12"/>
      <c r="MHW40" s="12"/>
      <c r="MHX40" s="12"/>
      <c r="MIO40" s="12"/>
      <c r="MIP40" s="12"/>
      <c r="MJG40" s="12"/>
      <c r="MJH40" s="12"/>
      <c r="MJY40" s="12"/>
      <c r="MJZ40" s="12"/>
      <c r="MKQ40" s="12"/>
      <c r="MKR40" s="12"/>
      <c r="MLI40" s="12"/>
      <c r="MLJ40" s="12"/>
      <c r="MMA40" s="12"/>
      <c r="MMB40" s="12"/>
      <c r="MMS40" s="12"/>
      <c r="MMT40" s="12"/>
      <c r="MNK40" s="12"/>
      <c r="MNL40" s="12"/>
      <c r="MOC40" s="12"/>
      <c r="MOD40" s="12"/>
      <c r="MOU40" s="12"/>
      <c r="MOV40" s="12"/>
      <c r="MPM40" s="12"/>
      <c r="MPN40" s="12"/>
      <c r="MQE40" s="12"/>
      <c r="MQF40" s="12"/>
      <c r="MQW40" s="12"/>
      <c r="MQX40" s="12"/>
      <c r="MRO40" s="12"/>
      <c r="MRP40" s="12"/>
      <c r="MSG40" s="12"/>
      <c r="MSH40" s="12"/>
      <c r="MSY40" s="12"/>
      <c r="MSZ40" s="12"/>
      <c r="MTQ40" s="12"/>
      <c r="MTR40" s="12"/>
      <c r="MUI40" s="12"/>
      <c r="MUJ40" s="12"/>
      <c r="MVA40" s="12"/>
      <c r="MVB40" s="12"/>
      <c r="MVS40" s="12"/>
      <c r="MVT40" s="12"/>
      <c r="MWK40" s="12"/>
      <c r="MWL40" s="12"/>
      <c r="MXC40" s="12"/>
      <c r="MXD40" s="12"/>
      <c r="MXU40" s="12"/>
      <c r="MXV40" s="12"/>
      <c r="MYM40" s="12"/>
      <c r="MYN40" s="12"/>
      <c r="MZE40" s="12"/>
      <c r="MZF40" s="12"/>
      <c r="MZW40" s="12"/>
      <c r="MZX40" s="12"/>
      <c r="NAO40" s="12"/>
      <c r="NAP40" s="12"/>
      <c r="NBG40" s="12"/>
      <c r="NBH40" s="12"/>
      <c r="NBY40" s="12"/>
      <c r="NBZ40" s="12"/>
      <c r="NCQ40" s="12"/>
      <c r="NCR40" s="12"/>
      <c r="NDI40" s="12"/>
      <c r="NDJ40" s="12"/>
      <c r="NEA40" s="12"/>
      <c r="NEB40" s="12"/>
      <c r="NES40" s="12"/>
      <c r="NET40" s="12"/>
      <c r="NFK40" s="12"/>
      <c r="NFL40" s="12"/>
      <c r="NGC40" s="12"/>
      <c r="NGD40" s="12"/>
      <c r="NGU40" s="12"/>
      <c r="NGV40" s="12"/>
      <c r="NHM40" s="12"/>
      <c r="NHN40" s="12"/>
      <c r="NIE40" s="12"/>
      <c r="NIF40" s="12"/>
      <c r="NIW40" s="12"/>
      <c r="NIX40" s="12"/>
      <c r="NJO40" s="12"/>
      <c r="NJP40" s="12"/>
      <c r="NKG40" s="12"/>
      <c r="NKH40" s="12"/>
      <c r="NKY40" s="12"/>
      <c r="NKZ40" s="12"/>
      <c r="NLQ40" s="12"/>
      <c r="NLR40" s="12"/>
      <c r="NMI40" s="12"/>
      <c r="NMJ40" s="12"/>
      <c r="NNA40" s="12"/>
      <c r="NNB40" s="12"/>
      <c r="NNS40" s="12"/>
      <c r="NNT40" s="12"/>
      <c r="NOK40" s="12"/>
      <c r="NOL40" s="12"/>
      <c r="NPC40" s="12"/>
      <c r="NPD40" s="12"/>
      <c r="NPU40" s="12"/>
      <c r="NPV40" s="12"/>
      <c r="NQM40" s="12"/>
      <c r="NQN40" s="12"/>
      <c r="NRE40" s="12"/>
      <c r="NRF40" s="12"/>
      <c r="NRW40" s="12"/>
      <c r="NRX40" s="12"/>
      <c r="NSO40" s="12"/>
      <c r="NSP40" s="12"/>
      <c r="NTG40" s="12"/>
      <c r="NTH40" s="12"/>
      <c r="NTY40" s="12"/>
      <c r="NTZ40" s="12"/>
      <c r="NUQ40" s="12"/>
      <c r="NUR40" s="12"/>
      <c r="NVI40" s="12"/>
      <c r="NVJ40" s="12"/>
      <c r="NWA40" s="12"/>
      <c r="NWB40" s="12"/>
      <c r="NWS40" s="12"/>
      <c r="NWT40" s="12"/>
      <c r="NXK40" s="12"/>
      <c r="NXL40" s="12"/>
      <c r="NYC40" s="12"/>
      <c r="NYD40" s="12"/>
      <c r="NYU40" s="12"/>
      <c r="NYV40" s="12"/>
      <c r="NZM40" s="12"/>
      <c r="NZN40" s="12"/>
      <c r="OAE40" s="12"/>
      <c r="OAF40" s="12"/>
      <c r="OAW40" s="12"/>
      <c r="OAX40" s="12"/>
      <c r="OBO40" s="12"/>
      <c r="OBP40" s="12"/>
      <c r="OCG40" s="12"/>
      <c r="OCH40" s="12"/>
      <c r="OCY40" s="12"/>
      <c r="OCZ40" s="12"/>
      <c r="ODQ40" s="12"/>
      <c r="ODR40" s="12"/>
      <c r="OEI40" s="12"/>
      <c r="OEJ40" s="12"/>
      <c r="OFA40" s="12"/>
      <c r="OFB40" s="12"/>
      <c r="OFS40" s="12"/>
      <c r="OFT40" s="12"/>
      <c r="OGK40" s="12"/>
      <c r="OGL40" s="12"/>
      <c r="OHC40" s="12"/>
      <c r="OHD40" s="12"/>
      <c r="OHU40" s="12"/>
      <c r="OHV40" s="12"/>
      <c r="OIM40" s="12"/>
      <c r="OIN40" s="12"/>
      <c r="OJE40" s="12"/>
      <c r="OJF40" s="12"/>
      <c r="OJW40" s="12"/>
      <c r="OJX40" s="12"/>
      <c r="OKO40" s="12"/>
      <c r="OKP40" s="12"/>
      <c r="OLG40" s="12"/>
      <c r="OLH40" s="12"/>
      <c r="OLY40" s="12"/>
      <c r="OLZ40" s="12"/>
      <c r="OMQ40" s="12"/>
      <c r="OMR40" s="12"/>
      <c r="ONI40" s="12"/>
      <c r="ONJ40" s="12"/>
      <c r="OOA40" s="12"/>
      <c r="OOB40" s="12"/>
      <c r="OOS40" s="12"/>
      <c r="OOT40" s="12"/>
      <c r="OPK40" s="12"/>
      <c r="OPL40" s="12"/>
      <c r="OQC40" s="12"/>
      <c r="OQD40" s="12"/>
      <c r="OQU40" s="12"/>
      <c r="OQV40" s="12"/>
      <c r="ORM40" s="12"/>
      <c r="ORN40" s="12"/>
      <c r="OSE40" s="12"/>
      <c r="OSF40" s="12"/>
      <c r="OSW40" s="12"/>
      <c r="OSX40" s="12"/>
      <c r="OTO40" s="12"/>
      <c r="OTP40" s="12"/>
      <c r="OUG40" s="12"/>
      <c r="OUH40" s="12"/>
      <c r="OUY40" s="12"/>
      <c r="OUZ40" s="12"/>
      <c r="OVQ40" s="12"/>
      <c r="OVR40" s="12"/>
      <c r="OWI40" s="12"/>
      <c r="OWJ40" s="12"/>
      <c r="OXA40" s="12"/>
      <c r="OXB40" s="12"/>
      <c r="OXS40" s="12"/>
      <c r="OXT40" s="12"/>
      <c r="OYK40" s="12"/>
      <c r="OYL40" s="12"/>
      <c r="OZC40" s="12"/>
      <c r="OZD40" s="12"/>
      <c r="OZU40" s="12"/>
      <c r="OZV40" s="12"/>
      <c r="PAM40" s="12"/>
      <c r="PAN40" s="12"/>
      <c r="PBE40" s="12"/>
      <c r="PBF40" s="12"/>
      <c r="PBW40" s="12"/>
      <c r="PBX40" s="12"/>
      <c r="PCO40" s="12"/>
      <c r="PCP40" s="12"/>
      <c r="PDG40" s="12"/>
      <c r="PDH40" s="12"/>
      <c r="PDY40" s="12"/>
      <c r="PDZ40" s="12"/>
      <c r="PEQ40" s="12"/>
      <c r="PER40" s="12"/>
      <c r="PFI40" s="12"/>
      <c r="PFJ40" s="12"/>
      <c r="PGA40" s="12"/>
      <c r="PGB40" s="12"/>
      <c r="PGS40" s="12"/>
      <c r="PGT40" s="12"/>
      <c r="PHK40" s="12"/>
      <c r="PHL40" s="12"/>
      <c r="PIC40" s="12"/>
      <c r="PID40" s="12"/>
      <c r="PIU40" s="12"/>
      <c r="PIV40" s="12"/>
      <c r="PJM40" s="12"/>
      <c r="PJN40" s="12"/>
      <c r="PKE40" s="12"/>
      <c r="PKF40" s="12"/>
      <c r="PKW40" s="12"/>
      <c r="PKX40" s="12"/>
      <c r="PLO40" s="12"/>
      <c r="PLP40" s="12"/>
      <c r="PMG40" s="12"/>
      <c r="PMH40" s="12"/>
      <c r="PMY40" s="12"/>
      <c r="PMZ40" s="12"/>
      <c r="PNQ40" s="12"/>
      <c r="PNR40" s="12"/>
      <c r="POI40" s="12"/>
      <c r="POJ40" s="12"/>
      <c r="PPA40" s="12"/>
      <c r="PPB40" s="12"/>
      <c r="PPS40" s="12"/>
      <c r="PPT40" s="12"/>
      <c r="PQK40" s="12"/>
      <c r="PQL40" s="12"/>
      <c r="PRC40" s="12"/>
      <c r="PRD40" s="12"/>
      <c r="PRU40" s="12"/>
      <c r="PRV40" s="12"/>
      <c r="PSM40" s="12"/>
      <c r="PSN40" s="12"/>
      <c r="PTE40" s="12"/>
      <c r="PTF40" s="12"/>
      <c r="PTW40" s="12"/>
      <c r="PTX40" s="12"/>
      <c r="PUO40" s="12"/>
      <c r="PUP40" s="12"/>
      <c r="PVG40" s="12"/>
      <c r="PVH40" s="12"/>
      <c r="PVY40" s="12"/>
      <c r="PVZ40" s="12"/>
      <c r="PWQ40" s="12"/>
      <c r="PWR40" s="12"/>
      <c r="PXI40" s="12"/>
      <c r="PXJ40" s="12"/>
      <c r="PYA40" s="12"/>
      <c r="PYB40" s="12"/>
      <c r="PYS40" s="12"/>
      <c r="PYT40" s="12"/>
      <c r="PZK40" s="12"/>
      <c r="PZL40" s="12"/>
      <c r="QAC40" s="12"/>
      <c r="QAD40" s="12"/>
      <c r="QAU40" s="12"/>
      <c r="QAV40" s="12"/>
      <c r="QBM40" s="12"/>
      <c r="QBN40" s="12"/>
      <c r="QCE40" s="12"/>
      <c r="QCF40" s="12"/>
      <c r="QCW40" s="12"/>
      <c r="QCX40" s="12"/>
      <c r="QDO40" s="12"/>
      <c r="QDP40" s="12"/>
      <c r="QEG40" s="12"/>
      <c r="QEH40" s="12"/>
      <c r="QEY40" s="12"/>
      <c r="QEZ40" s="12"/>
      <c r="QFQ40" s="12"/>
      <c r="QFR40" s="12"/>
      <c r="QGI40" s="12"/>
      <c r="QGJ40" s="12"/>
      <c r="QHA40" s="12"/>
      <c r="QHB40" s="12"/>
      <c r="QHS40" s="12"/>
      <c r="QHT40" s="12"/>
      <c r="QIK40" s="12"/>
      <c r="QIL40" s="12"/>
      <c r="QJC40" s="12"/>
      <c r="QJD40" s="12"/>
      <c r="QJU40" s="12"/>
      <c r="QJV40" s="12"/>
      <c r="QKM40" s="12"/>
      <c r="QKN40" s="12"/>
      <c r="QLE40" s="12"/>
      <c r="QLF40" s="12"/>
      <c r="QLW40" s="12"/>
      <c r="QLX40" s="12"/>
      <c r="QMO40" s="12"/>
      <c r="QMP40" s="12"/>
      <c r="QNG40" s="12"/>
      <c r="QNH40" s="12"/>
      <c r="QNY40" s="12"/>
      <c r="QNZ40" s="12"/>
      <c r="QOQ40" s="12"/>
      <c r="QOR40" s="12"/>
      <c r="QPI40" s="12"/>
      <c r="QPJ40" s="12"/>
      <c r="QQA40" s="12"/>
      <c r="QQB40" s="12"/>
      <c r="QQS40" s="12"/>
      <c r="QQT40" s="12"/>
      <c r="QRK40" s="12"/>
      <c r="QRL40" s="12"/>
      <c r="QSC40" s="12"/>
      <c r="QSD40" s="12"/>
      <c r="QSU40" s="12"/>
      <c r="QSV40" s="12"/>
      <c r="QTM40" s="12"/>
      <c r="QTN40" s="12"/>
      <c r="QUE40" s="12"/>
      <c r="QUF40" s="12"/>
      <c r="QUW40" s="12"/>
      <c r="QUX40" s="12"/>
      <c r="QVO40" s="12"/>
      <c r="QVP40" s="12"/>
      <c r="QWG40" s="12"/>
      <c r="QWH40" s="12"/>
      <c r="QWY40" s="12"/>
      <c r="QWZ40" s="12"/>
      <c r="QXQ40" s="12"/>
      <c r="QXR40" s="12"/>
      <c r="QYI40" s="12"/>
      <c r="QYJ40" s="12"/>
      <c r="QZA40" s="12"/>
      <c r="QZB40" s="12"/>
      <c r="QZS40" s="12"/>
      <c r="QZT40" s="12"/>
      <c r="RAK40" s="12"/>
      <c r="RAL40" s="12"/>
      <c r="RBC40" s="12"/>
      <c r="RBD40" s="12"/>
      <c r="RBU40" s="12"/>
      <c r="RBV40" s="12"/>
      <c r="RCM40" s="12"/>
      <c r="RCN40" s="12"/>
      <c r="RDE40" s="12"/>
      <c r="RDF40" s="12"/>
      <c r="RDW40" s="12"/>
      <c r="RDX40" s="12"/>
      <c r="REO40" s="12"/>
      <c r="REP40" s="12"/>
      <c r="RFG40" s="12"/>
      <c r="RFH40" s="12"/>
      <c r="RFY40" s="12"/>
      <c r="RFZ40" s="12"/>
      <c r="RGQ40" s="12"/>
      <c r="RGR40" s="12"/>
      <c r="RHI40" s="12"/>
      <c r="RHJ40" s="12"/>
      <c r="RIA40" s="12"/>
      <c r="RIB40" s="12"/>
      <c r="RIS40" s="12"/>
      <c r="RIT40" s="12"/>
      <c r="RJK40" s="12"/>
      <c r="RJL40" s="12"/>
      <c r="RKC40" s="12"/>
      <c r="RKD40" s="12"/>
      <c r="RKU40" s="12"/>
      <c r="RKV40" s="12"/>
      <c r="RLM40" s="12"/>
      <c r="RLN40" s="12"/>
      <c r="RME40" s="12"/>
      <c r="RMF40" s="12"/>
      <c r="RMW40" s="12"/>
      <c r="RMX40" s="12"/>
      <c r="RNO40" s="12"/>
      <c r="RNP40" s="12"/>
      <c r="ROG40" s="12"/>
      <c r="ROH40" s="12"/>
      <c r="ROY40" s="12"/>
      <c r="ROZ40" s="12"/>
      <c r="RPQ40" s="12"/>
      <c r="RPR40" s="12"/>
      <c r="RQI40" s="12"/>
      <c r="RQJ40" s="12"/>
      <c r="RRA40" s="12"/>
      <c r="RRB40" s="12"/>
      <c r="RRS40" s="12"/>
      <c r="RRT40" s="12"/>
      <c r="RSK40" s="12"/>
      <c r="RSL40" s="12"/>
      <c r="RTC40" s="12"/>
      <c r="RTD40" s="12"/>
      <c r="RTU40" s="12"/>
      <c r="RTV40" s="12"/>
      <c r="RUM40" s="12"/>
      <c r="RUN40" s="12"/>
      <c r="RVE40" s="12"/>
      <c r="RVF40" s="12"/>
      <c r="RVW40" s="12"/>
      <c r="RVX40" s="12"/>
      <c r="RWO40" s="12"/>
      <c r="RWP40" s="12"/>
      <c r="RXG40" s="12"/>
      <c r="RXH40" s="12"/>
      <c r="RXY40" s="12"/>
      <c r="RXZ40" s="12"/>
      <c r="RYQ40" s="12"/>
      <c r="RYR40" s="12"/>
      <c r="RZI40" s="12"/>
      <c r="RZJ40" s="12"/>
      <c r="SAA40" s="12"/>
      <c r="SAB40" s="12"/>
      <c r="SAS40" s="12"/>
      <c r="SAT40" s="12"/>
      <c r="SBK40" s="12"/>
      <c r="SBL40" s="12"/>
      <c r="SCC40" s="12"/>
      <c r="SCD40" s="12"/>
      <c r="SCU40" s="12"/>
      <c r="SCV40" s="12"/>
      <c r="SDM40" s="12"/>
      <c r="SDN40" s="12"/>
      <c r="SEE40" s="12"/>
      <c r="SEF40" s="12"/>
      <c r="SEW40" s="12"/>
      <c r="SEX40" s="12"/>
      <c r="SFO40" s="12"/>
      <c r="SFP40" s="12"/>
      <c r="SGG40" s="12"/>
      <c r="SGH40" s="12"/>
      <c r="SGY40" s="12"/>
      <c r="SGZ40" s="12"/>
      <c r="SHQ40" s="12"/>
      <c r="SHR40" s="12"/>
      <c r="SII40" s="12"/>
      <c r="SIJ40" s="12"/>
      <c r="SJA40" s="12"/>
      <c r="SJB40" s="12"/>
      <c r="SJS40" s="12"/>
      <c r="SJT40" s="12"/>
      <c r="SKK40" s="12"/>
      <c r="SKL40" s="12"/>
      <c r="SLC40" s="12"/>
      <c r="SLD40" s="12"/>
      <c r="SLU40" s="12"/>
      <c r="SLV40" s="12"/>
      <c r="SMM40" s="12"/>
      <c r="SMN40" s="12"/>
      <c r="SNE40" s="12"/>
      <c r="SNF40" s="12"/>
      <c r="SNW40" s="12"/>
      <c r="SNX40" s="12"/>
      <c r="SOO40" s="12"/>
      <c r="SOP40" s="12"/>
      <c r="SPG40" s="12"/>
      <c r="SPH40" s="12"/>
      <c r="SPY40" s="12"/>
      <c r="SPZ40" s="12"/>
      <c r="SQQ40" s="12"/>
      <c r="SQR40" s="12"/>
      <c r="SRI40" s="12"/>
      <c r="SRJ40" s="12"/>
      <c r="SSA40" s="12"/>
      <c r="SSB40" s="12"/>
      <c r="SSS40" s="12"/>
      <c r="SST40" s="12"/>
      <c r="STK40" s="12"/>
      <c r="STL40" s="12"/>
      <c r="SUC40" s="12"/>
      <c r="SUD40" s="12"/>
      <c r="SUU40" s="12"/>
      <c r="SUV40" s="12"/>
      <c r="SVM40" s="12"/>
      <c r="SVN40" s="12"/>
      <c r="SWE40" s="12"/>
      <c r="SWF40" s="12"/>
      <c r="SWW40" s="12"/>
      <c r="SWX40" s="12"/>
      <c r="SXO40" s="12"/>
      <c r="SXP40" s="12"/>
      <c r="SYG40" s="12"/>
      <c r="SYH40" s="12"/>
      <c r="SYY40" s="12"/>
      <c r="SYZ40" s="12"/>
      <c r="SZQ40" s="12"/>
      <c r="SZR40" s="12"/>
      <c r="TAI40" s="12"/>
      <c r="TAJ40" s="12"/>
      <c r="TBA40" s="12"/>
      <c r="TBB40" s="12"/>
      <c r="TBS40" s="12"/>
      <c r="TBT40" s="12"/>
      <c r="TCK40" s="12"/>
      <c r="TCL40" s="12"/>
      <c r="TDC40" s="12"/>
      <c r="TDD40" s="12"/>
      <c r="TDU40" s="12"/>
      <c r="TDV40" s="12"/>
      <c r="TEM40" s="12"/>
      <c r="TEN40" s="12"/>
      <c r="TFE40" s="12"/>
      <c r="TFF40" s="12"/>
      <c r="TFW40" s="12"/>
      <c r="TFX40" s="12"/>
      <c r="TGO40" s="12"/>
      <c r="TGP40" s="12"/>
      <c r="THG40" s="12"/>
      <c r="THH40" s="12"/>
      <c r="THY40" s="12"/>
      <c r="THZ40" s="12"/>
      <c r="TIQ40" s="12"/>
      <c r="TIR40" s="12"/>
      <c r="TJI40" s="12"/>
      <c r="TJJ40" s="12"/>
      <c r="TKA40" s="12"/>
      <c r="TKB40" s="12"/>
      <c r="TKS40" s="12"/>
      <c r="TKT40" s="12"/>
      <c r="TLK40" s="12"/>
      <c r="TLL40" s="12"/>
      <c r="TMC40" s="12"/>
      <c r="TMD40" s="12"/>
      <c r="TMU40" s="12"/>
      <c r="TMV40" s="12"/>
      <c r="TNM40" s="12"/>
      <c r="TNN40" s="12"/>
      <c r="TOE40" s="12"/>
      <c r="TOF40" s="12"/>
      <c r="TOW40" s="12"/>
      <c r="TOX40" s="12"/>
      <c r="TPO40" s="12"/>
      <c r="TPP40" s="12"/>
      <c r="TQG40" s="12"/>
      <c r="TQH40" s="12"/>
      <c r="TQY40" s="12"/>
      <c r="TQZ40" s="12"/>
      <c r="TRQ40" s="12"/>
      <c r="TRR40" s="12"/>
      <c r="TSI40" s="12"/>
      <c r="TSJ40" s="12"/>
      <c r="TTA40" s="12"/>
      <c r="TTB40" s="12"/>
      <c r="TTS40" s="12"/>
      <c r="TTT40" s="12"/>
      <c r="TUK40" s="12"/>
      <c r="TUL40" s="12"/>
      <c r="TVC40" s="12"/>
      <c r="TVD40" s="12"/>
      <c r="TVU40" s="12"/>
      <c r="TVV40" s="12"/>
      <c r="TWM40" s="12"/>
      <c r="TWN40" s="12"/>
      <c r="TXE40" s="12"/>
      <c r="TXF40" s="12"/>
      <c r="TXW40" s="12"/>
      <c r="TXX40" s="12"/>
      <c r="TYO40" s="12"/>
      <c r="TYP40" s="12"/>
      <c r="TZG40" s="12"/>
      <c r="TZH40" s="12"/>
      <c r="TZY40" s="12"/>
      <c r="TZZ40" s="12"/>
      <c r="UAQ40" s="12"/>
      <c r="UAR40" s="12"/>
      <c r="UBI40" s="12"/>
      <c r="UBJ40" s="12"/>
      <c r="UCA40" s="12"/>
      <c r="UCB40" s="12"/>
      <c r="UCS40" s="12"/>
      <c r="UCT40" s="12"/>
      <c r="UDK40" s="12"/>
      <c r="UDL40" s="12"/>
      <c r="UEC40" s="12"/>
      <c r="UED40" s="12"/>
      <c r="UEU40" s="12"/>
      <c r="UEV40" s="12"/>
      <c r="UFM40" s="12"/>
      <c r="UFN40" s="12"/>
      <c r="UGE40" s="12"/>
      <c r="UGF40" s="12"/>
      <c r="UGW40" s="12"/>
      <c r="UGX40" s="12"/>
      <c r="UHO40" s="12"/>
      <c r="UHP40" s="12"/>
      <c r="UIG40" s="12"/>
      <c r="UIH40" s="12"/>
      <c r="UIY40" s="12"/>
      <c r="UIZ40" s="12"/>
      <c r="UJQ40" s="12"/>
      <c r="UJR40" s="12"/>
      <c r="UKI40" s="12"/>
      <c r="UKJ40" s="12"/>
      <c r="ULA40" s="12"/>
      <c r="ULB40" s="12"/>
      <c r="ULS40" s="12"/>
      <c r="ULT40" s="12"/>
      <c r="UMK40" s="12"/>
      <c r="UML40" s="12"/>
      <c r="UNC40" s="12"/>
      <c r="UND40" s="12"/>
      <c r="UNU40" s="12"/>
      <c r="UNV40" s="12"/>
      <c r="UOM40" s="12"/>
      <c r="UON40" s="12"/>
      <c r="UPE40" s="12"/>
      <c r="UPF40" s="12"/>
      <c r="UPW40" s="12"/>
      <c r="UPX40" s="12"/>
      <c r="UQO40" s="12"/>
      <c r="UQP40" s="12"/>
      <c r="URG40" s="12"/>
      <c r="URH40" s="12"/>
      <c r="URY40" s="12"/>
      <c r="URZ40" s="12"/>
      <c r="USQ40" s="12"/>
      <c r="USR40" s="12"/>
      <c r="UTI40" s="12"/>
      <c r="UTJ40" s="12"/>
      <c r="UUA40" s="12"/>
      <c r="UUB40" s="12"/>
      <c r="UUS40" s="12"/>
      <c r="UUT40" s="12"/>
      <c r="UVK40" s="12"/>
      <c r="UVL40" s="12"/>
      <c r="UWC40" s="12"/>
      <c r="UWD40" s="12"/>
      <c r="UWU40" s="12"/>
      <c r="UWV40" s="12"/>
      <c r="UXM40" s="12"/>
      <c r="UXN40" s="12"/>
      <c r="UYE40" s="12"/>
      <c r="UYF40" s="12"/>
      <c r="UYW40" s="12"/>
      <c r="UYX40" s="12"/>
      <c r="UZO40" s="12"/>
      <c r="UZP40" s="12"/>
      <c r="VAG40" s="12"/>
      <c r="VAH40" s="12"/>
      <c r="VAY40" s="12"/>
      <c r="VAZ40" s="12"/>
      <c r="VBQ40" s="12"/>
      <c r="VBR40" s="12"/>
      <c r="VCI40" s="12"/>
      <c r="VCJ40" s="12"/>
      <c r="VDA40" s="12"/>
      <c r="VDB40" s="12"/>
      <c r="VDS40" s="12"/>
      <c r="VDT40" s="12"/>
      <c r="VEK40" s="12"/>
      <c r="VEL40" s="12"/>
      <c r="VFC40" s="12"/>
      <c r="VFD40" s="12"/>
      <c r="VFU40" s="12"/>
      <c r="VFV40" s="12"/>
      <c r="VGM40" s="12"/>
      <c r="VGN40" s="12"/>
      <c r="VHE40" s="12"/>
      <c r="VHF40" s="12"/>
      <c r="VHW40" s="12"/>
      <c r="VHX40" s="12"/>
      <c r="VIO40" s="12"/>
      <c r="VIP40" s="12"/>
      <c r="VJG40" s="12"/>
      <c r="VJH40" s="12"/>
      <c r="VJY40" s="12"/>
      <c r="VJZ40" s="12"/>
      <c r="VKQ40" s="12"/>
      <c r="VKR40" s="12"/>
      <c r="VLI40" s="12"/>
      <c r="VLJ40" s="12"/>
      <c r="VMA40" s="12"/>
      <c r="VMB40" s="12"/>
      <c r="VMS40" s="12"/>
      <c r="VMT40" s="12"/>
      <c r="VNK40" s="12"/>
      <c r="VNL40" s="12"/>
      <c r="VOC40" s="12"/>
      <c r="VOD40" s="12"/>
      <c r="VOU40" s="12"/>
      <c r="VOV40" s="12"/>
      <c r="VPM40" s="12"/>
      <c r="VPN40" s="12"/>
      <c r="VQE40" s="12"/>
      <c r="VQF40" s="12"/>
      <c r="VQW40" s="12"/>
      <c r="VQX40" s="12"/>
      <c r="VRO40" s="12"/>
      <c r="VRP40" s="12"/>
      <c r="VSG40" s="12"/>
      <c r="VSH40" s="12"/>
      <c r="VSY40" s="12"/>
      <c r="VSZ40" s="12"/>
      <c r="VTQ40" s="12"/>
      <c r="VTR40" s="12"/>
      <c r="VUI40" s="12"/>
      <c r="VUJ40" s="12"/>
      <c r="VVA40" s="12"/>
      <c r="VVB40" s="12"/>
      <c r="VVS40" s="12"/>
      <c r="VVT40" s="12"/>
      <c r="VWK40" s="12"/>
      <c r="VWL40" s="12"/>
      <c r="VXC40" s="12"/>
      <c r="VXD40" s="12"/>
      <c r="VXU40" s="12"/>
      <c r="VXV40" s="12"/>
      <c r="VYM40" s="12"/>
      <c r="VYN40" s="12"/>
      <c r="VZE40" s="12"/>
      <c r="VZF40" s="12"/>
      <c r="VZW40" s="12"/>
      <c r="VZX40" s="12"/>
      <c r="WAO40" s="12"/>
      <c r="WAP40" s="12"/>
      <c r="WBG40" s="12"/>
      <c r="WBH40" s="12"/>
      <c r="WBY40" s="12"/>
      <c r="WBZ40" s="12"/>
      <c r="WCQ40" s="12"/>
      <c r="WCR40" s="12"/>
      <c r="WDI40" s="12"/>
      <c r="WDJ40" s="12"/>
      <c r="WEA40" s="12"/>
      <c r="WEB40" s="12"/>
      <c r="WES40" s="12"/>
      <c r="WET40" s="12"/>
      <c r="WFK40" s="12"/>
      <c r="WFL40" s="12"/>
      <c r="WGC40" s="12"/>
      <c r="WGD40" s="12"/>
      <c r="WGU40" s="12"/>
      <c r="WGV40" s="12"/>
      <c r="WHM40" s="12"/>
      <c r="WHN40" s="12"/>
      <c r="WIE40" s="12"/>
      <c r="WIF40" s="12"/>
      <c r="WIW40" s="12"/>
      <c r="WIX40" s="12"/>
      <c r="WJO40" s="12"/>
      <c r="WJP40" s="12"/>
      <c r="WKG40" s="12"/>
      <c r="WKH40" s="12"/>
      <c r="WKY40" s="12"/>
      <c r="WKZ40" s="12"/>
      <c r="WLQ40" s="12"/>
      <c r="WLR40" s="12"/>
      <c r="WMI40" s="12"/>
      <c r="WMJ40" s="12"/>
      <c r="WNA40" s="12"/>
      <c r="WNB40" s="12"/>
      <c r="WNS40" s="12"/>
      <c r="WNT40" s="12"/>
      <c r="WOK40" s="12"/>
      <c r="WOL40" s="12"/>
      <c r="WPC40" s="12"/>
      <c r="WPD40" s="12"/>
      <c r="WPU40" s="12"/>
      <c r="WPV40" s="12"/>
      <c r="WQM40" s="12"/>
      <c r="WQN40" s="12"/>
      <c r="WRE40" s="12"/>
      <c r="WRF40" s="12"/>
      <c r="WRW40" s="12"/>
      <c r="WRX40" s="12"/>
      <c r="WSO40" s="12"/>
      <c r="WSP40" s="12"/>
      <c r="WTG40" s="12"/>
      <c r="WTH40" s="12"/>
      <c r="WTY40" s="12"/>
      <c r="WTZ40" s="12"/>
      <c r="WUQ40" s="12"/>
      <c r="WUR40" s="12"/>
      <c r="WVI40" s="12"/>
      <c r="WVJ40" s="12"/>
      <c r="WWA40" s="12"/>
      <c r="WWB40" s="12"/>
      <c r="WWS40" s="12"/>
      <c r="WWT40" s="12"/>
      <c r="WXK40" s="12"/>
      <c r="WXL40" s="12"/>
      <c r="WYC40" s="12"/>
      <c r="WYD40" s="12"/>
      <c r="WYU40" s="12"/>
      <c r="WYV40" s="12"/>
      <c r="WZM40" s="12"/>
      <c r="WZN40" s="12"/>
      <c r="XAE40" s="12"/>
      <c r="XAF40" s="12"/>
      <c r="XAW40" s="12"/>
      <c r="XAX40" s="12"/>
      <c r="XBO40" s="12"/>
      <c r="XBP40" s="12"/>
      <c r="XCG40" s="12"/>
      <c r="XCH40" s="12"/>
      <c r="XCY40" s="12"/>
      <c r="XCZ40" s="12"/>
      <c r="XDQ40" s="12"/>
      <c r="XDR40" s="12"/>
      <c r="XEI40" s="12"/>
      <c r="XEJ40" s="12"/>
      <c r="XFA40" s="12"/>
      <c r="XFB40" s="12"/>
    </row>
    <row r="41" spans="1:1010 1027:2036 2053:3062 3079:4088 4105:5114 5131:6140 6157:7166 7183:8192 8209:9200 9217:10226 10243:11252 11269:12278 12295:13304 13321:14330 14347:15356 15373:16382" x14ac:dyDescent="0.35">
      <c r="A41" s="23" t="s">
        <v>29</v>
      </c>
      <c r="B41" s="23"/>
      <c r="C41" s="313">
        <f t="shared" ref="C41:L41" si="6">ROUND(SUM(C33,C37:C40)-IF(C32="",0,C32),1)</f>
        <v>0</v>
      </c>
      <c r="D41" s="313">
        <f t="shared" si="6"/>
        <v>0</v>
      </c>
      <c r="E41" s="313">
        <f t="shared" si="6"/>
        <v>0</v>
      </c>
      <c r="F41" s="313">
        <f t="shared" si="6"/>
        <v>0</v>
      </c>
      <c r="G41" s="313">
        <f t="shared" si="6"/>
        <v>0</v>
      </c>
      <c r="H41" s="313">
        <f t="shared" si="6"/>
        <v>0</v>
      </c>
      <c r="I41" s="313">
        <f t="shared" si="6"/>
        <v>0</v>
      </c>
      <c r="J41" s="313">
        <f t="shared" si="6"/>
        <v>0</v>
      </c>
      <c r="K41" s="313">
        <f t="shared" si="6"/>
        <v>0</v>
      </c>
      <c r="L41" s="313">
        <f t="shared" si="6"/>
        <v>0</v>
      </c>
      <c r="M41" s="137"/>
      <c r="N41" s="137"/>
      <c r="O41" s="137"/>
      <c r="P41" s="137"/>
      <c r="Q41" s="137"/>
      <c r="R41" s="137"/>
    </row>
    <row r="42" spans="1:1010 1027:2036 2053:3062 3079:4088 4105:5114 5131:6140 6157:7166 7183:8192 8209:9200 9217:10226 10243:11252 11269:12278 12295:13304 13321:14330 14347:15356 15373:16382" x14ac:dyDescent="0.35">
      <c r="A42" s="51" t="s">
        <v>272</v>
      </c>
      <c r="B42" s="51" t="s">
        <v>273</v>
      </c>
      <c r="C42" s="178">
        <v>29.288</v>
      </c>
      <c r="D42" s="178">
        <v>35.715000000000003</v>
      </c>
      <c r="E42" s="178">
        <v>33.853000000000002</v>
      </c>
      <c r="F42" s="178">
        <v>2.1070000000000002</v>
      </c>
      <c r="G42" s="178">
        <v>48.843000000000004</v>
      </c>
      <c r="H42" s="178">
        <v>50.386000000000003</v>
      </c>
      <c r="I42" s="178">
        <v>87.867999999999995</v>
      </c>
      <c r="J42" s="178">
        <v>100.375</v>
      </c>
      <c r="K42" s="178">
        <v>79.05</v>
      </c>
      <c r="L42" s="178">
        <v>94.582999999999998</v>
      </c>
      <c r="M42" s="312">
        <f>IF(OR(K42=0,K42=""),"",L42/K42-1)</f>
        <v>0.1964958886780519</v>
      </c>
      <c r="N42" s="135"/>
      <c r="O42" s="135"/>
      <c r="P42" s="135"/>
      <c r="Q42" s="135"/>
      <c r="R42" s="135"/>
    </row>
    <row r="43" spans="1:1010 1027:2036 2053:3062 3079:4088 4105:5114 5131:6140 6157:7166 7183:8192 8209:9200 9217:10226 10243:11252 11269:12278 12295:13304 13321:14330 14347:15356 15373:16382" x14ac:dyDescent="0.35">
      <c r="A43" s="24" t="s">
        <v>29</v>
      </c>
      <c r="B43" s="24"/>
      <c r="C43" s="260">
        <f t="shared" ref="C43:L43" si="7">ROUND(IF(C30="",0,C30)-IF(C32="",0,C32)-IF(C42="",0,C42),1)</f>
        <v>0</v>
      </c>
      <c r="D43" s="260">
        <f t="shared" si="7"/>
        <v>0</v>
      </c>
      <c r="E43" s="260">
        <f t="shared" si="7"/>
        <v>0</v>
      </c>
      <c r="F43" s="260">
        <f t="shared" si="7"/>
        <v>0</v>
      </c>
      <c r="G43" s="260">
        <f t="shared" si="7"/>
        <v>0</v>
      </c>
      <c r="H43" s="260">
        <f t="shared" si="7"/>
        <v>0</v>
      </c>
      <c r="I43" s="260">
        <f t="shared" si="7"/>
        <v>0</v>
      </c>
      <c r="J43" s="260">
        <f t="shared" si="7"/>
        <v>0</v>
      </c>
      <c r="K43" s="260">
        <f t="shared" si="7"/>
        <v>0</v>
      </c>
      <c r="L43" s="260">
        <f t="shared" si="7"/>
        <v>0</v>
      </c>
      <c r="M43" s="138"/>
      <c r="N43" s="138"/>
      <c r="O43" s="138"/>
      <c r="P43" s="138"/>
      <c r="Q43" s="138"/>
      <c r="R43" s="138"/>
    </row>
    <row r="44" spans="1:1010 1027:2036 2053:3062 3079:4088 4105:5114 5131:6140 6157:7166 7183:8192 8209:9200 9217:10226 10243:11252 11269:12278 12295:13304 13321:14330 14347:15356 15373:16382" s="11" customFormat="1" x14ac:dyDescent="0.35">
      <c r="A44" s="183" t="s">
        <v>274</v>
      </c>
      <c r="B44" s="183" t="s">
        <v>275</v>
      </c>
      <c r="C44" s="184">
        <v>9.0210000000000008</v>
      </c>
      <c r="D44" s="184">
        <v>12.536</v>
      </c>
      <c r="E44" s="184">
        <v>13.576000000000001</v>
      </c>
      <c r="F44" s="184">
        <v>-6.5000000000000002E-2</v>
      </c>
      <c r="G44" s="184">
        <v>10.214</v>
      </c>
      <c r="H44" s="184">
        <v>7.8140000000000001</v>
      </c>
      <c r="I44" s="184">
        <v>22.399000000000001</v>
      </c>
      <c r="J44" s="184">
        <v>27.995999999999999</v>
      </c>
      <c r="K44" s="184">
        <v>12.792999999999999</v>
      </c>
      <c r="L44" s="184">
        <v>20.530999999999999</v>
      </c>
      <c r="S44" s="12"/>
      <c r="T44" s="12"/>
      <c r="AK44" s="12"/>
      <c r="AL44" s="12"/>
      <c r="BC44" s="12"/>
      <c r="BD44" s="12"/>
      <c r="BU44" s="12"/>
      <c r="BV44" s="12"/>
      <c r="CM44" s="12"/>
      <c r="CN44" s="12"/>
      <c r="DE44" s="12"/>
      <c r="DF44" s="12"/>
      <c r="DW44" s="12"/>
      <c r="DX44" s="12"/>
      <c r="EO44" s="12"/>
      <c r="EP44" s="12"/>
      <c r="FG44" s="12"/>
      <c r="FH44" s="12"/>
      <c r="FY44" s="12"/>
      <c r="FZ44" s="12"/>
      <c r="GQ44" s="12"/>
      <c r="GR44" s="12"/>
      <c r="HI44" s="12"/>
      <c r="HJ44" s="12"/>
      <c r="IA44" s="12"/>
      <c r="IB44" s="12"/>
      <c r="IS44" s="12"/>
      <c r="IT44" s="12"/>
      <c r="JK44" s="12"/>
      <c r="JL44" s="12"/>
      <c r="KC44" s="12"/>
      <c r="KD44" s="12"/>
      <c r="KU44" s="12"/>
      <c r="KV44" s="12"/>
      <c r="LM44" s="12"/>
      <c r="LN44" s="12"/>
      <c r="ME44" s="12"/>
      <c r="MF44" s="12"/>
      <c r="MW44" s="12"/>
      <c r="MX44" s="12"/>
      <c r="NO44" s="12"/>
      <c r="NP44" s="12"/>
      <c r="OG44" s="12"/>
      <c r="OH44" s="12"/>
      <c r="OY44" s="12"/>
      <c r="OZ44" s="12"/>
      <c r="PQ44" s="12"/>
      <c r="PR44" s="12"/>
      <c r="QI44" s="12"/>
      <c r="QJ44" s="12"/>
      <c r="RA44" s="12"/>
      <c r="RB44" s="12"/>
      <c r="RS44" s="12"/>
      <c r="RT44" s="12"/>
      <c r="SK44" s="12"/>
      <c r="SL44" s="12"/>
      <c r="TC44" s="12"/>
      <c r="TD44" s="12"/>
      <c r="TU44" s="12"/>
      <c r="TV44" s="12"/>
      <c r="UM44" s="12"/>
      <c r="UN44" s="12"/>
      <c r="VE44" s="12"/>
      <c r="VF44" s="12"/>
      <c r="VW44" s="12"/>
      <c r="VX44" s="12"/>
      <c r="WO44" s="12"/>
      <c r="WP44" s="12"/>
      <c r="XG44" s="12"/>
      <c r="XH44" s="12"/>
      <c r="XY44" s="12"/>
      <c r="XZ44" s="12"/>
      <c r="YQ44" s="12"/>
      <c r="YR44" s="12"/>
      <c r="ZI44" s="12"/>
      <c r="ZJ44" s="12"/>
      <c r="AAA44" s="12"/>
      <c r="AAB44" s="12"/>
      <c r="AAS44" s="12"/>
      <c r="AAT44" s="12"/>
      <c r="ABK44" s="12"/>
      <c r="ABL44" s="12"/>
      <c r="ACC44" s="12"/>
      <c r="ACD44" s="12"/>
      <c r="ACU44" s="12"/>
      <c r="ACV44" s="12"/>
      <c r="ADM44" s="12"/>
      <c r="ADN44" s="12"/>
      <c r="AEE44" s="12"/>
      <c r="AEF44" s="12"/>
      <c r="AEW44" s="12"/>
      <c r="AEX44" s="12"/>
      <c r="AFO44" s="12"/>
      <c r="AFP44" s="12"/>
      <c r="AGG44" s="12"/>
      <c r="AGH44" s="12"/>
      <c r="AGY44" s="12"/>
      <c r="AGZ44" s="12"/>
      <c r="AHQ44" s="12"/>
      <c r="AHR44" s="12"/>
      <c r="AII44" s="12"/>
      <c r="AIJ44" s="12"/>
      <c r="AJA44" s="12"/>
      <c r="AJB44" s="12"/>
      <c r="AJS44" s="12"/>
      <c r="AJT44" s="12"/>
      <c r="AKK44" s="12"/>
      <c r="AKL44" s="12"/>
      <c r="ALC44" s="12"/>
      <c r="ALD44" s="12"/>
      <c r="ALU44" s="12"/>
      <c r="ALV44" s="12"/>
      <c r="AMM44" s="12"/>
      <c r="AMN44" s="12"/>
      <c r="ANE44" s="12"/>
      <c r="ANF44" s="12"/>
      <c r="ANW44" s="12"/>
      <c r="ANX44" s="12"/>
      <c r="AOO44" s="12"/>
      <c r="AOP44" s="12"/>
      <c r="APG44" s="12"/>
      <c r="APH44" s="12"/>
      <c r="APY44" s="12"/>
      <c r="APZ44" s="12"/>
      <c r="AQQ44" s="12"/>
      <c r="AQR44" s="12"/>
      <c r="ARI44" s="12"/>
      <c r="ARJ44" s="12"/>
      <c r="ASA44" s="12"/>
      <c r="ASB44" s="12"/>
      <c r="ASS44" s="12"/>
      <c r="AST44" s="12"/>
      <c r="ATK44" s="12"/>
      <c r="ATL44" s="12"/>
      <c r="AUC44" s="12"/>
      <c r="AUD44" s="12"/>
      <c r="AUU44" s="12"/>
      <c r="AUV44" s="12"/>
      <c r="AVM44" s="12"/>
      <c r="AVN44" s="12"/>
      <c r="AWE44" s="12"/>
      <c r="AWF44" s="12"/>
      <c r="AWW44" s="12"/>
      <c r="AWX44" s="12"/>
      <c r="AXO44" s="12"/>
      <c r="AXP44" s="12"/>
      <c r="AYG44" s="12"/>
      <c r="AYH44" s="12"/>
      <c r="AYY44" s="12"/>
      <c r="AYZ44" s="12"/>
      <c r="AZQ44" s="12"/>
      <c r="AZR44" s="12"/>
      <c r="BAI44" s="12"/>
      <c r="BAJ44" s="12"/>
      <c r="BBA44" s="12"/>
      <c r="BBB44" s="12"/>
      <c r="BBS44" s="12"/>
      <c r="BBT44" s="12"/>
      <c r="BCK44" s="12"/>
      <c r="BCL44" s="12"/>
      <c r="BDC44" s="12"/>
      <c r="BDD44" s="12"/>
      <c r="BDU44" s="12"/>
      <c r="BDV44" s="12"/>
      <c r="BEM44" s="12"/>
      <c r="BEN44" s="12"/>
      <c r="BFE44" s="12"/>
      <c r="BFF44" s="12"/>
      <c r="BFW44" s="12"/>
      <c r="BFX44" s="12"/>
      <c r="BGO44" s="12"/>
      <c r="BGP44" s="12"/>
      <c r="BHG44" s="12"/>
      <c r="BHH44" s="12"/>
      <c r="BHY44" s="12"/>
      <c r="BHZ44" s="12"/>
      <c r="BIQ44" s="12"/>
      <c r="BIR44" s="12"/>
      <c r="BJI44" s="12"/>
      <c r="BJJ44" s="12"/>
      <c r="BKA44" s="12"/>
      <c r="BKB44" s="12"/>
      <c r="BKS44" s="12"/>
      <c r="BKT44" s="12"/>
      <c r="BLK44" s="12"/>
      <c r="BLL44" s="12"/>
      <c r="BMC44" s="12"/>
      <c r="BMD44" s="12"/>
      <c r="BMU44" s="12"/>
      <c r="BMV44" s="12"/>
      <c r="BNM44" s="12"/>
      <c r="BNN44" s="12"/>
      <c r="BOE44" s="12"/>
      <c r="BOF44" s="12"/>
      <c r="BOW44" s="12"/>
      <c r="BOX44" s="12"/>
      <c r="BPO44" s="12"/>
      <c r="BPP44" s="12"/>
      <c r="BQG44" s="12"/>
      <c r="BQH44" s="12"/>
      <c r="BQY44" s="12"/>
      <c r="BQZ44" s="12"/>
      <c r="BRQ44" s="12"/>
      <c r="BRR44" s="12"/>
      <c r="BSI44" s="12"/>
      <c r="BSJ44" s="12"/>
      <c r="BTA44" s="12"/>
      <c r="BTB44" s="12"/>
      <c r="BTS44" s="12"/>
      <c r="BTT44" s="12"/>
      <c r="BUK44" s="12"/>
      <c r="BUL44" s="12"/>
      <c r="BVC44" s="12"/>
      <c r="BVD44" s="12"/>
      <c r="BVU44" s="12"/>
      <c r="BVV44" s="12"/>
      <c r="BWM44" s="12"/>
      <c r="BWN44" s="12"/>
      <c r="BXE44" s="12"/>
      <c r="BXF44" s="12"/>
      <c r="BXW44" s="12"/>
      <c r="BXX44" s="12"/>
      <c r="BYO44" s="12"/>
      <c r="BYP44" s="12"/>
      <c r="BZG44" s="12"/>
      <c r="BZH44" s="12"/>
      <c r="BZY44" s="12"/>
      <c r="BZZ44" s="12"/>
      <c r="CAQ44" s="12"/>
      <c r="CAR44" s="12"/>
      <c r="CBI44" s="12"/>
      <c r="CBJ44" s="12"/>
      <c r="CCA44" s="12"/>
      <c r="CCB44" s="12"/>
      <c r="CCS44" s="12"/>
      <c r="CCT44" s="12"/>
      <c r="CDK44" s="12"/>
      <c r="CDL44" s="12"/>
      <c r="CEC44" s="12"/>
      <c r="CED44" s="12"/>
      <c r="CEU44" s="12"/>
      <c r="CEV44" s="12"/>
      <c r="CFM44" s="12"/>
      <c r="CFN44" s="12"/>
      <c r="CGE44" s="12"/>
      <c r="CGF44" s="12"/>
      <c r="CGW44" s="12"/>
      <c r="CGX44" s="12"/>
      <c r="CHO44" s="12"/>
      <c r="CHP44" s="12"/>
      <c r="CIG44" s="12"/>
      <c r="CIH44" s="12"/>
      <c r="CIY44" s="12"/>
      <c r="CIZ44" s="12"/>
      <c r="CJQ44" s="12"/>
      <c r="CJR44" s="12"/>
      <c r="CKI44" s="12"/>
      <c r="CKJ44" s="12"/>
      <c r="CLA44" s="12"/>
      <c r="CLB44" s="12"/>
      <c r="CLS44" s="12"/>
      <c r="CLT44" s="12"/>
      <c r="CMK44" s="12"/>
      <c r="CML44" s="12"/>
      <c r="CNC44" s="12"/>
      <c r="CND44" s="12"/>
      <c r="CNU44" s="12"/>
      <c r="CNV44" s="12"/>
      <c r="COM44" s="12"/>
      <c r="CON44" s="12"/>
      <c r="CPE44" s="12"/>
      <c r="CPF44" s="12"/>
      <c r="CPW44" s="12"/>
      <c r="CPX44" s="12"/>
      <c r="CQO44" s="12"/>
      <c r="CQP44" s="12"/>
      <c r="CRG44" s="12"/>
      <c r="CRH44" s="12"/>
      <c r="CRY44" s="12"/>
      <c r="CRZ44" s="12"/>
      <c r="CSQ44" s="12"/>
      <c r="CSR44" s="12"/>
      <c r="CTI44" s="12"/>
      <c r="CTJ44" s="12"/>
      <c r="CUA44" s="12"/>
      <c r="CUB44" s="12"/>
      <c r="CUS44" s="12"/>
      <c r="CUT44" s="12"/>
      <c r="CVK44" s="12"/>
      <c r="CVL44" s="12"/>
      <c r="CWC44" s="12"/>
      <c r="CWD44" s="12"/>
      <c r="CWU44" s="12"/>
      <c r="CWV44" s="12"/>
      <c r="CXM44" s="12"/>
      <c r="CXN44" s="12"/>
      <c r="CYE44" s="12"/>
      <c r="CYF44" s="12"/>
      <c r="CYW44" s="12"/>
      <c r="CYX44" s="12"/>
      <c r="CZO44" s="12"/>
      <c r="CZP44" s="12"/>
      <c r="DAG44" s="12"/>
      <c r="DAH44" s="12"/>
      <c r="DAY44" s="12"/>
      <c r="DAZ44" s="12"/>
      <c r="DBQ44" s="12"/>
      <c r="DBR44" s="12"/>
      <c r="DCI44" s="12"/>
      <c r="DCJ44" s="12"/>
      <c r="DDA44" s="12"/>
      <c r="DDB44" s="12"/>
      <c r="DDS44" s="12"/>
      <c r="DDT44" s="12"/>
      <c r="DEK44" s="12"/>
      <c r="DEL44" s="12"/>
      <c r="DFC44" s="12"/>
      <c r="DFD44" s="12"/>
      <c r="DFU44" s="12"/>
      <c r="DFV44" s="12"/>
      <c r="DGM44" s="12"/>
      <c r="DGN44" s="12"/>
      <c r="DHE44" s="12"/>
      <c r="DHF44" s="12"/>
      <c r="DHW44" s="12"/>
      <c r="DHX44" s="12"/>
      <c r="DIO44" s="12"/>
      <c r="DIP44" s="12"/>
      <c r="DJG44" s="12"/>
      <c r="DJH44" s="12"/>
      <c r="DJY44" s="12"/>
      <c r="DJZ44" s="12"/>
      <c r="DKQ44" s="12"/>
      <c r="DKR44" s="12"/>
      <c r="DLI44" s="12"/>
      <c r="DLJ44" s="12"/>
      <c r="DMA44" s="12"/>
      <c r="DMB44" s="12"/>
      <c r="DMS44" s="12"/>
      <c r="DMT44" s="12"/>
      <c r="DNK44" s="12"/>
      <c r="DNL44" s="12"/>
      <c r="DOC44" s="12"/>
      <c r="DOD44" s="12"/>
      <c r="DOU44" s="12"/>
      <c r="DOV44" s="12"/>
      <c r="DPM44" s="12"/>
      <c r="DPN44" s="12"/>
      <c r="DQE44" s="12"/>
      <c r="DQF44" s="12"/>
      <c r="DQW44" s="12"/>
      <c r="DQX44" s="12"/>
      <c r="DRO44" s="12"/>
      <c r="DRP44" s="12"/>
      <c r="DSG44" s="12"/>
      <c r="DSH44" s="12"/>
      <c r="DSY44" s="12"/>
      <c r="DSZ44" s="12"/>
      <c r="DTQ44" s="12"/>
      <c r="DTR44" s="12"/>
      <c r="DUI44" s="12"/>
      <c r="DUJ44" s="12"/>
      <c r="DVA44" s="12"/>
      <c r="DVB44" s="12"/>
      <c r="DVS44" s="12"/>
      <c r="DVT44" s="12"/>
      <c r="DWK44" s="12"/>
      <c r="DWL44" s="12"/>
      <c r="DXC44" s="12"/>
      <c r="DXD44" s="12"/>
      <c r="DXU44" s="12"/>
      <c r="DXV44" s="12"/>
      <c r="DYM44" s="12"/>
      <c r="DYN44" s="12"/>
      <c r="DZE44" s="12"/>
      <c r="DZF44" s="12"/>
      <c r="DZW44" s="12"/>
      <c r="DZX44" s="12"/>
      <c r="EAO44" s="12"/>
      <c r="EAP44" s="12"/>
      <c r="EBG44" s="12"/>
      <c r="EBH44" s="12"/>
      <c r="EBY44" s="12"/>
      <c r="EBZ44" s="12"/>
      <c r="ECQ44" s="12"/>
      <c r="ECR44" s="12"/>
      <c r="EDI44" s="12"/>
      <c r="EDJ44" s="12"/>
      <c r="EEA44" s="12"/>
      <c r="EEB44" s="12"/>
      <c r="EES44" s="12"/>
      <c r="EET44" s="12"/>
      <c r="EFK44" s="12"/>
      <c r="EFL44" s="12"/>
      <c r="EGC44" s="12"/>
      <c r="EGD44" s="12"/>
      <c r="EGU44" s="12"/>
      <c r="EGV44" s="12"/>
      <c r="EHM44" s="12"/>
      <c r="EHN44" s="12"/>
      <c r="EIE44" s="12"/>
      <c r="EIF44" s="12"/>
      <c r="EIW44" s="12"/>
      <c r="EIX44" s="12"/>
      <c r="EJO44" s="12"/>
      <c r="EJP44" s="12"/>
      <c r="EKG44" s="12"/>
      <c r="EKH44" s="12"/>
      <c r="EKY44" s="12"/>
      <c r="EKZ44" s="12"/>
      <c r="ELQ44" s="12"/>
      <c r="ELR44" s="12"/>
      <c r="EMI44" s="12"/>
      <c r="EMJ44" s="12"/>
      <c r="ENA44" s="12"/>
      <c r="ENB44" s="12"/>
      <c r="ENS44" s="12"/>
      <c r="ENT44" s="12"/>
      <c r="EOK44" s="12"/>
      <c r="EOL44" s="12"/>
      <c r="EPC44" s="12"/>
      <c r="EPD44" s="12"/>
      <c r="EPU44" s="12"/>
      <c r="EPV44" s="12"/>
      <c r="EQM44" s="12"/>
      <c r="EQN44" s="12"/>
      <c r="ERE44" s="12"/>
      <c r="ERF44" s="12"/>
      <c r="ERW44" s="12"/>
      <c r="ERX44" s="12"/>
      <c r="ESO44" s="12"/>
      <c r="ESP44" s="12"/>
      <c r="ETG44" s="12"/>
      <c r="ETH44" s="12"/>
      <c r="ETY44" s="12"/>
      <c r="ETZ44" s="12"/>
      <c r="EUQ44" s="12"/>
      <c r="EUR44" s="12"/>
      <c r="EVI44" s="12"/>
      <c r="EVJ44" s="12"/>
      <c r="EWA44" s="12"/>
      <c r="EWB44" s="12"/>
      <c r="EWS44" s="12"/>
      <c r="EWT44" s="12"/>
      <c r="EXK44" s="12"/>
      <c r="EXL44" s="12"/>
      <c r="EYC44" s="12"/>
      <c r="EYD44" s="12"/>
      <c r="EYU44" s="12"/>
      <c r="EYV44" s="12"/>
      <c r="EZM44" s="12"/>
      <c r="EZN44" s="12"/>
      <c r="FAE44" s="12"/>
      <c r="FAF44" s="12"/>
      <c r="FAW44" s="12"/>
      <c r="FAX44" s="12"/>
      <c r="FBO44" s="12"/>
      <c r="FBP44" s="12"/>
      <c r="FCG44" s="12"/>
      <c r="FCH44" s="12"/>
      <c r="FCY44" s="12"/>
      <c r="FCZ44" s="12"/>
      <c r="FDQ44" s="12"/>
      <c r="FDR44" s="12"/>
      <c r="FEI44" s="12"/>
      <c r="FEJ44" s="12"/>
      <c r="FFA44" s="12"/>
      <c r="FFB44" s="12"/>
      <c r="FFS44" s="12"/>
      <c r="FFT44" s="12"/>
      <c r="FGK44" s="12"/>
      <c r="FGL44" s="12"/>
      <c r="FHC44" s="12"/>
      <c r="FHD44" s="12"/>
      <c r="FHU44" s="12"/>
      <c r="FHV44" s="12"/>
      <c r="FIM44" s="12"/>
      <c r="FIN44" s="12"/>
      <c r="FJE44" s="12"/>
      <c r="FJF44" s="12"/>
      <c r="FJW44" s="12"/>
      <c r="FJX44" s="12"/>
      <c r="FKO44" s="12"/>
      <c r="FKP44" s="12"/>
      <c r="FLG44" s="12"/>
      <c r="FLH44" s="12"/>
      <c r="FLY44" s="12"/>
      <c r="FLZ44" s="12"/>
      <c r="FMQ44" s="12"/>
      <c r="FMR44" s="12"/>
      <c r="FNI44" s="12"/>
      <c r="FNJ44" s="12"/>
      <c r="FOA44" s="12"/>
      <c r="FOB44" s="12"/>
      <c r="FOS44" s="12"/>
      <c r="FOT44" s="12"/>
      <c r="FPK44" s="12"/>
      <c r="FPL44" s="12"/>
      <c r="FQC44" s="12"/>
      <c r="FQD44" s="12"/>
      <c r="FQU44" s="12"/>
      <c r="FQV44" s="12"/>
      <c r="FRM44" s="12"/>
      <c r="FRN44" s="12"/>
      <c r="FSE44" s="12"/>
      <c r="FSF44" s="12"/>
      <c r="FSW44" s="12"/>
      <c r="FSX44" s="12"/>
      <c r="FTO44" s="12"/>
      <c r="FTP44" s="12"/>
      <c r="FUG44" s="12"/>
      <c r="FUH44" s="12"/>
      <c r="FUY44" s="12"/>
      <c r="FUZ44" s="12"/>
      <c r="FVQ44" s="12"/>
      <c r="FVR44" s="12"/>
      <c r="FWI44" s="12"/>
      <c r="FWJ44" s="12"/>
      <c r="FXA44" s="12"/>
      <c r="FXB44" s="12"/>
      <c r="FXS44" s="12"/>
      <c r="FXT44" s="12"/>
      <c r="FYK44" s="12"/>
      <c r="FYL44" s="12"/>
      <c r="FZC44" s="12"/>
      <c r="FZD44" s="12"/>
      <c r="FZU44" s="12"/>
      <c r="FZV44" s="12"/>
      <c r="GAM44" s="12"/>
      <c r="GAN44" s="12"/>
      <c r="GBE44" s="12"/>
      <c r="GBF44" s="12"/>
      <c r="GBW44" s="12"/>
      <c r="GBX44" s="12"/>
      <c r="GCO44" s="12"/>
      <c r="GCP44" s="12"/>
      <c r="GDG44" s="12"/>
      <c r="GDH44" s="12"/>
      <c r="GDY44" s="12"/>
      <c r="GDZ44" s="12"/>
      <c r="GEQ44" s="12"/>
      <c r="GER44" s="12"/>
      <c r="GFI44" s="12"/>
      <c r="GFJ44" s="12"/>
      <c r="GGA44" s="12"/>
      <c r="GGB44" s="12"/>
      <c r="GGS44" s="12"/>
      <c r="GGT44" s="12"/>
      <c r="GHK44" s="12"/>
      <c r="GHL44" s="12"/>
      <c r="GIC44" s="12"/>
      <c r="GID44" s="12"/>
      <c r="GIU44" s="12"/>
      <c r="GIV44" s="12"/>
      <c r="GJM44" s="12"/>
      <c r="GJN44" s="12"/>
      <c r="GKE44" s="12"/>
      <c r="GKF44" s="12"/>
      <c r="GKW44" s="12"/>
      <c r="GKX44" s="12"/>
      <c r="GLO44" s="12"/>
      <c r="GLP44" s="12"/>
      <c r="GMG44" s="12"/>
      <c r="GMH44" s="12"/>
      <c r="GMY44" s="12"/>
      <c r="GMZ44" s="12"/>
      <c r="GNQ44" s="12"/>
      <c r="GNR44" s="12"/>
      <c r="GOI44" s="12"/>
      <c r="GOJ44" s="12"/>
      <c r="GPA44" s="12"/>
      <c r="GPB44" s="12"/>
      <c r="GPS44" s="12"/>
      <c r="GPT44" s="12"/>
      <c r="GQK44" s="12"/>
      <c r="GQL44" s="12"/>
      <c r="GRC44" s="12"/>
      <c r="GRD44" s="12"/>
      <c r="GRU44" s="12"/>
      <c r="GRV44" s="12"/>
      <c r="GSM44" s="12"/>
      <c r="GSN44" s="12"/>
      <c r="GTE44" s="12"/>
      <c r="GTF44" s="12"/>
      <c r="GTW44" s="12"/>
      <c r="GTX44" s="12"/>
      <c r="GUO44" s="12"/>
      <c r="GUP44" s="12"/>
      <c r="GVG44" s="12"/>
      <c r="GVH44" s="12"/>
      <c r="GVY44" s="12"/>
      <c r="GVZ44" s="12"/>
      <c r="GWQ44" s="12"/>
      <c r="GWR44" s="12"/>
      <c r="GXI44" s="12"/>
      <c r="GXJ44" s="12"/>
      <c r="GYA44" s="12"/>
      <c r="GYB44" s="12"/>
      <c r="GYS44" s="12"/>
      <c r="GYT44" s="12"/>
      <c r="GZK44" s="12"/>
      <c r="GZL44" s="12"/>
      <c r="HAC44" s="12"/>
      <c r="HAD44" s="12"/>
      <c r="HAU44" s="12"/>
      <c r="HAV44" s="12"/>
      <c r="HBM44" s="12"/>
      <c r="HBN44" s="12"/>
      <c r="HCE44" s="12"/>
      <c r="HCF44" s="12"/>
      <c r="HCW44" s="12"/>
      <c r="HCX44" s="12"/>
      <c r="HDO44" s="12"/>
      <c r="HDP44" s="12"/>
      <c r="HEG44" s="12"/>
      <c r="HEH44" s="12"/>
      <c r="HEY44" s="12"/>
      <c r="HEZ44" s="12"/>
      <c r="HFQ44" s="12"/>
      <c r="HFR44" s="12"/>
      <c r="HGI44" s="12"/>
      <c r="HGJ44" s="12"/>
      <c r="HHA44" s="12"/>
      <c r="HHB44" s="12"/>
      <c r="HHS44" s="12"/>
      <c r="HHT44" s="12"/>
      <c r="HIK44" s="12"/>
      <c r="HIL44" s="12"/>
      <c r="HJC44" s="12"/>
      <c r="HJD44" s="12"/>
      <c r="HJU44" s="12"/>
      <c r="HJV44" s="12"/>
      <c r="HKM44" s="12"/>
      <c r="HKN44" s="12"/>
      <c r="HLE44" s="12"/>
      <c r="HLF44" s="12"/>
      <c r="HLW44" s="12"/>
      <c r="HLX44" s="12"/>
      <c r="HMO44" s="12"/>
      <c r="HMP44" s="12"/>
      <c r="HNG44" s="12"/>
      <c r="HNH44" s="12"/>
      <c r="HNY44" s="12"/>
      <c r="HNZ44" s="12"/>
      <c r="HOQ44" s="12"/>
      <c r="HOR44" s="12"/>
      <c r="HPI44" s="12"/>
      <c r="HPJ44" s="12"/>
      <c r="HQA44" s="12"/>
      <c r="HQB44" s="12"/>
      <c r="HQS44" s="12"/>
      <c r="HQT44" s="12"/>
      <c r="HRK44" s="12"/>
      <c r="HRL44" s="12"/>
      <c r="HSC44" s="12"/>
      <c r="HSD44" s="12"/>
      <c r="HSU44" s="12"/>
      <c r="HSV44" s="12"/>
      <c r="HTM44" s="12"/>
      <c r="HTN44" s="12"/>
      <c r="HUE44" s="12"/>
      <c r="HUF44" s="12"/>
      <c r="HUW44" s="12"/>
      <c r="HUX44" s="12"/>
      <c r="HVO44" s="12"/>
      <c r="HVP44" s="12"/>
      <c r="HWG44" s="12"/>
      <c r="HWH44" s="12"/>
      <c r="HWY44" s="12"/>
      <c r="HWZ44" s="12"/>
      <c r="HXQ44" s="12"/>
      <c r="HXR44" s="12"/>
      <c r="HYI44" s="12"/>
      <c r="HYJ44" s="12"/>
      <c r="HZA44" s="12"/>
      <c r="HZB44" s="12"/>
      <c r="HZS44" s="12"/>
      <c r="HZT44" s="12"/>
      <c r="IAK44" s="12"/>
      <c r="IAL44" s="12"/>
      <c r="IBC44" s="12"/>
      <c r="IBD44" s="12"/>
      <c r="IBU44" s="12"/>
      <c r="IBV44" s="12"/>
      <c r="ICM44" s="12"/>
      <c r="ICN44" s="12"/>
      <c r="IDE44" s="12"/>
      <c r="IDF44" s="12"/>
      <c r="IDW44" s="12"/>
      <c r="IDX44" s="12"/>
      <c r="IEO44" s="12"/>
      <c r="IEP44" s="12"/>
      <c r="IFG44" s="12"/>
      <c r="IFH44" s="12"/>
      <c r="IFY44" s="12"/>
      <c r="IFZ44" s="12"/>
      <c r="IGQ44" s="12"/>
      <c r="IGR44" s="12"/>
      <c r="IHI44" s="12"/>
      <c r="IHJ44" s="12"/>
      <c r="IIA44" s="12"/>
      <c r="IIB44" s="12"/>
      <c r="IIS44" s="12"/>
      <c r="IIT44" s="12"/>
      <c r="IJK44" s="12"/>
      <c r="IJL44" s="12"/>
      <c r="IKC44" s="12"/>
      <c r="IKD44" s="12"/>
      <c r="IKU44" s="12"/>
      <c r="IKV44" s="12"/>
      <c r="ILM44" s="12"/>
      <c r="ILN44" s="12"/>
      <c r="IME44" s="12"/>
      <c r="IMF44" s="12"/>
      <c r="IMW44" s="12"/>
      <c r="IMX44" s="12"/>
      <c r="INO44" s="12"/>
      <c r="INP44" s="12"/>
      <c r="IOG44" s="12"/>
      <c r="IOH44" s="12"/>
      <c r="IOY44" s="12"/>
      <c r="IOZ44" s="12"/>
      <c r="IPQ44" s="12"/>
      <c r="IPR44" s="12"/>
      <c r="IQI44" s="12"/>
      <c r="IQJ44" s="12"/>
      <c r="IRA44" s="12"/>
      <c r="IRB44" s="12"/>
      <c r="IRS44" s="12"/>
      <c r="IRT44" s="12"/>
      <c r="ISK44" s="12"/>
      <c r="ISL44" s="12"/>
      <c r="ITC44" s="12"/>
      <c r="ITD44" s="12"/>
      <c r="ITU44" s="12"/>
      <c r="ITV44" s="12"/>
      <c r="IUM44" s="12"/>
      <c r="IUN44" s="12"/>
      <c r="IVE44" s="12"/>
      <c r="IVF44" s="12"/>
      <c r="IVW44" s="12"/>
      <c r="IVX44" s="12"/>
      <c r="IWO44" s="12"/>
      <c r="IWP44" s="12"/>
      <c r="IXG44" s="12"/>
      <c r="IXH44" s="12"/>
      <c r="IXY44" s="12"/>
      <c r="IXZ44" s="12"/>
      <c r="IYQ44" s="12"/>
      <c r="IYR44" s="12"/>
      <c r="IZI44" s="12"/>
      <c r="IZJ44" s="12"/>
      <c r="JAA44" s="12"/>
      <c r="JAB44" s="12"/>
      <c r="JAS44" s="12"/>
      <c r="JAT44" s="12"/>
      <c r="JBK44" s="12"/>
      <c r="JBL44" s="12"/>
      <c r="JCC44" s="12"/>
      <c r="JCD44" s="12"/>
      <c r="JCU44" s="12"/>
      <c r="JCV44" s="12"/>
      <c r="JDM44" s="12"/>
      <c r="JDN44" s="12"/>
      <c r="JEE44" s="12"/>
      <c r="JEF44" s="12"/>
      <c r="JEW44" s="12"/>
      <c r="JEX44" s="12"/>
      <c r="JFO44" s="12"/>
      <c r="JFP44" s="12"/>
      <c r="JGG44" s="12"/>
      <c r="JGH44" s="12"/>
      <c r="JGY44" s="12"/>
      <c r="JGZ44" s="12"/>
      <c r="JHQ44" s="12"/>
      <c r="JHR44" s="12"/>
      <c r="JII44" s="12"/>
      <c r="JIJ44" s="12"/>
      <c r="JJA44" s="12"/>
      <c r="JJB44" s="12"/>
      <c r="JJS44" s="12"/>
      <c r="JJT44" s="12"/>
      <c r="JKK44" s="12"/>
      <c r="JKL44" s="12"/>
      <c r="JLC44" s="12"/>
      <c r="JLD44" s="12"/>
      <c r="JLU44" s="12"/>
      <c r="JLV44" s="12"/>
      <c r="JMM44" s="12"/>
      <c r="JMN44" s="12"/>
      <c r="JNE44" s="12"/>
      <c r="JNF44" s="12"/>
      <c r="JNW44" s="12"/>
      <c r="JNX44" s="12"/>
      <c r="JOO44" s="12"/>
      <c r="JOP44" s="12"/>
      <c r="JPG44" s="12"/>
      <c r="JPH44" s="12"/>
      <c r="JPY44" s="12"/>
      <c r="JPZ44" s="12"/>
      <c r="JQQ44" s="12"/>
      <c r="JQR44" s="12"/>
      <c r="JRI44" s="12"/>
      <c r="JRJ44" s="12"/>
      <c r="JSA44" s="12"/>
      <c r="JSB44" s="12"/>
      <c r="JSS44" s="12"/>
      <c r="JST44" s="12"/>
      <c r="JTK44" s="12"/>
      <c r="JTL44" s="12"/>
      <c r="JUC44" s="12"/>
      <c r="JUD44" s="12"/>
      <c r="JUU44" s="12"/>
      <c r="JUV44" s="12"/>
      <c r="JVM44" s="12"/>
      <c r="JVN44" s="12"/>
      <c r="JWE44" s="12"/>
      <c r="JWF44" s="12"/>
      <c r="JWW44" s="12"/>
      <c r="JWX44" s="12"/>
      <c r="JXO44" s="12"/>
      <c r="JXP44" s="12"/>
      <c r="JYG44" s="12"/>
      <c r="JYH44" s="12"/>
      <c r="JYY44" s="12"/>
      <c r="JYZ44" s="12"/>
      <c r="JZQ44" s="12"/>
      <c r="JZR44" s="12"/>
      <c r="KAI44" s="12"/>
      <c r="KAJ44" s="12"/>
      <c r="KBA44" s="12"/>
      <c r="KBB44" s="12"/>
      <c r="KBS44" s="12"/>
      <c r="KBT44" s="12"/>
      <c r="KCK44" s="12"/>
      <c r="KCL44" s="12"/>
      <c r="KDC44" s="12"/>
      <c r="KDD44" s="12"/>
      <c r="KDU44" s="12"/>
      <c r="KDV44" s="12"/>
      <c r="KEM44" s="12"/>
      <c r="KEN44" s="12"/>
      <c r="KFE44" s="12"/>
      <c r="KFF44" s="12"/>
      <c r="KFW44" s="12"/>
      <c r="KFX44" s="12"/>
      <c r="KGO44" s="12"/>
      <c r="KGP44" s="12"/>
      <c r="KHG44" s="12"/>
      <c r="KHH44" s="12"/>
      <c r="KHY44" s="12"/>
      <c r="KHZ44" s="12"/>
      <c r="KIQ44" s="12"/>
      <c r="KIR44" s="12"/>
      <c r="KJI44" s="12"/>
      <c r="KJJ44" s="12"/>
      <c r="KKA44" s="12"/>
      <c r="KKB44" s="12"/>
      <c r="KKS44" s="12"/>
      <c r="KKT44" s="12"/>
      <c r="KLK44" s="12"/>
      <c r="KLL44" s="12"/>
      <c r="KMC44" s="12"/>
      <c r="KMD44" s="12"/>
      <c r="KMU44" s="12"/>
      <c r="KMV44" s="12"/>
      <c r="KNM44" s="12"/>
      <c r="KNN44" s="12"/>
      <c r="KOE44" s="12"/>
      <c r="KOF44" s="12"/>
      <c r="KOW44" s="12"/>
      <c r="KOX44" s="12"/>
      <c r="KPO44" s="12"/>
      <c r="KPP44" s="12"/>
      <c r="KQG44" s="12"/>
      <c r="KQH44" s="12"/>
      <c r="KQY44" s="12"/>
      <c r="KQZ44" s="12"/>
      <c r="KRQ44" s="12"/>
      <c r="KRR44" s="12"/>
      <c r="KSI44" s="12"/>
      <c r="KSJ44" s="12"/>
      <c r="KTA44" s="12"/>
      <c r="KTB44" s="12"/>
      <c r="KTS44" s="12"/>
      <c r="KTT44" s="12"/>
      <c r="KUK44" s="12"/>
      <c r="KUL44" s="12"/>
      <c r="KVC44" s="12"/>
      <c r="KVD44" s="12"/>
      <c r="KVU44" s="12"/>
      <c r="KVV44" s="12"/>
      <c r="KWM44" s="12"/>
      <c r="KWN44" s="12"/>
      <c r="KXE44" s="12"/>
      <c r="KXF44" s="12"/>
      <c r="KXW44" s="12"/>
      <c r="KXX44" s="12"/>
      <c r="KYO44" s="12"/>
      <c r="KYP44" s="12"/>
      <c r="KZG44" s="12"/>
      <c r="KZH44" s="12"/>
      <c r="KZY44" s="12"/>
      <c r="KZZ44" s="12"/>
      <c r="LAQ44" s="12"/>
      <c r="LAR44" s="12"/>
      <c r="LBI44" s="12"/>
      <c r="LBJ44" s="12"/>
      <c r="LCA44" s="12"/>
      <c r="LCB44" s="12"/>
      <c r="LCS44" s="12"/>
      <c r="LCT44" s="12"/>
      <c r="LDK44" s="12"/>
      <c r="LDL44" s="12"/>
      <c r="LEC44" s="12"/>
      <c r="LED44" s="12"/>
      <c r="LEU44" s="12"/>
      <c r="LEV44" s="12"/>
      <c r="LFM44" s="12"/>
      <c r="LFN44" s="12"/>
      <c r="LGE44" s="12"/>
      <c r="LGF44" s="12"/>
      <c r="LGW44" s="12"/>
      <c r="LGX44" s="12"/>
      <c r="LHO44" s="12"/>
      <c r="LHP44" s="12"/>
      <c r="LIG44" s="12"/>
      <c r="LIH44" s="12"/>
      <c r="LIY44" s="12"/>
      <c r="LIZ44" s="12"/>
      <c r="LJQ44" s="12"/>
      <c r="LJR44" s="12"/>
      <c r="LKI44" s="12"/>
      <c r="LKJ44" s="12"/>
      <c r="LLA44" s="12"/>
      <c r="LLB44" s="12"/>
      <c r="LLS44" s="12"/>
      <c r="LLT44" s="12"/>
      <c r="LMK44" s="12"/>
      <c r="LML44" s="12"/>
      <c r="LNC44" s="12"/>
      <c r="LND44" s="12"/>
      <c r="LNU44" s="12"/>
      <c r="LNV44" s="12"/>
      <c r="LOM44" s="12"/>
      <c r="LON44" s="12"/>
      <c r="LPE44" s="12"/>
      <c r="LPF44" s="12"/>
      <c r="LPW44" s="12"/>
      <c r="LPX44" s="12"/>
      <c r="LQO44" s="12"/>
      <c r="LQP44" s="12"/>
      <c r="LRG44" s="12"/>
      <c r="LRH44" s="12"/>
      <c r="LRY44" s="12"/>
      <c r="LRZ44" s="12"/>
      <c r="LSQ44" s="12"/>
      <c r="LSR44" s="12"/>
      <c r="LTI44" s="12"/>
      <c r="LTJ44" s="12"/>
      <c r="LUA44" s="12"/>
      <c r="LUB44" s="12"/>
      <c r="LUS44" s="12"/>
      <c r="LUT44" s="12"/>
      <c r="LVK44" s="12"/>
      <c r="LVL44" s="12"/>
      <c r="LWC44" s="12"/>
      <c r="LWD44" s="12"/>
      <c r="LWU44" s="12"/>
      <c r="LWV44" s="12"/>
      <c r="LXM44" s="12"/>
      <c r="LXN44" s="12"/>
      <c r="LYE44" s="12"/>
      <c r="LYF44" s="12"/>
      <c r="LYW44" s="12"/>
      <c r="LYX44" s="12"/>
      <c r="LZO44" s="12"/>
      <c r="LZP44" s="12"/>
      <c r="MAG44" s="12"/>
      <c r="MAH44" s="12"/>
      <c r="MAY44" s="12"/>
      <c r="MAZ44" s="12"/>
      <c r="MBQ44" s="12"/>
      <c r="MBR44" s="12"/>
      <c r="MCI44" s="12"/>
      <c r="MCJ44" s="12"/>
      <c r="MDA44" s="12"/>
      <c r="MDB44" s="12"/>
      <c r="MDS44" s="12"/>
      <c r="MDT44" s="12"/>
      <c r="MEK44" s="12"/>
      <c r="MEL44" s="12"/>
      <c r="MFC44" s="12"/>
      <c r="MFD44" s="12"/>
      <c r="MFU44" s="12"/>
      <c r="MFV44" s="12"/>
      <c r="MGM44" s="12"/>
      <c r="MGN44" s="12"/>
      <c r="MHE44" s="12"/>
      <c r="MHF44" s="12"/>
      <c r="MHW44" s="12"/>
      <c r="MHX44" s="12"/>
      <c r="MIO44" s="12"/>
      <c r="MIP44" s="12"/>
      <c r="MJG44" s="12"/>
      <c r="MJH44" s="12"/>
      <c r="MJY44" s="12"/>
      <c r="MJZ44" s="12"/>
      <c r="MKQ44" s="12"/>
      <c r="MKR44" s="12"/>
      <c r="MLI44" s="12"/>
      <c r="MLJ44" s="12"/>
      <c r="MMA44" s="12"/>
      <c r="MMB44" s="12"/>
      <c r="MMS44" s="12"/>
      <c r="MMT44" s="12"/>
      <c r="MNK44" s="12"/>
      <c r="MNL44" s="12"/>
      <c r="MOC44" s="12"/>
      <c r="MOD44" s="12"/>
      <c r="MOU44" s="12"/>
      <c r="MOV44" s="12"/>
      <c r="MPM44" s="12"/>
      <c r="MPN44" s="12"/>
      <c r="MQE44" s="12"/>
      <c r="MQF44" s="12"/>
      <c r="MQW44" s="12"/>
      <c r="MQX44" s="12"/>
      <c r="MRO44" s="12"/>
      <c r="MRP44" s="12"/>
      <c r="MSG44" s="12"/>
      <c r="MSH44" s="12"/>
      <c r="MSY44" s="12"/>
      <c r="MSZ44" s="12"/>
      <c r="MTQ44" s="12"/>
      <c r="MTR44" s="12"/>
      <c r="MUI44" s="12"/>
      <c r="MUJ44" s="12"/>
      <c r="MVA44" s="12"/>
      <c r="MVB44" s="12"/>
      <c r="MVS44" s="12"/>
      <c r="MVT44" s="12"/>
      <c r="MWK44" s="12"/>
      <c r="MWL44" s="12"/>
      <c r="MXC44" s="12"/>
      <c r="MXD44" s="12"/>
      <c r="MXU44" s="12"/>
      <c r="MXV44" s="12"/>
      <c r="MYM44" s="12"/>
      <c r="MYN44" s="12"/>
      <c r="MZE44" s="12"/>
      <c r="MZF44" s="12"/>
      <c r="MZW44" s="12"/>
      <c r="MZX44" s="12"/>
      <c r="NAO44" s="12"/>
      <c r="NAP44" s="12"/>
      <c r="NBG44" s="12"/>
      <c r="NBH44" s="12"/>
      <c r="NBY44" s="12"/>
      <c r="NBZ44" s="12"/>
      <c r="NCQ44" s="12"/>
      <c r="NCR44" s="12"/>
      <c r="NDI44" s="12"/>
      <c r="NDJ44" s="12"/>
      <c r="NEA44" s="12"/>
      <c r="NEB44" s="12"/>
      <c r="NES44" s="12"/>
      <c r="NET44" s="12"/>
      <c r="NFK44" s="12"/>
      <c r="NFL44" s="12"/>
      <c r="NGC44" s="12"/>
      <c r="NGD44" s="12"/>
      <c r="NGU44" s="12"/>
      <c r="NGV44" s="12"/>
      <c r="NHM44" s="12"/>
      <c r="NHN44" s="12"/>
      <c r="NIE44" s="12"/>
      <c r="NIF44" s="12"/>
      <c r="NIW44" s="12"/>
      <c r="NIX44" s="12"/>
      <c r="NJO44" s="12"/>
      <c r="NJP44" s="12"/>
      <c r="NKG44" s="12"/>
      <c r="NKH44" s="12"/>
      <c r="NKY44" s="12"/>
      <c r="NKZ44" s="12"/>
      <c r="NLQ44" s="12"/>
      <c r="NLR44" s="12"/>
      <c r="NMI44" s="12"/>
      <c r="NMJ44" s="12"/>
      <c r="NNA44" s="12"/>
      <c r="NNB44" s="12"/>
      <c r="NNS44" s="12"/>
      <c r="NNT44" s="12"/>
      <c r="NOK44" s="12"/>
      <c r="NOL44" s="12"/>
      <c r="NPC44" s="12"/>
      <c r="NPD44" s="12"/>
      <c r="NPU44" s="12"/>
      <c r="NPV44" s="12"/>
      <c r="NQM44" s="12"/>
      <c r="NQN44" s="12"/>
      <c r="NRE44" s="12"/>
      <c r="NRF44" s="12"/>
      <c r="NRW44" s="12"/>
      <c r="NRX44" s="12"/>
      <c r="NSO44" s="12"/>
      <c r="NSP44" s="12"/>
      <c r="NTG44" s="12"/>
      <c r="NTH44" s="12"/>
      <c r="NTY44" s="12"/>
      <c r="NTZ44" s="12"/>
      <c r="NUQ44" s="12"/>
      <c r="NUR44" s="12"/>
      <c r="NVI44" s="12"/>
      <c r="NVJ44" s="12"/>
      <c r="NWA44" s="12"/>
      <c r="NWB44" s="12"/>
      <c r="NWS44" s="12"/>
      <c r="NWT44" s="12"/>
      <c r="NXK44" s="12"/>
      <c r="NXL44" s="12"/>
      <c r="NYC44" s="12"/>
      <c r="NYD44" s="12"/>
      <c r="NYU44" s="12"/>
      <c r="NYV44" s="12"/>
      <c r="NZM44" s="12"/>
      <c r="NZN44" s="12"/>
      <c r="OAE44" s="12"/>
      <c r="OAF44" s="12"/>
      <c r="OAW44" s="12"/>
      <c r="OAX44" s="12"/>
      <c r="OBO44" s="12"/>
      <c r="OBP44" s="12"/>
      <c r="OCG44" s="12"/>
      <c r="OCH44" s="12"/>
      <c r="OCY44" s="12"/>
      <c r="OCZ44" s="12"/>
      <c r="ODQ44" s="12"/>
      <c r="ODR44" s="12"/>
      <c r="OEI44" s="12"/>
      <c r="OEJ44" s="12"/>
      <c r="OFA44" s="12"/>
      <c r="OFB44" s="12"/>
      <c r="OFS44" s="12"/>
      <c r="OFT44" s="12"/>
      <c r="OGK44" s="12"/>
      <c r="OGL44" s="12"/>
      <c r="OHC44" s="12"/>
      <c r="OHD44" s="12"/>
      <c r="OHU44" s="12"/>
      <c r="OHV44" s="12"/>
      <c r="OIM44" s="12"/>
      <c r="OIN44" s="12"/>
      <c r="OJE44" s="12"/>
      <c r="OJF44" s="12"/>
      <c r="OJW44" s="12"/>
      <c r="OJX44" s="12"/>
      <c r="OKO44" s="12"/>
      <c r="OKP44" s="12"/>
      <c r="OLG44" s="12"/>
      <c r="OLH44" s="12"/>
      <c r="OLY44" s="12"/>
      <c r="OLZ44" s="12"/>
      <c r="OMQ44" s="12"/>
      <c r="OMR44" s="12"/>
      <c r="ONI44" s="12"/>
      <c r="ONJ44" s="12"/>
      <c r="OOA44" s="12"/>
      <c r="OOB44" s="12"/>
      <c r="OOS44" s="12"/>
      <c r="OOT44" s="12"/>
      <c r="OPK44" s="12"/>
      <c r="OPL44" s="12"/>
      <c r="OQC44" s="12"/>
      <c r="OQD44" s="12"/>
      <c r="OQU44" s="12"/>
      <c r="OQV44" s="12"/>
      <c r="ORM44" s="12"/>
      <c r="ORN44" s="12"/>
      <c r="OSE44" s="12"/>
      <c r="OSF44" s="12"/>
      <c r="OSW44" s="12"/>
      <c r="OSX44" s="12"/>
      <c r="OTO44" s="12"/>
      <c r="OTP44" s="12"/>
      <c r="OUG44" s="12"/>
      <c r="OUH44" s="12"/>
      <c r="OUY44" s="12"/>
      <c r="OUZ44" s="12"/>
      <c r="OVQ44" s="12"/>
      <c r="OVR44" s="12"/>
      <c r="OWI44" s="12"/>
      <c r="OWJ44" s="12"/>
      <c r="OXA44" s="12"/>
      <c r="OXB44" s="12"/>
      <c r="OXS44" s="12"/>
      <c r="OXT44" s="12"/>
      <c r="OYK44" s="12"/>
      <c r="OYL44" s="12"/>
      <c r="OZC44" s="12"/>
      <c r="OZD44" s="12"/>
      <c r="OZU44" s="12"/>
      <c r="OZV44" s="12"/>
      <c r="PAM44" s="12"/>
      <c r="PAN44" s="12"/>
      <c r="PBE44" s="12"/>
      <c r="PBF44" s="12"/>
      <c r="PBW44" s="12"/>
      <c r="PBX44" s="12"/>
      <c r="PCO44" s="12"/>
      <c r="PCP44" s="12"/>
      <c r="PDG44" s="12"/>
      <c r="PDH44" s="12"/>
      <c r="PDY44" s="12"/>
      <c r="PDZ44" s="12"/>
      <c r="PEQ44" s="12"/>
      <c r="PER44" s="12"/>
      <c r="PFI44" s="12"/>
      <c r="PFJ44" s="12"/>
      <c r="PGA44" s="12"/>
      <c r="PGB44" s="12"/>
      <c r="PGS44" s="12"/>
      <c r="PGT44" s="12"/>
      <c r="PHK44" s="12"/>
      <c r="PHL44" s="12"/>
      <c r="PIC44" s="12"/>
      <c r="PID44" s="12"/>
      <c r="PIU44" s="12"/>
      <c r="PIV44" s="12"/>
      <c r="PJM44" s="12"/>
      <c r="PJN44" s="12"/>
      <c r="PKE44" s="12"/>
      <c r="PKF44" s="12"/>
      <c r="PKW44" s="12"/>
      <c r="PKX44" s="12"/>
      <c r="PLO44" s="12"/>
      <c r="PLP44" s="12"/>
      <c r="PMG44" s="12"/>
      <c r="PMH44" s="12"/>
      <c r="PMY44" s="12"/>
      <c r="PMZ44" s="12"/>
      <c r="PNQ44" s="12"/>
      <c r="PNR44" s="12"/>
      <c r="POI44" s="12"/>
      <c r="POJ44" s="12"/>
      <c r="PPA44" s="12"/>
      <c r="PPB44" s="12"/>
      <c r="PPS44" s="12"/>
      <c r="PPT44" s="12"/>
      <c r="PQK44" s="12"/>
      <c r="PQL44" s="12"/>
      <c r="PRC44" s="12"/>
      <c r="PRD44" s="12"/>
      <c r="PRU44" s="12"/>
      <c r="PRV44" s="12"/>
      <c r="PSM44" s="12"/>
      <c r="PSN44" s="12"/>
      <c r="PTE44" s="12"/>
      <c r="PTF44" s="12"/>
      <c r="PTW44" s="12"/>
      <c r="PTX44" s="12"/>
      <c r="PUO44" s="12"/>
      <c r="PUP44" s="12"/>
      <c r="PVG44" s="12"/>
      <c r="PVH44" s="12"/>
      <c r="PVY44" s="12"/>
      <c r="PVZ44" s="12"/>
      <c r="PWQ44" s="12"/>
      <c r="PWR44" s="12"/>
      <c r="PXI44" s="12"/>
      <c r="PXJ44" s="12"/>
      <c r="PYA44" s="12"/>
      <c r="PYB44" s="12"/>
      <c r="PYS44" s="12"/>
      <c r="PYT44" s="12"/>
      <c r="PZK44" s="12"/>
      <c r="PZL44" s="12"/>
      <c r="QAC44" s="12"/>
      <c r="QAD44" s="12"/>
      <c r="QAU44" s="12"/>
      <c r="QAV44" s="12"/>
      <c r="QBM44" s="12"/>
      <c r="QBN44" s="12"/>
      <c r="QCE44" s="12"/>
      <c r="QCF44" s="12"/>
      <c r="QCW44" s="12"/>
      <c r="QCX44" s="12"/>
      <c r="QDO44" s="12"/>
      <c r="QDP44" s="12"/>
      <c r="QEG44" s="12"/>
      <c r="QEH44" s="12"/>
      <c r="QEY44" s="12"/>
      <c r="QEZ44" s="12"/>
      <c r="QFQ44" s="12"/>
      <c r="QFR44" s="12"/>
      <c r="QGI44" s="12"/>
      <c r="QGJ44" s="12"/>
      <c r="QHA44" s="12"/>
      <c r="QHB44" s="12"/>
      <c r="QHS44" s="12"/>
      <c r="QHT44" s="12"/>
      <c r="QIK44" s="12"/>
      <c r="QIL44" s="12"/>
      <c r="QJC44" s="12"/>
      <c r="QJD44" s="12"/>
      <c r="QJU44" s="12"/>
      <c r="QJV44" s="12"/>
      <c r="QKM44" s="12"/>
      <c r="QKN44" s="12"/>
      <c r="QLE44" s="12"/>
      <c r="QLF44" s="12"/>
      <c r="QLW44" s="12"/>
      <c r="QLX44" s="12"/>
      <c r="QMO44" s="12"/>
      <c r="QMP44" s="12"/>
      <c r="QNG44" s="12"/>
      <c r="QNH44" s="12"/>
      <c r="QNY44" s="12"/>
      <c r="QNZ44" s="12"/>
      <c r="QOQ44" s="12"/>
      <c r="QOR44" s="12"/>
      <c r="QPI44" s="12"/>
      <c r="QPJ44" s="12"/>
      <c r="QQA44" s="12"/>
      <c r="QQB44" s="12"/>
      <c r="QQS44" s="12"/>
      <c r="QQT44" s="12"/>
      <c r="QRK44" s="12"/>
      <c r="QRL44" s="12"/>
      <c r="QSC44" s="12"/>
      <c r="QSD44" s="12"/>
      <c r="QSU44" s="12"/>
      <c r="QSV44" s="12"/>
      <c r="QTM44" s="12"/>
      <c r="QTN44" s="12"/>
      <c r="QUE44" s="12"/>
      <c r="QUF44" s="12"/>
      <c r="QUW44" s="12"/>
      <c r="QUX44" s="12"/>
      <c r="QVO44" s="12"/>
      <c r="QVP44" s="12"/>
      <c r="QWG44" s="12"/>
      <c r="QWH44" s="12"/>
      <c r="QWY44" s="12"/>
      <c r="QWZ44" s="12"/>
      <c r="QXQ44" s="12"/>
      <c r="QXR44" s="12"/>
      <c r="QYI44" s="12"/>
      <c r="QYJ44" s="12"/>
      <c r="QZA44" s="12"/>
      <c r="QZB44" s="12"/>
      <c r="QZS44" s="12"/>
      <c r="QZT44" s="12"/>
      <c r="RAK44" s="12"/>
      <c r="RAL44" s="12"/>
      <c r="RBC44" s="12"/>
      <c r="RBD44" s="12"/>
      <c r="RBU44" s="12"/>
      <c r="RBV44" s="12"/>
      <c r="RCM44" s="12"/>
      <c r="RCN44" s="12"/>
      <c r="RDE44" s="12"/>
      <c r="RDF44" s="12"/>
      <c r="RDW44" s="12"/>
      <c r="RDX44" s="12"/>
      <c r="REO44" s="12"/>
      <c r="REP44" s="12"/>
      <c r="RFG44" s="12"/>
      <c r="RFH44" s="12"/>
      <c r="RFY44" s="12"/>
      <c r="RFZ44" s="12"/>
      <c r="RGQ44" s="12"/>
      <c r="RGR44" s="12"/>
      <c r="RHI44" s="12"/>
      <c r="RHJ44" s="12"/>
      <c r="RIA44" s="12"/>
      <c r="RIB44" s="12"/>
      <c r="RIS44" s="12"/>
      <c r="RIT44" s="12"/>
      <c r="RJK44" s="12"/>
      <c r="RJL44" s="12"/>
      <c r="RKC44" s="12"/>
      <c r="RKD44" s="12"/>
      <c r="RKU44" s="12"/>
      <c r="RKV44" s="12"/>
      <c r="RLM44" s="12"/>
      <c r="RLN44" s="12"/>
      <c r="RME44" s="12"/>
      <c r="RMF44" s="12"/>
      <c r="RMW44" s="12"/>
      <c r="RMX44" s="12"/>
      <c r="RNO44" s="12"/>
      <c r="RNP44" s="12"/>
      <c r="ROG44" s="12"/>
      <c r="ROH44" s="12"/>
      <c r="ROY44" s="12"/>
      <c r="ROZ44" s="12"/>
      <c r="RPQ44" s="12"/>
      <c r="RPR44" s="12"/>
      <c r="RQI44" s="12"/>
      <c r="RQJ44" s="12"/>
      <c r="RRA44" s="12"/>
      <c r="RRB44" s="12"/>
      <c r="RRS44" s="12"/>
      <c r="RRT44" s="12"/>
      <c r="RSK44" s="12"/>
      <c r="RSL44" s="12"/>
      <c r="RTC44" s="12"/>
      <c r="RTD44" s="12"/>
      <c r="RTU44" s="12"/>
      <c r="RTV44" s="12"/>
      <c r="RUM44" s="12"/>
      <c r="RUN44" s="12"/>
      <c r="RVE44" s="12"/>
      <c r="RVF44" s="12"/>
      <c r="RVW44" s="12"/>
      <c r="RVX44" s="12"/>
      <c r="RWO44" s="12"/>
      <c r="RWP44" s="12"/>
      <c r="RXG44" s="12"/>
      <c r="RXH44" s="12"/>
      <c r="RXY44" s="12"/>
      <c r="RXZ44" s="12"/>
      <c r="RYQ44" s="12"/>
      <c r="RYR44" s="12"/>
      <c r="RZI44" s="12"/>
      <c r="RZJ44" s="12"/>
      <c r="SAA44" s="12"/>
      <c r="SAB44" s="12"/>
      <c r="SAS44" s="12"/>
      <c r="SAT44" s="12"/>
      <c r="SBK44" s="12"/>
      <c r="SBL44" s="12"/>
      <c r="SCC44" s="12"/>
      <c r="SCD44" s="12"/>
      <c r="SCU44" s="12"/>
      <c r="SCV44" s="12"/>
      <c r="SDM44" s="12"/>
      <c r="SDN44" s="12"/>
      <c r="SEE44" s="12"/>
      <c r="SEF44" s="12"/>
      <c r="SEW44" s="12"/>
      <c r="SEX44" s="12"/>
      <c r="SFO44" s="12"/>
      <c r="SFP44" s="12"/>
      <c r="SGG44" s="12"/>
      <c r="SGH44" s="12"/>
      <c r="SGY44" s="12"/>
      <c r="SGZ44" s="12"/>
      <c r="SHQ44" s="12"/>
      <c r="SHR44" s="12"/>
      <c r="SII44" s="12"/>
      <c r="SIJ44" s="12"/>
      <c r="SJA44" s="12"/>
      <c r="SJB44" s="12"/>
      <c r="SJS44" s="12"/>
      <c r="SJT44" s="12"/>
      <c r="SKK44" s="12"/>
      <c r="SKL44" s="12"/>
      <c r="SLC44" s="12"/>
      <c r="SLD44" s="12"/>
      <c r="SLU44" s="12"/>
      <c r="SLV44" s="12"/>
      <c r="SMM44" s="12"/>
      <c r="SMN44" s="12"/>
      <c r="SNE44" s="12"/>
      <c r="SNF44" s="12"/>
      <c r="SNW44" s="12"/>
      <c r="SNX44" s="12"/>
      <c r="SOO44" s="12"/>
      <c r="SOP44" s="12"/>
      <c r="SPG44" s="12"/>
      <c r="SPH44" s="12"/>
      <c r="SPY44" s="12"/>
      <c r="SPZ44" s="12"/>
      <c r="SQQ44" s="12"/>
      <c r="SQR44" s="12"/>
      <c r="SRI44" s="12"/>
      <c r="SRJ44" s="12"/>
      <c r="SSA44" s="12"/>
      <c r="SSB44" s="12"/>
      <c r="SSS44" s="12"/>
      <c r="SST44" s="12"/>
      <c r="STK44" s="12"/>
      <c r="STL44" s="12"/>
      <c r="SUC44" s="12"/>
      <c r="SUD44" s="12"/>
      <c r="SUU44" s="12"/>
      <c r="SUV44" s="12"/>
      <c r="SVM44" s="12"/>
      <c r="SVN44" s="12"/>
      <c r="SWE44" s="12"/>
      <c r="SWF44" s="12"/>
      <c r="SWW44" s="12"/>
      <c r="SWX44" s="12"/>
      <c r="SXO44" s="12"/>
      <c r="SXP44" s="12"/>
      <c r="SYG44" s="12"/>
      <c r="SYH44" s="12"/>
      <c r="SYY44" s="12"/>
      <c r="SYZ44" s="12"/>
      <c r="SZQ44" s="12"/>
      <c r="SZR44" s="12"/>
      <c r="TAI44" s="12"/>
      <c r="TAJ44" s="12"/>
      <c r="TBA44" s="12"/>
      <c r="TBB44" s="12"/>
      <c r="TBS44" s="12"/>
      <c r="TBT44" s="12"/>
      <c r="TCK44" s="12"/>
      <c r="TCL44" s="12"/>
      <c r="TDC44" s="12"/>
      <c r="TDD44" s="12"/>
      <c r="TDU44" s="12"/>
      <c r="TDV44" s="12"/>
      <c r="TEM44" s="12"/>
      <c r="TEN44" s="12"/>
      <c r="TFE44" s="12"/>
      <c r="TFF44" s="12"/>
      <c r="TFW44" s="12"/>
      <c r="TFX44" s="12"/>
      <c r="TGO44" s="12"/>
      <c r="TGP44" s="12"/>
      <c r="THG44" s="12"/>
      <c r="THH44" s="12"/>
      <c r="THY44" s="12"/>
      <c r="THZ44" s="12"/>
      <c r="TIQ44" s="12"/>
      <c r="TIR44" s="12"/>
      <c r="TJI44" s="12"/>
      <c r="TJJ44" s="12"/>
      <c r="TKA44" s="12"/>
      <c r="TKB44" s="12"/>
      <c r="TKS44" s="12"/>
      <c r="TKT44" s="12"/>
      <c r="TLK44" s="12"/>
      <c r="TLL44" s="12"/>
      <c r="TMC44" s="12"/>
      <c r="TMD44" s="12"/>
      <c r="TMU44" s="12"/>
      <c r="TMV44" s="12"/>
      <c r="TNM44" s="12"/>
      <c r="TNN44" s="12"/>
      <c r="TOE44" s="12"/>
      <c r="TOF44" s="12"/>
      <c r="TOW44" s="12"/>
      <c r="TOX44" s="12"/>
      <c r="TPO44" s="12"/>
      <c r="TPP44" s="12"/>
      <c r="TQG44" s="12"/>
      <c r="TQH44" s="12"/>
      <c r="TQY44" s="12"/>
      <c r="TQZ44" s="12"/>
      <c r="TRQ44" s="12"/>
      <c r="TRR44" s="12"/>
      <c r="TSI44" s="12"/>
      <c r="TSJ44" s="12"/>
      <c r="TTA44" s="12"/>
      <c r="TTB44" s="12"/>
      <c r="TTS44" s="12"/>
      <c r="TTT44" s="12"/>
      <c r="TUK44" s="12"/>
      <c r="TUL44" s="12"/>
      <c r="TVC44" s="12"/>
      <c r="TVD44" s="12"/>
      <c r="TVU44" s="12"/>
      <c r="TVV44" s="12"/>
      <c r="TWM44" s="12"/>
      <c r="TWN44" s="12"/>
      <c r="TXE44" s="12"/>
      <c r="TXF44" s="12"/>
      <c r="TXW44" s="12"/>
      <c r="TXX44" s="12"/>
      <c r="TYO44" s="12"/>
      <c r="TYP44" s="12"/>
      <c r="TZG44" s="12"/>
      <c r="TZH44" s="12"/>
      <c r="TZY44" s="12"/>
      <c r="TZZ44" s="12"/>
      <c r="UAQ44" s="12"/>
      <c r="UAR44" s="12"/>
      <c r="UBI44" s="12"/>
      <c r="UBJ44" s="12"/>
      <c r="UCA44" s="12"/>
      <c r="UCB44" s="12"/>
      <c r="UCS44" s="12"/>
      <c r="UCT44" s="12"/>
      <c r="UDK44" s="12"/>
      <c r="UDL44" s="12"/>
      <c r="UEC44" s="12"/>
      <c r="UED44" s="12"/>
      <c r="UEU44" s="12"/>
      <c r="UEV44" s="12"/>
      <c r="UFM44" s="12"/>
      <c r="UFN44" s="12"/>
      <c r="UGE44" s="12"/>
      <c r="UGF44" s="12"/>
      <c r="UGW44" s="12"/>
      <c r="UGX44" s="12"/>
      <c r="UHO44" s="12"/>
      <c r="UHP44" s="12"/>
      <c r="UIG44" s="12"/>
      <c r="UIH44" s="12"/>
      <c r="UIY44" s="12"/>
      <c r="UIZ44" s="12"/>
      <c r="UJQ44" s="12"/>
      <c r="UJR44" s="12"/>
      <c r="UKI44" s="12"/>
      <c r="UKJ44" s="12"/>
      <c r="ULA44" s="12"/>
      <c r="ULB44" s="12"/>
      <c r="ULS44" s="12"/>
      <c r="ULT44" s="12"/>
      <c r="UMK44" s="12"/>
      <c r="UML44" s="12"/>
      <c r="UNC44" s="12"/>
      <c r="UND44" s="12"/>
      <c r="UNU44" s="12"/>
      <c r="UNV44" s="12"/>
      <c r="UOM44" s="12"/>
      <c r="UON44" s="12"/>
      <c r="UPE44" s="12"/>
      <c r="UPF44" s="12"/>
      <c r="UPW44" s="12"/>
      <c r="UPX44" s="12"/>
      <c r="UQO44" s="12"/>
      <c r="UQP44" s="12"/>
      <c r="URG44" s="12"/>
      <c r="URH44" s="12"/>
      <c r="URY44" s="12"/>
      <c r="URZ44" s="12"/>
      <c r="USQ44" s="12"/>
      <c r="USR44" s="12"/>
      <c r="UTI44" s="12"/>
      <c r="UTJ44" s="12"/>
      <c r="UUA44" s="12"/>
      <c r="UUB44" s="12"/>
      <c r="UUS44" s="12"/>
      <c r="UUT44" s="12"/>
      <c r="UVK44" s="12"/>
      <c r="UVL44" s="12"/>
      <c r="UWC44" s="12"/>
      <c r="UWD44" s="12"/>
      <c r="UWU44" s="12"/>
      <c r="UWV44" s="12"/>
      <c r="UXM44" s="12"/>
      <c r="UXN44" s="12"/>
      <c r="UYE44" s="12"/>
      <c r="UYF44" s="12"/>
      <c r="UYW44" s="12"/>
      <c r="UYX44" s="12"/>
      <c r="UZO44" s="12"/>
      <c r="UZP44" s="12"/>
      <c r="VAG44" s="12"/>
      <c r="VAH44" s="12"/>
      <c r="VAY44" s="12"/>
      <c r="VAZ44" s="12"/>
      <c r="VBQ44" s="12"/>
      <c r="VBR44" s="12"/>
      <c r="VCI44" s="12"/>
      <c r="VCJ44" s="12"/>
      <c r="VDA44" s="12"/>
      <c r="VDB44" s="12"/>
      <c r="VDS44" s="12"/>
      <c r="VDT44" s="12"/>
      <c r="VEK44" s="12"/>
      <c r="VEL44" s="12"/>
      <c r="VFC44" s="12"/>
      <c r="VFD44" s="12"/>
      <c r="VFU44" s="12"/>
      <c r="VFV44" s="12"/>
      <c r="VGM44" s="12"/>
      <c r="VGN44" s="12"/>
      <c r="VHE44" s="12"/>
      <c r="VHF44" s="12"/>
      <c r="VHW44" s="12"/>
      <c r="VHX44" s="12"/>
      <c r="VIO44" s="12"/>
      <c r="VIP44" s="12"/>
      <c r="VJG44" s="12"/>
      <c r="VJH44" s="12"/>
      <c r="VJY44" s="12"/>
      <c r="VJZ44" s="12"/>
      <c r="VKQ44" s="12"/>
      <c r="VKR44" s="12"/>
      <c r="VLI44" s="12"/>
      <c r="VLJ44" s="12"/>
      <c r="VMA44" s="12"/>
      <c r="VMB44" s="12"/>
      <c r="VMS44" s="12"/>
      <c r="VMT44" s="12"/>
      <c r="VNK44" s="12"/>
      <c r="VNL44" s="12"/>
      <c r="VOC44" s="12"/>
      <c r="VOD44" s="12"/>
      <c r="VOU44" s="12"/>
      <c r="VOV44" s="12"/>
      <c r="VPM44" s="12"/>
      <c r="VPN44" s="12"/>
      <c r="VQE44" s="12"/>
      <c r="VQF44" s="12"/>
      <c r="VQW44" s="12"/>
      <c r="VQX44" s="12"/>
      <c r="VRO44" s="12"/>
      <c r="VRP44" s="12"/>
      <c r="VSG44" s="12"/>
      <c r="VSH44" s="12"/>
      <c r="VSY44" s="12"/>
      <c r="VSZ44" s="12"/>
      <c r="VTQ44" s="12"/>
      <c r="VTR44" s="12"/>
      <c r="VUI44" s="12"/>
      <c r="VUJ44" s="12"/>
      <c r="VVA44" s="12"/>
      <c r="VVB44" s="12"/>
      <c r="VVS44" s="12"/>
      <c r="VVT44" s="12"/>
      <c r="VWK44" s="12"/>
      <c r="VWL44" s="12"/>
      <c r="VXC44" s="12"/>
      <c r="VXD44" s="12"/>
      <c r="VXU44" s="12"/>
      <c r="VXV44" s="12"/>
      <c r="VYM44" s="12"/>
      <c r="VYN44" s="12"/>
      <c r="VZE44" s="12"/>
      <c r="VZF44" s="12"/>
      <c r="VZW44" s="12"/>
      <c r="VZX44" s="12"/>
      <c r="WAO44" s="12"/>
      <c r="WAP44" s="12"/>
      <c r="WBG44" s="12"/>
      <c r="WBH44" s="12"/>
      <c r="WBY44" s="12"/>
      <c r="WBZ44" s="12"/>
      <c r="WCQ44" s="12"/>
      <c r="WCR44" s="12"/>
      <c r="WDI44" s="12"/>
      <c r="WDJ44" s="12"/>
      <c r="WEA44" s="12"/>
      <c r="WEB44" s="12"/>
      <c r="WES44" s="12"/>
      <c r="WET44" s="12"/>
      <c r="WFK44" s="12"/>
      <c r="WFL44" s="12"/>
      <c r="WGC44" s="12"/>
      <c r="WGD44" s="12"/>
      <c r="WGU44" s="12"/>
      <c r="WGV44" s="12"/>
      <c r="WHM44" s="12"/>
      <c r="WHN44" s="12"/>
      <c r="WIE44" s="12"/>
      <c r="WIF44" s="12"/>
      <c r="WIW44" s="12"/>
      <c r="WIX44" s="12"/>
      <c r="WJO44" s="12"/>
      <c r="WJP44" s="12"/>
      <c r="WKG44" s="12"/>
      <c r="WKH44" s="12"/>
      <c r="WKY44" s="12"/>
      <c r="WKZ44" s="12"/>
      <c r="WLQ44" s="12"/>
      <c r="WLR44" s="12"/>
      <c r="WMI44" s="12"/>
      <c r="WMJ44" s="12"/>
      <c r="WNA44" s="12"/>
      <c r="WNB44" s="12"/>
      <c r="WNS44" s="12"/>
      <c r="WNT44" s="12"/>
      <c r="WOK44" s="12"/>
      <c r="WOL44" s="12"/>
      <c r="WPC44" s="12"/>
      <c r="WPD44" s="12"/>
      <c r="WPU44" s="12"/>
      <c r="WPV44" s="12"/>
      <c r="WQM44" s="12"/>
      <c r="WQN44" s="12"/>
      <c r="WRE44" s="12"/>
      <c r="WRF44" s="12"/>
      <c r="WRW44" s="12"/>
      <c r="WRX44" s="12"/>
      <c r="WSO44" s="12"/>
      <c r="WSP44" s="12"/>
      <c r="WTG44" s="12"/>
      <c r="WTH44" s="12"/>
      <c r="WTY44" s="12"/>
      <c r="WTZ44" s="12"/>
      <c r="WUQ44" s="12"/>
      <c r="WUR44" s="12"/>
      <c r="WVI44" s="12"/>
      <c r="WVJ44" s="12"/>
      <c r="WWA44" s="12"/>
      <c r="WWB44" s="12"/>
      <c r="WWS44" s="12"/>
      <c r="WWT44" s="12"/>
      <c r="WXK44" s="12"/>
      <c r="WXL44" s="12"/>
      <c r="WYC44" s="12"/>
      <c r="WYD44" s="12"/>
      <c r="WYU44" s="12"/>
      <c r="WYV44" s="12"/>
      <c r="WZM44" s="12"/>
      <c r="WZN44" s="12"/>
      <c r="XAE44" s="12"/>
      <c r="XAF44" s="12"/>
      <c r="XAW44" s="12"/>
      <c r="XAX44" s="12"/>
      <c r="XBO44" s="12"/>
      <c r="XBP44" s="12"/>
      <c r="XCG44" s="12"/>
      <c r="XCH44" s="12"/>
      <c r="XCY44" s="12"/>
      <c r="XCZ44" s="12"/>
      <c r="XDQ44" s="12"/>
      <c r="XDR44" s="12"/>
      <c r="XEI44" s="12"/>
      <c r="XEJ44" s="12"/>
      <c r="XFA44" s="12"/>
      <c r="XFB44" s="12"/>
    </row>
    <row r="45" spans="1:1010 1027:2036 2053:3062 3079:4088 4105:5114 5131:6140 6157:7166 7183:8192 8209:9200 9217:10226 10243:11252 11269:12278 12295:13304 13321:14330 14347:15356 15373:16382" x14ac:dyDescent="0.35">
      <c r="A45" s="181" t="s">
        <v>276</v>
      </c>
      <c r="B45" s="181" t="s">
        <v>277</v>
      </c>
      <c r="C45" s="182">
        <v>14.776</v>
      </c>
      <c r="D45" s="182">
        <v>13.439</v>
      </c>
      <c r="E45" s="182">
        <v>13.625999999999999</v>
      </c>
      <c r="F45" s="182">
        <v>5.6210000000000004</v>
      </c>
      <c r="G45" s="182">
        <v>8.83</v>
      </c>
      <c r="H45" s="182">
        <v>5.9029999999999996</v>
      </c>
      <c r="I45" s="182">
        <v>24.462</v>
      </c>
      <c r="J45" s="182">
        <v>27.995999999999999</v>
      </c>
      <c r="K45" s="182">
        <v>16.687999999999999</v>
      </c>
      <c r="L45" s="182">
        <v>21.963999999999999</v>
      </c>
      <c r="M45" s="136"/>
      <c r="N45" s="136"/>
      <c r="O45" s="136"/>
      <c r="P45" s="136"/>
      <c r="Q45" s="136"/>
      <c r="R45" s="136"/>
    </row>
    <row r="46" spans="1:1010 1027:2036 2053:3062 3079:4088 4105:5114 5131:6140 6157:7166 7183:8192 8209:9200 9217:10226 10243:11252 11269:12278 12295:13304 13321:14330 14347:15356 15373:16382" x14ac:dyDescent="0.35">
      <c r="A46" s="181" t="s">
        <v>278</v>
      </c>
      <c r="B46" s="181" t="s">
        <v>279</v>
      </c>
      <c r="C46" s="182">
        <v>-5.7549999999999999</v>
      </c>
      <c r="D46" s="182">
        <v>-0.90300000000000002</v>
      </c>
      <c r="E46" s="182">
        <v>-0.05</v>
      </c>
      <c r="F46" s="182">
        <v>-5.6859999999999999</v>
      </c>
      <c r="G46" s="182">
        <v>1.3839999999999999</v>
      </c>
      <c r="H46" s="182">
        <v>1.911</v>
      </c>
      <c r="I46" s="182">
        <v>-2.0630000000000002</v>
      </c>
      <c r="J46" s="182"/>
      <c r="K46" s="182">
        <v>-3.895</v>
      </c>
      <c r="L46" s="182">
        <v>-1.4330000000000001</v>
      </c>
      <c r="M46" s="136"/>
      <c r="N46" s="136"/>
      <c r="O46" s="136"/>
      <c r="P46" s="136"/>
      <c r="Q46" s="136"/>
      <c r="R46" s="136"/>
    </row>
    <row r="47" spans="1:1010 1027:2036 2053:3062 3079:4088 4105:5114 5131:6140 6157:7166 7183:8192 8209:9200 9217:10226 10243:11252 11269:12278 12295:13304 13321:14330 14347:15356 15373:16382" x14ac:dyDescent="0.35">
      <c r="A47" s="186" t="s">
        <v>280</v>
      </c>
      <c r="B47" s="181" t="s">
        <v>281</v>
      </c>
      <c r="C47" s="182"/>
      <c r="D47" s="182"/>
      <c r="E47" s="182"/>
      <c r="F47" s="182"/>
      <c r="G47" s="182"/>
      <c r="H47" s="182"/>
      <c r="I47" s="182"/>
      <c r="J47" s="182"/>
      <c r="K47" s="182"/>
      <c r="L47" s="182"/>
      <c r="M47" s="136"/>
      <c r="N47" s="136"/>
      <c r="O47" s="136"/>
      <c r="P47" s="136"/>
      <c r="Q47" s="136"/>
      <c r="R47" s="136"/>
    </row>
    <row r="48" spans="1:1010 1027:2036 2053:3062 3079:4088 4105:5114 5131:6140 6157:7166 7183:8192 8209:9200 9217:10226 10243:11252 11269:12278 12295:13304 13321:14330 14347:15356 15373:16382" s="152" customFormat="1" x14ac:dyDescent="0.35">
      <c r="A48" s="186" t="s">
        <v>282</v>
      </c>
      <c r="B48" s="181" t="s">
        <v>283</v>
      </c>
      <c r="C48" s="182"/>
      <c r="D48" s="182"/>
      <c r="E48" s="182"/>
      <c r="F48" s="182"/>
      <c r="G48" s="182"/>
      <c r="H48" s="182"/>
      <c r="I48" s="182"/>
      <c r="J48" s="182"/>
      <c r="K48" s="182"/>
      <c r="L48" s="182"/>
      <c r="M48" s="238"/>
      <c r="N48" s="238"/>
      <c r="O48" s="238"/>
      <c r="P48" s="238"/>
      <c r="Q48" s="238"/>
      <c r="R48" s="238"/>
    </row>
    <row r="49" spans="1:1010 1027:2036 2053:3062 3079:4088 4105:5114 5131:6140 6157:7166 7183:8192 8209:9200 9217:10226 10243:11252 11269:12278 12295:13304 13321:14330 14347:15356 15373:16382" x14ac:dyDescent="0.35">
      <c r="A49" s="25" t="s">
        <v>29</v>
      </c>
      <c r="B49" s="23"/>
      <c r="C49" s="322">
        <f t="shared" ref="C49:L49" si="8">IF(AND(C45="",C46="",C47=""),0,ROUND(SUM(C45:C47)-IF(C44="",0,C44),1))</f>
        <v>0</v>
      </c>
      <c r="D49" s="322">
        <f t="shared" si="8"/>
        <v>0</v>
      </c>
      <c r="E49" s="322">
        <f t="shared" si="8"/>
        <v>0</v>
      </c>
      <c r="F49" s="322">
        <f t="shared" si="8"/>
        <v>0</v>
      </c>
      <c r="G49" s="322">
        <f t="shared" si="8"/>
        <v>0</v>
      </c>
      <c r="H49" s="322">
        <f t="shared" si="8"/>
        <v>0</v>
      </c>
      <c r="I49" s="322">
        <f t="shared" si="8"/>
        <v>0</v>
      </c>
      <c r="J49" s="322">
        <f t="shared" si="8"/>
        <v>0</v>
      </c>
      <c r="K49" s="322">
        <f t="shared" si="8"/>
        <v>0</v>
      </c>
      <c r="L49" s="322">
        <f t="shared" si="8"/>
        <v>0</v>
      </c>
      <c r="M49" s="137"/>
      <c r="N49" s="137"/>
      <c r="O49" s="137"/>
      <c r="P49" s="137"/>
      <c r="Q49" s="137"/>
      <c r="R49" s="137"/>
    </row>
    <row r="50" spans="1:1010 1027:2036 2053:3062 3079:4088 4105:5114 5131:6140 6157:7166 7183:8192 8209:9200 9217:10226 10243:11252 11269:12278 12295:13304 13321:14330 14347:15356 15373:16382" x14ac:dyDescent="0.35">
      <c r="A50" s="15" t="s">
        <v>284</v>
      </c>
      <c r="B50" s="15" t="s">
        <v>285</v>
      </c>
      <c r="C50" s="179">
        <v>20.266999999999999</v>
      </c>
      <c r="D50" s="179">
        <v>23.178999999999998</v>
      </c>
      <c r="E50" s="179">
        <v>20.277000000000001</v>
      </c>
      <c r="F50" s="179">
        <v>2.1720000000000002</v>
      </c>
      <c r="G50" s="179">
        <v>38.628999999999998</v>
      </c>
      <c r="H50" s="179">
        <v>42.572000000000003</v>
      </c>
      <c r="I50" s="179">
        <v>65.468999999999994</v>
      </c>
      <c r="J50" s="179">
        <v>72.379000000000005</v>
      </c>
      <c r="K50" s="179">
        <v>66.257000000000005</v>
      </c>
      <c r="L50" s="179">
        <v>74.052000000000007</v>
      </c>
      <c r="M50" s="135"/>
      <c r="N50" s="135"/>
      <c r="O50" s="135"/>
      <c r="P50" s="135"/>
      <c r="Q50" s="135"/>
      <c r="R50" s="135"/>
    </row>
    <row r="51" spans="1:1010 1027:2036 2053:3062 3079:4088 4105:5114 5131:6140 6157:7166 7183:8192 8209:9200 9217:10226 10243:11252 11269:12278 12295:13304 13321:14330 14347:15356 15373:16382" x14ac:dyDescent="0.35">
      <c r="A51" s="24" t="s">
        <v>29</v>
      </c>
      <c r="B51" s="24"/>
      <c r="C51" s="260">
        <f t="shared" ref="C51:L51" si="9">ROUND(IF(C42="",0,C42)-IF(C44="",0,C44)-IF(C48="",0,C48)-IF(C50="",0,C50),1)</f>
        <v>0</v>
      </c>
      <c r="D51" s="260">
        <f t="shared" si="9"/>
        <v>0</v>
      </c>
      <c r="E51" s="260">
        <f t="shared" si="9"/>
        <v>0</v>
      </c>
      <c r="F51" s="260">
        <f t="shared" si="9"/>
        <v>0</v>
      </c>
      <c r="G51" s="260">
        <f t="shared" si="9"/>
        <v>0</v>
      </c>
      <c r="H51" s="260">
        <f t="shared" si="9"/>
        <v>0</v>
      </c>
      <c r="I51" s="260">
        <f t="shared" si="9"/>
        <v>0</v>
      </c>
      <c r="J51" s="260">
        <f t="shared" si="9"/>
        <v>0</v>
      </c>
      <c r="K51" s="260">
        <f t="shared" si="9"/>
        <v>0</v>
      </c>
      <c r="L51" s="260">
        <f t="shared" si="9"/>
        <v>0</v>
      </c>
      <c r="M51" s="138"/>
      <c r="N51" s="138"/>
      <c r="O51" s="138"/>
      <c r="P51" s="138"/>
      <c r="Q51" s="138"/>
      <c r="R51" s="138"/>
    </row>
    <row r="52" spans="1:1010 1027:2036 2053:3062 3079:4088 4105:5114 5131:6140 6157:7166 7183:8192 8209:9200 9217:10226 10243:11252 11269:12278 12295:13304 13321:14330 14347:15356 15373:16382" s="11" customFormat="1" x14ac:dyDescent="0.35">
      <c r="A52" s="183" t="s">
        <v>286</v>
      </c>
      <c r="B52" s="183" t="s">
        <v>287</v>
      </c>
      <c r="C52" s="184">
        <v>0</v>
      </c>
      <c r="D52" s="184">
        <v>0</v>
      </c>
      <c r="E52" s="184">
        <v>0</v>
      </c>
      <c r="F52" s="184">
        <v>0</v>
      </c>
      <c r="G52" s="184">
        <v>0</v>
      </c>
      <c r="H52" s="184">
        <v>0</v>
      </c>
      <c r="I52" s="184">
        <v>0</v>
      </c>
      <c r="J52" s="184">
        <v>0</v>
      </c>
      <c r="K52" s="184">
        <v>0</v>
      </c>
      <c r="L52" s="184">
        <v>0</v>
      </c>
      <c r="S52" s="12"/>
      <c r="T52" s="12"/>
      <c r="AK52" s="12"/>
      <c r="AL52" s="12"/>
      <c r="BC52" s="12"/>
      <c r="BD52" s="12"/>
      <c r="BU52" s="12"/>
      <c r="BV52" s="12"/>
      <c r="CM52" s="12"/>
      <c r="CN52" s="12"/>
      <c r="DE52" s="12"/>
      <c r="DF52" s="12"/>
      <c r="DW52" s="12"/>
      <c r="DX52" s="12"/>
      <c r="EO52" s="12"/>
      <c r="EP52" s="12"/>
      <c r="FG52" s="12"/>
      <c r="FH52" s="12"/>
      <c r="FY52" s="12"/>
      <c r="FZ52" s="12"/>
      <c r="GQ52" s="12"/>
      <c r="GR52" s="12"/>
      <c r="HI52" s="12"/>
      <c r="HJ52" s="12"/>
      <c r="IA52" s="12"/>
      <c r="IB52" s="12"/>
      <c r="IS52" s="12"/>
      <c r="IT52" s="12"/>
      <c r="JK52" s="12"/>
      <c r="JL52" s="12"/>
      <c r="KC52" s="12"/>
      <c r="KD52" s="12"/>
      <c r="KU52" s="12"/>
      <c r="KV52" s="12"/>
      <c r="LM52" s="12"/>
      <c r="LN52" s="12"/>
      <c r="ME52" s="12"/>
      <c r="MF52" s="12"/>
      <c r="MW52" s="12"/>
      <c r="MX52" s="12"/>
      <c r="NO52" s="12"/>
      <c r="NP52" s="12"/>
      <c r="OG52" s="12"/>
      <c r="OH52" s="12"/>
      <c r="OY52" s="12"/>
      <c r="OZ52" s="12"/>
      <c r="PQ52" s="12"/>
      <c r="PR52" s="12"/>
      <c r="QI52" s="12"/>
      <c r="QJ52" s="12"/>
      <c r="RA52" s="12"/>
      <c r="RB52" s="12"/>
      <c r="RS52" s="12"/>
      <c r="RT52" s="12"/>
      <c r="SK52" s="12"/>
      <c r="SL52" s="12"/>
      <c r="TC52" s="12"/>
      <c r="TD52" s="12"/>
      <c r="TU52" s="12"/>
      <c r="TV52" s="12"/>
      <c r="UM52" s="12"/>
      <c r="UN52" s="12"/>
      <c r="VE52" s="12"/>
      <c r="VF52" s="12"/>
      <c r="VW52" s="12"/>
      <c r="VX52" s="12"/>
      <c r="WO52" s="12"/>
      <c r="WP52" s="12"/>
      <c r="XG52" s="12"/>
      <c r="XH52" s="12"/>
      <c r="XY52" s="12"/>
      <c r="XZ52" s="12"/>
      <c r="YQ52" s="12"/>
      <c r="YR52" s="12"/>
      <c r="ZI52" s="12"/>
      <c r="ZJ52" s="12"/>
      <c r="AAA52" s="12"/>
      <c r="AAB52" s="12"/>
      <c r="AAS52" s="12"/>
      <c r="AAT52" s="12"/>
      <c r="ABK52" s="12"/>
      <c r="ABL52" s="12"/>
      <c r="ACC52" s="12"/>
      <c r="ACD52" s="12"/>
      <c r="ACU52" s="12"/>
      <c r="ACV52" s="12"/>
      <c r="ADM52" s="12"/>
      <c r="ADN52" s="12"/>
      <c r="AEE52" s="12"/>
      <c r="AEF52" s="12"/>
      <c r="AEW52" s="12"/>
      <c r="AEX52" s="12"/>
      <c r="AFO52" s="12"/>
      <c r="AFP52" s="12"/>
      <c r="AGG52" s="12"/>
      <c r="AGH52" s="12"/>
      <c r="AGY52" s="12"/>
      <c r="AGZ52" s="12"/>
      <c r="AHQ52" s="12"/>
      <c r="AHR52" s="12"/>
      <c r="AII52" s="12"/>
      <c r="AIJ52" s="12"/>
      <c r="AJA52" s="12"/>
      <c r="AJB52" s="12"/>
      <c r="AJS52" s="12"/>
      <c r="AJT52" s="12"/>
      <c r="AKK52" s="12"/>
      <c r="AKL52" s="12"/>
      <c r="ALC52" s="12"/>
      <c r="ALD52" s="12"/>
      <c r="ALU52" s="12"/>
      <c r="ALV52" s="12"/>
      <c r="AMM52" s="12"/>
      <c r="AMN52" s="12"/>
      <c r="ANE52" s="12"/>
      <c r="ANF52" s="12"/>
      <c r="ANW52" s="12"/>
      <c r="ANX52" s="12"/>
      <c r="AOO52" s="12"/>
      <c r="AOP52" s="12"/>
      <c r="APG52" s="12"/>
      <c r="APH52" s="12"/>
      <c r="APY52" s="12"/>
      <c r="APZ52" s="12"/>
      <c r="AQQ52" s="12"/>
      <c r="AQR52" s="12"/>
      <c r="ARI52" s="12"/>
      <c r="ARJ52" s="12"/>
      <c r="ASA52" s="12"/>
      <c r="ASB52" s="12"/>
      <c r="ASS52" s="12"/>
      <c r="AST52" s="12"/>
      <c r="ATK52" s="12"/>
      <c r="ATL52" s="12"/>
      <c r="AUC52" s="12"/>
      <c r="AUD52" s="12"/>
      <c r="AUU52" s="12"/>
      <c r="AUV52" s="12"/>
      <c r="AVM52" s="12"/>
      <c r="AVN52" s="12"/>
      <c r="AWE52" s="12"/>
      <c r="AWF52" s="12"/>
      <c r="AWW52" s="12"/>
      <c r="AWX52" s="12"/>
      <c r="AXO52" s="12"/>
      <c r="AXP52" s="12"/>
      <c r="AYG52" s="12"/>
      <c r="AYH52" s="12"/>
      <c r="AYY52" s="12"/>
      <c r="AYZ52" s="12"/>
      <c r="AZQ52" s="12"/>
      <c r="AZR52" s="12"/>
      <c r="BAI52" s="12"/>
      <c r="BAJ52" s="12"/>
      <c r="BBA52" s="12"/>
      <c r="BBB52" s="12"/>
      <c r="BBS52" s="12"/>
      <c r="BBT52" s="12"/>
      <c r="BCK52" s="12"/>
      <c r="BCL52" s="12"/>
      <c r="BDC52" s="12"/>
      <c r="BDD52" s="12"/>
      <c r="BDU52" s="12"/>
      <c r="BDV52" s="12"/>
      <c r="BEM52" s="12"/>
      <c r="BEN52" s="12"/>
      <c r="BFE52" s="12"/>
      <c r="BFF52" s="12"/>
      <c r="BFW52" s="12"/>
      <c r="BFX52" s="12"/>
      <c r="BGO52" s="12"/>
      <c r="BGP52" s="12"/>
      <c r="BHG52" s="12"/>
      <c r="BHH52" s="12"/>
      <c r="BHY52" s="12"/>
      <c r="BHZ52" s="12"/>
      <c r="BIQ52" s="12"/>
      <c r="BIR52" s="12"/>
      <c r="BJI52" s="12"/>
      <c r="BJJ52" s="12"/>
      <c r="BKA52" s="12"/>
      <c r="BKB52" s="12"/>
      <c r="BKS52" s="12"/>
      <c r="BKT52" s="12"/>
      <c r="BLK52" s="12"/>
      <c r="BLL52" s="12"/>
      <c r="BMC52" s="12"/>
      <c r="BMD52" s="12"/>
      <c r="BMU52" s="12"/>
      <c r="BMV52" s="12"/>
      <c r="BNM52" s="12"/>
      <c r="BNN52" s="12"/>
      <c r="BOE52" s="12"/>
      <c r="BOF52" s="12"/>
      <c r="BOW52" s="12"/>
      <c r="BOX52" s="12"/>
      <c r="BPO52" s="12"/>
      <c r="BPP52" s="12"/>
      <c r="BQG52" s="12"/>
      <c r="BQH52" s="12"/>
      <c r="BQY52" s="12"/>
      <c r="BQZ52" s="12"/>
      <c r="BRQ52" s="12"/>
      <c r="BRR52" s="12"/>
      <c r="BSI52" s="12"/>
      <c r="BSJ52" s="12"/>
      <c r="BTA52" s="12"/>
      <c r="BTB52" s="12"/>
      <c r="BTS52" s="12"/>
      <c r="BTT52" s="12"/>
      <c r="BUK52" s="12"/>
      <c r="BUL52" s="12"/>
      <c r="BVC52" s="12"/>
      <c r="BVD52" s="12"/>
      <c r="BVU52" s="12"/>
      <c r="BVV52" s="12"/>
      <c r="BWM52" s="12"/>
      <c r="BWN52" s="12"/>
      <c r="BXE52" s="12"/>
      <c r="BXF52" s="12"/>
      <c r="BXW52" s="12"/>
      <c r="BXX52" s="12"/>
      <c r="BYO52" s="12"/>
      <c r="BYP52" s="12"/>
      <c r="BZG52" s="12"/>
      <c r="BZH52" s="12"/>
      <c r="BZY52" s="12"/>
      <c r="BZZ52" s="12"/>
      <c r="CAQ52" s="12"/>
      <c r="CAR52" s="12"/>
      <c r="CBI52" s="12"/>
      <c r="CBJ52" s="12"/>
      <c r="CCA52" s="12"/>
      <c r="CCB52" s="12"/>
      <c r="CCS52" s="12"/>
      <c r="CCT52" s="12"/>
      <c r="CDK52" s="12"/>
      <c r="CDL52" s="12"/>
      <c r="CEC52" s="12"/>
      <c r="CED52" s="12"/>
      <c r="CEU52" s="12"/>
      <c r="CEV52" s="12"/>
      <c r="CFM52" s="12"/>
      <c r="CFN52" s="12"/>
      <c r="CGE52" s="12"/>
      <c r="CGF52" s="12"/>
      <c r="CGW52" s="12"/>
      <c r="CGX52" s="12"/>
      <c r="CHO52" s="12"/>
      <c r="CHP52" s="12"/>
      <c r="CIG52" s="12"/>
      <c r="CIH52" s="12"/>
      <c r="CIY52" s="12"/>
      <c r="CIZ52" s="12"/>
      <c r="CJQ52" s="12"/>
      <c r="CJR52" s="12"/>
      <c r="CKI52" s="12"/>
      <c r="CKJ52" s="12"/>
      <c r="CLA52" s="12"/>
      <c r="CLB52" s="12"/>
      <c r="CLS52" s="12"/>
      <c r="CLT52" s="12"/>
      <c r="CMK52" s="12"/>
      <c r="CML52" s="12"/>
      <c r="CNC52" s="12"/>
      <c r="CND52" s="12"/>
      <c r="CNU52" s="12"/>
      <c r="CNV52" s="12"/>
      <c r="COM52" s="12"/>
      <c r="CON52" s="12"/>
      <c r="CPE52" s="12"/>
      <c r="CPF52" s="12"/>
      <c r="CPW52" s="12"/>
      <c r="CPX52" s="12"/>
      <c r="CQO52" s="12"/>
      <c r="CQP52" s="12"/>
      <c r="CRG52" s="12"/>
      <c r="CRH52" s="12"/>
      <c r="CRY52" s="12"/>
      <c r="CRZ52" s="12"/>
      <c r="CSQ52" s="12"/>
      <c r="CSR52" s="12"/>
      <c r="CTI52" s="12"/>
      <c r="CTJ52" s="12"/>
      <c r="CUA52" s="12"/>
      <c r="CUB52" s="12"/>
      <c r="CUS52" s="12"/>
      <c r="CUT52" s="12"/>
      <c r="CVK52" s="12"/>
      <c r="CVL52" s="12"/>
      <c r="CWC52" s="12"/>
      <c r="CWD52" s="12"/>
      <c r="CWU52" s="12"/>
      <c r="CWV52" s="12"/>
      <c r="CXM52" s="12"/>
      <c r="CXN52" s="12"/>
      <c r="CYE52" s="12"/>
      <c r="CYF52" s="12"/>
      <c r="CYW52" s="12"/>
      <c r="CYX52" s="12"/>
      <c r="CZO52" s="12"/>
      <c r="CZP52" s="12"/>
      <c r="DAG52" s="12"/>
      <c r="DAH52" s="12"/>
      <c r="DAY52" s="12"/>
      <c r="DAZ52" s="12"/>
      <c r="DBQ52" s="12"/>
      <c r="DBR52" s="12"/>
      <c r="DCI52" s="12"/>
      <c r="DCJ52" s="12"/>
      <c r="DDA52" s="12"/>
      <c r="DDB52" s="12"/>
      <c r="DDS52" s="12"/>
      <c r="DDT52" s="12"/>
      <c r="DEK52" s="12"/>
      <c r="DEL52" s="12"/>
      <c r="DFC52" s="12"/>
      <c r="DFD52" s="12"/>
      <c r="DFU52" s="12"/>
      <c r="DFV52" s="12"/>
      <c r="DGM52" s="12"/>
      <c r="DGN52" s="12"/>
      <c r="DHE52" s="12"/>
      <c r="DHF52" s="12"/>
      <c r="DHW52" s="12"/>
      <c r="DHX52" s="12"/>
      <c r="DIO52" s="12"/>
      <c r="DIP52" s="12"/>
      <c r="DJG52" s="12"/>
      <c r="DJH52" s="12"/>
      <c r="DJY52" s="12"/>
      <c r="DJZ52" s="12"/>
      <c r="DKQ52" s="12"/>
      <c r="DKR52" s="12"/>
      <c r="DLI52" s="12"/>
      <c r="DLJ52" s="12"/>
      <c r="DMA52" s="12"/>
      <c r="DMB52" s="12"/>
      <c r="DMS52" s="12"/>
      <c r="DMT52" s="12"/>
      <c r="DNK52" s="12"/>
      <c r="DNL52" s="12"/>
      <c r="DOC52" s="12"/>
      <c r="DOD52" s="12"/>
      <c r="DOU52" s="12"/>
      <c r="DOV52" s="12"/>
      <c r="DPM52" s="12"/>
      <c r="DPN52" s="12"/>
      <c r="DQE52" s="12"/>
      <c r="DQF52" s="12"/>
      <c r="DQW52" s="12"/>
      <c r="DQX52" s="12"/>
      <c r="DRO52" s="12"/>
      <c r="DRP52" s="12"/>
      <c r="DSG52" s="12"/>
      <c r="DSH52" s="12"/>
      <c r="DSY52" s="12"/>
      <c r="DSZ52" s="12"/>
      <c r="DTQ52" s="12"/>
      <c r="DTR52" s="12"/>
      <c r="DUI52" s="12"/>
      <c r="DUJ52" s="12"/>
      <c r="DVA52" s="12"/>
      <c r="DVB52" s="12"/>
      <c r="DVS52" s="12"/>
      <c r="DVT52" s="12"/>
      <c r="DWK52" s="12"/>
      <c r="DWL52" s="12"/>
      <c r="DXC52" s="12"/>
      <c r="DXD52" s="12"/>
      <c r="DXU52" s="12"/>
      <c r="DXV52" s="12"/>
      <c r="DYM52" s="12"/>
      <c r="DYN52" s="12"/>
      <c r="DZE52" s="12"/>
      <c r="DZF52" s="12"/>
      <c r="DZW52" s="12"/>
      <c r="DZX52" s="12"/>
      <c r="EAO52" s="12"/>
      <c r="EAP52" s="12"/>
      <c r="EBG52" s="12"/>
      <c r="EBH52" s="12"/>
      <c r="EBY52" s="12"/>
      <c r="EBZ52" s="12"/>
      <c r="ECQ52" s="12"/>
      <c r="ECR52" s="12"/>
      <c r="EDI52" s="12"/>
      <c r="EDJ52" s="12"/>
      <c r="EEA52" s="12"/>
      <c r="EEB52" s="12"/>
      <c r="EES52" s="12"/>
      <c r="EET52" s="12"/>
      <c r="EFK52" s="12"/>
      <c r="EFL52" s="12"/>
      <c r="EGC52" s="12"/>
      <c r="EGD52" s="12"/>
      <c r="EGU52" s="12"/>
      <c r="EGV52" s="12"/>
      <c r="EHM52" s="12"/>
      <c r="EHN52" s="12"/>
      <c r="EIE52" s="12"/>
      <c r="EIF52" s="12"/>
      <c r="EIW52" s="12"/>
      <c r="EIX52" s="12"/>
      <c r="EJO52" s="12"/>
      <c r="EJP52" s="12"/>
      <c r="EKG52" s="12"/>
      <c r="EKH52" s="12"/>
      <c r="EKY52" s="12"/>
      <c r="EKZ52" s="12"/>
      <c r="ELQ52" s="12"/>
      <c r="ELR52" s="12"/>
      <c r="EMI52" s="12"/>
      <c r="EMJ52" s="12"/>
      <c r="ENA52" s="12"/>
      <c r="ENB52" s="12"/>
      <c r="ENS52" s="12"/>
      <c r="ENT52" s="12"/>
      <c r="EOK52" s="12"/>
      <c r="EOL52" s="12"/>
      <c r="EPC52" s="12"/>
      <c r="EPD52" s="12"/>
      <c r="EPU52" s="12"/>
      <c r="EPV52" s="12"/>
      <c r="EQM52" s="12"/>
      <c r="EQN52" s="12"/>
      <c r="ERE52" s="12"/>
      <c r="ERF52" s="12"/>
      <c r="ERW52" s="12"/>
      <c r="ERX52" s="12"/>
      <c r="ESO52" s="12"/>
      <c r="ESP52" s="12"/>
      <c r="ETG52" s="12"/>
      <c r="ETH52" s="12"/>
      <c r="ETY52" s="12"/>
      <c r="ETZ52" s="12"/>
      <c r="EUQ52" s="12"/>
      <c r="EUR52" s="12"/>
      <c r="EVI52" s="12"/>
      <c r="EVJ52" s="12"/>
      <c r="EWA52" s="12"/>
      <c r="EWB52" s="12"/>
      <c r="EWS52" s="12"/>
      <c r="EWT52" s="12"/>
      <c r="EXK52" s="12"/>
      <c r="EXL52" s="12"/>
      <c r="EYC52" s="12"/>
      <c r="EYD52" s="12"/>
      <c r="EYU52" s="12"/>
      <c r="EYV52" s="12"/>
      <c r="EZM52" s="12"/>
      <c r="EZN52" s="12"/>
      <c r="FAE52" s="12"/>
      <c r="FAF52" s="12"/>
      <c r="FAW52" s="12"/>
      <c r="FAX52" s="12"/>
      <c r="FBO52" s="12"/>
      <c r="FBP52" s="12"/>
      <c r="FCG52" s="12"/>
      <c r="FCH52" s="12"/>
      <c r="FCY52" s="12"/>
      <c r="FCZ52" s="12"/>
      <c r="FDQ52" s="12"/>
      <c r="FDR52" s="12"/>
      <c r="FEI52" s="12"/>
      <c r="FEJ52" s="12"/>
      <c r="FFA52" s="12"/>
      <c r="FFB52" s="12"/>
      <c r="FFS52" s="12"/>
      <c r="FFT52" s="12"/>
      <c r="FGK52" s="12"/>
      <c r="FGL52" s="12"/>
      <c r="FHC52" s="12"/>
      <c r="FHD52" s="12"/>
      <c r="FHU52" s="12"/>
      <c r="FHV52" s="12"/>
      <c r="FIM52" s="12"/>
      <c r="FIN52" s="12"/>
      <c r="FJE52" s="12"/>
      <c r="FJF52" s="12"/>
      <c r="FJW52" s="12"/>
      <c r="FJX52" s="12"/>
      <c r="FKO52" s="12"/>
      <c r="FKP52" s="12"/>
      <c r="FLG52" s="12"/>
      <c r="FLH52" s="12"/>
      <c r="FLY52" s="12"/>
      <c r="FLZ52" s="12"/>
      <c r="FMQ52" s="12"/>
      <c r="FMR52" s="12"/>
      <c r="FNI52" s="12"/>
      <c r="FNJ52" s="12"/>
      <c r="FOA52" s="12"/>
      <c r="FOB52" s="12"/>
      <c r="FOS52" s="12"/>
      <c r="FOT52" s="12"/>
      <c r="FPK52" s="12"/>
      <c r="FPL52" s="12"/>
      <c r="FQC52" s="12"/>
      <c r="FQD52" s="12"/>
      <c r="FQU52" s="12"/>
      <c r="FQV52" s="12"/>
      <c r="FRM52" s="12"/>
      <c r="FRN52" s="12"/>
      <c r="FSE52" s="12"/>
      <c r="FSF52" s="12"/>
      <c r="FSW52" s="12"/>
      <c r="FSX52" s="12"/>
      <c r="FTO52" s="12"/>
      <c r="FTP52" s="12"/>
      <c r="FUG52" s="12"/>
      <c r="FUH52" s="12"/>
      <c r="FUY52" s="12"/>
      <c r="FUZ52" s="12"/>
      <c r="FVQ52" s="12"/>
      <c r="FVR52" s="12"/>
      <c r="FWI52" s="12"/>
      <c r="FWJ52" s="12"/>
      <c r="FXA52" s="12"/>
      <c r="FXB52" s="12"/>
      <c r="FXS52" s="12"/>
      <c r="FXT52" s="12"/>
      <c r="FYK52" s="12"/>
      <c r="FYL52" s="12"/>
      <c r="FZC52" s="12"/>
      <c r="FZD52" s="12"/>
      <c r="FZU52" s="12"/>
      <c r="FZV52" s="12"/>
      <c r="GAM52" s="12"/>
      <c r="GAN52" s="12"/>
      <c r="GBE52" s="12"/>
      <c r="GBF52" s="12"/>
      <c r="GBW52" s="12"/>
      <c r="GBX52" s="12"/>
      <c r="GCO52" s="12"/>
      <c r="GCP52" s="12"/>
      <c r="GDG52" s="12"/>
      <c r="GDH52" s="12"/>
      <c r="GDY52" s="12"/>
      <c r="GDZ52" s="12"/>
      <c r="GEQ52" s="12"/>
      <c r="GER52" s="12"/>
      <c r="GFI52" s="12"/>
      <c r="GFJ52" s="12"/>
      <c r="GGA52" s="12"/>
      <c r="GGB52" s="12"/>
      <c r="GGS52" s="12"/>
      <c r="GGT52" s="12"/>
      <c r="GHK52" s="12"/>
      <c r="GHL52" s="12"/>
      <c r="GIC52" s="12"/>
      <c r="GID52" s="12"/>
      <c r="GIU52" s="12"/>
      <c r="GIV52" s="12"/>
      <c r="GJM52" s="12"/>
      <c r="GJN52" s="12"/>
      <c r="GKE52" s="12"/>
      <c r="GKF52" s="12"/>
      <c r="GKW52" s="12"/>
      <c r="GKX52" s="12"/>
      <c r="GLO52" s="12"/>
      <c r="GLP52" s="12"/>
      <c r="GMG52" s="12"/>
      <c r="GMH52" s="12"/>
      <c r="GMY52" s="12"/>
      <c r="GMZ52" s="12"/>
      <c r="GNQ52" s="12"/>
      <c r="GNR52" s="12"/>
      <c r="GOI52" s="12"/>
      <c r="GOJ52" s="12"/>
      <c r="GPA52" s="12"/>
      <c r="GPB52" s="12"/>
      <c r="GPS52" s="12"/>
      <c r="GPT52" s="12"/>
      <c r="GQK52" s="12"/>
      <c r="GQL52" s="12"/>
      <c r="GRC52" s="12"/>
      <c r="GRD52" s="12"/>
      <c r="GRU52" s="12"/>
      <c r="GRV52" s="12"/>
      <c r="GSM52" s="12"/>
      <c r="GSN52" s="12"/>
      <c r="GTE52" s="12"/>
      <c r="GTF52" s="12"/>
      <c r="GTW52" s="12"/>
      <c r="GTX52" s="12"/>
      <c r="GUO52" s="12"/>
      <c r="GUP52" s="12"/>
      <c r="GVG52" s="12"/>
      <c r="GVH52" s="12"/>
      <c r="GVY52" s="12"/>
      <c r="GVZ52" s="12"/>
      <c r="GWQ52" s="12"/>
      <c r="GWR52" s="12"/>
      <c r="GXI52" s="12"/>
      <c r="GXJ52" s="12"/>
      <c r="GYA52" s="12"/>
      <c r="GYB52" s="12"/>
      <c r="GYS52" s="12"/>
      <c r="GYT52" s="12"/>
      <c r="GZK52" s="12"/>
      <c r="GZL52" s="12"/>
      <c r="HAC52" s="12"/>
      <c r="HAD52" s="12"/>
      <c r="HAU52" s="12"/>
      <c r="HAV52" s="12"/>
      <c r="HBM52" s="12"/>
      <c r="HBN52" s="12"/>
      <c r="HCE52" s="12"/>
      <c r="HCF52" s="12"/>
      <c r="HCW52" s="12"/>
      <c r="HCX52" s="12"/>
      <c r="HDO52" s="12"/>
      <c r="HDP52" s="12"/>
      <c r="HEG52" s="12"/>
      <c r="HEH52" s="12"/>
      <c r="HEY52" s="12"/>
      <c r="HEZ52" s="12"/>
      <c r="HFQ52" s="12"/>
      <c r="HFR52" s="12"/>
      <c r="HGI52" s="12"/>
      <c r="HGJ52" s="12"/>
      <c r="HHA52" s="12"/>
      <c r="HHB52" s="12"/>
      <c r="HHS52" s="12"/>
      <c r="HHT52" s="12"/>
      <c r="HIK52" s="12"/>
      <c r="HIL52" s="12"/>
      <c r="HJC52" s="12"/>
      <c r="HJD52" s="12"/>
      <c r="HJU52" s="12"/>
      <c r="HJV52" s="12"/>
      <c r="HKM52" s="12"/>
      <c r="HKN52" s="12"/>
      <c r="HLE52" s="12"/>
      <c r="HLF52" s="12"/>
      <c r="HLW52" s="12"/>
      <c r="HLX52" s="12"/>
      <c r="HMO52" s="12"/>
      <c r="HMP52" s="12"/>
      <c r="HNG52" s="12"/>
      <c r="HNH52" s="12"/>
      <c r="HNY52" s="12"/>
      <c r="HNZ52" s="12"/>
      <c r="HOQ52" s="12"/>
      <c r="HOR52" s="12"/>
      <c r="HPI52" s="12"/>
      <c r="HPJ52" s="12"/>
      <c r="HQA52" s="12"/>
      <c r="HQB52" s="12"/>
      <c r="HQS52" s="12"/>
      <c r="HQT52" s="12"/>
      <c r="HRK52" s="12"/>
      <c r="HRL52" s="12"/>
      <c r="HSC52" s="12"/>
      <c r="HSD52" s="12"/>
      <c r="HSU52" s="12"/>
      <c r="HSV52" s="12"/>
      <c r="HTM52" s="12"/>
      <c r="HTN52" s="12"/>
      <c r="HUE52" s="12"/>
      <c r="HUF52" s="12"/>
      <c r="HUW52" s="12"/>
      <c r="HUX52" s="12"/>
      <c r="HVO52" s="12"/>
      <c r="HVP52" s="12"/>
      <c r="HWG52" s="12"/>
      <c r="HWH52" s="12"/>
      <c r="HWY52" s="12"/>
      <c r="HWZ52" s="12"/>
      <c r="HXQ52" s="12"/>
      <c r="HXR52" s="12"/>
      <c r="HYI52" s="12"/>
      <c r="HYJ52" s="12"/>
      <c r="HZA52" s="12"/>
      <c r="HZB52" s="12"/>
      <c r="HZS52" s="12"/>
      <c r="HZT52" s="12"/>
      <c r="IAK52" s="12"/>
      <c r="IAL52" s="12"/>
      <c r="IBC52" s="12"/>
      <c r="IBD52" s="12"/>
      <c r="IBU52" s="12"/>
      <c r="IBV52" s="12"/>
      <c r="ICM52" s="12"/>
      <c r="ICN52" s="12"/>
      <c r="IDE52" s="12"/>
      <c r="IDF52" s="12"/>
      <c r="IDW52" s="12"/>
      <c r="IDX52" s="12"/>
      <c r="IEO52" s="12"/>
      <c r="IEP52" s="12"/>
      <c r="IFG52" s="12"/>
      <c r="IFH52" s="12"/>
      <c r="IFY52" s="12"/>
      <c r="IFZ52" s="12"/>
      <c r="IGQ52" s="12"/>
      <c r="IGR52" s="12"/>
      <c r="IHI52" s="12"/>
      <c r="IHJ52" s="12"/>
      <c r="IIA52" s="12"/>
      <c r="IIB52" s="12"/>
      <c r="IIS52" s="12"/>
      <c r="IIT52" s="12"/>
      <c r="IJK52" s="12"/>
      <c r="IJL52" s="12"/>
      <c r="IKC52" s="12"/>
      <c r="IKD52" s="12"/>
      <c r="IKU52" s="12"/>
      <c r="IKV52" s="12"/>
      <c r="ILM52" s="12"/>
      <c r="ILN52" s="12"/>
      <c r="IME52" s="12"/>
      <c r="IMF52" s="12"/>
      <c r="IMW52" s="12"/>
      <c r="IMX52" s="12"/>
      <c r="INO52" s="12"/>
      <c r="INP52" s="12"/>
      <c r="IOG52" s="12"/>
      <c r="IOH52" s="12"/>
      <c r="IOY52" s="12"/>
      <c r="IOZ52" s="12"/>
      <c r="IPQ52" s="12"/>
      <c r="IPR52" s="12"/>
      <c r="IQI52" s="12"/>
      <c r="IQJ52" s="12"/>
      <c r="IRA52" s="12"/>
      <c r="IRB52" s="12"/>
      <c r="IRS52" s="12"/>
      <c r="IRT52" s="12"/>
      <c r="ISK52" s="12"/>
      <c r="ISL52" s="12"/>
      <c r="ITC52" s="12"/>
      <c r="ITD52" s="12"/>
      <c r="ITU52" s="12"/>
      <c r="ITV52" s="12"/>
      <c r="IUM52" s="12"/>
      <c r="IUN52" s="12"/>
      <c r="IVE52" s="12"/>
      <c r="IVF52" s="12"/>
      <c r="IVW52" s="12"/>
      <c r="IVX52" s="12"/>
      <c r="IWO52" s="12"/>
      <c r="IWP52" s="12"/>
      <c r="IXG52" s="12"/>
      <c r="IXH52" s="12"/>
      <c r="IXY52" s="12"/>
      <c r="IXZ52" s="12"/>
      <c r="IYQ52" s="12"/>
      <c r="IYR52" s="12"/>
      <c r="IZI52" s="12"/>
      <c r="IZJ52" s="12"/>
      <c r="JAA52" s="12"/>
      <c r="JAB52" s="12"/>
      <c r="JAS52" s="12"/>
      <c r="JAT52" s="12"/>
      <c r="JBK52" s="12"/>
      <c r="JBL52" s="12"/>
      <c r="JCC52" s="12"/>
      <c r="JCD52" s="12"/>
      <c r="JCU52" s="12"/>
      <c r="JCV52" s="12"/>
      <c r="JDM52" s="12"/>
      <c r="JDN52" s="12"/>
      <c r="JEE52" s="12"/>
      <c r="JEF52" s="12"/>
      <c r="JEW52" s="12"/>
      <c r="JEX52" s="12"/>
      <c r="JFO52" s="12"/>
      <c r="JFP52" s="12"/>
      <c r="JGG52" s="12"/>
      <c r="JGH52" s="12"/>
      <c r="JGY52" s="12"/>
      <c r="JGZ52" s="12"/>
      <c r="JHQ52" s="12"/>
      <c r="JHR52" s="12"/>
      <c r="JII52" s="12"/>
      <c r="JIJ52" s="12"/>
      <c r="JJA52" s="12"/>
      <c r="JJB52" s="12"/>
      <c r="JJS52" s="12"/>
      <c r="JJT52" s="12"/>
      <c r="JKK52" s="12"/>
      <c r="JKL52" s="12"/>
      <c r="JLC52" s="12"/>
      <c r="JLD52" s="12"/>
      <c r="JLU52" s="12"/>
      <c r="JLV52" s="12"/>
      <c r="JMM52" s="12"/>
      <c r="JMN52" s="12"/>
      <c r="JNE52" s="12"/>
      <c r="JNF52" s="12"/>
      <c r="JNW52" s="12"/>
      <c r="JNX52" s="12"/>
      <c r="JOO52" s="12"/>
      <c r="JOP52" s="12"/>
      <c r="JPG52" s="12"/>
      <c r="JPH52" s="12"/>
      <c r="JPY52" s="12"/>
      <c r="JPZ52" s="12"/>
      <c r="JQQ52" s="12"/>
      <c r="JQR52" s="12"/>
      <c r="JRI52" s="12"/>
      <c r="JRJ52" s="12"/>
      <c r="JSA52" s="12"/>
      <c r="JSB52" s="12"/>
      <c r="JSS52" s="12"/>
      <c r="JST52" s="12"/>
      <c r="JTK52" s="12"/>
      <c r="JTL52" s="12"/>
      <c r="JUC52" s="12"/>
      <c r="JUD52" s="12"/>
      <c r="JUU52" s="12"/>
      <c r="JUV52" s="12"/>
      <c r="JVM52" s="12"/>
      <c r="JVN52" s="12"/>
      <c r="JWE52" s="12"/>
      <c r="JWF52" s="12"/>
      <c r="JWW52" s="12"/>
      <c r="JWX52" s="12"/>
      <c r="JXO52" s="12"/>
      <c r="JXP52" s="12"/>
      <c r="JYG52" s="12"/>
      <c r="JYH52" s="12"/>
      <c r="JYY52" s="12"/>
      <c r="JYZ52" s="12"/>
      <c r="JZQ52" s="12"/>
      <c r="JZR52" s="12"/>
      <c r="KAI52" s="12"/>
      <c r="KAJ52" s="12"/>
      <c r="KBA52" s="12"/>
      <c r="KBB52" s="12"/>
      <c r="KBS52" s="12"/>
      <c r="KBT52" s="12"/>
      <c r="KCK52" s="12"/>
      <c r="KCL52" s="12"/>
      <c r="KDC52" s="12"/>
      <c r="KDD52" s="12"/>
      <c r="KDU52" s="12"/>
      <c r="KDV52" s="12"/>
      <c r="KEM52" s="12"/>
      <c r="KEN52" s="12"/>
      <c r="KFE52" s="12"/>
      <c r="KFF52" s="12"/>
      <c r="KFW52" s="12"/>
      <c r="KFX52" s="12"/>
      <c r="KGO52" s="12"/>
      <c r="KGP52" s="12"/>
      <c r="KHG52" s="12"/>
      <c r="KHH52" s="12"/>
      <c r="KHY52" s="12"/>
      <c r="KHZ52" s="12"/>
      <c r="KIQ52" s="12"/>
      <c r="KIR52" s="12"/>
      <c r="KJI52" s="12"/>
      <c r="KJJ52" s="12"/>
      <c r="KKA52" s="12"/>
      <c r="KKB52" s="12"/>
      <c r="KKS52" s="12"/>
      <c r="KKT52" s="12"/>
      <c r="KLK52" s="12"/>
      <c r="KLL52" s="12"/>
      <c r="KMC52" s="12"/>
      <c r="KMD52" s="12"/>
      <c r="KMU52" s="12"/>
      <c r="KMV52" s="12"/>
      <c r="KNM52" s="12"/>
      <c r="KNN52" s="12"/>
      <c r="KOE52" s="12"/>
      <c r="KOF52" s="12"/>
      <c r="KOW52" s="12"/>
      <c r="KOX52" s="12"/>
      <c r="KPO52" s="12"/>
      <c r="KPP52" s="12"/>
      <c r="KQG52" s="12"/>
      <c r="KQH52" s="12"/>
      <c r="KQY52" s="12"/>
      <c r="KQZ52" s="12"/>
      <c r="KRQ52" s="12"/>
      <c r="KRR52" s="12"/>
      <c r="KSI52" s="12"/>
      <c r="KSJ52" s="12"/>
      <c r="KTA52" s="12"/>
      <c r="KTB52" s="12"/>
      <c r="KTS52" s="12"/>
      <c r="KTT52" s="12"/>
      <c r="KUK52" s="12"/>
      <c r="KUL52" s="12"/>
      <c r="KVC52" s="12"/>
      <c r="KVD52" s="12"/>
      <c r="KVU52" s="12"/>
      <c r="KVV52" s="12"/>
      <c r="KWM52" s="12"/>
      <c r="KWN52" s="12"/>
      <c r="KXE52" s="12"/>
      <c r="KXF52" s="12"/>
      <c r="KXW52" s="12"/>
      <c r="KXX52" s="12"/>
      <c r="KYO52" s="12"/>
      <c r="KYP52" s="12"/>
      <c r="KZG52" s="12"/>
      <c r="KZH52" s="12"/>
      <c r="KZY52" s="12"/>
      <c r="KZZ52" s="12"/>
      <c r="LAQ52" s="12"/>
      <c r="LAR52" s="12"/>
      <c r="LBI52" s="12"/>
      <c r="LBJ52" s="12"/>
      <c r="LCA52" s="12"/>
      <c r="LCB52" s="12"/>
      <c r="LCS52" s="12"/>
      <c r="LCT52" s="12"/>
      <c r="LDK52" s="12"/>
      <c r="LDL52" s="12"/>
      <c r="LEC52" s="12"/>
      <c r="LED52" s="12"/>
      <c r="LEU52" s="12"/>
      <c r="LEV52" s="12"/>
      <c r="LFM52" s="12"/>
      <c r="LFN52" s="12"/>
      <c r="LGE52" s="12"/>
      <c r="LGF52" s="12"/>
      <c r="LGW52" s="12"/>
      <c r="LGX52" s="12"/>
      <c r="LHO52" s="12"/>
      <c r="LHP52" s="12"/>
      <c r="LIG52" s="12"/>
      <c r="LIH52" s="12"/>
      <c r="LIY52" s="12"/>
      <c r="LIZ52" s="12"/>
      <c r="LJQ52" s="12"/>
      <c r="LJR52" s="12"/>
      <c r="LKI52" s="12"/>
      <c r="LKJ52" s="12"/>
      <c r="LLA52" s="12"/>
      <c r="LLB52" s="12"/>
      <c r="LLS52" s="12"/>
      <c r="LLT52" s="12"/>
      <c r="LMK52" s="12"/>
      <c r="LML52" s="12"/>
      <c r="LNC52" s="12"/>
      <c r="LND52" s="12"/>
      <c r="LNU52" s="12"/>
      <c r="LNV52" s="12"/>
      <c r="LOM52" s="12"/>
      <c r="LON52" s="12"/>
      <c r="LPE52" s="12"/>
      <c r="LPF52" s="12"/>
      <c r="LPW52" s="12"/>
      <c r="LPX52" s="12"/>
      <c r="LQO52" s="12"/>
      <c r="LQP52" s="12"/>
      <c r="LRG52" s="12"/>
      <c r="LRH52" s="12"/>
      <c r="LRY52" s="12"/>
      <c r="LRZ52" s="12"/>
      <c r="LSQ52" s="12"/>
      <c r="LSR52" s="12"/>
      <c r="LTI52" s="12"/>
      <c r="LTJ52" s="12"/>
      <c r="LUA52" s="12"/>
      <c r="LUB52" s="12"/>
      <c r="LUS52" s="12"/>
      <c r="LUT52" s="12"/>
      <c r="LVK52" s="12"/>
      <c r="LVL52" s="12"/>
      <c r="LWC52" s="12"/>
      <c r="LWD52" s="12"/>
      <c r="LWU52" s="12"/>
      <c r="LWV52" s="12"/>
      <c r="LXM52" s="12"/>
      <c r="LXN52" s="12"/>
      <c r="LYE52" s="12"/>
      <c r="LYF52" s="12"/>
      <c r="LYW52" s="12"/>
      <c r="LYX52" s="12"/>
      <c r="LZO52" s="12"/>
      <c r="LZP52" s="12"/>
      <c r="MAG52" s="12"/>
      <c r="MAH52" s="12"/>
      <c r="MAY52" s="12"/>
      <c r="MAZ52" s="12"/>
      <c r="MBQ52" s="12"/>
      <c r="MBR52" s="12"/>
      <c r="MCI52" s="12"/>
      <c r="MCJ52" s="12"/>
      <c r="MDA52" s="12"/>
      <c r="MDB52" s="12"/>
      <c r="MDS52" s="12"/>
      <c r="MDT52" s="12"/>
      <c r="MEK52" s="12"/>
      <c r="MEL52" s="12"/>
      <c r="MFC52" s="12"/>
      <c r="MFD52" s="12"/>
      <c r="MFU52" s="12"/>
      <c r="MFV52" s="12"/>
      <c r="MGM52" s="12"/>
      <c r="MGN52" s="12"/>
      <c r="MHE52" s="12"/>
      <c r="MHF52" s="12"/>
      <c r="MHW52" s="12"/>
      <c r="MHX52" s="12"/>
      <c r="MIO52" s="12"/>
      <c r="MIP52" s="12"/>
      <c r="MJG52" s="12"/>
      <c r="MJH52" s="12"/>
      <c r="MJY52" s="12"/>
      <c r="MJZ52" s="12"/>
      <c r="MKQ52" s="12"/>
      <c r="MKR52" s="12"/>
      <c r="MLI52" s="12"/>
      <c r="MLJ52" s="12"/>
      <c r="MMA52" s="12"/>
      <c r="MMB52" s="12"/>
      <c r="MMS52" s="12"/>
      <c r="MMT52" s="12"/>
      <c r="MNK52" s="12"/>
      <c r="MNL52" s="12"/>
      <c r="MOC52" s="12"/>
      <c r="MOD52" s="12"/>
      <c r="MOU52" s="12"/>
      <c r="MOV52" s="12"/>
      <c r="MPM52" s="12"/>
      <c r="MPN52" s="12"/>
      <c r="MQE52" s="12"/>
      <c r="MQF52" s="12"/>
      <c r="MQW52" s="12"/>
      <c r="MQX52" s="12"/>
      <c r="MRO52" s="12"/>
      <c r="MRP52" s="12"/>
      <c r="MSG52" s="12"/>
      <c r="MSH52" s="12"/>
      <c r="MSY52" s="12"/>
      <c r="MSZ52" s="12"/>
      <c r="MTQ52" s="12"/>
      <c r="MTR52" s="12"/>
      <c r="MUI52" s="12"/>
      <c r="MUJ52" s="12"/>
      <c r="MVA52" s="12"/>
      <c r="MVB52" s="12"/>
      <c r="MVS52" s="12"/>
      <c r="MVT52" s="12"/>
      <c r="MWK52" s="12"/>
      <c r="MWL52" s="12"/>
      <c r="MXC52" s="12"/>
      <c r="MXD52" s="12"/>
      <c r="MXU52" s="12"/>
      <c r="MXV52" s="12"/>
      <c r="MYM52" s="12"/>
      <c r="MYN52" s="12"/>
      <c r="MZE52" s="12"/>
      <c r="MZF52" s="12"/>
      <c r="MZW52" s="12"/>
      <c r="MZX52" s="12"/>
      <c r="NAO52" s="12"/>
      <c r="NAP52" s="12"/>
      <c r="NBG52" s="12"/>
      <c r="NBH52" s="12"/>
      <c r="NBY52" s="12"/>
      <c r="NBZ52" s="12"/>
      <c r="NCQ52" s="12"/>
      <c r="NCR52" s="12"/>
      <c r="NDI52" s="12"/>
      <c r="NDJ52" s="12"/>
      <c r="NEA52" s="12"/>
      <c r="NEB52" s="12"/>
      <c r="NES52" s="12"/>
      <c r="NET52" s="12"/>
      <c r="NFK52" s="12"/>
      <c r="NFL52" s="12"/>
      <c r="NGC52" s="12"/>
      <c r="NGD52" s="12"/>
      <c r="NGU52" s="12"/>
      <c r="NGV52" s="12"/>
      <c r="NHM52" s="12"/>
      <c r="NHN52" s="12"/>
      <c r="NIE52" s="12"/>
      <c r="NIF52" s="12"/>
      <c r="NIW52" s="12"/>
      <c r="NIX52" s="12"/>
      <c r="NJO52" s="12"/>
      <c r="NJP52" s="12"/>
      <c r="NKG52" s="12"/>
      <c r="NKH52" s="12"/>
      <c r="NKY52" s="12"/>
      <c r="NKZ52" s="12"/>
      <c r="NLQ52" s="12"/>
      <c r="NLR52" s="12"/>
      <c r="NMI52" s="12"/>
      <c r="NMJ52" s="12"/>
      <c r="NNA52" s="12"/>
      <c r="NNB52" s="12"/>
      <c r="NNS52" s="12"/>
      <c r="NNT52" s="12"/>
      <c r="NOK52" s="12"/>
      <c r="NOL52" s="12"/>
      <c r="NPC52" s="12"/>
      <c r="NPD52" s="12"/>
      <c r="NPU52" s="12"/>
      <c r="NPV52" s="12"/>
      <c r="NQM52" s="12"/>
      <c r="NQN52" s="12"/>
      <c r="NRE52" s="12"/>
      <c r="NRF52" s="12"/>
      <c r="NRW52" s="12"/>
      <c r="NRX52" s="12"/>
      <c r="NSO52" s="12"/>
      <c r="NSP52" s="12"/>
      <c r="NTG52" s="12"/>
      <c r="NTH52" s="12"/>
      <c r="NTY52" s="12"/>
      <c r="NTZ52" s="12"/>
      <c r="NUQ52" s="12"/>
      <c r="NUR52" s="12"/>
      <c r="NVI52" s="12"/>
      <c r="NVJ52" s="12"/>
      <c r="NWA52" s="12"/>
      <c r="NWB52" s="12"/>
      <c r="NWS52" s="12"/>
      <c r="NWT52" s="12"/>
      <c r="NXK52" s="12"/>
      <c r="NXL52" s="12"/>
      <c r="NYC52" s="12"/>
      <c r="NYD52" s="12"/>
      <c r="NYU52" s="12"/>
      <c r="NYV52" s="12"/>
      <c r="NZM52" s="12"/>
      <c r="NZN52" s="12"/>
      <c r="OAE52" s="12"/>
      <c r="OAF52" s="12"/>
      <c r="OAW52" s="12"/>
      <c r="OAX52" s="12"/>
      <c r="OBO52" s="12"/>
      <c r="OBP52" s="12"/>
      <c r="OCG52" s="12"/>
      <c r="OCH52" s="12"/>
      <c r="OCY52" s="12"/>
      <c r="OCZ52" s="12"/>
      <c r="ODQ52" s="12"/>
      <c r="ODR52" s="12"/>
      <c r="OEI52" s="12"/>
      <c r="OEJ52" s="12"/>
      <c r="OFA52" s="12"/>
      <c r="OFB52" s="12"/>
      <c r="OFS52" s="12"/>
      <c r="OFT52" s="12"/>
      <c r="OGK52" s="12"/>
      <c r="OGL52" s="12"/>
      <c r="OHC52" s="12"/>
      <c r="OHD52" s="12"/>
      <c r="OHU52" s="12"/>
      <c r="OHV52" s="12"/>
      <c r="OIM52" s="12"/>
      <c r="OIN52" s="12"/>
      <c r="OJE52" s="12"/>
      <c r="OJF52" s="12"/>
      <c r="OJW52" s="12"/>
      <c r="OJX52" s="12"/>
      <c r="OKO52" s="12"/>
      <c r="OKP52" s="12"/>
      <c r="OLG52" s="12"/>
      <c r="OLH52" s="12"/>
      <c r="OLY52" s="12"/>
      <c r="OLZ52" s="12"/>
      <c r="OMQ52" s="12"/>
      <c r="OMR52" s="12"/>
      <c r="ONI52" s="12"/>
      <c r="ONJ52" s="12"/>
      <c r="OOA52" s="12"/>
      <c r="OOB52" s="12"/>
      <c r="OOS52" s="12"/>
      <c r="OOT52" s="12"/>
      <c r="OPK52" s="12"/>
      <c r="OPL52" s="12"/>
      <c r="OQC52" s="12"/>
      <c r="OQD52" s="12"/>
      <c r="OQU52" s="12"/>
      <c r="OQV52" s="12"/>
      <c r="ORM52" s="12"/>
      <c r="ORN52" s="12"/>
      <c r="OSE52" s="12"/>
      <c r="OSF52" s="12"/>
      <c r="OSW52" s="12"/>
      <c r="OSX52" s="12"/>
      <c r="OTO52" s="12"/>
      <c r="OTP52" s="12"/>
      <c r="OUG52" s="12"/>
      <c r="OUH52" s="12"/>
      <c r="OUY52" s="12"/>
      <c r="OUZ52" s="12"/>
      <c r="OVQ52" s="12"/>
      <c r="OVR52" s="12"/>
      <c r="OWI52" s="12"/>
      <c r="OWJ52" s="12"/>
      <c r="OXA52" s="12"/>
      <c r="OXB52" s="12"/>
      <c r="OXS52" s="12"/>
      <c r="OXT52" s="12"/>
      <c r="OYK52" s="12"/>
      <c r="OYL52" s="12"/>
      <c r="OZC52" s="12"/>
      <c r="OZD52" s="12"/>
      <c r="OZU52" s="12"/>
      <c r="OZV52" s="12"/>
      <c r="PAM52" s="12"/>
      <c r="PAN52" s="12"/>
      <c r="PBE52" s="12"/>
      <c r="PBF52" s="12"/>
      <c r="PBW52" s="12"/>
      <c r="PBX52" s="12"/>
      <c r="PCO52" s="12"/>
      <c r="PCP52" s="12"/>
      <c r="PDG52" s="12"/>
      <c r="PDH52" s="12"/>
      <c r="PDY52" s="12"/>
      <c r="PDZ52" s="12"/>
      <c r="PEQ52" s="12"/>
      <c r="PER52" s="12"/>
      <c r="PFI52" s="12"/>
      <c r="PFJ52" s="12"/>
      <c r="PGA52" s="12"/>
      <c r="PGB52" s="12"/>
      <c r="PGS52" s="12"/>
      <c r="PGT52" s="12"/>
      <c r="PHK52" s="12"/>
      <c r="PHL52" s="12"/>
      <c r="PIC52" s="12"/>
      <c r="PID52" s="12"/>
      <c r="PIU52" s="12"/>
      <c r="PIV52" s="12"/>
      <c r="PJM52" s="12"/>
      <c r="PJN52" s="12"/>
      <c r="PKE52" s="12"/>
      <c r="PKF52" s="12"/>
      <c r="PKW52" s="12"/>
      <c r="PKX52" s="12"/>
      <c r="PLO52" s="12"/>
      <c r="PLP52" s="12"/>
      <c r="PMG52" s="12"/>
      <c r="PMH52" s="12"/>
      <c r="PMY52" s="12"/>
      <c r="PMZ52" s="12"/>
      <c r="PNQ52" s="12"/>
      <c r="PNR52" s="12"/>
      <c r="POI52" s="12"/>
      <c r="POJ52" s="12"/>
      <c r="PPA52" s="12"/>
      <c r="PPB52" s="12"/>
      <c r="PPS52" s="12"/>
      <c r="PPT52" s="12"/>
      <c r="PQK52" s="12"/>
      <c r="PQL52" s="12"/>
      <c r="PRC52" s="12"/>
      <c r="PRD52" s="12"/>
      <c r="PRU52" s="12"/>
      <c r="PRV52" s="12"/>
      <c r="PSM52" s="12"/>
      <c r="PSN52" s="12"/>
      <c r="PTE52" s="12"/>
      <c r="PTF52" s="12"/>
      <c r="PTW52" s="12"/>
      <c r="PTX52" s="12"/>
      <c r="PUO52" s="12"/>
      <c r="PUP52" s="12"/>
      <c r="PVG52" s="12"/>
      <c r="PVH52" s="12"/>
      <c r="PVY52" s="12"/>
      <c r="PVZ52" s="12"/>
      <c r="PWQ52" s="12"/>
      <c r="PWR52" s="12"/>
      <c r="PXI52" s="12"/>
      <c r="PXJ52" s="12"/>
      <c r="PYA52" s="12"/>
      <c r="PYB52" s="12"/>
      <c r="PYS52" s="12"/>
      <c r="PYT52" s="12"/>
      <c r="PZK52" s="12"/>
      <c r="PZL52" s="12"/>
      <c r="QAC52" s="12"/>
      <c r="QAD52" s="12"/>
      <c r="QAU52" s="12"/>
      <c r="QAV52" s="12"/>
      <c r="QBM52" s="12"/>
      <c r="QBN52" s="12"/>
      <c r="QCE52" s="12"/>
      <c r="QCF52" s="12"/>
      <c r="QCW52" s="12"/>
      <c r="QCX52" s="12"/>
      <c r="QDO52" s="12"/>
      <c r="QDP52" s="12"/>
      <c r="QEG52" s="12"/>
      <c r="QEH52" s="12"/>
      <c r="QEY52" s="12"/>
      <c r="QEZ52" s="12"/>
      <c r="QFQ52" s="12"/>
      <c r="QFR52" s="12"/>
      <c r="QGI52" s="12"/>
      <c r="QGJ52" s="12"/>
      <c r="QHA52" s="12"/>
      <c r="QHB52" s="12"/>
      <c r="QHS52" s="12"/>
      <c r="QHT52" s="12"/>
      <c r="QIK52" s="12"/>
      <c r="QIL52" s="12"/>
      <c r="QJC52" s="12"/>
      <c r="QJD52" s="12"/>
      <c r="QJU52" s="12"/>
      <c r="QJV52" s="12"/>
      <c r="QKM52" s="12"/>
      <c r="QKN52" s="12"/>
      <c r="QLE52" s="12"/>
      <c r="QLF52" s="12"/>
      <c r="QLW52" s="12"/>
      <c r="QLX52" s="12"/>
      <c r="QMO52" s="12"/>
      <c r="QMP52" s="12"/>
      <c r="QNG52" s="12"/>
      <c r="QNH52" s="12"/>
      <c r="QNY52" s="12"/>
      <c r="QNZ52" s="12"/>
      <c r="QOQ52" s="12"/>
      <c r="QOR52" s="12"/>
      <c r="QPI52" s="12"/>
      <c r="QPJ52" s="12"/>
      <c r="QQA52" s="12"/>
      <c r="QQB52" s="12"/>
      <c r="QQS52" s="12"/>
      <c r="QQT52" s="12"/>
      <c r="QRK52" s="12"/>
      <c r="QRL52" s="12"/>
      <c r="QSC52" s="12"/>
      <c r="QSD52" s="12"/>
      <c r="QSU52" s="12"/>
      <c r="QSV52" s="12"/>
      <c r="QTM52" s="12"/>
      <c r="QTN52" s="12"/>
      <c r="QUE52" s="12"/>
      <c r="QUF52" s="12"/>
      <c r="QUW52" s="12"/>
      <c r="QUX52" s="12"/>
      <c r="QVO52" s="12"/>
      <c r="QVP52" s="12"/>
      <c r="QWG52" s="12"/>
      <c r="QWH52" s="12"/>
      <c r="QWY52" s="12"/>
      <c r="QWZ52" s="12"/>
      <c r="QXQ52" s="12"/>
      <c r="QXR52" s="12"/>
      <c r="QYI52" s="12"/>
      <c r="QYJ52" s="12"/>
      <c r="QZA52" s="12"/>
      <c r="QZB52" s="12"/>
      <c r="QZS52" s="12"/>
      <c r="QZT52" s="12"/>
      <c r="RAK52" s="12"/>
      <c r="RAL52" s="12"/>
      <c r="RBC52" s="12"/>
      <c r="RBD52" s="12"/>
      <c r="RBU52" s="12"/>
      <c r="RBV52" s="12"/>
      <c r="RCM52" s="12"/>
      <c r="RCN52" s="12"/>
      <c r="RDE52" s="12"/>
      <c r="RDF52" s="12"/>
      <c r="RDW52" s="12"/>
      <c r="RDX52" s="12"/>
      <c r="REO52" s="12"/>
      <c r="REP52" s="12"/>
      <c r="RFG52" s="12"/>
      <c r="RFH52" s="12"/>
      <c r="RFY52" s="12"/>
      <c r="RFZ52" s="12"/>
      <c r="RGQ52" s="12"/>
      <c r="RGR52" s="12"/>
      <c r="RHI52" s="12"/>
      <c r="RHJ52" s="12"/>
      <c r="RIA52" s="12"/>
      <c r="RIB52" s="12"/>
      <c r="RIS52" s="12"/>
      <c r="RIT52" s="12"/>
      <c r="RJK52" s="12"/>
      <c r="RJL52" s="12"/>
      <c r="RKC52" s="12"/>
      <c r="RKD52" s="12"/>
      <c r="RKU52" s="12"/>
      <c r="RKV52" s="12"/>
      <c r="RLM52" s="12"/>
      <c r="RLN52" s="12"/>
      <c r="RME52" s="12"/>
      <c r="RMF52" s="12"/>
      <c r="RMW52" s="12"/>
      <c r="RMX52" s="12"/>
      <c r="RNO52" s="12"/>
      <c r="RNP52" s="12"/>
      <c r="ROG52" s="12"/>
      <c r="ROH52" s="12"/>
      <c r="ROY52" s="12"/>
      <c r="ROZ52" s="12"/>
      <c r="RPQ52" s="12"/>
      <c r="RPR52" s="12"/>
      <c r="RQI52" s="12"/>
      <c r="RQJ52" s="12"/>
      <c r="RRA52" s="12"/>
      <c r="RRB52" s="12"/>
      <c r="RRS52" s="12"/>
      <c r="RRT52" s="12"/>
      <c r="RSK52" s="12"/>
      <c r="RSL52" s="12"/>
      <c r="RTC52" s="12"/>
      <c r="RTD52" s="12"/>
      <c r="RTU52" s="12"/>
      <c r="RTV52" s="12"/>
      <c r="RUM52" s="12"/>
      <c r="RUN52" s="12"/>
      <c r="RVE52" s="12"/>
      <c r="RVF52" s="12"/>
      <c r="RVW52" s="12"/>
      <c r="RVX52" s="12"/>
      <c r="RWO52" s="12"/>
      <c r="RWP52" s="12"/>
      <c r="RXG52" s="12"/>
      <c r="RXH52" s="12"/>
      <c r="RXY52" s="12"/>
      <c r="RXZ52" s="12"/>
      <c r="RYQ52" s="12"/>
      <c r="RYR52" s="12"/>
      <c r="RZI52" s="12"/>
      <c r="RZJ52" s="12"/>
      <c r="SAA52" s="12"/>
      <c r="SAB52" s="12"/>
      <c r="SAS52" s="12"/>
      <c r="SAT52" s="12"/>
      <c r="SBK52" s="12"/>
      <c r="SBL52" s="12"/>
      <c r="SCC52" s="12"/>
      <c r="SCD52" s="12"/>
      <c r="SCU52" s="12"/>
      <c r="SCV52" s="12"/>
      <c r="SDM52" s="12"/>
      <c r="SDN52" s="12"/>
      <c r="SEE52" s="12"/>
      <c r="SEF52" s="12"/>
      <c r="SEW52" s="12"/>
      <c r="SEX52" s="12"/>
      <c r="SFO52" s="12"/>
      <c r="SFP52" s="12"/>
      <c r="SGG52" s="12"/>
      <c r="SGH52" s="12"/>
      <c r="SGY52" s="12"/>
      <c r="SGZ52" s="12"/>
      <c r="SHQ52" s="12"/>
      <c r="SHR52" s="12"/>
      <c r="SII52" s="12"/>
      <c r="SIJ52" s="12"/>
      <c r="SJA52" s="12"/>
      <c r="SJB52" s="12"/>
      <c r="SJS52" s="12"/>
      <c r="SJT52" s="12"/>
      <c r="SKK52" s="12"/>
      <c r="SKL52" s="12"/>
      <c r="SLC52" s="12"/>
      <c r="SLD52" s="12"/>
      <c r="SLU52" s="12"/>
      <c r="SLV52" s="12"/>
      <c r="SMM52" s="12"/>
      <c r="SMN52" s="12"/>
      <c r="SNE52" s="12"/>
      <c r="SNF52" s="12"/>
      <c r="SNW52" s="12"/>
      <c r="SNX52" s="12"/>
      <c r="SOO52" s="12"/>
      <c r="SOP52" s="12"/>
      <c r="SPG52" s="12"/>
      <c r="SPH52" s="12"/>
      <c r="SPY52" s="12"/>
      <c r="SPZ52" s="12"/>
      <c r="SQQ52" s="12"/>
      <c r="SQR52" s="12"/>
      <c r="SRI52" s="12"/>
      <c r="SRJ52" s="12"/>
      <c r="SSA52" s="12"/>
      <c r="SSB52" s="12"/>
      <c r="SSS52" s="12"/>
      <c r="SST52" s="12"/>
      <c r="STK52" s="12"/>
      <c r="STL52" s="12"/>
      <c r="SUC52" s="12"/>
      <c r="SUD52" s="12"/>
      <c r="SUU52" s="12"/>
      <c r="SUV52" s="12"/>
      <c r="SVM52" s="12"/>
      <c r="SVN52" s="12"/>
      <c r="SWE52" s="12"/>
      <c r="SWF52" s="12"/>
      <c r="SWW52" s="12"/>
      <c r="SWX52" s="12"/>
      <c r="SXO52" s="12"/>
      <c r="SXP52" s="12"/>
      <c r="SYG52" s="12"/>
      <c r="SYH52" s="12"/>
      <c r="SYY52" s="12"/>
      <c r="SYZ52" s="12"/>
      <c r="SZQ52" s="12"/>
      <c r="SZR52" s="12"/>
      <c r="TAI52" s="12"/>
      <c r="TAJ52" s="12"/>
      <c r="TBA52" s="12"/>
      <c r="TBB52" s="12"/>
      <c r="TBS52" s="12"/>
      <c r="TBT52" s="12"/>
      <c r="TCK52" s="12"/>
      <c r="TCL52" s="12"/>
      <c r="TDC52" s="12"/>
      <c r="TDD52" s="12"/>
      <c r="TDU52" s="12"/>
      <c r="TDV52" s="12"/>
      <c r="TEM52" s="12"/>
      <c r="TEN52" s="12"/>
      <c r="TFE52" s="12"/>
      <c r="TFF52" s="12"/>
      <c r="TFW52" s="12"/>
      <c r="TFX52" s="12"/>
      <c r="TGO52" s="12"/>
      <c r="TGP52" s="12"/>
      <c r="THG52" s="12"/>
      <c r="THH52" s="12"/>
      <c r="THY52" s="12"/>
      <c r="THZ52" s="12"/>
      <c r="TIQ52" s="12"/>
      <c r="TIR52" s="12"/>
      <c r="TJI52" s="12"/>
      <c r="TJJ52" s="12"/>
      <c r="TKA52" s="12"/>
      <c r="TKB52" s="12"/>
      <c r="TKS52" s="12"/>
      <c r="TKT52" s="12"/>
      <c r="TLK52" s="12"/>
      <c r="TLL52" s="12"/>
      <c r="TMC52" s="12"/>
      <c r="TMD52" s="12"/>
      <c r="TMU52" s="12"/>
      <c r="TMV52" s="12"/>
      <c r="TNM52" s="12"/>
      <c r="TNN52" s="12"/>
      <c r="TOE52" s="12"/>
      <c r="TOF52" s="12"/>
      <c r="TOW52" s="12"/>
      <c r="TOX52" s="12"/>
      <c r="TPO52" s="12"/>
      <c r="TPP52" s="12"/>
      <c r="TQG52" s="12"/>
      <c r="TQH52" s="12"/>
      <c r="TQY52" s="12"/>
      <c r="TQZ52" s="12"/>
      <c r="TRQ52" s="12"/>
      <c r="TRR52" s="12"/>
      <c r="TSI52" s="12"/>
      <c r="TSJ52" s="12"/>
      <c r="TTA52" s="12"/>
      <c r="TTB52" s="12"/>
      <c r="TTS52" s="12"/>
      <c r="TTT52" s="12"/>
      <c r="TUK52" s="12"/>
      <c r="TUL52" s="12"/>
      <c r="TVC52" s="12"/>
      <c r="TVD52" s="12"/>
      <c r="TVU52" s="12"/>
      <c r="TVV52" s="12"/>
      <c r="TWM52" s="12"/>
      <c r="TWN52" s="12"/>
      <c r="TXE52" s="12"/>
      <c r="TXF52" s="12"/>
      <c r="TXW52" s="12"/>
      <c r="TXX52" s="12"/>
      <c r="TYO52" s="12"/>
      <c r="TYP52" s="12"/>
      <c r="TZG52" s="12"/>
      <c r="TZH52" s="12"/>
      <c r="TZY52" s="12"/>
      <c r="TZZ52" s="12"/>
      <c r="UAQ52" s="12"/>
      <c r="UAR52" s="12"/>
      <c r="UBI52" s="12"/>
      <c r="UBJ52" s="12"/>
      <c r="UCA52" s="12"/>
      <c r="UCB52" s="12"/>
      <c r="UCS52" s="12"/>
      <c r="UCT52" s="12"/>
      <c r="UDK52" s="12"/>
      <c r="UDL52" s="12"/>
      <c r="UEC52" s="12"/>
      <c r="UED52" s="12"/>
      <c r="UEU52" s="12"/>
      <c r="UEV52" s="12"/>
      <c r="UFM52" s="12"/>
      <c r="UFN52" s="12"/>
      <c r="UGE52" s="12"/>
      <c r="UGF52" s="12"/>
      <c r="UGW52" s="12"/>
      <c r="UGX52" s="12"/>
      <c r="UHO52" s="12"/>
      <c r="UHP52" s="12"/>
      <c r="UIG52" s="12"/>
      <c r="UIH52" s="12"/>
      <c r="UIY52" s="12"/>
      <c r="UIZ52" s="12"/>
      <c r="UJQ52" s="12"/>
      <c r="UJR52" s="12"/>
      <c r="UKI52" s="12"/>
      <c r="UKJ52" s="12"/>
      <c r="ULA52" s="12"/>
      <c r="ULB52" s="12"/>
      <c r="ULS52" s="12"/>
      <c r="ULT52" s="12"/>
      <c r="UMK52" s="12"/>
      <c r="UML52" s="12"/>
      <c r="UNC52" s="12"/>
      <c r="UND52" s="12"/>
      <c r="UNU52" s="12"/>
      <c r="UNV52" s="12"/>
      <c r="UOM52" s="12"/>
      <c r="UON52" s="12"/>
      <c r="UPE52" s="12"/>
      <c r="UPF52" s="12"/>
      <c r="UPW52" s="12"/>
      <c r="UPX52" s="12"/>
      <c r="UQO52" s="12"/>
      <c r="UQP52" s="12"/>
      <c r="URG52" s="12"/>
      <c r="URH52" s="12"/>
      <c r="URY52" s="12"/>
      <c r="URZ52" s="12"/>
      <c r="USQ52" s="12"/>
      <c r="USR52" s="12"/>
      <c r="UTI52" s="12"/>
      <c r="UTJ52" s="12"/>
      <c r="UUA52" s="12"/>
      <c r="UUB52" s="12"/>
      <c r="UUS52" s="12"/>
      <c r="UUT52" s="12"/>
      <c r="UVK52" s="12"/>
      <c r="UVL52" s="12"/>
      <c r="UWC52" s="12"/>
      <c r="UWD52" s="12"/>
      <c r="UWU52" s="12"/>
      <c r="UWV52" s="12"/>
      <c r="UXM52" s="12"/>
      <c r="UXN52" s="12"/>
      <c r="UYE52" s="12"/>
      <c r="UYF52" s="12"/>
      <c r="UYW52" s="12"/>
      <c r="UYX52" s="12"/>
      <c r="UZO52" s="12"/>
      <c r="UZP52" s="12"/>
      <c r="VAG52" s="12"/>
      <c r="VAH52" s="12"/>
      <c r="VAY52" s="12"/>
      <c r="VAZ52" s="12"/>
      <c r="VBQ52" s="12"/>
      <c r="VBR52" s="12"/>
      <c r="VCI52" s="12"/>
      <c r="VCJ52" s="12"/>
      <c r="VDA52" s="12"/>
      <c r="VDB52" s="12"/>
      <c r="VDS52" s="12"/>
      <c r="VDT52" s="12"/>
      <c r="VEK52" s="12"/>
      <c r="VEL52" s="12"/>
      <c r="VFC52" s="12"/>
      <c r="VFD52" s="12"/>
      <c r="VFU52" s="12"/>
      <c r="VFV52" s="12"/>
      <c r="VGM52" s="12"/>
      <c r="VGN52" s="12"/>
      <c r="VHE52" s="12"/>
      <c r="VHF52" s="12"/>
      <c r="VHW52" s="12"/>
      <c r="VHX52" s="12"/>
      <c r="VIO52" s="12"/>
      <c r="VIP52" s="12"/>
      <c r="VJG52" s="12"/>
      <c r="VJH52" s="12"/>
      <c r="VJY52" s="12"/>
      <c r="VJZ52" s="12"/>
      <c r="VKQ52" s="12"/>
      <c r="VKR52" s="12"/>
      <c r="VLI52" s="12"/>
      <c r="VLJ52" s="12"/>
      <c r="VMA52" s="12"/>
      <c r="VMB52" s="12"/>
      <c r="VMS52" s="12"/>
      <c r="VMT52" s="12"/>
      <c r="VNK52" s="12"/>
      <c r="VNL52" s="12"/>
      <c r="VOC52" s="12"/>
      <c r="VOD52" s="12"/>
      <c r="VOU52" s="12"/>
      <c r="VOV52" s="12"/>
      <c r="VPM52" s="12"/>
      <c r="VPN52" s="12"/>
      <c r="VQE52" s="12"/>
      <c r="VQF52" s="12"/>
      <c r="VQW52" s="12"/>
      <c r="VQX52" s="12"/>
      <c r="VRO52" s="12"/>
      <c r="VRP52" s="12"/>
      <c r="VSG52" s="12"/>
      <c r="VSH52" s="12"/>
      <c r="VSY52" s="12"/>
      <c r="VSZ52" s="12"/>
      <c r="VTQ52" s="12"/>
      <c r="VTR52" s="12"/>
      <c r="VUI52" s="12"/>
      <c r="VUJ52" s="12"/>
      <c r="VVA52" s="12"/>
      <c r="VVB52" s="12"/>
      <c r="VVS52" s="12"/>
      <c r="VVT52" s="12"/>
      <c r="VWK52" s="12"/>
      <c r="VWL52" s="12"/>
      <c r="VXC52" s="12"/>
      <c r="VXD52" s="12"/>
      <c r="VXU52" s="12"/>
      <c r="VXV52" s="12"/>
      <c r="VYM52" s="12"/>
      <c r="VYN52" s="12"/>
      <c r="VZE52" s="12"/>
      <c r="VZF52" s="12"/>
      <c r="VZW52" s="12"/>
      <c r="VZX52" s="12"/>
      <c r="WAO52" s="12"/>
      <c r="WAP52" s="12"/>
      <c r="WBG52" s="12"/>
      <c r="WBH52" s="12"/>
      <c r="WBY52" s="12"/>
      <c r="WBZ52" s="12"/>
      <c r="WCQ52" s="12"/>
      <c r="WCR52" s="12"/>
      <c r="WDI52" s="12"/>
      <c r="WDJ52" s="12"/>
      <c r="WEA52" s="12"/>
      <c r="WEB52" s="12"/>
      <c r="WES52" s="12"/>
      <c r="WET52" s="12"/>
      <c r="WFK52" s="12"/>
      <c r="WFL52" s="12"/>
      <c r="WGC52" s="12"/>
      <c r="WGD52" s="12"/>
      <c r="WGU52" s="12"/>
      <c r="WGV52" s="12"/>
      <c r="WHM52" s="12"/>
      <c r="WHN52" s="12"/>
      <c r="WIE52" s="12"/>
      <c r="WIF52" s="12"/>
      <c r="WIW52" s="12"/>
      <c r="WIX52" s="12"/>
      <c r="WJO52" s="12"/>
      <c r="WJP52" s="12"/>
      <c r="WKG52" s="12"/>
      <c r="WKH52" s="12"/>
      <c r="WKY52" s="12"/>
      <c r="WKZ52" s="12"/>
      <c r="WLQ52" s="12"/>
      <c r="WLR52" s="12"/>
      <c r="WMI52" s="12"/>
      <c r="WMJ52" s="12"/>
      <c r="WNA52" s="12"/>
      <c r="WNB52" s="12"/>
      <c r="WNS52" s="12"/>
      <c r="WNT52" s="12"/>
      <c r="WOK52" s="12"/>
      <c r="WOL52" s="12"/>
      <c r="WPC52" s="12"/>
      <c r="WPD52" s="12"/>
      <c r="WPU52" s="12"/>
      <c r="WPV52" s="12"/>
      <c r="WQM52" s="12"/>
      <c r="WQN52" s="12"/>
      <c r="WRE52" s="12"/>
      <c r="WRF52" s="12"/>
      <c r="WRW52" s="12"/>
      <c r="WRX52" s="12"/>
      <c r="WSO52" s="12"/>
      <c r="WSP52" s="12"/>
      <c r="WTG52" s="12"/>
      <c r="WTH52" s="12"/>
      <c r="WTY52" s="12"/>
      <c r="WTZ52" s="12"/>
      <c r="WUQ52" s="12"/>
      <c r="WUR52" s="12"/>
      <c r="WVI52" s="12"/>
      <c r="WVJ52" s="12"/>
      <c r="WWA52" s="12"/>
      <c r="WWB52" s="12"/>
      <c r="WWS52" s="12"/>
      <c r="WWT52" s="12"/>
      <c r="WXK52" s="12"/>
      <c r="WXL52" s="12"/>
      <c r="WYC52" s="12"/>
      <c r="WYD52" s="12"/>
      <c r="WYU52" s="12"/>
      <c r="WYV52" s="12"/>
      <c r="WZM52" s="12"/>
      <c r="WZN52" s="12"/>
      <c r="XAE52" s="12"/>
      <c r="XAF52" s="12"/>
      <c r="XAW52" s="12"/>
      <c r="XAX52" s="12"/>
      <c r="XBO52" s="12"/>
      <c r="XBP52" s="12"/>
      <c r="XCG52" s="12"/>
      <c r="XCH52" s="12"/>
      <c r="XCY52" s="12"/>
      <c r="XCZ52" s="12"/>
      <c r="XDQ52" s="12"/>
      <c r="XDR52" s="12"/>
      <c r="XEI52" s="12"/>
      <c r="XEJ52" s="12"/>
      <c r="XFA52" s="12"/>
      <c r="XFB52" s="12"/>
    </row>
    <row r="53" spans="1:1010 1027:2036 2053:3062 3079:4088 4105:5114 5131:6140 6157:7166 7183:8192 8209:9200 9217:10226 10243:11252 11269:12278 12295:13304 13321:14330 14347:15356 15373:16382" x14ac:dyDescent="0.35">
      <c r="A53" s="181" t="s">
        <v>288</v>
      </c>
      <c r="B53" s="181" t="s">
        <v>289</v>
      </c>
      <c r="C53" s="182">
        <v>0</v>
      </c>
      <c r="D53" s="182">
        <v>0</v>
      </c>
      <c r="E53" s="182">
        <v>0</v>
      </c>
      <c r="F53" s="182">
        <v>0</v>
      </c>
      <c r="G53" s="182">
        <v>0</v>
      </c>
      <c r="H53" s="182">
        <v>0</v>
      </c>
      <c r="I53" s="182">
        <v>0</v>
      </c>
      <c r="J53" s="182">
        <v>0</v>
      </c>
      <c r="K53" s="182">
        <v>0</v>
      </c>
      <c r="L53" s="182">
        <v>0</v>
      </c>
      <c r="M53" s="136"/>
      <c r="N53" s="136"/>
      <c r="O53" s="136"/>
      <c r="P53" s="136"/>
      <c r="Q53" s="136"/>
      <c r="R53" s="136"/>
    </row>
    <row r="54" spans="1:1010 1027:2036 2053:3062 3079:4088 4105:5114 5131:6140 6157:7166 7183:8192 8209:9200 9217:10226 10243:11252 11269:12278 12295:13304 13321:14330 14347:15356 15373:16382" x14ac:dyDescent="0.35">
      <c r="A54" s="181" t="s">
        <v>290</v>
      </c>
      <c r="B54" s="181" t="s">
        <v>291</v>
      </c>
      <c r="C54" s="182">
        <v>0</v>
      </c>
      <c r="D54" s="182">
        <v>0</v>
      </c>
      <c r="E54" s="182">
        <v>0</v>
      </c>
      <c r="F54" s="182">
        <v>0</v>
      </c>
      <c r="G54" s="182">
        <v>0</v>
      </c>
      <c r="H54" s="182">
        <v>0</v>
      </c>
      <c r="I54" s="182">
        <v>0</v>
      </c>
      <c r="J54" s="182">
        <v>0</v>
      </c>
      <c r="K54" s="182">
        <v>0</v>
      </c>
      <c r="L54" s="182">
        <v>0</v>
      </c>
      <c r="M54" s="136"/>
      <c r="N54" s="136"/>
      <c r="O54" s="136"/>
      <c r="P54" s="136"/>
      <c r="Q54" s="136"/>
      <c r="R54" s="136"/>
    </row>
    <row r="55" spans="1:1010 1027:2036 2053:3062 3079:4088 4105:5114 5131:6140 6157:7166 7183:8192 8209:9200 9217:10226 10243:11252 11269:12278 12295:13304 13321:14330 14347:15356 15373:16382" x14ac:dyDescent="0.35">
      <c r="A55" s="23" t="s">
        <v>29</v>
      </c>
      <c r="B55" s="23"/>
      <c r="C55" s="322">
        <f t="shared" ref="C55:L55" si="10">ROUND(SUM(C53:C54)-IF(C52="",0,C52),1)</f>
        <v>0</v>
      </c>
      <c r="D55" s="322">
        <f t="shared" si="10"/>
        <v>0</v>
      </c>
      <c r="E55" s="322">
        <f t="shared" si="10"/>
        <v>0</v>
      </c>
      <c r="F55" s="322">
        <f t="shared" si="10"/>
        <v>0</v>
      </c>
      <c r="G55" s="322">
        <f t="shared" si="10"/>
        <v>0</v>
      </c>
      <c r="H55" s="322">
        <f t="shared" si="10"/>
        <v>0</v>
      </c>
      <c r="I55" s="322">
        <f t="shared" si="10"/>
        <v>0</v>
      </c>
      <c r="J55" s="322">
        <f t="shared" si="10"/>
        <v>0</v>
      </c>
      <c r="K55" s="322">
        <f t="shared" si="10"/>
        <v>0</v>
      </c>
      <c r="L55" s="322">
        <f t="shared" si="10"/>
        <v>0</v>
      </c>
      <c r="M55" s="137"/>
      <c r="N55" s="137"/>
      <c r="O55" s="137"/>
      <c r="P55" s="137"/>
      <c r="Q55" s="137"/>
      <c r="R55" s="137"/>
    </row>
    <row r="56" spans="1:1010 1027:2036 2053:3062 3079:4088 4105:5114 5131:6140 6157:7166 7183:8192 8209:9200 9217:10226 10243:11252 11269:12278 12295:13304 13321:14330 14347:15356 15373:16382" x14ac:dyDescent="0.35">
      <c r="A56" s="187" t="s">
        <v>292</v>
      </c>
      <c r="B56" s="187" t="s">
        <v>293</v>
      </c>
      <c r="C56" s="188">
        <v>20.266999999999999</v>
      </c>
      <c r="D56" s="188">
        <v>23.178999999999998</v>
      </c>
      <c r="E56" s="188">
        <v>20.277000000000001</v>
      </c>
      <c r="F56" s="188">
        <v>2.1720000000000002</v>
      </c>
      <c r="G56" s="188">
        <v>38.628999999999998</v>
      </c>
      <c r="H56" s="188">
        <v>42.572000000000003</v>
      </c>
      <c r="I56" s="188">
        <v>65.468999999999994</v>
      </c>
      <c r="J56" s="188">
        <v>72.379000000000005</v>
      </c>
      <c r="K56" s="188">
        <v>66.257000000000005</v>
      </c>
      <c r="L56" s="188">
        <v>74.052000000000007</v>
      </c>
      <c r="M56" s="135"/>
      <c r="N56" s="135"/>
      <c r="O56" s="135"/>
      <c r="P56" s="135"/>
      <c r="Q56" s="135"/>
      <c r="R56" s="135"/>
    </row>
    <row r="57" spans="1:1010 1027:2036 2053:3062 3079:4088 4105:5114 5131:6140 6157:7166 7183:8192 8209:9200 9217:10226 10243:11252 11269:12278 12295:13304 13321:14330 14347:15356 15373:16382" s="11" customFormat="1" x14ac:dyDescent="0.35">
      <c r="A57" s="183" t="s">
        <v>294</v>
      </c>
      <c r="B57" s="183" t="s">
        <v>295</v>
      </c>
      <c r="C57" s="184">
        <v>0</v>
      </c>
      <c r="D57" s="184">
        <v>0</v>
      </c>
      <c r="E57" s="184">
        <v>0</v>
      </c>
      <c r="F57" s="184">
        <v>0</v>
      </c>
      <c r="G57" s="184">
        <v>0</v>
      </c>
      <c r="H57" s="184">
        <v>0</v>
      </c>
      <c r="I57" s="184">
        <v>0</v>
      </c>
      <c r="J57" s="184">
        <v>0</v>
      </c>
      <c r="K57" s="184">
        <v>0</v>
      </c>
      <c r="L57" s="184">
        <v>0</v>
      </c>
      <c r="S57" s="12"/>
      <c r="T57" s="12"/>
      <c r="AK57" s="12"/>
      <c r="AL57" s="12"/>
      <c r="BC57" s="12"/>
      <c r="BD57" s="12"/>
      <c r="BU57" s="12"/>
      <c r="BV57" s="12"/>
      <c r="CM57" s="12"/>
      <c r="CN57" s="12"/>
      <c r="DE57" s="12"/>
      <c r="DF57" s="12"/>
      <c r="DW57" s="12"/>
      <c r="DX57" s="12"/>
      <c r="EO57" s="12"/>
      <c r="EP57" s="12"/>
      <c r="FG57" s="12"/>
      <c r="FH57" s="12"/>
      <c r="FY57" s="12"/>
      <c r="FZ57" s="12"/>
      <c r="GQ57" s="12"/>
      <c r="GR57" s="12"/>
      <c r="HI57" s="12"/>
      <c r="HJ57" s="12"/>
      <c r="IA57" s="12"/>
      <c r="IB57" s="12"/>
      <c r="IS57" s="12"/>
      <c r="IT57" s="12"/>
      <c r="JK57" s="12"/>
      <c r="JL57" s="12"/>
      <c r="KC57" s="12"/>
      <c r="KD57" s="12"/>
      <c r="KU57" s="12"/>
      <c r="KV57" s="12"/>
      <c r="LM57" s="12"/>
      <c r="LN57" s="12"/>
      <c r="ME57" s="12"/>
      <c r="MF57" s="12"/>
      <c r="MW57" s="12"/>
      <c r="MX57" s="12"/>
      <c r="NO57" s="12"/>
      <c r="NP57" s="12"/>
      <c r="OG57" s="12"/>
      <c r="OH57" s="12"/>
      <c r="OY57" s="12"/>
      <c r="OZ57" s="12"/>
      <c r="PQ57" s="12"/>
      <c r="PR57" s="12"/>
      <c r="QI57" s="12"/>
      <c r="QJ57" s="12"/>
      <c r="RA57" s="12"/>
      <c r="RB57" s="12"/>
      <c r="RS57" s="12"/>
      <c r="RT57" s="12"/>
      <c r="SK57" s="12"/>
      <c r="SL57" s="12"/>
      <c r="TC57" s="12"/>
      <c r="TD57" s="12"/>
      <c r="TU57" s="12"/>
      <c r="TV57" s="12"/>
      <c r="UM57" s="12"/>
      <c r="UN57" s="12"/>
      <c r="VE57" s="12"/>
      <c r="VF57" s="12"/>
      <c r="VW57" s="12"/>
      <c r="VX57" s="12"/>
      <c r="WO57" s="12"/>
      <c r="WP57" s="12"/>
      <c r="XG57" s="12"/>
      <c r="XH57" s="12"/>
      <c r="XY57" s="12"/>
      <c r="XZ57" s="12"/>
      <c r="YQ57" s="12"/>
      <c r="YR57" s="12"/>
      <c r="ZI57" s="12"/>
      <c r="ZJ57" s="12"/>
      <c r="AAA57" s="12"/>
      <c r="AAB57" s="12"/>
      <c r="AAS57" s="12"/>
      <c r="AAT57" s="12"/>
      <c r="ABK57" s="12"/>
      <c r="ABL57" s="12"/>
      <c r="ACC57" s="12"/>
      <c r="ACD57" s="12"/>
      <c r="ACU57" s="12"/>
      <c r="ACV57" s="12"/>
      <c r="ADM57" s="12"/>
      <c r="ADN57" s="12"/>
      <c r="AEE57" s="12"/>
      <c r="AEF57" s="12"/>
      <c r="AEW57" s="12"/>
      <c r="AEX57" s="12"/>
      <c r="AFO57" s="12"/>
      <c r="AFP57" s="12"/>
      <c r="AGG57" s="12"/>
      <c r="AGH57" s="12"/>
      <c r="AGY57" s="12"/>
      <c r="AGZ57" s="12"/>
      <c r="AHQ57" s="12"/>
      <c r="AHR57" s="12"/>
      <c r="AII57" s="12"/>
      <c r="AIJ57" s="12"/>
      <c r="AJA57" s="12"/>
      <c r="AJB57" s="12"/>
      <c r="AJS57" s="12"/>
      <c r="AJT57" s="12"/>
      <c r="AKK57" s="12"/>
      <c r="AKL57" s="12"/>
      <c r="ALC57" s="12"/>
      <c r="ALD57" s="12"/>
      <c r="ALU57" s="12"/>
      <c r="ALV57" s="12"/>
      <c r="AMM57" s="12"/>
      <c r="AMN57" s="12"/>
      <c r="ANE57" s="12"/>
      <c r="ANF57" s="12"/>
      <c r="ANW57" s="12"/>
      <c r="ANX57" s="12"/>
      <c r="AOO57" s="12"/>
      <c r="AOP57" s="12"/>
      <c r="APG57" s="12"/>
      <c r="APH57" s="12"/>
      <c r="APY57" s="12"/>
      <c r="APZ57" s="12"/>
      <c r="AQQ57" s="12"/>
      <c r="AQR57" s="12"/>
      <c r="ARI57" s="12"/>
      <c r="ARJ57" s="12"/>
      <c r="ASA57" s="12"/>
      <c r="ASB57" s="12"/>
      <c r="ASS57" s="12"/>
      <c r="AST57" s="12"/>
      <c r="ATK57" s="12"/>
      <c r="ATL57" s="12"/>
      <c r="AUC57" s="12"/>
      <c r="AUD57" s="12"/>
      <c r="AUU57" s="12"/>
      <c r="AUV57" s="12"/>
      <c r="AVM57" s="12"/>
      <c r="AVN57" s="12"/>
      <c r="AWE57" s="12"/>
      <c r="AWF57" s="12"/>
      <c r="AWW57" s="12"/>
      <c r="AWX57" s="12"/>
      <c r="AXO57" s="12"/>
      <c r="AXP57" s="12"/>
      <c r="AYG57" s="12"/>
      <c r="AYH57" s="12"/>
      <c r="AYY57" s="12"/>
      <c r="AYZ57" s="12"/>
      <c r="AZQ57" s="12"/>
      <c r="AZR57" s="12"/>
      <c r="BAI57" s="12"/>
      <c r="BAJ57" s="12"/>
      <c r="BBA57" s="12"/>
      <c r="BBB57" s="12"/>
      <c r="BBS57" s="12"/>
      <c r="BBT57" s="12"/>
      <c r="BCK57" s="12"/>
      <c r="BCL57" s="12"/>
      <c r="BDC57" s="12"/>
      <c r="BDD57" s="12"/>
      <c r="BDU57" s="12"/>
      <c r="BDV57" s="12"/>
      <c r="BEM57" s="12"/>
      <c r="BEN57" s="12"/>
      <c r="BFE57" s="12"/>
      <c r="BFF57" s="12"/>
      <c r="BFW57" s="12"/>
      <c r="BFX57" s="12"/>
      <c r="BGO57" s="12"/>
      <c r="BGP57" s="12"/>
      <c r="BHG57" s="12"/>
      <c r="BHH57" s="12"/>
      <c r="BHY57" s="12"/>
      <c r="BHZ57" s="12"/>
      <c r="BIQ57" s="12"/>
      <c r="BIR57" s="12"/>
      <c r="BJI57" s="12"/>
      <c r="BJJ57" s="12"/>
      <c r="BKA57" s="12"/>
      <c r="BKB57" s="12"/>
      <c r="BKS57" s="12"/>
      <c r="BKT57" s="12"/>
      <c r="BLK57" s="12"/>
      <c r="BLL57" s="12"/>
      <c r="BMC57" s="12"/>
      <c r="BMD57" s="12"/>
      <c r="BMU57" s="12"/>
      <c r="BMV57" s="12"/>
      <c r="BNM57" s="12"/>
      <c r="BNN57" s="12"/>
      <c r="BOE57" s="12"/>
      <c r="BOF57" s="12"/>
      <c r="BOW57" s="12"/>
      <c r="BOX57" s="12"/>
      <c r="BPO57" s="12"/>
      <c r="BPP57" s="12"/>
      <c r="BQG57" s="12"/>
      <c r="BQH57" s="12"/>
      <c r="BQY57" s="12"/>
      <c r="BQZ57" s="12"/>
      <c r="BRQ57" s="12"/>
      <c r="BRR57" s="12"/>
      <c r="BSI57" s="12"/>
      <c r="BSJ57" s="12"/>
      <c r="BTA57" s="12"/>
      <c r="BTB57" s="12"/>
      <c r="BTS57" s="12"/>
      <c r="BTT57" s="12"/>
      <c r="BUK57" s="12"/>
      <c r="BUL57" s="12"/>
      <c r="BVC57" s="12"/>
      <c r="BVD57" s="12"/>
      <c r="BVU57" s="12"/>
      <c r="BVV57" s="12"/>
      <c r="BWM57" s="12"/>
      <c r="BWN57" s="12"/>
      <c r="BXE57" s="12"/>
      <c r="BXF57" s="12"/>
      <c r="BXW57" s="12"/>
      <c r="BXX57" s="12"/>
      <c r="BYO57" s="12"/>
      <c r="BYP57" s="12"/>
      <c r="BZG57" s="12"/>
      <c r="BZH57" s="12"/>
      <c r="BZY57" s="12"/>
      <c r="BZZ57" s="12"/>
      <c r="CAQ57" s="12"/>
      <c r="CAR57" s="12"/>
      <c r="CBI57" s="12"/>
      <c r="CBJ57" s="12"/>
      <c r="CCA57" s="12"/>
      <c r="CCB57" s="12"/>
      <c r="CCS57" s="12"/>
      <c r="CCT57" s="12"/>
      <c r="CDK57" s="12"/>
      <c r="CDL57" s="12"/>
      <c r="CEC57" s="12"/>
      <c r="CED57" s="12"/>
      <c r="CEU57" s="12"/>
      <c r="CEV57" s="12"/>
      <c r="CFM57" s="12"/>
      <c r="CFN57" s="12"/>
      <c r="CGE57" s="12"/>
      <c r="CGF57" s="12"/>
      <c r="CGW57" s="12"/>
      <c r="CGX57" s="12"/>
      <c r="CHO57" s="12"/>
      <c r="CHP57" s="12"/>
      <c r="CIG57" s="12"/>
      <c r="CIH57" s="12"/>
      <c r="CIY57" s="12"/>
      <c r="CIZ57" s="12"/>
      <c r="CJQ57" s="12"/>
      <c r="CJR57" s="12"/>
      <c r="CKI57" s="12"/>
      <c r="CKJ57" s="12"/>
      <c r="CLA57" s="12"/>
      <c r="CLB57" s="12"/>
      <c r="CLS57" s="12"/>
      <c r="CLT57" s="12"/>
      <c r="CMK57" s="12"/>
      <c r="CML57" s="12"/>
      <c r="CNC57" s="12"/>
      <c r="CND57" s="12"/>
      <c r="CNU57" s="12"/>
      <c r="CNV57" s="12"/>
      <c r="COM57" s="12"/>
      <c r="CON57" s="12"/>
      <c r="CPE57" s="12"/>
      <c r="CPF57" s="12"/>
      <c r="CPW57" s="12"/>
      <c r="CPX57" s="12"/>
      <c r="CQO57" s="12"/>
      <c r="CQP57" s="12"/>
      <c r="CRG57" s="12"/>
      <c r="CRH57" s="12"/>
      <c r="CRY57" s="12"/>
      <c r="CRZ57" s="12"/>
      <c r="CSQ57" s="12"/>
      <c r="CSR57" s="12"/>
      <c r="CTI57" s="12"/>
      <c r="CTJ57" s="12"/>
      <c r="CUA57" s="12"/>
      <c r="CUB57" s="12"/>
      <c r="CUS57" s="12"/>
      <c r="CUT57" s="12"/>
      <c r="CVK57" s="12"/>
      <c r="CVL57" s="12"/>
      <c r="CWC57" s="12"/>
      <c r="CWD57" s="12"/>
      <c r="CWU57" s="12"/>
      <c r="CWV57" s="12"/>
      <c r="CXM57" s="12"/>
      <c r="CXN57" s="12"/>
      <c r="CYE57" s="12"/>
      <c r="CYF57" s="12"/>
      <c r="CYW57" s="12"/>
      <c r="CYX57" s="12"/>
      <c r="CZO57" s="12"/>
      <c r="CZP57" s="12"/>
      <c r="DAG57" s="12"/>
      <c r="DAH57" s="12"/>
      <c r="DAY57" s="12"/>
      <c r="DAZ57" s="12"/>
      <c r="DBQ57" s="12"/>
      <c r="DBR57" s="12"/>
      <c r="DCI57" s="12"/>
      <c r="DCJ57" s="12"/>
      <c r="DDA57" s="12"/>
      <c r="DDB57" s="12"/>
      <c r="DDS57" s="12"/>
      <c r="DDT57" s="12"/>
      <c r="DEK57" s="12"/>
      <c r="DEL57" s="12"/>
      <c r="DFC57" s="12"/>
      <c r="DFD57" s="12"/>
      <c r="DFU57" s="12"/>
      <c r="DFV57" s="12"/>
      <c r="DGM57" s="12"/>
      <c r="DGN57" s="12"/>
      <c r="DHE57" s="12"/>
      <c r="DHF57" s="12"/>
      <c r="DHW57" s="12"/>
      <c r="DHX57" s="12"/>
      <c r="DIO57" s="12"/>
      <c r="DIP57" s="12"/>
      <c r="DJG57" s="12"/>
      <c r="DJH57" s="12"/>
      <c r="DJY57" s="12"/>
      <c r="DJZ57" s="12"/>
      <c r="DKQ57" s="12"/>
      <c r="DKR57" s="12"/>
      <c r="DLI57" s="12"/>
      <c r="DLJ57" s="12"/>
      <c r="DMA57" s="12"/>
      <c r="DMB57" s="12"/>
      <c r="DMS57" s="12"/>
      <c r="DMT57" s="12"/>
      <c r="DNK57" s="12"/>
      <c r="DNL57" s="12"/>
      <c r="DOC57" s="12"/>
      <c r="DOD57" s="12"/>
      <c r="DOU57" s="12"/>
      <c r="DOV57" s="12"/>
      <c r="DPM57" s="12"/>
      <c r="DPN57" s="12"/>
      <c r="DQE57" s="12"/>
      <c r="DQF57" s="12"/>
      <c r="DQW57" s="12"/>
      <c r="DQX57" s="12"/>
      <c r="DRO57" s="12"/>
      <c r="DRP57" s="12"/>
      <c r="DSG57" s="12"/>
      <c r="DSH57" s="12"/>
      <c r="DSY57" s="12"/>
      <c r="DSZ57" s="12"/>
      <c r="DTQ57" s="12"/>
      <c r="DTR57" s="12"/>
      <c r="DUI57" s="12"/>
      <c r="DUJ57" s="12"/>
      <c r="DVA57" s="12"/>
      <c r="DVB57" s="12"/>
      <c r="DVS57" s="12"/>
      <c r="DVT57" s="12"/>
      <c r="DWK57" s="12"/>
      <c r="DWL57" s="12"/>
      <c r="DXC57" s="12"/>
      <c r="DXD57" s="12"/>
      <c r="DXU57" s="12"/>
      <c r="DXV57" s="12"/>
      <c r="DYM57" s="12"/>
      <c r="DYN57" s="12"/>
      <c r="DZE57" s="12"/>
      <c r="DZF57" s="12"/>
      <c r="DZW57" s="12"/>
      <c r="DZX57" s="12"/>
      <c r="EAO57" s="12"/>
      <c r="EAP57" s="12"/>
      <c r="EBG57" s="12"/>
      <c r="EBH57" s="12"/>
      <c r="EBY57" s="12"/>
      <c r="EBZ57" s="12"/>
      <c r="ECQ57" s="12"/>
      <c r="ECR57" s="12"/>
      <c r="EDI57" s="12"/>
      <c r="EDJ57" s="12"/>
      <c r="EEA57" s="12"/>
      <c r="EEB57" s="12"/>
      <c r="EES57" s="12"/>
      <c r="EET57" s="12"/>
      <c r="EFK57" s="12"/>
      <c r="EFL57" s="12"/>
      <c r="EGC57" s="12"/>
      <c r="EGD57" s="12"/>
      <c r="EGU57" s="12"/>
      <c r="EGV57" s="12"/>
      <c r="EHM57" s="12"/>
      <c r="EHN57" s="12"/>
      <c r="EIE57" s="12"/>
      <c r="EIF57" s="12"/>
      <c r="EIW57" s="12"/>
      <c r="EIX57" s="12"/>
      <c r="EJO57" s="12"/>
      <c r="EJP57" s="12"/>
      <c r="EKG57" s="12"/>
      <c r="EKH57" s="12"/>
      <c r="EKY57" s="12"/>
      <c r="EKZ57" s="12"/>
      <c r="ELQ57" s="12"/>
      <c r="ELR57" s="12"/>
      <c r="EMI57" s="12"/>
      <c r="EMJ57" s="12"/>
      <c r="ENA57" s="12"/>
      <c r="ENB57" s="12"/>
      <c r="ENS57" s="12"/>
      <c r="ENT57" s="12"/>
      <c r="EOK57" s="12"/>
      <c r="EOL57" s="12"/>
      <c r="EPC57" s="12"/>
      <c r="EPD57" s="12"/>
      <c r="EPU57" s="12"/>
      <c r="EPV57" s="12"/>
      <c r="EQM57" s="12"/>
      <c r="EQN57" s="12"/>
      <c r="ERE57" s="12"/>
      <c r="ERF57" s="12"/>
      <c r="ERW57" s="12"/>
      <c r="ERX57" s="12"/>
      <c r="ESO57" s="12"/>
      <c r="ESP57" s="12"/>
      <c r="ETG57" s="12"/>
      <c r="ETH57" s="12"/>
      <c r="ETY57" s="12"/>
      <c r="ETZ57" s="12"/>
      <c r="EUQ57" s="12"/>
      <c r="EUR57" s="12"/>
      <c r="EVI57" s="12"/>
      <c r="EVJ57" s="12"/>
      <c r="EWA57" s="12"/>
      <c r="EWB57" s="12"/>
      <c r="EWS57" s="12"/>
      <c r="EWT57" s="12"/>
      <c r="EXK57" s="12"/>
      <c r="EXL57" s="12"/>
      <c r="EYC57" s="12"/>
      <c r="EYD57" s="12"/>
      <c r="EYU57" s="12"/>
      <c r="EYV57" s="12"/>
      <c r="EZM57" s="12"/>
      <c r="EZN57" s="12"/>
      <c r="FAE57" s="12"/>
      <c r="FAF57" s="12"/>
      <c r="FAW57" s="12"/>
      <c r="FAX57" s="12"/>
      <c r="FBO57" s="12"/>
      <c r="FBP57" s="12"/>
      <c r="FCG57" s="12"/>
      <c r="FCH57" s="12"/>
      <c r="FCY57" s="12"/>
      <c r="FCZ57" s="12"/>
      <c r="FDQ57" s="12"/>
      <c r="FDR57" s="12"/>
      <c r="FEI57" s="12"/>
      <c r="FEJ57" s="12"/>
      <c r="FFA57" s="12"/>
      <c r="FFB57" s="12"/>
      <c r="FFS57" s="12"/>
      <c r="FFT57" s="12"/>
      <c r="FGK57" s="12"/>
      <c r="FGL57" s="12"/>
      <c r="FHC57" s="12"/>
      <c r="FHD57" s="12"/>
      <c r="FHU57" s="12"/>
      <c r="FHV57" s="12"/>
      <c r="FIM57" s="12"/>
      <c r="FIN57" s="12"/>
      <c r="FJE57" s="12"/>
      <c r="FJF57" s="12"/>
      <c r="FJW57" s="12"/>
      <c r="FJX57" s="12"/>
      <c r="FKO57" s="12"/>
      <c r="FKP57" s="12"/>
      <c r="FLG57" s="12"/>
      <c r="FLH57" s="12"/>
      <c r="FLY57" s="12"/>
      <c r="FLZ57" s="12"/>
      <c r="FMQ57" s="12"/>
      <c r="FMR57" s="12"/>
      <c r="FNI57" s="12"/>
      <c r="FNJ57" s="12"/>
      <c r="FOA57" s="12"/>
      <c r="FOB57" s="12"/>
      <c r="FOS57" s="12"/>
      <c r="FOT57" s="12"/>
      <c r="FPK57" s="12"/>
      <c r="FPL57" s="12"/>
      <c r="FQC57" s="12"/>
      <c r="FQD57" s="12"/>
      <c r="FQU57" s="12"/>
      <c r="FQV57" s="12"/>
      <c r="FRM57" s="12"/>
      <c r="FRN57" s="12"/>
      <c r="FSE57" s="12"/>
      <c r="FSF57" s="12"/>
      <c r="FSW57" s="12"/>
      <c r="FSX57" s="12"/>
      <c r="FTO57" s="12"/>
      <c r="FTP57" s="12"/>
      <c r="FUG57" s="12"/>
      <c r="FUH57" s="12"/>
      <c r="FUY57" s="12"/>
      <c r="FUZ57" s="12"/>
      <c r="FVQ57" s="12"/>
      <c r="FVR57" s="12"/>
      <c r="FWI57" s="12"/>
      <c r="FWJ57" s="12"/>
      <c r="FXA57" s="12"/>
      <c r="FXB57" s="12"/>
      <c r="FXS57" s="12"/>
      <c r="FXT57" s="12"/>
      <c r="FYK57" s="12"/>
      <c r="FYL57" s="12"/>
      <c r="FZC57" s="12"/>
      <c r="FZD57" s="12"/>
      <c r="FZU57" s="12"/>
      <c r="FZV57" s="12"/>
      <c r="GAM57" s="12"/>
      <c r="GAN57" s="12"/>
      <c r="GBE57" s="12"/>
      <c r="GBF57" s="12"/>
      <c r="GBW57" s="12"/>
      <c r="GBX57" s="12"/>
      <c r="GCO57" s="12"/>
      <c r="GCP57" s="12"/>
      <c r="GDG57" s="12"/>
      <c r="GDH57" s="12"/>
      <c r="GDY57" s="12"/>
      <c r="GDZ57" s="12"/>
      <c r="GEQ57" s="12"/>
      <c r="GER57" s="12"/>
      <c r="GFI57" s="12"/>
      <c r="GFJ57" s="12"/>
      <c r="GGA57" s="12"/>
      <c r="GGB57" s="12"/>
      <c r="GGS57" s="12"/>
      <c r="GGT57" s="12"/>
      <c r="GHK57" s="12"/>
      <c r="GHL57" s="12"/>
      <c r="GIC57" s="12"/>
      <c r="GID57" s="12"/>
      <c r="GIU57" s="12"/>
      <c r="GIV57" s="12"/>
      <c r="GJM57" s="12"/>
      <c r="GJN57" s="12"/>
      <c r="GKE57" s="12"/>
      <c r="GKF57" s="12"/>
      <c r="GKW57" s="12"/>
      <c r="GKX57" s="12"/>
      <c r="GLO57" s="12"/>
      <c r="GLP57" s="12"/>
      <c r="GMG57" s="12"/>
      <c r="GMH57" s="12"/>
      <c r="GMY57" s="12"/>
      <c r="GMZ57" s="12"/>
      <c r="GNQ57" s="12"/>
      <c r="GNR57" s="12"/>
      <c r="GOI57" s="12"/>
      <c r="GOJ57" s="12"/>
      <c r="GPA57" s="12"/>
      <c r="GPB57" s="12"/>
      <c r="GPS57" s="12"/>
      <c r="GPT57" s="12"/>
      <c r="GQK57" s="12"/>
      <c r="GQL57" s="12"/>
      <c r="GRC57" s="12"/>
      <c r="GRD57" s="12"/>
      <c r="GRU57" s="12"/>
      <c r="GRV57" s="12"/>
      <c r="GSM57" s="12"/>
      <c r="GSN57" s="12"/>
      <c r="GTE57" s="12"/>
      <c r="GTF57" s="12"/>
      <c r="GTW57" s="12"/>
      <c r="GTX57" s="12"/>
      <c r="GUO57" s="12"/>
      <c r="GUP57" s="12"/>
      <c r="GVG57" s="12"/>
      <c r="GVH57" s="12"/>
      <c r="GVY57" s="12"/>
      <c r="GVZ57" s="12"/>
      <c r="GWQ57" s="12"/>
      <c r="GWR57" s="12"/>
      <c r="GXI57" s="12"/>
      <c r="GXJ57" s="12"/>
      <c r="GYA57" s="12"/>
      <c r="GYB57" s="12"/>
      <c r="GYS57" s="12"/>
      <c r="GYT57" s="12"/>
      <c r="GZK57" s="12"/>
      <c r="GZL57" s="12"/>
      <c r="HAC57" s="12"/>
      <c r="HAD57" s="12"/>
      <c r="HAU57" s="12"/>
      <c r="HAV57" s="12"/>
      <c r="HBM57" s="12"/>
      <c r="HBN57" s="12"/>
      <c r="HCE57" s="12"/>
      <c r="HCF57" s="12"/>
      <c r="HCW57" s="12"/>
      <c r="HCX57" s="12"/>
      <c r="HDO57" s="12"/>
      <c r="HDP57" s="12"/>
      <c r="HEG57" s="12"/>
      <c r="HEH57" s="12"/>
      <c r="HEY57" s="12"/>
      <c r="HEZ57" s="12"/>
      <c r="HFQ57" s="12"/>
      <c r="HFR57" s="12"/>
      <c r="HGI57" s="12"/>
      <c r="HGJ57" s="12"/>
      <c r="HHA57" s="12"/>
      <c r="HHB57" s="12"/>
      <c r="HHS57" s="12"/>
      <c r="HHT57" s="12"/>
      <c r="HIK57" s="12"/>
      <c r="HIL57" s="12"/>
      <c r="HJC57" s="12"/>
      <c r="HJD57" s="12"/>
      <c r="HJU57" s="12"/>
      <c r="HJV57" s="12"/>
      <c r="HKM57" s="12"/>
      <c r="HKN57" s="12"/>
      <c r="HLE57" s="12"/>
      <c r="HLF57" s="12"/>
      <c r="HLW57" s="12"/>
      <c r="HLX57" s="12"/>
      <c r="HMO57" s="12"/>
      <c r="HMP57" s="12"/>
      <c r="HNG57" s="12"/>
      <c r="HNH57" s="12"/>
      <c r="HNY57" s="12"/>
      <c r="HNZ57" s="12"/>
      <c r="HOQ57" s="12"/>
      <c r="HOR57" s="12"/>
      <c r="HPI57" s="12"/>
      <c r="HPJ57" s="12"/>
      <c r="HQA57" s="12"/>
      <c r="HQB57" s="12"/>
      <c r="HQS57" s="12"/>
      <c r="HQT57" s="12"/>
      <c r="HRK57" s="12"/>
      <c r="HRL57" s="12"/>
      <c r="HSC57" s="12"/>
      <c r="HSD57" s="12"/>
      <c r="HSU57" s="12"/>
      <c r="HSV57" s="12"/>
      <c r="HTM57" s="12"/>
      <c r="HTN57" s="12"/>
      <c r="HUE57" s="12"/>
      <c r="HUF57" s="12"/>
      <c r="HUW57" s="12"/>
      <c r="HUX57" s="12"/>
      <c r="HVO57" s="12"/>
      <c r="HVP57" s="12"/>
      <c r="HWG57" s="12"/>
      <c r="HWH57" s="12"/>
      <c r="HWY57" s="12"/>
      <c r="HWZ57" s="12"/>
      <c r="HXQ57" s="12"/>
      <c r="HXR57" s="12"/>
      <c r="HYI57" s="12"/>
      <c r="HYJ57" s="12"/>
      <c r="HZA57" s="12"/>
      <c r="HZB57" s="12"/>
      <c r="HZS57" s="12"/>
      <c r="HZT57" s="12"/>
      <c r="IAK57" s="12"/>
      <c r="IAL57" s="12"/>
      <c r="IBC57" s="12"/>
      <c r="IBD57" s="12"/>
      <c r="IBU57" s="12"/>
      <c r="IBV57" s="12"/>
      <c r="ICM57" s="12"/>
      <c r="ICN57" s="12"/>
      <c r="IDE57" s="12"/>
      <c r="IDF57" s="12"/>
      <c r="IDW57" s="12"/>
      <c r="IDX57" s="12"/>
      <c r="IEO57" s="12"/>
      <c r="IEP57" s="12"/>
      <c r="IFG57" s="12"/>
      <c r="IFH57" s="12"/>
      <c r="IFY57" s="12"/>
      <c r="IFZ57" s="12"/>
      <c r="IGQ57" s="12"/>
      <c r="IGR57" s="12"/>
      <c r="IHI57" s="12"/>
      <c r="IHJ57" s="12"/>
      <c r="IIA57" s="12"/>
      <c r="IIB57" s="12"/>
      <c r="IIS57" s="12"/>
      <c r="IIT57" s="12"/>
      <c r="IJK57" s="12"/>
      <c r="IJL57" s="12"/>
      <c r="IKC57" s="12"/>
      <c r="IKD57" s="12"/>
      <c r="IKU57" s="12"/>
      <c r="IKV57" s="12"/>
      <c r="ILM57" s="12"/>
      <c r="ILN57" s="12"/>
      <c r="IME57" s="12"/>
      <c r="IMF57" s="12"/>
      <c r="IMW57" s="12"/>
      <c r="IMX57" s="12"/>
      <c r="INO57" s="12"/>
      <c r="INP57" s="12"/>
      <c r="IOG57" s="12"/>
      <c r="IOH57" s="12"/>
      <c r="IOY57" s="12"/>
      <c r="IOZ57" s="12"/>
      <c r="IPQ57" s="12"/>
      <c r="IPR57" s="12"/>
      <c r="IQI57" s="12"/>
      <c r="IQJ57" s="12"/>
      <c r="IRA57" s="12"/>
      <c r="IRB57" s="12"/>
      <c r="IRS57" s="12"/>
      <c r="IRT57" s="12"/>
      <c r="ISK57" s="12"/>
      <c r="ISL57" s="12"/>
      <c r="ITC57" s="12"/>
      <c r="ITD57" s="12"/>
      <c r="ITU57" s="12"/>
      <c r="ITV57" s="12"/>
      <c r="IUM57" s="12"/>
      <c r="IUN57" s="12"/>
      <c r="IVE57" s="12"/>
      <c r="IVF57" s="12"/>
      <c r="IVW57" s="12"/>
      <c r="IVX57" s="12"/>
      <c r="IWO57" s="12"/>
      <c r="IWP57" s="12"/>
      <c r="IXG57" s="12"/>
      <c r="IXH57" s="12"/>
      <c r="IXY57" s="12"/>
      <c r="IXZ57" s="12"/>
      <c r="IYQ57" s="12"/>
      <c r="IYR57" s="12"/>
      <c r="IZI57" s="12"/>
      <c r="IZJ57" s="12"/>
      <c r="JAA57" s="12"/>
      <c r="JAB57" s="12"/>
      <c r="JAS57" s="12"/>
      <c r="JAT57" s="12"/>
      <c r="JBK57" s="12"/>
      <c r="JBL57" s="12"/>
      <c r="JCC57" s="12"/>
      <c r="JCD57" s="12"/>
      <c r="JCU57" s="12"/>
      <c r="JCV57" s="12"/>
      <c r="JDM57" s="12"/>
      <c r="JDN57" s="12"/>
      <c r="JEE57" s="12"/>
      <c r="JEF57" s="12"/>
      <c r="JEW57" s="12"/>
      <c r="JEX57" s="12"/>
      <c r="JFO57" s="12"/>
      <c r="JFP57" s="12"/>
      <c r="JGG57" s="12"/>
      <c r="JGH57" s="12"/>
      <c r="JGY57" s="12"/>
      <c r="JGZ57" s="12"/>
      <c r="JHQ57" s="12"/>
      <c r="JHR57" s="12"/>
      <c r="JII57" s="12"/>
      <c r="JIJ57" s="12"/>
      <c r="JJA57" s="12"/>
      <c r="JJB57" s="12"/>
      <c r="JJS57" s="12"/>
      <c r="JJT57" s="12"/>
      <c r="JKK57" s="12"/>
      <c r="JKL57" s="12"/>
      <c r="JLC57" s="12"/>
      <c r="JLD57" s="12"/>
      <c r="JLU57" s="12"/>
      <c r="JLV57" s="12"/>
      <c r="JMM57" s="12"/>
      <c r="JMN57" s="12"/>
      <c r="JNE57" s="12"/>
      <c r="JNF57" s="12"/>
      <c r="JNW57" s="12"/>
      <c r="JNX57" s="12"/>
      <c r="JOO57" s="12"/>
      <c r="JOP57" s="12"/>
      <c r="JPG57" s="12"/>
      <c r="JPH57" s="12"/>
      <c r="JPY57" s="12"/>
      <c r="JPZ57" s="12"/>
      <c r="JQQ57" s="12"/>
      <c r="JQR57" s="12"/>
      <c r="JRI57" s="12"/>
      <c r="JRJ57" s="12"/>
      <c r="JSA57" s="12"/>
      <c r="JSB57" s="12"/>
      <c r="JSS57" s="12"/>
      <c r="JST57" s="12"/>
      <c r="JTK57" s="12"/>
      <c r="JTL57" s="12"/>
      <c r="JUC57" s="12"/>
      <c r="JUD57" s="12"/>
      <c r="JUU57" s="12"/>
      <c r="JUV57" s="12"/>
      <c r="JVM57" s="12"/>
      <c r="JVN57" s="12"/>
      <c r="JWE57" s="12"/>
      <c r="JWF57" s="12"/>
      <c r="JWW57" s="12"/>
      <c r="JWX57" s="12"/>
      <c r="JXO57" s="12"/>
      <c r="JXP57" s="12"/>
      <c r="JYG57" s="12"/>
      <c r="JYH57" s="12"/>
      <c r="JYY57" s="12"/>
      <c r="JYZ57" s="12"/>
      <c r="JZQ57" s="12"/>
      <c r="JZR57" s="12"/>
      <c r="KAI57" s="12"/>
      <c r="KAJ57" s="12"/>
      <c r="KBA57" s="12"/>
      <c r="KBB57" s="12"/>
      <c r="KBS57" s="12"/>
      <c r="KBT57" s="12"/>
      <c r="KCK57" s="12"/>
      <c r="KCL57" s="12"/>
      <c r="KDC57" s="12"/>
      <c r="KDD57" s="12"/>
      <c r="KDU57" s="12"/>
      <c r="KDV57" s="12"/>
      <c r="KEM57" s="12"/>
      <c r="KEN57" s="12"/>
      <c r="KFE57" s="12"/>
      <c r="KFF57" s="12"/>
      <c r="KFW57" s="12"/>
      <c r="KFX57" s="12"/>
      <c r="KGO57" s="12"/>
      <c r="KGP57" s="12"/>
      <c r="KHG57" s="12"/>
      <c r="KHH57" s="12"/>
      <c r="KHY57" s="12"/>
      <c r="KHZ57" s="12"/>
      <c r="KIQ57" s="12"/>
      <c r="KIR57" s="12"/>
      <c r="KJI57" s="12"/>
      <c r="KJJ57" s="12"/>
      <c r="KKA57" s="12"/>
      <c r="KKB57" s="12"/>
      <c r="KKS57" s="12"/>
      <c r="KKT57" s="12"/>
      <c r="KLK57" s="12"/>
      <c r="KLL57" s="12"/>
      <c r="KMC57" s="12"/>
      <c r="KMD57" s="12"/>
      <c r="KMU57" s="12"/>
      <c r="KMV57" s="12"/>
      <c r="KNM57" s="12"/>
      <c r="KNN57" s="12"/>
      <c r="KOE57" s="12"/>
      <c r="KOF57" s="12"/>
      <c r="KOW57" s="12"/>
      <c r="KOX57" s="12"/>
      <c r="KPO57" s="12"/>
      <c r="KPP57" s="12"/>
      <c r="KQG57" s="12"/>
      <c r="KQH57" s="12"/>
      <c r="KQY57" s="12"/>
      <c r="KQZ57" s="12"/>
      <c r="KRQ57" s="12"/>
      <c r="KRR57" s="12"/>
      <c r="KSI57" s="12"/>
      <c r="KSJ57" s="12"/>
      <c r="KTA57" s="12"/>
      <c r="KTB57" s="12"/>
      <c r="KTS57" s="12"/>
      <c r="KTT57" s="12"/>
      <c r="KUK57" s="12"/>
      <c r="KUL57" s="12"/>
      <c r="KVC57" s="12"/>
      <c r="KVD57" s="12"/>
      <c r="KVU57" s="12"/>
      <c r="KVV57" s="12"/>
      <c r="KWM57" s="12"/>
      <c r="KWN57" s="12"/>
      <c r="KXE57" s="12"/>
      <c r="KXF57" s="12"/>
      <c r="KXW57" s="12"/>
      <c r="KXX57" s="12"/>
      <c r="KYO57" s="12"/>
      <c r="KYP57" s="12"/>
      <c r="KZG57" s="12"/>
      <c r="KZH57" s="12"/>
      <c r="KZY57" s="12"/>
      <c r="KZZ57" s="12"/>
      <c r="LAQ57" s="12"/>
      <c r="LAR57" s="12"/>
      <c r="LBI57" s="12"/>
      <c r="LBJ57" s="12"/>
      <c r="LCA57" s="12"/>
      <c r="LCB57" s="12"/>
      <c r="LCS57" s="12"/>
      <c r="LCT57" s="12"/>
      <c r="LDK57" s="12"/>
      <c r="LDL57" s="12"/>
      <c r="LEC57" s="12"/>
      <c r="LED57" s="12"/>
      <c r="LEU57" s="12"/>
      <c r="LEV57" s="12"/>
      <c r="LFM57" s="12"/>
      <c r="LFN57" s="12"/>
      <c r="LGE57" s="12"/>
      <c r="LGF57" s="12"/>
      <c r="LGW57" s="12"/>
      <c r="LGX57" s="12"/>
      <c r="LHO57" s="12"/>
      <c r="LHP57" s="12"/>
      <c r="LIG57" s="12"/>
      <c r="LIH57" s="12"/>
      <c r="LIY57" s="12"/>
      <c r="LIZ57" s="12"/>
      <c r="LJQ57" s="12"/>
      <c r="LJR57" s="12"/>
      <c r="LKI57" s="12"/>
      <c r="LKJ57" s="12"/>
      <c r="LLA57" s="12"/>
      <c r="LLB57" s="12"/>
      <c r="LLS57" s="12"/>
      <c r="LLT57" s="12"/>
      <c r="LMK57" s="12"/>
      <c r="LML57" s="12"/>
      <c r="LNC57" s="12"/>
      <c r="LND57" s="12"/>
      <c r="LNU57" s="12"/>
      <c r="LNV57" s="12"/>
      <c r="LOM57" s="12"/>
      <c r="LON57" s="12"/>
      <c r="LPE57" s="12"/>
      <c r="LPF57" s="12"/>
      <c r="LPW57" s="12"/>
      <c r="LPX57" s="12"/>
      <c r="LQO57" s="12"/>
      <c r="LQP57" s="12"/>
      <c r="LRG57" s="12"/>
      <c r="LRH57" s="12"/>
      <c r="LRY57" s="12"/>
      <c r="LRZ57" s="12"/>
      <c r="LSQ57" s="12"/>
      <c r="LSR57" s="12"/>
      <c r="LTI57" s="12"/>
      <c r="LTJ57" s="12"/>
      <c r="LUA57" s="12"/>
      <c r="LUB57" s="12"/>
      <c r="LUS57" s="12"/>
      <c r="LUT57" s="12"/>
      <c r="LVK57" s="12"/>
      <c r="LVL57" s="12"/>
      <c r="LWC57" s="12"/>
      <c r="LWD57" s="12"/>
      <c r="LWU57" s="12"/>
      <c r="LWV57" s="12"/>
      <c r="LXM57" s="12"/>
      <c r="LXN57" s="12"/>
      <c r="LYE57" s="12"/>
      <c r="LYF57" s="12"/>
      <c r="LYW57" s="12"/>
      <c r="LYX57" s="12"/>
      <c r="LZO57" s="12"/>
      <c r="LZP57" s="12"/>
      <c r="MAG57" s="12"/>
      <c r="MAH57" s="12"/>
      <c r="MAY57" s="12"/>
      <c r="MAZ57" s="12"/>
      <c r="MBQ57" s="12"/>
      <c r="MBR57" s="12"/>
      <c r="MCI57" s="12"/>
      <c r="MCJ57" s="12"/>
      <c r="MDA57" s="12"/>
      <c r="MDB57" s="12"/>
      <c r="MDS57" s="12"/>
      <c r="MDT57" s="12"/>
      <c r="MEK57" s="12"/>
      <c r="MEL57" s="12"/>
      <c r="MFC57" s="12"/>
      <c r="MFD57" s="12"/>
      <c r="MFU57" s="12"/>
      <c r="MFV57" s="12"/>
      <c r="MGM57" s="12"/>
      <c r="MGN57" s="12"/>
      <c r="MHE57" s="12"/>
      <c r="MHF57" s="12"/>
      <c r="MHW57" s="12"/>
      <c r="MHX57" s="12"/>
      <c r="MIO57" s="12"/>
      <c r="MIP57" s="12"/>
      <c r="MJG57" s="12"/>
      <c r="MJH57" s="12"/>
      <c r="MJY57" s="12"/>
      <c r="MJZ57" s="12"/>
      <c r="MKQ57" s="12"/>
      <c r="MKR57" s="12"/>
      <c r="MLI57" s="12"/>
      <c r="MLJ57" s="12"/>
      <c r="MMA57" s="12"/>
      <c r="MMB57" s="12"/>
      <c r="MMS57" s="12"/>
      <c r="MMT57" s="12"/>
      <c r="MNK57" s="12"/>
      <c r="MNL57" s="12"/>
      <c r="MOC57" s="12"/>
      <c r="MOD57" s="12"/>
      <c r="MOU57" s="12"/>
      <c r="MOV57" s="12"/>
      <c r="MPM57" s="12"/>
      <c r="MPN57" s="12"/>
      <c r="MQE57" s="12"/>
      <c r="MQF57" s="12"/>
      <c r="MQW57" s="12"/>
      <c r="MQX57" s="12"/>
      <c r="MRO57" s="12"/>
      <c r="MRP57" s="12"/>
      <c r="MSG57" s="12"/>
      <c r="MSH57" s="12"/>
      <c r="MSY57" s="12"/>
      <c r="MSZ57" s="12"/>
      <c r="MTQ57" s="12"/>
      <c r="MTR57" s="12"/>
      <c r="MUI57" s="12"/>
      <c r="MUJ57" s="12"/>
      <c r="MVA57" s="12"/>
      <c r="MVB57" s="12"/>
      <c r="MVS57" s="12"/>
      <c r="MVT57" s="12"/>
      <c r="MWK57" s="12"/>
      <c r="MWL57" s="12"/>
      <c r="MXC57" s="12"/>
      <c r="MXD57" s="12"/>
      <c r="MXU57" s="12"/>
      <c r="MXV57" s="12"/>
      <c r="MYM57" s="12"/>
      <c r="MYN57" s="12"/>
      <c r="MZE57" s="12"/>
      <c r="MZF57" s="12"/>
      <c r="MZW57" s="12"/>
      <c r="MZX57" s="12"/>
      <c r="NAO57" s="12"/>
      <c r="NAP57" s="12"/>
      <c r="NBG57" s="12"/>
      <c r="NBH57" s="12"/>
      <c r="NBY57" s="12"/>
      <c r="NBZ57" s="12"/>
      <c r="NCQ57" s="12"/>
      <c r="NCR57" s="12"/>
      <c r="NDI57" s="12"/>
      <c r="NDJ57" s="12"/>
      <c r="NEA57" s="12"/>
      <c r="NEB57" s="12"/>
      <c r="NES57" s="12"/>
      <c r="NET57" s="12"/>
      <c r="NFK57" s="12"/>
      <c r="NFL57" s="12"/>
      <c r="NGC57" s="12"/>
      <c r="NGD57" s="12"/>
      <c r="NGU57" s="12"/>
      <c r="NGV57" s="12"/>
      <c r="NHM57" s="12"/>
      <c r="NHN57" s="12"/>
      <c r="NIE57" s="12"/>
      <c r="NIF57" s="12"/>
      <c r="NIW57" s="12"/>
      <c r="NIX57" s="12"/>
      <c r="NJO57" s="12"/>
      <c r="NJP57" s="12"/>
      <c r="NKG57" s="12"/>
      <c r="NKH57" s="12"/>
      <c r="NKY57" s="12"/>
      <c r="NKZ57" s="12"/>
      <c r="NLQ57" s="12"/>
      <c r="NLR57" s="12"/>
      <c r="NMI57" s="12"/>
      <c r="NMJ57" s="12"/>
      <c r="NNA57" s="12"/>
      <c r="NNB57" s="12"/>
      <c r="NNS57" s="12"/>
      <c r="NNT57" s="12"/>
      <c r="NOK57" s="12"/>
      <c r="NOL57" s="12"/>
      <c r="NPC57" s="12"/>
      <c r="NPD57" s="12"/>
      <c r="NPU57" s="12"/>
      <c r="NPV57" s="12"/>
      <c r="NQM57" s="12"/>
      <c r="NQN57" s="12"/>
      <c r="NRE57" s="12"/>
      <c r="NRF57" s="12"/>
      <c r="NRW57" s="12"/>
      <c r="NRX57" s="12"/>
      <c r="NSO57" s="12"/>
      <c r="NSP57" s="12"/>
      <c r="NTG57" s="12"/>
      <c r="NTH57" s="12"/>
      <c r="NTY57" s="12"/>
      <c r="NTZ57" s="12"/>
      <c r="NUQ57" s="12"/>
      <c r="NUR57" s="12"/>
      <c r="NVI57" s="12"/>
      <c r="NVJ57" s="12"/>
      <c r="NWA57" s="12"/>
      <c r="NWB57" s="12"/>
      <c r="NWS57" s="12"/>
      <c r="NWT57" s="12"/>
      <c r="NXK57" s="12"/>
      <c r="NXL57" s="12"/>
      <c r="NYC57" s="12"/>
      <c r="NYD57" s="12"/>
      <c r="NYU57" s="12"/>
      <c r="NYV57" s="12"/>
      <c r="NZM57" s="12"/>
      <c r="NZN57" s="12"/>
      <c r="OAE57" s="12"/>
      <c r="OAF57" s="12"/>
      <c r="OAW57" s="12"/>
      <c r="OAX57" s="12"/>
      <c r="OBO57" s="12"/>
      <c r="OBP57" s="12"/>
      <c r="OCG57" s="12"/>
      <c r="OCH57" s="12"/>
      <c r="OCY57" s="12"/>
      <c r="OCZ57" s="12"/>
      <c r="ODQ57" s="12"/>
      <c r="ODR57" s="12"/>
      <c r="OEI57" s="12"/>
      <c r="OEJ57" s="12"/>
      <c r="OFA57" s="12"/>
      <c r="OFB57" s="12"/>
      <c r="OFS57" s="12"/>
      <c r="OFT57" s="12"/>
      <c r="OGK57" s="12"/>
      <c r="OGL57" s="12"/>
      <c r="OHC57" s="12"/>
      <c r="OHD57" s="12"/>
      <c r="OHU57" s="12"/>
      <c r="OHV57" s="12"/>
      <c r="OIM57" s="12"/>
      <c r="OIN57" s="12"/>
      <c r="OJE57" s="12"/>
      <c r="OJF57" s="12"/>
      <c r="OJW57" s="12"/>
      <c r="OJX57" s="12"/>
      <c r="OKO57" s="12"/>
      <c r="OKP57" s="12"/>
      <c r="OLG57" s="12"/>
      <c r="OLH57" s="12"/>
      <c r="OLY57" s="12"/>
      <c r="OLZ57" s="12"/>
      <c r="OMQ57" s="12"/>
      <c r="OMR57" s="12"/>
      <c r="ONI57" s="12"/>
      <c r="ONJ57" s="12"/>
      <c r="OOA57" s="12"/>
      <c r="OOB57" s="12"/>
      <c r="OOS57" s="12"/>
      <c r="OOT57" s="12"/>
      <c r="OPK57" s="12"/>
      <c r="OPL57" s="12"/>
      <c r="OQC57" s="12"/>
      <c r="OQD57" s="12"/>
      <c r="OQU57" s="12"/>
      <c r="OQV57" s="12"/>
      <c r="ORM57" s="12"/>
      <c r="ORN57" s="12"/>
      <c r="OSE57" s="12"/>
      <c r="OSF57" s="12"/>
      <c r="OSW57" s="12"/>
      <c r="OSX57" s="12"/>
      <c r="OTO57" s="12"/>
      <c r="OTP57" s="12"/>
      <c r="OUG57" s="12"/>
      <c r="OUH57" s="12"/>
      <c r="OUY57" s="12"/>
      <c r="OUZ57" s="12"/>
      <c r="OVQ57" s="12"/>
      <c r="OVR57" s="12"/>
      <c r="OWI57" s="12"/>
      <c r="OWJ57" s="12"/>
      <c r="OXA57" s="12"/>
      <c r="OXB57" s="12"/>
      <c r="OXS57" s="12"/>
      <c r="OXT57" s="12"/>
      <c r="OYK57" s="12"/>
      <c r="OYL57" s="12"/>
      <c r="OZC57" s="12"/>
      <c r="OZD57" s="12"/>
      <c r="OZU57" s="12"/>
      <c r="OZV57" s="12"/>
      <c r="PAM57" s="12"/>
      <c r="PAN57" s="12"/>
      <c r="PBE57" s="12"/>
      <c r="PBF57" s="12"/>
      <c r="PBW57" s="12"/>
      <c r="PBX57" s="12"/>
      <c r="PCO57" s="12"/>
      <c r="PCP57" s="12"/>
      <c r="PDG57" s="12"/>
      <c r="PDH57" s="12"/>
      <c r="PDY57" s="12"/>
      <c r="PDZ57" s="12"/>
      <c r="PEQ57" s="12"/>
      <c r="PER57" s="12"/>
      <c r="PFI57" s="12"/>
      <c r="PFJ57" s="12"/>
      <c r="PGA57" s="12"/>
      <c r="PGB57" s="12"/>
      <c r="PGS57" s="12"/>
      <c r="PGT57" s="12"/>
      <c r="PHK57" s="12"/>
      <c r="PHL57" s="12"/>
      <c r="PIC57" s="12"/>
      <c r="PID57" s="12"/>
      <c r="PIU57" s="12"/>
      <c r="PIV57" s="12"/>
      <c r="PJM57" s="12"/>
      <c r="PJN57" s="12"/>
      <c r="PKE57" s="12"/>
      <c r="PKF57" s="12"/>
      <c r="PKW57" s="12"/>
      <c r="PKX57" s="12"/>
      <c r="PLO57" s="12"/>
      <c r="PLP57" s="12"/>
      <c r="PMG57" s="12"/>
      <c r="PMH57" s="12"/>
      <c r="PMY57" s="12"/>
      <c r="PMZ57" s="12"/>
      <c r="PNQ57" s="12"/>
      <c r="PNR57" s="12"/>
      <c r="POI57" s="12"/>
      <c r="POJ57" s="12"/>
      <c r="PPA57" s="12"/>
      <c r="PPB57" s="12"/>
      <c r="PPS57" s="12"/>
      <c r="PPT57" s="12"/>
      <c r="PQK57" s="12"/>
      <c r="PQL57" s="12"/>
      <c r="PRC57" s="12"/>
      <c r="PRD57" s="12"/>
      <c r="PRU57" s="12"/>
      <c r="PRV57" s="12"/>
      <c r="PSM57" s="12"/>
      <c r="PSN57" s="12"/>
      <c r="PTE57" s="12"/>
      <c r="PTF57" s="12"/>
      <c r="PTW57" s="12"/>
      <c r="PTX57" s="12"/>
      <c r="PUO57" s="12"/>
      <c r="PUP57" s="12"/>
      <c r="PVG57" s="12"/>
      <c r="PVH57" s="12"/>
      <c r="PVY57" s="12"/>
      <c r="PVZ57" s="12"/>
      <c r="PWQ57" s="12"/>
      <c r="PWR57" s="12"/>
      <c r="PXI57" s="12"/>
      <c r="PXJ57" s="12"/>
      <c r="PYA57" s="12"/>
      <c r="PYB57" s="12"/>
      <c r="PYS57" s="12"/>
      <c r="PYT57" s="12"/>
      <c r="PZK57" s="12"/>
      <c r="PZL57" s="12"/>
      <c r="QAC57" s="12"/>
      <c r="QAD57" s="12"/>
      <c r="QAU57" s="12"/>
      <c r="QAV57" s="12"/>
      <c r="QBM57" s="12"/>
      <c r="QBN57" s="12"/>
      <c r="QCE57" s="12"/>
      <c r="QCF57" s="12"/>
      <c r="QCW57" s="12"/>
      <c r="QCX57" s="12"/>
      <c r="QDO57" s="12"/>
      <c r="QDP57" s="12"/>
      <c r="QEG57" s="12"/>
      <c r="QEH57" s="12"/>
      <c r="QEY57" s="12"/>
      <c r="QEZ57" s="12"/>
      <c r="QFQ57" s="12"/>
      <c r="QFR57" s="12"/>
      <c r="QGI57" s="12"/>
      <c r="QGJ57" s="12"/>
      <c r="QHA57" s="12"/>
      <c r="QHB57" s="12"/>
      <c r="QHS57" s="12"/>
      <c r="QHT57" s="12"/>
      <c r="QIK57" s="12"/>
      <c r="QIL57" s="12"/>
      <c r="QJC57" s="12"/>
      <c r="QJD57" s="12"/>
      <c r="QJU57" s="12"/>
      <c r="QJV57" s="12"/>
      <c r="QKM57" s="12"/>
      <c r="QKN57" s="12"/>
      <c r="QLE57" s="12"/>
      <c r="QLF57" s="12"/>
      <c r="QLW57" s="12"/>
      <c r="QLX57" s="12"/>
      <c r="QMO57" s="12"/>
      <c r="QMP57" s="12"/>
      <c r="QNG57" s="12"/>
      <c r="QNH57" s="12"/>
      <c r="QNY57" s="12"/>
      <c r="QNZ57" s="12"/>
      <c r="QOQ57" s="12"/>
      <c r="QOR57" s="12"/>
      <c r="QPI57" s="12"/>
      <c r="QPJ57" s="12"/>
      <c r="QQA57" s="12"/>
      <c r="QQB57" s="12"/>
      <c r="QQS57" s="12"/>
      <c r="QQT57" s="12"/>
      <c r="QRK57" s="12"/>
      <c r="QRL57" s="12"/>
      <c r="QSC57" s="12"/>
      <c r="QSD57" s="12"/>
      <c r="QSU57" s="12"/>
      <c r="QSV57" s="12"/>
      <c r="QTM57" s="12"/>
      <c r="QTN57" s="12"/>
      <c r="QUE57" s="12"/>
      <c r="QUF57" s="12"/>
      <c r="QUW57" s="12"/>
      <c r="QUX57" s="12"/>
      <c r="QVO57" s="12"/>
      <c r="QVP57" s="12"/>
      <c r="QWG57" s="12"/>
      <c r="QWH57" s="12"/>
      <c r="QWY57" s="12"/>
      <c r="QWZ57" s="12"/>
      <c r="QXQ57" s="12"/>
      <c r="QXR57" s="12"/>
      <c r="QYI57" s="12"/>
      <c r="QYJ57" s="12"/>
      <c r="QZA57" s="12"/>
      <c r="QZB57" s="12"/>
      <c r="QZS57" s="12"/>
      <c r="QZT57" s="12"/>
      <c r="RAK57" s="12"/>
      <c r="RAL57" s="12"/>
      <c r="RBC57" s="12"/>
      <c r="RBD57" s="12"/>
      <c r="RBU57" s="12"/>
      <c r="RBV57" s="12"/>
      <c r="RCM57" s="12"/>
      <c r="RCN57" s="12"/>
      <c r="RDE57" s="12"/>
      <c r="RDF57" s="12"/>
      <c r="RDW57" s="12"/>
      <c r="RDX57" s="12"/>
      <c r="REO57" s="12"/>
      <c r="REP57" s="12"/>
      <c r="RFG57" s="12"/>
      <c r="RFH57" s="12"/>
      <c r="RFY57" s="12"/>
      <c r="RFZ57" s="12"/>
      <c r="RGQ57" s="12"/>
      <c r="RGR57" s="12"/>
      <c r="RHI57" s="12"/>
      <c r="RHJ57" s="12"/>
      <c r="RIA57" s="12"/>
      <c r="RIB57" s="12"/>
      <c r="RIS57" s="12"/>
      <c r="RIT57" s="12"/>
      <c r="RJK57" s="12"/>
      <c r="RJL57" s="12"/>
      <c r="RKC57" s="12"/>
      <c r="RKD57" s="12"/>
      <c r="RKU57" s="12"/>
      <c r="RKV57" s="12"/>
      <c r="RLM57" s="12"/>
      <c r="RLN57" s="12"/>
      <c r="RME57" s="12"/>
      <c r="RMF57" s="12"/>
      <c r="RMW57" s="12"/>
      <c r="RMX57" s="12"/>
      <c r="RNO57" s="12"/>
      <c r="RNP57" s="12"/>
      <c r="ROG57" s="12"/>
      <c r="ROH57" s="12"/>
      <c r="ROY57" s="12"/>
      <c r="ROZ57" s="12"/>
      <c r="RPQ57" s="12"/>
      <c r="RPR57" s="12"/>
      <c r="RQI57" s="12"/>
      <c r="RQJ57" s="12"/>
      <c r="RRA57" s="12"/>
      <c r="RRB57" s="12"/>
      <c r="RRS57" s="12"/>
      <c r="RRT57" s="12"/>
      <c r="RSK57" s="12"/>
      <c r="RSL57" s="12"/>
      <c r="RTC57" s="12"/>
      <c r="RTD57" s="12"/>
      <c r="RTU57" s="12"/>
      <c r="RTV57" s="12"/>
      <c r="RUM57" s="12"/>
      <c r="RUN57" s="12"/>
      <c r="RVE57" s="12"/>
      <c r="RVF57" s="12"/>
      <c r="RVW57" s="12"/>
      <c r="RVX57" s="12"/>
      <c r="RWO57" s="12"/>
      <c r="RWP57" s="12"/>
      <c r="RXG57" s="12"/>
      <c r="RXH57" s="12"/>
      <c r="RXY57" s="12"/>
      <c r="RXZ57" s="12"/>
      <c r="RYQ57" s="12"/>
      <c r="RYR57" s="12"/>
      <c r="RZI57" s="12"/>
      <c r="RZJ57" s="12"/>
      <c r="SAA57" s="12"/>
      <c r="SAB57" s="12"/>
      <c r="SAS57" s="12"/>
      <c r="SAT57" s="12"/>
      <c r="SBK57" s="12"/>
      <c r="SBL57" s="12"/>
      <c r="SCC57" s="12"/>
      <c r="SCD57" s="12"/>
      <c r="SCU57" s="12"/>
      <c r="SCV57" s="12"/>
      <c r="SDM57" s="12"/>
      <c r="SDN57" s="12"/>
      <c r="SEE57" s="12"/>
      <c r="SEF57" s="12"/>
      <c r="SEW57" s="12"/>
      <c r="SEX57" s="12"/>
      <c r="SFO57" s="12"/>
      <c r="SFP57" s="12"/>
      <c r="SGG57" s="12"/>
      <c r="SGH57" s="12"/>
      <c r="SGY57" s="12"/>
      <c r="SGZ57" s="12"/>
      <c r="SHQ57" s="12"/>
      <c r="SHR57" s="12"/>
      <c r="SII57" s="12"/>
      <c r="SIJ57" s="12"/>
      <c r="SJA57" s="12"/>
      <c r="SJB57" s="12"/>
      <c r="SJS57" s="12"/>
      <c r="SJT57" s="12"/>
      <c r="SKK57" s="12"/>
      <c r="SKL57" s="12"/>
      <c r="SLC57" s="12"/>
      <c r="SLD57" s="12"/>
      <c r="SLU57" s="12"/>
      <c r="SLV57" s="12"/>
      <c r="SMM57" s="12"/>
      <c r="SMN57" s="12"/>
      <c r="SNE57" s="12"/>
      <c r="SNF57" s="12"/>
      <c r="SNW57" s="12"/>
      <c r="SNX57" s="12"/>
      <c r="SOO57" s="12"/>
      <c r="SOP57" s="12"/>
      <c r="SPG57" s="12"/>
      <c r="SPH57" s="12"/>
      <c r="SPY57" s="12"/>
      <c r="SPZ57" s="12"/>
      <c r="SQQ57" s="12"/>
      <c r="SQR57" s="12"/>
      <c r="SRI57" s="12"/>
      <c r="SRJ57" s="12"/>
      <c r="SSA57" s="12"/>
      <c r="SSB57" s="12"/>
      <c r="SSS57" s="12"/>
      <c r="SST57" s="12"/>
      <c r="STK57" s="12"/>
      <c r="STL57" s="12"/>
      <c r="SUC57" s="12"/>
      <c r="SUD57" s="12"/>
      <c r="SUU57" s="12"/>
      <c r="SUV57" s="12"/>
      <c r="SVM57" s="12"/>
      <c r="SVN57" s="12"/>
      <c r="SWE57" s="12"/>
      <c r="SWF57" s="12"/>
      <c r="SWW57" s="12"/>
      <c r="SWX57" s="12"/>
      <c r="SXO57" s="12"/>
      <c r="SXP57" s="12"/>
      <c r="SYG57" s="12"/>
      <c r="SYH57" s="12"/>
      <c r="SYY57" s="12"/>
      <c r="SYZ57" s="12"/>
      <c r="SZQ57" s="12"/>
      <c r="SZR57" s="12"/>
      <c r="TAI57" s="12"/>
      <c r="TAJ57" s="12"/>
      <c r="TBA57" s="12"/>
      <c r="TBB57" s="12"/>
      <c r="TBS57" s="12"/>
      <c r="TBT57" s="12"/>
      <c r="TCK57" s="12"/>
      <c r="TCL57" s="12"/>
      <c r="TDC57" s="12"/>
      <c r="TDD57" s="12"/>
      <c r="TDU57" s="12"/>
      <c r="TDV57" s="12"/>
      <c r="TEM57" s="12"/>
      <c r="TEN57" s="12"/>
      <c r="TFE57" s="12"/>
      <c r="TFF57" s="12"/>
      <c r="TFW57" s="12"/>
      <c r="TFX57" s="12"/>
      <c r="TGO57" s="12"/>
      <c r="TGP57" s="12"/>
      <c r="THG57" s="12"/>
      <c r="THH57" s="12"/>
      <c r="THY57" s="12"/>
      <c r="THZ57" s="12"/>
      <c r="TIQ57" s="12"/>
      <c r="TIR57" s="12"/>
      <c r="TJI57" s="12"/>
      <c r="TJJ57" s="12"/>
      <c r="TKA57" s="12"/>
      <c r="TKB57" s="12"/>
      <c r="TKS57" s="12"/>
      <c r="TKT57" s="12"/>
      <c r="TLK57" s="12"/>
      <c r="TLL57" s="12"/>
      <c r="TMC57" s="12"/>
      <c r="TMD57" s="12"/>
      <c r="TMU57" s="12"/>
      <c r="TMV57" s="12"/>
      <c r="TNM57" s="12"/>
      <c r="TNN57" s="12"/>
      <c r="TOE57" s="12"/>
      <c r="TOF57" s="12"/>
      <c r="TOW57" s="12"/>
      <c r="TOX57" s="12"/>
      <c r="TPO57" s="12"/>
      <c r="TPP57" s="12"/>
      <c r="TQG57" s="12"/>
      <c r="TQH57" s="12"/>
      <c r="TQY57" s="12"/>
      <c r="TQZ57" s="12"/>
      <c r="TRQ57" s="12"/>
      <c r="TRR57" s="12"/>
      <c r="TSI57" s="12"/>
      <c r="TSJ57" s="12"/>
      <c r="TTA57" s="12"/>
      <c r="TTB57" s="12"/>
      <c r="TTS57" s="12"/>
      <c r="TTT57" s="12"/>
      <c r="TUK57" s="12"/>
      <c r="TUL57" s="12"/>
      <c r="TVC57" s="12"/>
      <c r="TVD57" s="12"/>
      <c r="TVU57" s="12"/>
      <c r="TVV57" s="12"/>
      <c r="TWM57" s="12"/>
      <c r="TWN57" s="12"/>
      <c r="TXE57" s="12"/>
      <c r="TXF57" s="12"/>
      <c r="TXW57" s="12"/>
      <c r="TXX57" s="12"/>
      <c r="TYO57" s="12"/>
      <c r="TYP57" s="12"/>
      <c r="TZG57" s="12"/>
      <c r="TZH57" s="12"/>
      <c r="TZY57" s="12"/>
      <c r="TZZ57" s="12"/>
      <c r="UAQ57" s="12"/>
      <c r="UAR57" s="12"/>
      <c r="UBI57" s="12"/>
      <c r="UBJ57" s="12"/>
      <c r="UCA57" s="12"/>
      <c r="UCB57" s="12"/>
      <c r="UCS57" s="12"/>
      <c r="UCT57" s="12"/>
      <c r="UDK57" s="12"/>
      <c r="UDL57" s="12"/>
      <c r="UEC57" s="12"/>
      <c r="UED57" s="12"/>
      <c r="UEU57" s="12"/>
      <c r="UEV57" s="12"/>
      <c r="UFM57" s="12"/>
      <c r="UFN57" s="12"/>
      <c r="UGE57" s="12"/>
      <c r="UGF57" s="12"/>
      <c r="UGW57" s="12"/>
      <c r="UGX57" s="12"/>
      <c r="UHO57" s="12"/>
      <c r="UHP57" s="12"/>
      <c r="UIG57" s="12"/>
      <c r="UIH57" s="12"/>
      <c r="UIY57" s="12"/>
      <c r="UIZ57" s="12"/>
      <c r="UJQ57" s="12"/>
      <c r="UJR57" s="12"/>
      <c r="UKI57" s="12"/>
      <c r="UKJ57" s="12"/>
      <c r="ULA57" s="12"/>
      <c r="ULB57" s="12"/>
      <c r="ULS57" s="12"/>
      <c r="ULT57" s="12"/>
      <c r="UMK57" s="12"/>
      <c r="UML57" s="12"/>
      <c r="UNC57" s="12"/>
      <c r="UND57" s="12"/>
      <c r="UNU57" s="12"/>
      <c r="UNV57" s="12"/>
      <c r="UOM57" s="12"/>
      <c r="UON57" s="12"/>
      <c r="UPE57" s="12"/>
      <c r="UPF57" s="12"/>
      <c r="UPW57" s="12"/>
      <c r="UPX57" s="12"/>
      <c r="UQO57" s="12"/>
      <c r="UQP57" s="12"/>
      <c r="URG57" s="12"/>
      <c r="URH57" s="12"/>
      <c r="URY57" s="12"/>
      <c r="URZ57" s="12"/>
      <c r="USQ57" s="12"/>
      <c r="USR57" s="12"/>
      <c r="UTI57" s="12"/>
      <c r="UTJ57" s="12"/>
      <c r="UUA57" s="12"/>
      <c r="UUB57" s="12"/>
      <c r="UUS57" s="12"/>
      <c r="UUT57" s="12"/>
      <c r="UVK57" s="12"/>
      <c r="UVL57" s="12"/>
      <c r="UWC57" s="12"/>
      <c r="UWD57" s="12"/>
      <c r="UWU57" s="12"/>
      <c r="UWV57" s="12"/>
      <c r="UXM57" s="12"/>
      <c r="UXN57" s="12"/>
      <c r="UYE57" s="12"/>
      <c r="UYF57" s="12"/>
      <c r="UYW57" s="12"/>
      <c r="UYX57" s="12"/>
      <c r="UZO57" s="12"/>
      <c r="UZP57" s="12"/>
      <c r="VAG57" s="12"/>
      <c r="VAH57" s="12"/>
      <c r="VAY57" s="12"/>
      <c r="VAZ57" s="12"/>
      <c r="VBQ57" s="12"/>
      <c r="VBR57" s="12"/>
      <c r="VCI57" s="12"/>
      <c r="VCJ57" s="12"/>
      <c r="VDA57" s="12"/>
      <c r="VDB57" s="12"/>
      <c r="VDS57" s="12"/>
      <c r="VDT57" s="12"/>
      <c r="VEK57" s="12"/>
      <c r="VEL57" s="12"/>
      <c r="VFC57" s="12"/>
      <c r="VFD57" s="12"/>
      <c r="VFU57" s="12"/>
      <c r="VFV57" s="12"/>
      <c r="VGM57" s="12"/>
      <c r="VGN57" s="12"/>
      <c r="VHE57" s="12"/>
      <c r="VHF57" s="12"/>
      <c r="VHW57" s="12"/>
      <c r="VHX57" s="12"/>
      <c r="VIO57" s="12"/>
      <c r="VIP57" s="12"/>
      <c r="VJG57" s="12"/>
      <c r="VJH57" s="12"/>
      <c r="VJY57" s="12"/>
      <c r="VJZ57" s="12"/>
      <c r="VKQ57" s="12"/>
      <c r="VKR57" s="12"/>
      <c r="VLI57" s="12"/>
      <c r="VLJ57" s="12"/>
      <c r="VMA57" s="12"/>
      <c r="VMB57" s="12"/>
      <c r="VMS57" s="12"/>
      <c r="VMT57" s="12"/>
      <c r="VNK57" s="12"/>
      <c r="VNL57" s="12"/>
      <c r="VOC57" s="12"/>
      <c r="VOD57" s="12"/>
      <c r="VOU57" s="12"/>
      <c r="VOV57" s="12"/>
      <c r="VPM57" s="12"/>
      <c r="VPN57" s="12"/>
      <c r="VQE57" s="12"/>
      <c r="VQF57" s="12"/>
      <c r="VQW57" s="12"/>
      <c r="VQX57" s="12"/>
      <c r="VRO57" s="12"/>
      <c r="VRP57" s="12"/>
      <c r="VSG57" s="12"/>
      <c r="VSH57" s="12"/>
      <c r="VSY57" s="12"/>
      <c r="VSZ57" s="12"/>
      <c r="VTQ57" s="12"/>
      <c r="VTR57" s="12"/>
      <c r="VUI57" s="12"/>
      <c r="VUJ57" s="12"/>
      <c r="VVA57" s="12"/>
      <c r="VVB57" s="12"/>
      <c r="VVS57" s="12"/>
      <c r="VVT57" s="12"/>
      <c r="VWK57" s="12"/>
      <c r="VWL57" s="12"/>
      <c r="VXC57" s="12"/>
      <c r="VXD57" s="12"/>
      <c r="VXU57" s="12"/>
      <c r="VXV57" s="12"/>
      <c r="VYM57" s="12"/>
      <c r="VYN57" s="12"/>
      <c r="VZE57" s="12"/>
      <c r="VZF57" s="12"/>
      <c r="VZW57" s="12"/>
      <c r="VZX57" s="12"/>
      <c r="WAO57" s="12"/>
      <c r="WAP57" s="12"/>
      <c r="WBG57" s="12"/>
      <c r="WBH57" s="12"/>
      <c r="WBY57" s="12"/>
      <c r="WBZ57" s="12"/>
      <c r="WCQ57" s="12"/>
      <c r="WCR57" s="12"/>
      <c r="WDI57" s="12"/>
      <c r="WDJ57" s="12"/>
      <c r="WEA57" s="12"/>
      <c r="WEB57" s="12"/>
      <c r="WES57" s="12"/>
      <c r="WET57" s="12"/>
      <c r="WFK57" s="12"/>
      <c r="WFL57" s="12"/>
      <c r="WGC57" s="12"/>
      <c r="WGD57" s="12"/>
      <c r="WGU57" s="12"/>
      <c r="WGV57" s="12"/>
      <c r="WHM57" s="12"/>
      <c r="WHN57" s="12"/>
      <c r="WIE57" s="12"/>
      <c r="WIF57" s="12"/>
      <c r="WIW57" s="12"/>
      <c r="WIX57" s="12"/>
      <c r="WJO57" s="12"/>
      <c r="WJP57" s="12"/>
      <c r="WKG57" s="12"/>
      <c r="WKH57" s="12"/>
      <c r="WKY57" s="12"/>
      <c r="WKZ57" s="12"/>
      <c r="WLQ57" s="12"/>
      <c r="WLR57" s="12"/>
      <c r="WMI57" s="12"/>
      <c r="WMJ57" s="12"/>
      <c r="WNA57" s="12"/>
      <c r="WNB57" s="12"/>
      <c r="WNS57" s="12"/>
      <c r="WNT57" s="12"/>
      <c r="WOK57" s="12"/>
      <c r="WOL57" s="12"/>
      <c r="WPC57" s="12"/>
      <c r="WPD57" s="12"/>
      <c r="WPU57" s="12"/>
      <c r="WPV57" s="12"/>
      <c r="WQM57" s="12"/>
      <c r="WQN57" s="12"/>
      <c r="WRE57" s="12"/>
      <c r="WRF57" s="12"/>
      <c r="WRW57" s="12"/>
      <c r="WRX57" s="12"/>
      <c r="WSO57" s="12"/>
      <c r="WSP57" s="12"/>
      <c r="WTG57" s="12"/>
      <c r="WTH57" s="12"/>
      <c r="WTY57" s="12"/>
      <c r="WTZ57" s="12"/>
      <c r="WUQ57" s="12"/>
      <c r="WUR57" s="12"/>
      <c r="WVI57" s="12"/>
      <c r="WVJ57" s="12"/>
      <c r="WWA57" s="12"/>
      <c r="WWB57" s="12"/>
      <c r="WWS57" s="12"/>
      <c r="WWT57" s="12"/>
      <c r="WXK57" s="12"/>
      <c r="WXL57" s="12"/>
      <c r="WYC57" s="12"/>
      <c r="WYD57" s="12"/>
      <c r="WYU57" s="12"/>
      <c r="WYV57" s="12"/>
      <c r="WZM57" s="12"/>
      <c r="WZN57" s="12"/>
      <c r="XAE57" s="12"/>
      <c r="XAF57" s="12"/>
      <c r="XAW57" s="12"/>
      <c r="XAX57" s="12"/>
      <c r="XBO57" s="12"/>
      <c r="XBP57" s="12"/>
      <c r="XCG57" s="12"/>
      <c r="XCH57" s="12"/>
      <c r="XCY57" s="12"/>
      <c r="XCZ57" s="12"/>
      <c r="XDQ57" s="12"/>
      <c r="XDR57" s="12"/>
      <c r="XEI57" s="12"/>
      <c r="XEJ57" s="12"/>
      <c r="XFA57" s="12"/>
      <c r="XFB57" s="12"/>
    </row>
    <row r="58" spans="1:1010 1027:2036 2053:3062 3079:4088 4105:5114 5131:6140 6157:7166 7183:8192 8209:9200 9217:10226 10243:11252 11269:12278 12295:13304 13321:14330 14347:15356 15373:16382" x14ac:dyDescent="0.35">
      <c r="A58" s="189" t="s">
        <v>296</v>
      </c>
      <c r="B58" s="189" t="s">
        <v>297</v>
      </c>
      <c r="C58" s="190">
        <v>20.266999999999999</v>
      </c>
      <c r="D58" s="190">
        <v>23.178999999999998</v>
      </c>
      <c r="E58" s="190">
        <v>20.277000000000001</v>
      </c>
      <c r="F58" s="190">
        <v>2.1720000000000002</v>
      </c>
      <c r="G58" s="190">
        <v>38.628999999999998</v>
      </c>
      <c r="H58" s="190">
        <v>42.572000000000003</v>
      </c>
      <c r="I58" s="190">
        <v>65.468999999999994</v>
      </c>
      <c r="J58" s="190">
        <v>72.379000000000005</v>
      </c>
      <c r="K58" s="190">
        <v>66.257000000000005</v>
      </c>
      <c r="L58" s="190">
        <v>74.052000000000007</v>
      </c>
      <c r="M58" s="312">
        <f>IF(OR(K58=0,K58=""),"",L58/K58-1)</f>
        <v>0.11764794663205391</v>
      </c>
      <c r="N58" s="173"/>
      <c r="O58" s="135"/>
      <c r="P58" s="135"/>
      <c r="Q58" s="135"/>
      <c r="R58" s="135"/>
    </row>
    <row r="59" spans="1:1010 1027:2036 2053:3062 3079:4088 4105:5114 5131:6140 6157:7166 7183:8192 8209:9200 9217:10226 10243:11252 11269:12278 12295:13304 13321:14330 14347:15356 15373:16382" x14ac:dyDescent="0.35">
      <c r="A59" s="24" t="s">
        <v>29</v>
      </c>
      <c r="B59" s="24"/>
      <c r="C59" s="260">
        <f t="shared" ref="C59:L59" si="11">ROUND(IF(C50="",0,C50)-IF(C52="",0,C52)-IF(C57="",0,C57)-IF(C58="",0,C58),1)</f>
        <v>0</v>
      </c>
      <c r="D59" s="260">
        <f t="shared" si="11"/>
        <v>0</v>
      </c>
      <c r="E59" s="260">
        <f t="shared" si="11"/>
        <v>0</v>
      </c>
      <c r="F59" s="260">
        <f t="shared" si="11"/>
        <v>0</v>
      </c>
      <c r="G59" s="260">
        <f t="shared" si="11"/>
        <v>0</v>
      </c>
      <c r="H59" s="260">
        <f t="shared" si="11"/>
        <v>0</v>
      </c>
      <c r="I59" s="260">
        <f t="shared" si="11"/>
        <v>0</v>
      </c>
      <c r="J59" s="260">
        <f t="shared" si="11"/>
        <v>0</v>
      </c>
      <c r="K59" s="260">
        <f t="shared" si="11"/>
        <v>0</v>
      </c>
      <c r="L59" s="260">
        <f t="shared" si="11"/>
        <v>0</v>
      </c>
      <c r="M59" s="138"/>
      <c r="N59" s="138"/>
      <c r="O59" s="138"/>
      <c r="P59" s="138"/>
      <c r="Q59" s="138"/>
      <c r="R59" s="138"/>
    </row>
    <row r="60" spans="1:1010 1027:2036 2053:3062 3079:4088 4105:5114 5131:6140 6157:7166 7183:8192 8209:9200 9217:10226 10243:11252 11269:12278 12295:13304 13321:14330 14347:15356 15373:16382" s="11" customFormat="1" x14ac:dyDescent="0.35">
      <c r="A60" s="183" t="s">
        <v>298</v>
      </c>
      <c r="B60" s="183" t="s">
        <v>299</v>
      </c>
      <c r="C60" s="184">
        <v>0</v>
      </c>
      <c r="D60" s="184">
        <v>0</v>
      </c>
      <c r="E60" s="184">
        <v>0</v>
      </c>
      <c r="F60" s="184">
        <v>0</v>
      </c>
      <c r="G60" s="184">
        <v>0</v>
      </c>
      <c r="H60" s="184">
        <v>0</v>
      </c>
      <c r="I60" s="184">
        <v>0</v>
      </c>
      <c r="J60" s="184">
        <v>0</v>
      </c>
      <c r="K60" s="184">
        <v>0</v>
      </c>
      <c r="L60" s="184">
        <v>0</v>
      </c>
      <c r="S60" s="12"/>
      <c r="T60" s="12"/>
      <c r="AK60" s="12"/>
      <c r="AL60" s="12"/>
      <c r="BC60" s="12"/>
      <c r="BD60" s="12"/>
      <c r="BU60" s="12"/>
      <c r="BV60" s="12"/>
      <c r="CM60" s="12"/>
      <c r="CN60" s="12"/>
      <c r="DE60" s="12"/>
      <c r="DF60" s="12"/>
      <c r="DW60" s="12"/>
      <c r="DX60" s="12"/>
      <c r="EO60" s="12"/>
      <c r="EP60" s="12"/>
      <c r="FG60" s="12"/>
      <c r="FH60" s="12"/>
      <c r="FY60" s="12"/>
      <c r="FZ60" s="12"/>
      <c r="GQ60" s="12"/>
      <c r="GR60" s="12"/>
      <c r="HI60" s="12"/>
      <c r="HJ60" s="12"/>
      <c r="IA60" s="12"/>
      <c r="IB60" s="12"/>
      <c r="IS60" s="12"/>
      <c r="IT60" s="12"/>
      <c r="JK60" s="12"/>
      <c r="JL60" s="12"/>
      <c r="KC60" s="12"/>
      <c r="KD60" s="12"/>
      <c r="KU60" s="12"/>
      <c r="KV60" s="12"/>
      <c r="LM60" s="12"/>
      <c r="LN60" s="12"/>
      <c r="ME60" s="12"/>
      <c r="MF60" s="12"/>
      <c r="MW60" s="12"/>
      <c r="MX60" s="12"/>
      <c r="NO60" s="12"/>
      <c r="NP60" s="12"/>
      <c r="OG60" s="12"/>
      <c r="OH60" s="12"/>
      <c r="OY60" s="12"/>
      <c r="OZ60" s="12"/>
      <c r="PQ60" s="12"/>
      <c r="PR60" s="12"/>
      <c r="QI60" s="12"/>
      <c r="QJ60" s="12"/>
      <c r="RA60" s="12"/>
      <c r="RB60" s="12"/>
      <c r="RS60" s="12"/>
      <c r="RT60" s="12"/>
      <c r="SK60" s="12"/>
      <c r="SL60" s="12"/>
      <c r="TC60" s="12"/>
      <c r="TD60" s="12"/>
      <c r="TU60" s="12"/>
      <c r="TV60" s="12"/>
      <c r="UM60" s="12"/>
      <c r="UN60" s="12"/>
      <c r="VE60" s="12"/>
      <c r="VF60" s="12"/>
      <c r="VW60" s="12"/>
      <c r="VX60" s="12"/>
      <c r="WO60" s="12"/>
      <c r="WP60" s="12"/>
      <c r="XG60" s="12"/>
      <c r="XH60" s="12"/>
      <c r="XY60" s="12"/>
      <c r="XZ60" s="12"/>
      <c r="YQ60" s="12"/>
      <c r="YR60" s="12"/>
      <c r="ZI60" s="12"/>
      <c r="ZJ60" s="12"/>
      <c r="AAA60" s="12"/>
      <c r="AAB60" s="12"/>
      <c r="AAS60" s="12"/>
      <c r="AAT60" s="12"/>
      <c r="ABK60" s="12"/>
      <c r="ABL60" s="12"/>
      <c r="ACC60" s="12"/>
      <c r="ACD60" s="12"/>
      <c r="ACU60" s="12"/>
      <c r="ACV60" s="12"/>
      <c r="ADM60" s="12"/>
      <c r="ADN60" s="12"/>
      <c r="AEE60" s="12"/>
      <c r="AEF60" s="12"/>
      <c r="AEW60" s="12"/>
      <c r="AEX60" s="12"/>
      <c r="AFO60" s="12"/>
      <c r="AFP60" s="12"/>
      <c r="AGG60" s="12"/>
      <c r="AGH60" s="12"/>
      <c r="AGY60" s="12"/>
      <c r="AGZ60" s="12"/>
      <c r="AHQ60" s="12"/>
      <c r="AHR60" s="12"/>
      <c r="AII60" s="12"/>
      <c r="AIJ60" s="12"/>
      <c r="AJA60" s="12"/>
      <c r="AJB60" s="12"/>
      <c r="AJS60" s="12"/>
      <c r="AJT60" s="12"/>
      <c r="AKK60" s="12"/>
      <c r="AKL60" s="12"/>
      <c r="ALC60" s="12"/>
      <c r="ALD60" s="12"/>
      <c r="ALU60" s="12"/>
      <c r="ALV60" s="12"/>
      <c r="AMM60" s="12"/>
      <c r="AMN60" s="12"/>
      <c r="ANE60" s="12"/>
      <c r="ANF60" s="12"/>
      <c r="ANW60" s="12"/>
      <c r="ANX60" s="12"/>
      <c r="AOO60" s="12"/>
      <c r="AOP60" s="12"/>
      <c r="APG60" s="12"/>
      <c r="APH60" s="12"/>
      <c r="APY60" s="12"/>
      <c r="APZ60" s="12"/>
      <c r="AQQ60" s="12"/>
      <c r="AQR60" s="12"/>
      <c r="ARI60" s="12"/>
      <c r="ARJ60" s="12"/>
      <c r="ASA60" s="12"/>
      <c r="ASB60" s="12"/>
      <c r="ASS60" s="12"/>
      <c r="AST60" s="12"/>
      <c r="ATK60" s="12"/>
      <c r="ATL60" s="12"/>
      <c r="AUC60" s="12"/>
      <c r="AUD60" s="12"/>
      <c r="AUU60" s="12"/>
      <c r="AUV60" s="12"/>
      <c r="AVM60" s="12"/>
      <c r="AVN60" s="12"/>
      <c r="AWE60" s="12"/>
      <c r="AWF60" s="12"/>
      <c r="AWW60" s="12"/>
      <c r="AWX60" s="12"/>
      <c r="AXO60" s="12"/>
      <c r="AXP60" s="12"/>
      <c r="AYG60" s="12"/>
      <c r="AYH60" s="12"/>
      <c r="AYY60" s="12"/>
      <c r="AYZ60" s="12"/>
      <c r="AZQ60" s="12"/>
      <c r="AZR60" s="12"/>
      <c r="BAI60" s="12"/>
      <c r="BAJ60" s="12"/>
      <c r="BBA60" s="12"/>
      <c r="BBB60" s="12"/>
      <c r="BBS60" s="12"/>
      <c r="BBT60" s="12"/>
      <c r="BCK60" s="12"/>
      <c r="BCL60" s="12"/>
      <c r="BDC60" s="12"/>
      <c r="BDD60" s="12"/>
      <c r="BDU60" s="12"/>
      <c r="BDV60" s="12"/>
      <c r="BEM60" s="12"/>
      <c r="BEN60" s="12"/>
      <c r="BFE60" s="12"/>
      <c r="BFF60" s="12"/>
      <c r="BFW60" s="12"/>
      <c r="BFX60" s="12"/>
      <c r="BGO60" s="12"/>
      <c r="BGP60" s="12"/>
      <c r="BHG60" s="12"/>
      <c r="BHH60" s="12"/>
      <c r="BHY60" s="12"/>
      <c r="BHZ60" s="12"/>
      <c r="BIQ60" s="12"/>
      <c r="BIR60" s="12"/>
      <c r="BJI60" s="12"/>
      <c r="BJJ60" s="12"/>
      <c r="BKA60" s="12"/>
      <c r="BKB60" s="12"/>
      <c r="BKS60" s="12"/>
      <c r="BKT60" s="12"/>
      <c r="BLK60" s="12"/>
      <c r="BLL60" s="12"/>
      <c r="BMC60" s="12"/>
      <c r="BMD60" s="12"/>
      <c r="BMU60" s="12"/>
      <c r="BMV60" s="12"/>
      <c r="BNM60" s="12"/>
      <c r="BNN60" s="12"/>
      <c r="BOE60" s="12"/>
      <c r="BOF60" s="12"/>
      <c r="BOW60" s="12"/>
      <c r="BOX60" s="12"/>
      <c r="BPO60" s="12"/>
      <c r="BPP60" s="12"/>
      <c r="BQG60" s="12"/>
      <c r="BQH60" s="12"/>
      <c r="BQY60" s="12"/>
      <c r="BQZ60" s="12"/>
      <c r="BRQ60" s="12"/>
      <c r="BRR60" s="12"/>
      <c r="BSI60" s="12"/>
      <c r="BSJ60" s="12"/>
      <c r="BTA60" s="12"/>
      <c r="BTB60" s="12"/>
      <c r="BTS60" s="12"/>
      <c r="BTT60" s="12"/>
      <c r="BUK60" s="12"/>
      <c r="BUL60" s="12"/>
      <c r="BVC60" s="12"/>
      <c r="BVD60" s="12"/>
      <c r="BVU60" s="12"/>
      <c r="BVV60" s="12"/>
      <c r="BWM60" s="12"/>
      <c r="BWN60" s="12"/>
      <c r="BXE60" s="12"/>
      <c r="BXF60" s="12"/>
      <c r="BXW60" s="12"/>
      <c r="BXX60" s="12"/>
      <c r="BYO60" s="12"/>
      <c r="BYP60" s="12"/>
      <c r="BZG60" s="12"/>
      <c r="BZH60" s="12"/>
      <c r="BZY60" s="12"/>
      <c r="BZZ60" s="12"/>
      <c r="CAQ60" s="12"/>
      <c r="CAR60" s="12"/>
      <c r="CBI60" s="12"/>
      <c r="CBJ60" s="12"/>
      <c r="CCA60" s="12"/>
      <c r="CCB60" s="12"/>
      <c r="CCS60" s="12"/>
      <c r="CCT60" s="12"/>
      <c r="CDK60" s="12"/>
      <c r="CDL60" s="12"/>
      <c r="CEC60" s="12"/>
      <c r="CED60" s="12"/>
      <c r="CEU60" s="12"/>
      <c r="CEV60" s="12"/>
      <c r="CFM60" s="12"/>
      <c r="CFN60" s="12"/>
      <c r="CGE60" s="12"/>
      <c r="CGF60" s="12"/>
      <c r="CGW60" s="12"/>
      <c r="CGX60" s="12"/>
      <c r="CHO60" s="12"/>
      <c r="CHP60" s="12"/>
      <c r="CIG60" s="12"/>
      <c r="CIH60" s="12"/>
      <c r="CIY60" s="12"/>
      <c r="CIZ60" s="12"/>
      <c r="CJQ60" s="12"/>
      <c r="CJR60" s="12"/>
      <c r="CKI60" s="12"/>
      <c r="CKJ60" s="12"/>
      <c r="CLA60" s="12"/>
      <c r="CLB60" s="12"/>
      <c r="CLS60" s="12"/>
      <c r="CLT60" s="12"/>
      <c r="CMK60" s="12"/>
      <c r="CML60" s="12"/>
      <c r="CNC60" s="12"/>
      <c r="CND60" s="12"/>
      <c r="CNU60" s="12"/>
      <c r="CNV60" s="12"/>
      <c r="COM60" s="12"/>
      <c r="CON60" s="12"/>
      <c r="CPE60" s="12"/>
      <c r="CPF60" s="12"/>
      <c r="CPW60" s="12"/>
      <c r="CPX60" s="12"/>
      <c r="CQO60" s="12"/>
      <c r="CQP60" s="12"/>
      <c r="CRG60" s="12"/>
      <c r="CRH60" s="12"/>
      <c r="CRY60" s="12"/>
      <c r="CRZ60" s="12"/>
      <c r="CSQ60" s="12"/>
      <c r="CSR60" s="12"/>
      <c r="CTI60" s="12"/>
      <c r="CTJ60" s="12"/>
      <c r="CUA60" s="12"/>
      <c r="CUB60" s="12"/>
      <c r="CUS60" s="12"/>
      <c r="CUT60" s="12"/>
      <c r="CVK60" s="12"/>
      <c r="CVL60" s="12"/>
      <c r="CWC60" s="12"/>
      <c r="CWD60" s="12"/>
      <c r="CWU60" s="12"/>
      <c r="CWV60" s="12"/>
      <c r="CXM60" s="12"/>
      <c r="CXN60" s="12"/>
      <c r="CYE60" s="12"/>
      <c r="CYF60" s="12"/>
      <c r="CYW60" s="12"/>
      <c r="CYX60" s="12"/>
      <c r="CZO60" s="12"/>
      <c r="CZP60" s="12"/>
      <c r="DAG60" s="12"/>
      <c r="DAH60" s="12"/>
      <c r="DAY60" s="12"/>
      <c r="DAZ60" s="12"/>
      <c r="DBQ60" s="12"/>
      <c r="DBR60" s="12"/>
      <c r="DCI60" s="12"/>
      <c r="DCJ60" s="12"/>
      <c r="DDA60" s="12"/>
      <c r="DDB60" s="12"/>
      <c r="DDS60" s="12"/>
      <c r="DDT60" s="12"/>
      <c r="DEK60" s="12"/>
      <c r="DEL60" s="12"/>
      <c r="DFC60" s="12"/>
      <c r="DFD60" s="12"/>
      <c r="DFU60" s="12"/>
      <c r="DFV60" s="12"/>
      <c r="DGM60" s="12"/>
      <c r="DGN60" s="12"/>
      <c r="DHE60" s="12"/>
      <c r="DHF60" s="12"/>
      <c r="DHW60" s="12"/>
      <c r="DHX60" s="12"/>
      <c r="DIO60" s="12"/>
      <c r="DIP60" s="12"/>
      <c r="DJG60" s="12"/>
      <c r="DJH60" s="12"/>
      <c r="DJY60" s="12"/>
      <c r="DJZ60" s="12"/>
      <c r="DKQ60" s="12"/>
      <c r="DKR60" s="12"/>
      <c r="DLI60" s="12"/>
      <c r="DLJ60" s="12"/>
      <c r="DMA60" s="12"/>
      <c r="DMB60" s="12"/>
      <c r="DMS60" s="12"/>
      <c r="DMT60" s="12"/>
      <c r="DNK60" s="12"/>
      <c r="DNL60" s="12"/>
      <c r="DOC60" s="12"/>
      <c r="DOD60" s="12"/>
      <c r="DOU60" s="12"/>
      <c r="DOV60" s="12"/>
      <c r="DPM60" s="12"/>
      <c r="DPN60" s="12"/>
      <c r="DQE60" s="12"/>
      <c r="DQF60" s="12"/>
      <c r="DQW60" s="12"/>
      <c r="DQX60" s="12"/>
      <c r="DRO60" s="12"/>
      <c r="DRP60" s="12"/>
      <c r="DSG60" s="12"/>
      <c r="DSH60" s="12"/>
      <c r="DSY60" s="12"/>
      <c r="DSZ60" s="12"/>
      <c r="DTQ60" s="12"/>
      <c r="DTR60" s="12"/>
      <c r="DUI60" s="12"/>
      <c r="DUJ60" s="12"/>
      <c r="DVA60" s="12"/>
      <c r="DVB60" s="12"/>
      <c r="DVS60" s="12"/>
      <c r="DVT60" s="12"/>
      <c r="DWK60" s="12"/>
      <c r="DWL60" s="12"/>
      <c r="DXC60" s="12"/>
      <c r="DXD60" s="12"/>
      <c r="DXU60" s="12"/>
      <c r="DXV60" s="12"/>
      <c r="DYM60" s="12"/>
      <c r="DYN60" s="12"/>
      <c r="DZE60" s="12"/>
      <c r="DZF60" s="12"/>
      <c r="DZW60" s="12"/>
      <c r="DZX60" s="12"/>
      <c r="EAO60" s="12"/>
      <c r="EAP60" s="12"/>
      <c r="EBG60" s="12"/>
      <c r="EBH60" s="12"/>
      <c r="EBY60" s="12"/>
      <c r="EBZ60" s="12"/>
      <c r="ECQ60" s="12"/>
      <c r="ECR60" s="12"/>
      <c r="EDI60" s="12"/>
      <c r="EDJ60" s="12"/>
      <c r="EEA60" s="12"/>
      <c r="EEB60" s="12"/>
      <c r="EES60" s="12"/>
      <c r="EET60" s="12"/>
      <c r="EFK60" s="12"/>
      <c r="EFL60" s="12"/>
      <c r="EGC60" s="12"/>
      <c r="EGD60" s="12"/>
      <c r="EGU60" s="12"/>
      <c r="EGV60" s="12"/>
      <c r="EHM60" s="12"/>
      <c r="EHN60" s="12"/>
      <c r="EIE60" s="12"/>
      <c r="EIF60" s="12"/>
      <c r="EIW60" s="12"/>
      <c r="EIX60" s="12"/>
      <c r="EJO60" s="12"/>
      <c r="EJP60" s="12"/>
      <c r="EKG60" s="12"/>
      <c r="EKH60" s="12"/>
      <c r="EKY60" s="12"/>
      <c r="EKZ60" s="12"/>
      <c r="ELQ60" s="12"/>
      <c r="ELR60" s="12"/>
      <c r="EMI60" s="12"/>
      <c r="EMJ60" s="12"/>
      <c r="ENA60" s="12"/>
      <c r="ENB60" s="12"/>
      <c r="ENS60" s="12"/>
      <c r="ENT60" s="12"/>
      <c r="EOK60" s="12"/>
      <c r="EOL60" s="12"/>
      <c r="EPC60" s="12"/>
      <c r="EPD60" s="12"/>
      <c r="EPU60" s="12"/>
      <c r="EPV60" s="12"/>
      <c r="EQM60" s="12"/>
      <c r="EQN60" s="12"/>
      <c r="ERE60" s="12"/>
      <c r="ERF60" s="12"/>
      <c r="ERW60" s="12"/>
      <c r="ERX60" s="12"/>
      <c r="ESO60" s="12"/>
      <c r="ESP60" s="12"/>
      <c r="ETG60" s="12"/>
      <c r="ETH60" s="12"/>
      <c r="ETY60" s="12"/>
      <c r="ETZ60" s="12"/>
      <c r="EUQ60" s="12"/>
      <c r="EUR60" s="12"/>
      <c r="EVI60" s="12"/>
      <c r="EVJ60" s="12"/>
      <c r="EWA60" s="12"/>
      <c r="EWB60" s="12"/>
      <c r="EWS60" s="12"/>
      <c r="EWT60" s="12"/>
      <c r="EXK60" s="12"/>
      <c r="EXL60" s="12"/>
      <c r="EYC60" s="12"/>
      <c r="EYD60" s="12"/>
      <c r="EYU60" s="12"/>
      <c r="EYV60" s="12"/>
      <c r="EZM60" s="12"/>
      <c r="EZN60" s="12"/>
      <c r="FAE60" s="12"/>
      <c r="FAF60" s="12"/>
      <c r="FAW60" s="12"/>
      <c r="FAX60" s="12"/>
      <c r="FBO60" s="12"/>
      <c r="FBP60" s="12"/>
      <c r="FCG60" s="12"/>
      <c r="FCH60" s="12"/>
      <c r="FCY60" s="12"/>
      <c r="FCZ60" s="12"/>
      <c r="FDQ60" s="12"/>
      <c r="FDR60" s="12"/>
      <c r="FEI60" s="12"/>
      <c r="FEJ60" s="12"/>
      <c r="FFA60" s="12"/>
      <c r="FFB60" s="12"/>
      <c r="FFS60" s="12"/>
      <c r="FFT60" s="12"/>
      <c r="FGK60" s="12"/>
      <c r="FGL60" s="12"/>
      <c r="FHC60" s="12"/>
      <c r="FHD60" s="12"/>
      <c r="FHU60" s="12"/>
      <c r="FHV60" s="12"/>
      <c r="FIM60" s="12"/>
      <c r="FIN60" s="12"/>
      <c r="FJE60" s="12"/>
      <c r="FJF60" s="12"/>
      <c r="FJW60" s="12"/>
      <c r="FJX60" s="12"/>
      <c r="FKO60" s="12"/>
      <c r="FKP60" s="12"/>
      <c r="FLG60" s="12"/>
      <c r="FLH60" s="12"/>
      <c r="FLY60" s="12"/>
      <c r="FLZ60" s="12"/>
      <c r="FMQ60" s="12"/>
      <c r="FMR60" s="12"/>
      <c r="FNI60" s="12"/>
      <c r="FNJ60" s="12"/>
      <c r="FOA60" s="12"/>
      <c r="FOB60" s="12"/>
      <c r="FOS60" s="12"/>
      <c r="FOT60" s="12"/>
      <c r="FPK60" s="12"/>
      <c r="FPL60" s="12"/>
      <c r="FQC60" s="12"/>
      <c r="FQD60" s="12"/>
      <c r="FQU60" s="12"/>
      <c r="FQV60" s="12"/>
      <c r="FRM60" s="12"/>
      <c r="FRN60" s="12"/>
      <c r="FSE60" s="12"/>
      <c r="FSF60" s="12"/>
      <c r="FSW60" s="12"/>
      <c r="FSX60" s="12"/>
      <c r="FTO60" s="12"/>
      <c r="FTP60" s="12"/>
      <c r="FUG60" s="12"/>
      <c r="FUH60" s="12"/>
      <c r="FUY60" s="12"/>
      <c r="FUZ60" s="12"/>
      <c r="FVQ60" s="12"/>
      <c r="FVR60" s="12"/>
      <c r="FWI60" s="12"/>
      <c r="FWJ60" s="12"/>
      <c r="FXA60" s="12"/>
      <c r="FXB60" s="12"/>
      <c r="FXS60" s="12"/>
      <c r="FXT60" s="12"/>
      <c r="FYK60" s="12"/>
      <c r="FYL60" s="12"/>
      <c r="FZC60" s="12"/>
      <c r="FZD60" s="12"/>
      <c r="FZU60" s="12"/>
      <c r="FZV60" s="12"/>
      <c r="GAM60" s="12"/>
      <c r="GAN60" s="12"/>
      <c r="GBE60" s="12"/>
      <c r="GBF60" s="12"/>
      <c r="GBW60" s="12"/>
      <c r="GBX60" s="12"/>
      <c r="GCO60" s="12"/>
      <c r="GCP60" s="12"/>
      <c r="GDG60" s="12"/>
      <c r="GDH60" s="12"/>
      <c r="GDY60" s="12"/>
      <c r="GDZ60" s="12"/>
      <c r="GEQ60" s="12"/>
      <c r="GER60" s="12"/>
      <c r="GFI60" s="12"/>
      <c r="GFJ60" s="12"/>
      <c r="GGA60" s="12"/>
      <c r="GGB60" s="12"/>
      <c r="GGS60" s="12"/>
      <c r="GGT60" s="12"/>
      <c r="GHK60" s="12"/>
      <c r="GHL60" s="12"/>
      <c r="GIC60" s="12"/>
      <c r="GID60" s="12"/>
      <c r="GIU60" s="12"/>
      <c r="GIV60" s="12"/>
      <c r="GJM60" s="12"/>
      <c r="GJN60" s="12"/>
      <c r="GKE60" s="12"/>
      <c r="GKF60" s="12"/>
      <c r="GKW60" s="12"/>
      <c r="GKX60" s="12"/>
      <c r="GLO60" s="12"/>
      <c r="GLP60" s="12"/>
      <c r="GMG60" s="12"/>
      <c r="GMH60" s="12"/>
      <c r="GMY60" s="12"/>
      <c r="GMZ60" s="12"/>
      <c r="GNQ60" s="12"/>
      <c r="GNR60" s="12"/>
      <c r="GOI60" s="12"/>
      <c r="GOJ60" s="12"/>
      <c r="GPA60" s="12"/>
      <c r="GPB60" s="12"/>
      <c r="GPS60" s="12"/>
      <c r="GPT60" s="12"/>
      <c r="GQK60" s="12"/>
      <c r="GQL60" s="12"/>
      <c r="GRC60" s="12"/>
      <c r="GRD60" s="12"/>
      <c r="GRU60" s="12"/>
      <c r="GRV60" s="12"/>
      <c r="GSM60" s="12"/>
      <c r="GSN60" s="12"/>
      <c r="GTE60" s="12"/>
      <c r="GTF60" s="12"/>
      <c r="GTW60" s="12"/>
      <c r="GTX60" s="12"/>
      <c r="GUO60" s="12"/>
      <c r="GUP60" s="12"/>
      <c r="GVG60" s="12"/>
      <c r="GVH60" s="12"/>
      <c r="GVY60" s="12"/>
      <c r="GVZ60" s="12"/>
      <c r="GWQ60" s="12"/>
      <c r="GWR60" s="12"/>
      <c r="GXI60" s="12"/>
      <c r="GXJ60" s="12"/>
      <c r="GYA60" s="12"/>
      <c r="GYB60" s="12"/>
      <c r="GYS60" s="12"/>
      <c r="GYT60" s="12"/>
      <c r="GZK60" s="12"/>
      <c r="GZL60" s="12"/>
      <c r="HAC60" s="12"/>
      <c r="HAD60" s="12"/>
      <c r="HAU60" s="12"/>
      <c r="HAV60" s="12"/>
      <c r="HBM60" s="12"/>
      <c r="HBN60" s="12"/>
      <c r="HCE60" s="12"/>
      <c r="HCF60" s="12"/>
      <c r="HCW60" s="12"/>
      <c r="HCX60" s="12"/>
      <c r="HDO60" s="12"/>
      <c r="HDP60" s="12"/>
      <c r="HEG60" s="12"/>
      <c r="HEH60" s="12"/>
      <c r="HEY60" s="12"/>
      <c r="HEZ60" s="12"/>
      <c r="HFQ60" s="12"/>
      <c r="HFR60" s="12"/>
      <c r="HGI60" s="12"/>
      <c r="HGJ60" s="12"/>
      <c r="HHA60" s="12"/>
      <c r="HHB60" s="12"/>
      <c r="HHS60" s="12"/>
      <c r="HHT60" s="12"/>
      <c r="HIK60" s="12"/>
      <c r="HIL60" s="12"/>
      <c r="HJC60" s="12"/>
      <c r="HJD60" s="12"/>
      <c r="HJU60" s="12"/>
      <c r="HJV60" s="12"/>
      <c r="HKM60" s="12"/>
      <c r="HKN60" s="12"/>
      <c r="HLE60" s="12"/>
      <c r="HLF60" s="12"/>
      <c r="HLW60" s="12"/>
      <c r="HLX60" s="12"/>
      <c r="HMO60" s="12"/>
      <c r="HMP60" s="12"/>
      <c r="HNG60" s="12"/>
      <c r="HNH60" s="12"/>
      <c r="HNY60" s="12"/>
      <c r="HNZ60" s="12"/>
      <c r="HOQ60" s="12"/>
      <c r="HOR60" s="12"/>
      <c r="HPI60" s="12"/>
      <c r="HPJ60" s="12"/>
      <c r="HQA60" s="12"/>
      <c r="HQB60" s="12"/>
      <c r="HQS60" s="12"/>
      <c r="HQT60" s="12"/>
      <c r="HRK60" s="12"/>
      <c r="HRL60" s="12"/>
      <c r="HSC60" s="12"/>
      <c r="HSD60" s="12"/>
      <c r="HSU60" s="12"/>
      <c r="HSV60" s="12"/>
      <c r="HTM60" s="12"/>
      <c r="HTN60" s="12"/>
      <c r="HUE60" s="12"/>
      <c r="HUF60" s="12"/>
      <c r="HUW60" s="12"/>
      <c r="HUX60" s="12"/>
      <c r="HVO60" s="12"/>
      <c r="HVP60" s="12"/>
      <c r="HWG60" s="12"/>
      <c r="HWH60" s="12"/>
      <c r="HWY60" s="12"/>
      <c r="HWZ60" s="12"/>
      <c r="HXQ60" s="12"/>
      <c r="HXR60" s="12"/>
      <c r="HYI60" s="12"/>
      <c r="HYJ60" s="12"/>
      <c r="HZA60" s="12"/>
      <c r="HZB60" s="12"/>
      <c r="HZS60" s="12"/>
      <c r="HZT60" s="12"/>
      <c r="IAK60" s="12"/>
      <c r="IAL60" s="12"/>
      <c r="IBC60" s="12"/>
      <c r="IBD60" s="12"/>
      <c r="IBU60" s="12"/>
      <c r="IBV60" s="12"/>
      <c r="ICM60" s="12"/>
      <c r="ICN60" s="12"/>
      <c r="IDE60" s="12"/>
      <c r="IDF60" s="12"/>
      <c r="IDW60" s="12"/>
      <c r="IDX60" s="12"/>
      <c r="IEO60" s="12"/>
      <c r="IEP60" s="12"/>
      <c r="IFG60" s="12"/>
      <c r="IFH60" s="12"/>
      <c r="IFY60" s="12"/>
      <c r="IFZ60" s="12"/>
      <c r="IGQ60" s="12"/>
      <c r="IGR60" s="12"/>
      <c r="IHI60" s="12"/>
      <c r="IHJ60" s="12"/>
      <c r="IIA60" s="12"/>
      <c r="IIB60" s="12"/>
      <c r="IIS60" s="12"/>
      <c r="IIT60" s="12"/>
      <c r="IJK60" s="12"/>
      <c r="IJL60" s="12"/>
      <c r="IKC60" s="12"/>
      <c r="IKD60" s="12"/>
      <c r="IKU60" s="12"/>
      <c r="IKV60" s="12"/>
      <c r="ILM60" s="12"/>
      <c r="ILN60" s="12"/>
      <c r="IME60" s="12"/>
      <c r="IMF60" s="12"/>
      <c r="IMW60" s="12"/>
      <c r="IMX60" s="12"/>
      <c r="INO60" s="12"/>
      <c r="INP60" s="12"/>
      <c r="IOG60" s="12"/>
      <c r="IOH60" s="12"/>
      <c r="IOY60" s="12"/>
      <c r="IOZ60" s="12"/>
      <c r="IPQ60" s="12"/>
      <c r="IPR60" s="12"/>
      <c r="IQI60" s="12"/>
      <c r="IQJ60" s="12"/>
      <c r="IRA60" s="12"/>
      <c r="IRB60" s="12"/>
      <c r="IRS60" s="12"/>
      <c r="IRT60" s="12"/>
      <c r="ISK60" s="12"/>
      <c r="ISL60" s="12"/>
      <c r="ITC60" s="12"/>
      <c r="ITD60" s="12"/>
      <c r="ITU60" s="12"/>
      <c r="ITV60" s="12"/>
      <c r="IUM60" s="12"/>
      <c r="IUN60" s="12"/>
      <c r="IVE60" s="12"/>
      <c r="IVF60" s="12"/>
      <c r="IVW60" s="12"/>
      <c r="IVX60" s="12"/>
      <c r="IWO60" s="12"/>
      <c r="IWP60" s="12"/>
      <c r="IXG60" s="12"/>
      <c r="IXH60" s="12"/>
      <c r="IXY60" s="12"/>
      <c r="IXZ60" s="12"/>
      <c r="IYQ60" s="12"/>
      <c r="IYR60" s="12"/>
      <c r="IZI60" s="12"/>
      <c r="IZJ60" s="12"/>
      <c r="JAA60" s="12"/>
      <c r="JAB60" s="12"/>
      <c r="JAS60" s="12"/>
      <c r="JAT60" s="12"/>
      <c r="JBK60" s="12"/>
      <c r="JBL60" s="12"/>
      <c r="JCC60" s="12"/>
      <c r="JCD60" s="12"/>
      <c r="JCU60" s="12"/>
      <c r="JCV60" s="12"/>
      <c r="JDM60" s="12"/>
      <c r="JDN60" s="12"/>
      <c r="JEE60" s="12"/>
      <c r="JEF60" s="12"/>
      <c r="JEW60" s="12"/>
      <c r="JEX60" s="12"/>
      <c r="JFO60" s="12"/>
      <c r="JFP60" s="12"/>
      <c r="JGG60" s="12"/>
      <c r="JGH60" s="12"/>
      <c r="JGY60" s="12"/>
      <c r="JGZ60" s="12"/>
      <c r="JHQ60" s="12"/>
      <c r="JHR60" s="12"/>
      <c r="JII60" s="12"/>
      <c r="JIJ60" s="12"/>
      <c r="JJA60" s="12"/>
      <c r="JJB60" s="12"/>
      <c r="JJS60" s="12"/>
      <c r="JJT60" s="12"/>
      <c r="JKK60" s="12"/>
      <c r="JKL60" s="12"/>
      <c r="JLC60" s="12"/>
      <c r="JLD60" s="12"/>
      <c r="JLU60" s="12"/>
      <c r="JLV60" s="12"/>
      <c r="JMM60" s="12"/>
      <c r="JMN60" s="12"/>
      <c r="JNE60" s="12"/>
      <c r="JNF60" s="12"/>
      <c r="JNW60" s="12"/>
      <c r="JNX60" s="12"/>
      <c r="JOO60" s="12"/>
      <c r="JOP60" s="12"/>
      <c r="JPG60" s="12"/>
      <c r="JPH60" s="12"/>
      <c r="JPY60" s="12"/>
      <c r="JPZ60" s="12"/>
      <c r="JQQ60" s="12"/>
      <c r="JQR60" s="12"/>
      <c r="JRI60" s="12"/>
      <c r="JRJ60" s="12"/>
      <c r="JSA60" s="12"/>
      <c r="JSB60" s="12"/>
      <c r="JSS60" s="12"/>
      <c r="JST60" s="12"/>
      <c r="JTK60" s="12"/>
      <c r="JTL60" s="12"/>
      <c r="JUC60" s="12"/>
      <c r="JUD60" s="12"/>
      <c r="JUU60" s="12"/>
      <c r="JUV60" s="12"/>
      <c r="JVM60" s="12"/>
      <c r="JVN60" s="12"/>
      <c r="JWE60" s="12"/>
      <c r="JWF60" s="12"/>
      <c r="JWW60" s="12"/>
      <c r="JWX60" s="12"/>
      <c r="JXO60" s="12"/>
      <c r="JXP60" s="12"/>
      <c r="JYG60" s="12"/>
      <c r="JYH60" s="12"/>
      <c r="JYY60" s="12"/>
      <c r="JYZ60" s="12"/>
      <c r="JZQ60" s="12"/>
      <c r="JZR60" s="12"/>
      <c r="KAI60" s="12"/>
      <c r="KAJ60" s="12"/>
      <c r="KBA60" s="12"/>
      <c r="KBB60" s="12"/>
      <c r="KBS60" s="12"/>
      <c r="KBT60" s="12"/>
      <c r="KCK60" s="12"/>
      <c r="KCL60" s="12"/>
      <c r="KDC60" s="12"/>
      <c r="KDD60" s="12"/>
      <c r="KDU60" s="12"/>
      <c r="KDV60" s="12"/>
      <c r="KEM60" s="12"/>
      <c r="KEN60" s="12"/>
      <c r="KFE60" s="12"/>
      <c r="KFF60" s="12"/>
      <c r="KFW60" s="12"/>
      <c r="KFX60" s="12"/>
      <c r="KGO60" s="12"/>
      <c r="KGP60" s="12"/>
      <c r="KHG60" s="12"/>
      <c r="KHH60" s="12"/>
      <c r="KHY60" s="12"/>
      <c r="KHZ60" s="12"/>
      <c r="KIQ60" s="12"/>
      <c r="KIR60" s="12"/>
      <c r="KJI60" s="12"/>
      <c r="KJJ60" s="12"/>
      <c r="KKA60" s="12"/>
      <c r="KKB60" s="12"/>
      <c r="KKS60" s="12"/>
      <c r="KKT60" s="12"/>
      <c r="KLK60" s="12"/>
      <c r="KLL60" s="12"/>
      <c r="KMC60" s="12"/>
      <c r="KMD60" s="12"/>
      <c r="KMU60" s="12"/>
      <c r="KMV60" s="12"/>
      <c r="KNM60" s="12"/>
      <c r="KNN60" s="12"/>
      <c r="KOE60" s="12"/>
      <c r="KOF60" s="12"/>
      <c r="KOW60" s="12"/>
      <c r="KOX60" s="12"/>
      <c r="KPO60" s="12"/>
      <c r="KPP60" s="12"/>
      <c r="KQG60" s="12"/>
      <c r="KQH60" s="12"/>
      <c r="KQY60" s="12"/>
      <c r="KQZ60" s="12"/>
      <c r="KRQ60" s="12"/>
      <c r="KRR60" s="12"/>
      <c r="KSI60" s="12"/>
      <c r="KSJ60" s="12"/>
      <c r="KTA60" s="12"/>
      <c r="KTB60" s="12"/>
      <c r="KTS60" s="12"/>
      <c r="KTT60" s="12"/>
      <c r="KUK60" s="12"/>
      <c r="KUL60" s="12"/>
      <c r="KVC60" s="12"/>
      <c r="KVD60" s="12"/>
      <c r="KVU60" s="12"/>
      <c r="KVV60" s="12"/>
      <c r="KWM60" s="12"/>
      <c r="KWN60" s="12"/>
      <c r="KXE60" s="12"/>
      <c r="KXF60" s="12"/>
      <c r="KXW60" s="12"/>
      <c r="KXX60" s="12"/>
      <c r="KYO60" s="12"/>
      <c r="KYP60" s="12"/>
      <c r="KZG60" s="12"/>
      <c r="KZH60" s="12"/>
      <c r="KZY60" s="12"/>
      <c r="KZZ60" s="12"/>
      <c r="LAQ60" s="12"/>
      <c r="LAR60" s="12"/>
      <c r="LBI60" s="12"/>
      <c r="LBJ60" s="12"/>
      <c r="LCA60" s="12"/>
      <c r="LCB60" s="12"/>
      <c r="LCS60" s="12"/>
      <c r="LCT60" s="12"/>
      <c r="LDK60" s="12"/>
      <c r="LDL60" s="12"/>
      <c r="LEC60" s="12"/>
      <c r="LED60" s="12"/>
      <c r="LEU60" s="12"/>
      <c r="LEV60" s="12"/>
      <c r="LFM60" s="12"/>
      <c r="LFN60" s="12"/>
      <c r="LGE60" s="12"/>
      <c r="LGF60" s="12"/>
      <c r="LGW60" s="12"/>
      <c r="LGX60" s="12"/>
      <c r="LHO60" s="12"/>
      <c r="LHP60" s="12"/>
      <c r="LIG60" s="12"/>
      <c r="LIH60" s="12"/>
      <c r="LIY60" s="12"/>
      <c r="LIZ60" s="12"/>
      <c r="LJQ60" s="12"/>
      <c r="LJR60" s="12"/>
      <c r="LKI60" s="12"/>
      <c r="LKJ60" s="12"/>
      <c r="LLA60" s="12"/>
      <c r="LLB60" s="12"/>
      <c r="LLS60" s="12"/>
      <c r="LLT60" s="12"/>
      <c r="LMK60" s="12"/>
      <c r="LML60" s="12"/>
      <c r="LNC60" s="12"/>
      <c r="LND60" s="12"/>
      <c r="LNU60" s="12"/>
      <c r="LNV60" s="12"/>
      <c r="LOM60" s="12"/>
      <c r="LON60" s="12"/>
      <c r="LPE60" s="12"/>
      <c r="LPF60" s="12"/>
      <c r="LPW60" s="12"/>
      <c r="LPX60" s="12"/>
      <c r="LQO60" s="12"/>
      <c r="LQP60" s="12"/>
      <c r="LRG60" s="12"/>
      <c r="LRH60" s="12"/>
      <c r="LRY60" s="12"/>
      <c r="LRZ60" s="12"/>
      <c r="LSQ60" s="12"/>
      <c r="LSR60" s="12"/>
      <c r="LTI60" s="12"/>
      <c r="LTJ60" s="12"/>
      <c r="LUA60" s="12"/>
      <c r="LUB60" s="12"/>
      <c r="LUS60" s="12"/>
      <c r="LUT60" s="12"/>
      <c r="LVK60" s="12"/>
      <c r="LVL60" s="12"/>
      <c r="LWC60" s="12"/>
      <c r="LWD60" s="12"/>
      <c r="LWU60" s="12"/>
      <c r="LWV60" s="12"/>
      <c r="LXM60" s="12"/>
      <c r="LXN60" s="12"/>
      <c r="LYE60" s="12"/>
      <c r="LYF60" s="12"/>
      <c r="LYW60" s="12"/>
      <c r="LYX60" s="12"/>
      <c r="LZO60" s="12"/>
      <c r="LZP60" s="12"/>
      <c r="MAG60" s="12"/>
      <c r="MAH60" s="12"/>
      <c r="MAY60" s="12"/>
      <c r="MAZ60" s="12"/>
      <c r="MBQ60" s="12"/>
      <c r="MBR60" s="12"/>
      <c r="MCI60" s="12"/>
      <c r="MCJ60" s="12"/>
      <c r="MDA60" s="12"/>
      <c r="MDB60" s="12"/>
      <c r="MDS60" s="12"/>
      <c r="MDT60" s="12"/>
      <c r="MEK60" s="12"/>
      <c r="MEL60" s="12"/>
      <c r="MFC60" s="12"/>
      <c r="MFD60" s="12"/>
      <c r="MFU60" s="12"/>
      <c r="MFV60" s="12"/>
      <c r="MGM60" s="12"/>
      <c r="MGN60" s="12"/>
      <c r="MHE60" s="12"/>
      <c r="MHF60" s="12"/>
      <c r="MHW60" s="12"/>
      <c r="MHX60" s="12"/>
      <c r="MIO60" s="12"/>
      <c r="MIP60" s="12"/>
      <c r="MJG60" s="12"/>
      <c r="MJH60" s="12"/>
      <c r="MJY60" s="12"/>
      <c r="MJZ60" s="12"/>
      <c r="MKQ60" s="12"/>
      <c r="MKR60" s="12"/>
      <c r="MLI60" s="12"/>
      <c r="MLJ60" s="12"/>
      <c r="MMA60" s="12"/>
      <c r="MMB60" s="12"/>
      <c r="MMS60" s="12"/>
      <c r="MMT60" s="12"/>
      <c r="MNK60" s="12"/>
      <c r="MNL60" s="12"/>
      <c r="MOC60" s="12"/>
      <c r="MOD60" s="12"/>
      <c r="MOU60" s="12"/>
      <c r="MOV60" s="12"/>
      <c r="MPM60" s="12"/>
      <c r="MPN60" s="12"/>
      <c r="MQE60" s="12"/>
      <c r="MQF60" s="12"/>
      <c r="MQW60" s="12"/>
      <c r="MQX60" s="12"/>
      <c r="MRO60" s="12"/>
      <c r="MRP60" s="12"/>
      <c r="MSG60" s="12"/>
      <c r="MSH60" s="12"/>
      <c r="MSY60" s="12"/>
      <c r="MSZ60" s="12"/>
      <c r="MTQ60" s="12"/>
      <c r="MTR60" s="12"/>
      <c r="MUI60" s="12"/>
      <c r="MUJ60" s="12"/>
      <c r="MVA60" s="12"/>
      <c r="MVB60" s="12"/>
      <c r="MVS60" s="12"/>
      <c r="MVT60" s="12"/>
      <c r="MWK60" s="12"/>
      <c r="MWL60" s="12"/>
      <c r="MXC60" s="12"/>
      <c r="MXD60" s="12"/>
      <c r="MXU60" s="12"/>
      <c r="MXV60" s="12"/>
      <c r="MYM60" s="12"/>
      <c r="MYN60" s="12"/>
      <c r="MZE60" s="12"/>
      <c r="MZF60" s="12"/>
      <c r="MZW60" s="12"/>
      <c r="MZX60" s="12"/>
      <c r="NAO60" s="12"/>
      <c r="NAP60" s="12"/>
      <c r="NBG60" s="12"/>
      <c r="NBH60" s="12"/>
      <c r="NBY60" s="12"/>
      <c r="NBZ60" s="12"/>
      <c r="NCQ60" s="12"/>
      <c r="NCR60" s="12"/>
      <c r="NDI60" s="12"/>
      <c r="NDJ60" s="12"/>
      <c r="NEA60" s="12"/>
      <c r="NEB60" s="12"/>
      <c r="NES60" s="12"/>
      <c r="NET60" s="12"/>
      <c r="NFK60" s="12"/>
      <c r="NFL60" s="12"/>
      <c r="NGC60" s="12"/>
      <c r="NGD60" s="12"/>
      <c r="NGU60" s="12"/>
      <c r="NGV60" s="12"/>
      <c r="NHM60" s="12"/>
      <c r="NHN60" s="12"/>
      <c r="NIE60" s="12"/>
      <c r="NIF60" s="12"/>
      <c r="NIW60" s="12"/>
      <c r="NIX60" s="12"/>
      <c r="NJO60" s="12"/>
      <c r="NJP60" s="12"/>
      <c r="NKG60" s="12"/>
      <c r="NKH60" s="12"/>
      <c r="NKY60" s="12"/>
      <c r="NKZ60" s="12"/>
      <c r="NLQ60" s="12"/>
      <c r="NLR60" s="12"/>
      <c r="NMI60" s="12"/>
      <c r="NMJ60" s="12"/>
      <c r="NNA60" s="12"/>
      <c r="NNB60" s="12"/>
      <c r="NNS60" s="12"/>
      <c r="NNT60" s="12"/>
      <c r="NOK60" s="12"/>
      <c r="NOL60" s="12"/>
      <c r="NPC60" s="12"/>
      <c r="NPD60" s="12"/>
      <c r="NPU60" s="12"/>
      <c r="NPV60" s="12"/>
      <c r="NQM60" s="12"/>
      <c r="NQN60" s="12"/>
      <c r="NRE60" s="12"/>
      <c r="NRF60" s="12"/>
      <c r="NRW60" s="12"/>
      <c r="NRX60" s="12"/>
      <c r="NSO60" s="12"/>
      <c r="NSP60" s="12"/>
      <c r="NTG60" s="12"/>
      <c r="NTH60" s="12"/>
      <c r="NTY60" s="12"/>
      <c r="NTZ60" s="12"/>
      <c r="NUQ60" s="12"/>
      <c r="NUR60" s="12"/>
      <c r="NVI60" s="12"/>
      <c r="NVJ60" s="12"/>
      <c r="NWA60" s="12"/>
      <c r="NWB60" s="12"/>
      <c r="NWS60" s="12"/>
      <c r="NWT60" s="12"/>
      <c r="NXK60" s="12"/>
      <c r="NXL60" s="12"/>
      <c r="NYC60" s="12"/>
      <c r="NYD60" s="12"/>
      <c r="NYU60" s="12"/>
      <c r="NYV60" s="12"/>
      <c r="NZM60" s="12"/>
      <c r="NZN60" s="12"/>
      <c r="OAE60" s="12"/>
      <c r="OAF60" s="12"/>
      <c r="OAW60" s="12"/>
      <c r="OAX60" s="12"/>
      <c r="OBO60" s="12"/>
      <c r="OBP60" s="12"/>
      <c r="OCG60" s="12"/>
      <c r="OCH60" s="12"/>
      <c r="OCY60" s="12"/>
      <c r="OCZ60" s="12"/>
      <c r="ODQ60" s="12"/>
      <c r="ODR60" s="12"/>
      <c r="OEI60" s="12"/>
      <c r="OEJ60" s="12"/>
      <c r="OFA60" s="12"/>
      <c r="OFB60" s="12"/>
      <c r="OFS60" s="12"/>
      <c r="OFT60" s="12"/>
      <c r="OGK60" s="12"/>
      <c r="OGL60" s="12"/>
      <c r="OHC60" s="12"/>
      <c r="OHD60" s="12"/>
      <c r="OHU60" s="12"/>
      <c r="OHV60" s="12"/>
      <c r="OIM60" s="12"/>
      <c r="OIN60" s="12"/>
      <c r="OJE60" s="12"/>
      <c r="OJF60" s="12"/>
      <c r="OJW60" s="12"/>
      <c r="OJX60" s="12"/>
      <c r="OKO60" s="12"/>
      <c r="OKP60" s="12"/>
      <c r="OLG60" s="12"/>
      <c r="OLH60" s="12"/>
      <c r="OLY60" s="12"/>
      <c r="OLZ60" s="12"/>
      <c r="OMQ60" s="12"/>
      <c r="OMR60" s="12"/>
      <c r="ONI60" s="12"/>
      <c r="ONJ60" s="12"/>
      <c r="OOA60" s="12"/>
      <c r="OOB60" s="12"/>
      <c r="OOS60" s="12"/>
      <c r="OOT60" s="12"/>
      <c r="OPK60" s="12"/>
      <c r="OPL60" s="12"/>
      <c r="OQC60" s="12"/>
      <c r="OQD60" s="12"/>
      <c r="OQU60" s="12"/>
      <c r="OQV60" s="12"/>
      <c r="ORM60" s="12"/>
      <c r="ORN60" s="12"/>
      <c r="OSE60" s="12"/>
      <c r="OSF60" s="12"/>
      <c r="OSW60" s="12"/>
      <c r="OSX60" s="12"/>
      <c r="OTO60" s="12"/>
      <c r="OTP60" s="12"/>
      <c r="OUG60" s="12"/>
      <c r="OUH60" s="12"/>
      <c r="OUY60" s="12"/>
      <c r="OUZ60" s="12"/>
      <c r="OVQ60" s="12"/>
      <c r="OVR60" s="12"/>
      <c r="OWI60" s="12"/>
      <c r="OWJ60" s="12"/>
      <c r="OXA60" s="12"/>
      <c r="OXB60" s="12"/>
      <c r="OXS60" s="12"/>
      <c r="OXT60" s="12"/>
      <c r="OYK60" s="12"/>
      <c r="OYL60" s="12"/>
      <c r="OZC60" s="12"/>
      <c r="OZD60" s="12"/>
      <c r="OZU60" s="12"/>
      <c r="OZV60" s="12"/>
      <c r="PAM60" s="12"/>
      <c r="PAN60" s="12"/>
      <c r="PBE60" s="12"/>
      <c r="PBF60" s="12"/>
      <c r="PBW60" s="12"/>
      <c r="PBX60" s="12"/>
      <c r="PCO60" s="12"/>
      <c r="PCP60" s="12"/>
      <c r="PDG60" s="12"/>
      <c r="PDH60" s="12"/>
      <c r="PDY60" s="12"/>
      <c r="PDZ60" s="12"/>
      <c r="PEQ60" s="12"/>
      <c r="PER60" s="12"/>
      <c r="PFI60" s="12"/>
      <c r="PFJ60" s="12"/>
      <c r="PGA60" s="12"/>
      <c r="PGB60" s="12"/>
      <c r="PGS60" s="12"/>
      <c r="PGT60" s="12"/>
      <c r="PHK60" s="12"/>
      <c r="PHL60" s="12"/>
      <c r="PIC60" s="12"/>
      <c r="PID60" s="12"/>
      <c r="PIU60" s="12"/>
      <c r="PIV60" s="12"/>
      <c r="PJM60" s="12"/>
      <c r="PJN60" s="12"/>
      <c r="PKE60" s="12"/>
      <c r="PKF60" s="12"/>
      <c r="PKW60" s="12"/>
      <c r="PKX60" s="12"/>
      <c r="PLO60" s="12"/>
      <c r="PLP60" s="12"/>
      <c r="PMG60" s="12"/>
      <c r="PMH60" s="12"/>
      <c r="PMY60" s="12"/>
      <c r="PMZ60" s="12"/>
      <c r="PNQ60" s="12"/>
      <c r="PNR60" s="12"/>
      <c r="POI60" s="12"/>
      <c r="POJ60" s="12"/>
      <c r="PPA60" s="12"/>
      <c r="PPB60" s="12"/>
      <c r="PPS60" s="12"/>
      <c r="PPT60" s="12"/>
      <c r="PQK60" s="12"/>
      <c r="PQL60" s="12"/>
      <c r="PRC60" s="12"/>
      <c r="PRD60" s="12"/>
      <c r="PRU60" s="12"/>
      <c r="PRV60" s="12"/>
      <c r="PSM60" s="12"/>
      <c r="PSN60" s="12"/>
      <c r="PTE60" s="12"/>
      <c r="PTF60" s="12"/>
      <c r="PTW60" s="12"/>
      <c r="PTX60" s="12"/>
      <c r="PUO60" s="12"/>
      <c r="PUP60" s="12"/>
      <c r="PVG60" s="12"/>
      <c r="PVH60" s="12"/>
      <c r="PVY60" s="12"/>
      <c r="PVZ60" s="12"/>
      <c r="PWQ60" s="12"/>
      <c r="PWR60" s="12"/>
      <c r="PXI60" s="12"/>
      <c r="PXJ60" s="12"/>
      <c r="PYA60" s="12"/>
      <c r="PYB60" s="12"/>
      <c r="PYS60" s="12"/>
      <c r="PYT60" s="12"/>
      <c r="PZK60" s="12"/>
      <c r="PZL60" s="12"/>
      <c r="QAC60" s="12"/>
      <c r="QAD60" s="12"/>
      <c r="QAU60" s="12"/>
      <c r="QAV60" s="12"/>
      <c r="QBM60" s="12"/>
      <c r="QBN60" s="12"/>
      <c r="QCE60" s="12"/>
      <c r="QCF60" s="12"/>
      <c r="QCW60" s="12"/>
      <c r="QCX60" s="12"/>
      <c r="QDO60" s="12"/>
      <c r="QDP60" s="12"/>
      <c r="QEG60" s="12"/>
      <c r="QEH60" s="12"/>
      <c r="QEY60" s="12"/>
      <c r="QEZ60" s="12"/>
      <c r="QFQ60" s="12"/>
      <c r="QFR60" s="12"/>
      <c r="QGI60" s="12"/>
      <c r="QGJ60" s="12"/>
      <c r="QHA60" s="12"/>
      <c r="QHB60" s="12"/>
      <c r="QHS60" s="12"/>
      <c r="QHT60" s="12"/>
      <c r="QIK60" s="12"/>
      <c r="QIL60" s="12"/>
      <c r="QJC60" s="12"/>
      <c r="QJD60" s="12"/>
      <c r="QJU60" s="12"/>
      <c r="QJV60" s="12"/>
      <c r="QKM60" s="12"/>
      <c r="QKN60" s="12"/>
      <c r="QLE60" s="12"/>
      <c r="QLF60" s="12"/>
      <c r="QLW60" s="12"/>
      <c r="QLX60" s="12"/>
      <c r="QMO60" s="12"/>
      <c r="QMP60" s="12"/>
      <c r="QNG60" s="12"/>
      <c r="QNH60" s="12"/>
      <c r="QNY60" s="12"/>
      <c r="QNZ60" s="12"/>
      <c r="QOQ60" s="12"/>
      <c r="QOR60" s="12"/>
      <c r="QPI60" s="12"/>
      <c r="QPJ60" s="12"/>
      <c r="QQA60" s="12"/>
      <c r="QQB60" s="12"/>
      <c r="QQS60" s="12"/>
      <c r="QQT60" s="12"/>
      <c r="QRK60" s="12"/>
      <c r="QRL60" s="12"/>
      <c r="QSC60" s="12"/>
      <c r="QSD60" s="12"/>
      <c r="QSU60" s="12"/>
      <c r="QSV60" s="12"/>
      <c r="QTM60" s="12"/>
      <c r="QTN60" s="12"/>
      <c r="QUE60" s="12"/>
      <c r="QUF60" s="12"/>
      <c r="QUW60" s="12"/>
      <c r="QUX60" s="12"/>
      <c r="QVO60" s="12"/>
      <c r="QVP60" s="12"/>
      <c r="QWG60" s="12"/>
      <c r="QWH60" s="12"/>
      <c r="QWY60" s="12"/>
      <c r="QWZ60" s="12"/>
      <c r="QXQ60" s="12"/>
      <c r="QXR60" s="12"/>
      <c r="QYI60" s="12"/>
      <c r="QYJ60" s="12"/>
      <c r="QZA60" s="12"/>
      <c r="QZB60" s="12"/>
      <c r="QZS60" s="12"/>
      <c r="QZT60" s="12"/>
      <c r="RAK60" s="12"/>
      <c r="RAL60" s="12"/>
      <c r="RBC60" s="12"/>
      <c r="RBD60" s="12"/>
      <c r="RBU60" s="12"/>
      <c r="RBV60" s="12"/>
      <c r="RCM60" s="12"/>
      <c r="RCN60" s="12"/>
      <c r="RDE60" s="12"/>
      <c r="RDF60" s="12"/>
      <c r="RDW60" s="12"/>
      <c r="RDX60" s="12"/>
      <c r="REO60" s="12"/>
      <c r="REP60" s="12"/>
      <c r="RFG60" s="12"/>
      <c r="RFH60" s="12"/>
      <c r="RFY60" s="12"/>
      <c r="RFZ60" s="12"/>
      <c r="RGQ60" s="12"/>
      <c r="RGR60" s="12"/>
      <c r="RHI60" s="12"/>
      <c r="RHJ60" s="12"/>
      <c r="RIA60" s="12"/>
      <c r="RIB60" s="12"/>
      <c r="RIS60" s="12"/>
      <c r="RIT60" s="12"/>
      <c r="RJK60" s="12"/>
      <c r="RJL60" s="12"/>
      <c r="RKC60" s="12"/>
      <c r="RKD60" s="12"/>
      <c r="RKU60" s="12"/>
      <c r="RKV60" s="12"/>
      <c r="RLM60" s="12"/>
      <c r="RLN60" s="12"/>
      <c r="RME60" s="12"/>
      <c r="RMF60" s="12"/>
      <c r="RMW60" s="12"/>
      <c r="RMX60" s="12"/>
      <c r="RNO60" s="12"/>
      <c r="RNP60" s="12"/>
      <c r="ROG60" s="12"/>
      <c r="ROH60" s="12"/>
      <c r="ROY60" s="12"/>
      <c r="ROZ60" s="12"/>
      <c r="RPQ60" s="12"/>
      <c r="RPR60" s="12"/>
      <c r="RQI60" s="12"/>
      <c r="RQJ60" s="12"/>
      <c r="RRA60" s="12"/>
      <c r="RRB60" s="12"/>
      <c r="RRS60" s="12"/>
      <c r="RRT60" s="12"/>
      <c r="RSK60" s="12"/>
      <c r="RSL60" s="12"/>
      <c r="RTC60" s="12"/>
      <c r="RTD60" s="12"/>
      <c r="RTU60" s="12"/>
      <c r="RTV60" s="12"/>
      <c r="RUM60" s="12"/>
      <c r="RUN60" s="12"/>
      <c r="RVE60" s="12"/>
      <c r="RVF60" s="12"/>
      <c r="RVW60" s="12"/>
      <c r="RVX60" s="12"/>
      <c r="RWO60" s="12"/>
      <c r="RWP60" s="12"/>
      <c r="RXG60" s="12"/>
      <c r="RXH60" s="12"/>
      <c r="RXY60" s="12"/>
      <c r="RXZ60" s="12"/>
      <c r="RYQ60" s="12"/>
      <c r="RYR60" s="12"/>
      <c r="RZI60" s="12"/>
      <c r="RZJ60" s="12"/>
      <c r="SAA60" s="12"/>
      <c r="SAB60" s="12"/>
      <c r="SAS60" s="12"/>
      <c r="SAT60" s="12"/>
      <c r="SBK60" s="12"/>
      <c r="SBL60" s="12"/>
      <c r="SCC60" s="12"/>
      <c r="SCD60" s="12"/>
      <c r="SCU60" s="12"/>
      <c r="SCV60" s="12"/>
      <c r="SDM60" s="12"/>
      <c r="SDN60" s="12"/>
      <c r="SEE60" s="12"/>
      <c r="SEF60" s="12"/>
      <c r="SEW60" s="12"/>
      <c r="SEX60" s="12"/>
      <c r="SFO60" s="12"/>
      <c r="SFP60" s="12"/>
      <c r="SGG60" s="12"/>
      <c r="SGH60" s="12"/>
      <c r="SGY60" s="12"/>
      <c r="SGZ60" s="12"/>
      <c r="SHQ60" s="12"/>
      <c r="SHR60" s="12"/>
      <c r="SII60" s="12"/>
      <c r="SIJ60" s="12"/>
      <c r="SJA60" s="12"/>
      <c r="SJB60" s="12"/>
      <c r="SJS60" s="12"/>
      <c r="SJT60" s="12"/>
      <c r="SKK60" s="12"/>
      <c r="SKL60" s="12"/>
      <c r="SLC60" s="12"/>
      <c r="SLD60" s="12"/>
      <c r="SLU60" s="12"/>
      <c r="SLV60" s="12"/>
      <c r="SMM60" s="12"/>
      <c r="SMN60" s="12"/>
      <c r="SNE60" s="12"/>
      <c r="SNF60" s="12"/>
      <c r="SNW60" s="12"/>
      <c r="SNX60" s="12"/>
      <c r="SOO60" s="12"/>
      <c r="SOP60" s="12"/>
      <c r="SPG60" s="12"/>
      <c r="SPH60" s="12"/>
      <c r="SPY60" s="12"/>
      <c r="SPZ60" s="12"/>
      <c r="SQQ60" s="12"/>
      <c r="SQR60" s="12"/>
      <c r="SRI60" s="12"/>
      <c r="SRJ60" s="12"/>
      <c r="SSA60" s="12"/>
      <c r="SSB60" s="12"/>
      <c r="SSS60" s="12"/>
      <c r="SST60" s="12"/>
      <c r="STK60" s="12"/>
      <c r="STL60" s="12"/>
      <c r="SUC60" s="12"/>
      <c r="SUD60" s="12"/>
      <c r="SUU60" s="12"/>
      <c r="SUV60" s="12"/>
      <c r="SVM60" s="12"/>
      <c r="SVN60" s="12"/>
      <c r="SWE60" s="12"/>
      <c r="SWF60" s="12"/>
      <c r="SWW60" s="12"/>
      <c r="SWX60" s="12"/>
      <c r="SXO60" s="12"/>
      <c r="SXP60" s="12"/>
      <c r="SYG60" s="12"/>
      <c r="SYH60" s="12"/>
      <c r="SYY60" s="12"/>
      <c r="SYZ60" s="12"/>
      <c r="SZQ60" s="12"/>
      <c r="SZR60" s="12"/>
      <c r="TAI60" s="12"/>
      <c r="TAJ60" s="12"/>
      <c r="TBA60" s="12"/>
      <c r="TBB60" s="12"/>
      <c r="TBS60" s="12"/>
      <c r="TBT60" s="12"/>
      <c r="TCK60" s="12"/>
      <c r="TCL60" s="12"/>
      <c r="TDC60" s="12"/>
      <c r="TDD60" s="12"/>
      <c r="TDU60" s="12"/>
      <c r="TDV60" s="12"/>
      <c r="TEM60" s="12"/>
      <c r="TEN60" s="12"/>
      <c r="TFE60" s="12"/>
      <c r="TFF60" s="12"/>
      <c r="TFW60" s="12"/>
      <c r="TFX60" s="12"/>
      <c r="TGO60" s="12"/>
      <c r="TGP60" s="12"/>
      <c r="THG60" s="12"/>
      <c r="THH60" s="12"/>
      <c r="THY60" s="12"/>
      <c r="THZ60" s="12"/>
      <c r="TIQ60" s="12"/>
      <c r="TIR60" s="12"/>
      <c r="TJI60" s="12"/>
      <c r="TJJ60" s="12"/>
      <c r="TKA60" s="12"/>
      <c r="TKB60" s="12"/>
      <c r="TKS60" s="12"/>
      <c r="TKT60" s="12"/>
      <c r="TLK60" s="12"/>
      <c r="TLL60" s="12"/>
      <c r="TMC60" s="12"/>
      <c r="TMD60" s="12"/>
      <c r="TMU60" s="12"/>
      <c r="TMV60" s="12"/>
      <c r="TNM60" s="12"/>
      <c r="TNN60" s="12"/>
      <c r="TOE60" s="12"/>
      <c r="TOF60" s="12"/>
      <c r="TOW60" s="12"/>
      <c r="TOX60" s="12"/>
      <c r="TPO60" s="12"/>
      <c r="TPP60" s="12"/>
      <c r="TQG60" s="12"/>
      <c r="TQH60" s="12"/>
      <c r="TQY60" s="12"/>
      <c r="TQZ60" s="12"/>
      <c r="TRQ60" s="12"/>
      <c r="TRR60" s="12"/>
      <c r="TSI60" s="12"/>
      <c r="TSJ60" s="12"/>
      <c r="TTA60" s="12"/>
      <c r="TTB60" s="12"/>
      <c r="TTS60" s="12"/>
      <c r="TTT60" s="12"/>
      <c r="TUK60" s="12"/>
      <c r="TUL60" s="12"/>
      <c r="TVC60" s="12"/>
      <c r="TVD60" s="12"/>
      <c r="TVU60" s="12"/>
      <c r="TVV60" s="12"/>
      <c r="TWM60" s="12"/>
      <c r="TWN60" s="12"/>
      <c r="TXE60" s="12"/>
      <c r="TXF60" s="12"/>
      <c r="TXW60" s="12"/>
      <c r="TXX60" s="12"/>
      <c r="TYO60" s="12"/>
      <c r="TYP60" s="12"/>
      <c r="TZG60" s="12"/>
      <c r="TZH60" s="12"/>
      <c r="TZY60" s="12"/>
      <c r="TZZ60" s="12"/>
      <c r="UAQ60" s="12"/>
      <c r="UAR60" s="12"/>
      <c r="UBI60" s="12"/>
      <c r="UBJ60" s="12"/>
      <c r="UCA60" s="12"/>
      <c r="UCB60" s="12"/>
      <c r="UCS60" s="12"/>
      <c r="UCT60" s="12"/>
      <c r="UDK60" s="12"/>
      <c r="UDL60" s="12"/>
      <c r="UEC60" s="12"/>
      <c r="UED60" s="12"/>
      <c r="UEU60" s="12"/>
      <c r="UEV60" s="12"/>
      <c r="UFM60" s="12"/>
      <c r="UFN60" s="12"/>
      <c r="UGE60" s="12"/>
      <c r="UGF60" s="12"/>
      <c r="UGW60" s="12"/>
      <c r="UGX60" s="12"/>
      <c r="UHO60" s="12"/>
      <c r="UHP60" s="12"/>
      <c r="UIG60" s="12"/>
      <c r="UIH60" s="12"/>
      <c r="UIY60" s="12"/>
      <c r="UIZ60" s="12"/>
      <c r="UJQ60" s="12"/>
      <c r="UJR60" s="12"/>
      <c r="UKI60" s="12"/>
      <c r="UKJ60" s="12"/>
      <c r="ULA60" s="12"/>
      <c r="ULB60" s="12"/>
      <c r="ULS60" s="12"/>
      <c r="ULT60" s="12"/>
      <c r="UMK60" s="12"/>
      <c r="UML60" s="12"/>
      <c r="UNC60" s="12"/>
      <c r="UND60" s="12"/>
      <c r="UNU60" s="12"/>
      <c r="UNV60" s="12"/>
      <c r="UOM60" s="12"/>
      <c r="UON60" s="12"/>
      <c r="UPE60" s="12"/>
      <c r="UPF60" s="12"/>
      <c r="UPW60" s="12"/>
      <c r="UPX60" s="12"/>
      <c r="UQO60" s="12"/>
      <c r="UQP60" s="12"/>
      <c r="URG60" s="12"/>
      <c r="URH60" s="12"/>
      <c r="URY60" s="12"/>
      <c r="URZ60" s="12"/>
      <c r="USQ60" s="12"/>
      <c r="USR60" s="12"/>
      <c r="UTI60" s="12"/>
      <c r="UTJ60" s="12"/>
      <c r="UUA60" s="12"/>
      <c r="UUB60" s="12"/>
      <c r="UUS60" s="12"/>
      <c r="UUT60" s="12"/>
      <c r="UVK60" s="12"/>
      <c r="UVL60" s="12"/>
      <c r="UWC60" s="12"/>
      <c r="UWD60" s="12"/>
      <c r="UWU60" s="12"/>
      <c r="UWV60" s="12"/>
      <c r="UXM60" s="12"/>
      <c r="UXN60" s="12"/>
      <c r="UYE60" s="12"/>
      <c r="UYF60" s="12"/>
      <c r="UYW60" s="12"/>
      <c r="UYX60" s="12"/>
      <c r="UZO60" s="12"/>
      <c r="UZP60" s="12"/>
      <c r="VAG60" s="12"/>
      <c r="VAH60" s="12"/>
      <c r="VAY60" s="12"/>
      <c r="VAZ60" s="12"/>
      <c r="VBQ60" s="12"/>
      <c r="VBR60" s="12"/>
      <c r="VCI60" s="12"/>
      <c r="VCJ60" s="12"/>
      <c r="VDA60" s="12"/>
      <c r="VDB60" s="12"/>
      <c r="VDS60" s="12"/>
      <c r="VDT60" s="12"/>
      <c r="VEK60" s="12"/>
      <c r="VEL60" s="12"/>
      <c r="VFC60" s="12"/>
      <c r="VFD60" s="12"/>
      <c r="VFU60" s="12"/>
      <c r="VFV60" s="12"/>
      <c r="VGM60" s="12"/>
      <c r="VGN60" s="12"/>
      <c r="VHE60" s="12"/>
      <c r="VHF60" s="12"/>
      <c r="VHW60" s="12"/>
      <c r="VHX60" s="12"/>
      <c r="VIO60" s="12"/>
      <c r="VIP60" s="12"/>
      <c r="VJG60" s="12"/>
      <c r="VJH60" s="12"/>
      <c r="VJY60" s="12"/>
      <c r="VJZ60" s="12"/>
      <c r="VKQ60" s="12"/>
      <c r="VKR60" s="12"/>
      <c r="VLI60" s="12"/>
      <c r="VLJ60" s="12"/>
      <c r="VMA60" s="12"/>
      <c r="VMB60" s="12"/>
      <c r="VMS60" s="12"/>
      <c r="VMT60" s="12"/>
      <c r="VNK60" s="12"/>
      <c r="VNL60" s="12"/>
      <c r="VOC60" s="12"/>
      <c r="VOD60" s="12"/>
      <c r="VOU60" s="12"/>
      <c r="VOV60" s="12"/>
      <c r="VPM60" s="12"/>
      <c r="VPN60" s="12"/>
      <c r="VQE60" s="12"/>
      <c r="VQF60" s="12"/>
      <c r="VQW60" s="12"/>
      <c r="VQX60" s="12"/>
      <c r="VRO60" s="12"/>
      <c r="VRP60" s="12"/>
      <c r="VSG60" s="12"/>
      <c r="VSH60" s="12"/>
      <c r="VSY60" s="12"/>
      <c r="VSZ60" s="12"/>
      <c r="VTQ60" s="12"/>
      <c r="VTR60" s="12"/>
      <c r="VUI60" s="12"/>
      <c r="VUJ60" s="12"/>
      <c r="VVA60" s="12"/>
      <c r="VVB60" s="12"/>
      <c r="VVS60" s="12"/>
      <c r="VVT60" s="12"/>
      <c r="VWK60" s="12"/>
      <c r="VWL60" s="12"/>
      <c r="VXC60" s="12"/>
      <c r="VXD60" s="12"/>
      <c r="VXU60" s="12"/>
      <c r="VXV60" s="12"/>
      <c r="VYM60" s="12"/>
      <c r="VYN60" s="12"/>
      <c r="VZE60" s="12"/>
      <c r="VZF60" s="12"/>
      <c r="VZW60" s="12"/>
      <c r="VZX60" s="12"/>
      <c r="WAO60" s="12"/>
      <c r="WAP60" s="12"/>
      <c r="WBG60" s="12"/>
      <c r="WBH60" s="12"/>
      <c r="WBY60" s="12"/>
      <c r="WBZ60" s="12"/>
      <c r="WCQ60" s="12"/>
      <c r="WCR60" s="12"/>
      <c r="WDI60" s="12"/>
      <c r="WDJ60" s="12"/>
      <c r="WEA60" s="12"/>
      <c r="WEB60" s="12"/>
      <c r="WES60" s="12"/>
      <c r="WET60" s="12"/>
      <c r="WFK60" s="12"/>
      <c r="WFL60" s="12"/>
      <c r="WGC60" s="12"/>
      <c r="WGD60" s="12"/>
      <c r="WGU60" s="12"/>
      <c r="WGV60" s="12"/>
      <c r="WHM60" s="12"/>
      <c r="WHN60" s="12"/>
      <c r="WIE60" s="12"/>
      <c r="WIF60" s="12"/>
      <c r="WIW60" s="12"/>
      <c r="WIX60" s="12"/>
      <c r="WJO60" s="12"/>
      <c r="WJP60" s="12"/>
      <c r="WKG60" s="12"/>
      <c r="WKH60" s="12"/>
      <c r="WKY60" s="12"/>
      <c r="WKZ60" s="12"/>
      <c r="WLQ60" s="12"/>
      <c r="WLR60" s="12"/>
      <c r="WMI60" s="12"/>
      <c r="WMJ60" s="12"/>
      <c r="WNA60" s="12"/>
      <c r="WNB60" s="12"/>
      <c r="WNS60" s="12"/>
      <c r="WNT60" s="12"/>
      <c r="WOK60" s="12"/>
      <c r="WOL60" s="12"/>
      <c r="WPC60" s="12"/>
      <c r="WPD60" s="12"/>
      <c r="WPU60" s="12"/>
      <c r="WPV60" s="12"/>
      <c r="WQM60" s="12"/>
      <c r="WQN60" s="12"/>
      <c r="WRE60" s="12"/>
      <c r="WRF60" s="12"/>
      <c r="WRW60" s="12"/>
      <c r="WRX60" s="12"/>
      <c r="WSO60" s="12"/>
      <c r="WSP60" s="12"/>
      <c r="WTG60" s="12"/>
      <c r="WTH60" s="12"/>
      <c r="WTY60" s="12"/>
      <c r="WTZ60" s="12"/>
      <c r="WUQ60" s="12"/>
      <c r="WUR60" s="12"/>
      <c r="WVI60" s="12"/>
      <c r="WVJ60" s="12"/>
      <c r="WWA60" s="12"/>
      <c r="WWB60" s="12"/>
      <c r="WWS60" s="12"/>
      <c r="WWT60" s="12"/>
      <c r="WXK60" s="12"/>
      <c r="WXL60" s="12"/>
      <c r="WYC60" s="12"/>
      <c r="WYD60" s="12"/>
      <c r="WYU60" s="12"/>
      <c r="WYV60" s="12"/>
      <c r="WZM60" s="12"/>
      <c r="WZN60" s="12"/>
      <c r="XAE60" s="12"/>
      <c r="XAF60" s="12"/>
      <c r="XAW60" s="12"/>
      <c r="XAX60" s="12"/>
      <c r="XBO60" s="12"/>
      <c r="XBP60" s="12"/>
      <c r="XCG60" s="12"/>
      <c r="XCH60" s="12"/>
      <c r="XCY60" s="12"/>
      <c r="XCZ60" s="12"/>
      <c r="XDQ60" s="12"/>
      <c r="XDR60" s="12"/>
      <c r="XEI60" s="12"/>
      <c r="XEJ60" s="12"/>
      <c r="XFA60" s="12"/>
      <c r="XFB60" s="12"/>
    </row>
    <row r="61" spans="1:1010 1027:2036 2053:3062 3079:4088 4105:5114 5131:6140 6157:7166 7183:8192 8209:9200 9217:10226 10243:11252 11269:12278 12295:13304 13321:14330 14347:15356 15373:16382" s="11" customFormat="1" x14ac:dyDescent="0.35">
      <c r="A61" s="183" t="s">
        <v>300</v>
      </c>
      <c r="B61" s="183" t="s">
        <v>301</v>
      </c>
      <c r="C61" s="184">
        <v>0</v>
      </c>
      <c r="D61" s="184">
        <v>0</v>
      </c>
      <c r="E61" s="184">
        <v>0</v>
      </c>
      <c r="F61" s="184">
        <v>0</v>
      </c>
      <c r="G61" s="184">
        <v>0</v>
      </c>
      <c r="H61" s="184">
        <v>0</v>
      </c>
      <c r="I61" s="184">
        <v>0</v>
      </c>
      <c r="J61" s="184">
        <v>0</v>
      </c>
      <c r="K61" s="184">
        <v>0</v>
      </c>
      <c r="L61" s="184">
        <v>0</v>
      </c>
      <c r="S61" s="12"/>
      <c r="T61" s="12"/>
      <c r="AK61" s="12"/>
      <c r="AL61" s="12"/>
      <c r="BC61" s="12"/>
      <c r="BD61" s="12"/>
      <c r="BU61" s="12"/>
      <c r="BV61" s="12"/>
      <c r="CM61" s="12"/>
      <c r="CN61" s="12"/>
      <c r="DE61" s="12"/>
      <c r="DF61" s="12"/>
      <c r="DW61" s="12"/>
      <c r="DX61" s="12"/>
      <c r="EO61" s="12"/>
      <c r="EP61" s="12"/>
      <c r="FG61" s="12"/>
      <c r="FH61" s="12"/>
      <c r="FY61" s="12"/>
      <c r="FZ61" s="12"/>
      <c r="GQ61" s="12"/>
      <c r="GR61" s="12"/>
      <c r="HI61" s="12"/>
      <c r="HJ61" s="12"/>
      <c r="IA61" s="12"/>
      <c r="IB61" s="12"/>
      <c r="IS61" s="12"/>
      <c r="IT61" s="12"/>
      <c r="JK61" s="12"/>
      <c r="JL61" s="12"/>
      <c r="KC61" s="12"/>
      <c r="KD61" s="12"/>
      <c r="KU61" s="12"/>
      <c r="KV61" s="12"/>
      <c r="LM61" s="12"/>
      <c r="LN61" s="12"/>
      <c r="ME61" s="12"/>
      <c r="MF61" s="12"/>
      <c r="MW61" s="12"/>
      <c r="MX61" s="12"/>
      <c r="NO61" s="12"/>
      <c r="NP61" s="12"/>
      <c r="OG61" s="12"/>
      <c r="OH61" s="12"/>
      <c r="OY61" s="12"/>
      <c r="OZ61" s="12"/>
      <c r="PQ61" s="12"/>
      <c r="PR61" s="12"/>
      <c r="QI61" s="12"/>
      <c r="QJ61" s="12"/>
      <c r="RA61" s="12"/>
      <c r="RB61" s="12"/>
      <c r="RS61" s="12"/>
      <c r="RT61" s="12"/>
      <c r="SK61" s="12"/>
      <c r="SL61" s="12"/>
      <c r="TC61" s="12"/>
      <c r="TD61" s="12"/>
      <c r="TU61" s="12"/>
      <c r="TV61" s="12"/>
      <c r="UM61" s="12"/>
      <c r="UN61" s="12"/>
      <c r="VE61" s="12"/>
      <c r="VF61" s="12"/>
      <c r="VW61" s="12"/>
      <c r="VX61" s="12"/>
      <c r="WO61" s="12"/>
      <c r="WP61" s="12"/>
      <c r="XG61" s="12"/>
      <c r="XH61" s="12"/>
      <c r="XY61" s="12"/>
      <c r="XZ61" s="12"/>
      <c r="YQ61" s="12"/>
      <c r="YR61" s="12"/>
      <c r="ZI61" s="12"/>
      <c r="ZJ61" s="12"/>
      <c r="AAA61" s="12"/>
      <c r="AAB61" s="12"/>
      <c r="AAS61" s="12"/>
      <c r="AAT61" s="12"/>
      <c r="ABK61" s="12"/>
      <c r="ABL61" s="12"/>
      <c r="ACC61" s="12"/>
      <c r="ACD61" s="12"/>
      <c r="ACU61" s="12"/>
      <c r="ACV61" s="12"/>
      <c r="ADM61" s="12"/>
      <c r="ADN61" s="12"/>
      <c r="AEE61" s="12"/>
      <c r="AEF61" s="12"/>
      <c r="AEW61" s="12"/>
      <c r="AEX61" s="12"/>
      <c r="AFO61" s="12"/>
      <c r="AFP61" s="12"/>
      <c r="AGG61" s="12"/>
      <c r="AGH61" s="12"/>
      <c r="AGY61" s="12"/>
      <c r="AGZ61" s="12"/>
      <c r="AHQ61" s="12"/>
      <c r="AHR61" s="12"/>
      <c r="AII61" s="12"/>
      <c r="AIJ61" s="12"/>
      <c r="AJA61" s="12"/>
      <c r="AJB61" s="12"/>
      <c r="AJS61" s="12"/>
      <c r="AJT61" s="12"/>
      <c r="AKK61" s="12"/>
      <c r="AKL61" s="12"/>
      <c r="ALC61" s="12"/>
      <c r="ALD61" s="12"/>
      <c r="ALU61" s="12"/>
      <c r="ALV61" s="12"/>
      <c r="AMM61" s="12"/>
      <c r="AMN61" s="12"/>
      <c r="ANE61" s="12"/>
      <c r="ANF61" s="12"/>
      <c r="ANW61" s="12"/>
      <c r="ANX61" s="12"/>
      <c r="AOO61" s="12"/>
      <c r="AOP61" s="12"/>
      <c r="APG61" s="12"/>
      <c r="APH61" s="12"/>
      <c r="APY61" s="12"/>
      <c r="APZ61" s="12"/>
      <c r="AQQ61" s="12"/>
      <c r="AQR61" s="12"/>
      <c r="ARI61" s="12"/>
      <c r="ARJ61" s="12"/>
      <c r="ASA61" s="12"/>
      <c r="ASB61" s="12"/>
      <c r="ASS61" s="12"/>
      <c r="AST61" s="12"/>
      <c r="ATK61" s="12"/>
      <c r="ATL61" s="12"/>
      <c r="AUC61" s="12"/>
      <c r="AUD61" s="12"/>
      <c r="AUU61" s="12"/>
      <c r="AUV61" s="12"/>
      <c r="AVM61" s="12"/>
      <c r="AVN61" s="12"/>
      <c r="AWE61" s="12"/>
      <c r="AWF61" s="12"/>
      <c r="AWW61" s="12"/>
      <c r="AWX61" s="12"/>
      <c r="AXO61" s="12"/>
      <c r="AXP61" s="12"/>
      <c r="AYG61" s="12"/>
      <c r="AYH61" s="12"/>
      <c r="AYY61" s="12"/>
      <c r="AYZ61" s="12"/>
      <c r="AZQ61" s="12"/>
      <c r="AZR61" s="12"/>
      <c r="BAI61" s="12"/>
      <c r="BAJ61" s="12"/>
      <c r="BBA61" s="12"/>
      <c r="BBB61" s="12"/>
      <c r="BBS61" s="12"/>
      <c r="BBT61" s="12"/>
      <c r="BCK61" s="12"/>
      <c r="BCL61" s="12"/>
      <c r="BDC61" s="12"/>
      <c r="BDD61" s="12"/>
      <c r="BDU61" s="12"/>
      <c r="BDV61" s="12"/>
      <c r="BEM61" s="12"/>
      <c r="BEN61" s="12"/>
      <c r="BFE61" s="12"/>
      <c r="BFF61" s="12"/>
      <c r="BFW61" s="12"/>
      <c r="BFX61" s="12"/>
      <c r="BGO61" s="12"/>
      <c r="BGP61" s="12"/>
      <c r="BHG61" s="12"/>
      <c r="BHH61" s="12"/>
      <c r="BHY61" s="12"/>
      <c r="BHZ61" s="12"/>
      <c r="BIQ61" s="12"/>
      <c r="BIR61" s="12"/>
      <c r="BJI61" s="12"/>
      <c r="BJJ61" s="12"/>
      <c r="BKA61" s="12"/>
      <c r="BKB61" s="12"/>
      <c r="BKS61" s="12"/>
      <c r="BKT61" s="12"/>
      <c r="BLK61" s="12"/>
      <c r="BLL61" s="12"/>
      <c r="BMC61" s="12"/>
      <c r="BMD61" s="12"/>
      <c r="BMU61" s="12"/>
      <c r="BMV61" s="12"/>
      <c r="BNM61" s="12"/>
      <c r="BNN61" s="12"/>
      <c r="BOE61" s="12"/>
      <c r="BOF61" s="12"/>
      <c r="BOW61" s="12"/>
      <c r="BOX61" s="12"/>
      <c r="BPO61" s="12"/>
      <c r="BPP61" s="12"/>
      <c r="BQG61" s="12"/>
      <c r="BQH61" s="12"/>
      <c r="BQY61" s="12"/>
      <c r="BQZ61" s="12"/>
      <c r="BRQ61" s="12"/>
      <c r="BRR61" s="12"/>
      <c r="BSI61" s="12"/>
      <c r="BSJ61" s="12"/>
      <c r="BTA61" s="12"/>
      <c r="BTB61" s="12"/>
      <c r="BTS61" s="12"/>
      <c r="BTT61" s="12"/>
      <c r="BUK61" s="12"/>
      <c r="BUL61" s="12"/>
      <c r="BVC61" s="12"/>
      <c r="BVD61" s="12"/>
      <c r="BVU61" s="12"/>
      <c r="BVV61" s="12"/>
      <c r="BWM61" s="12"/>
      <c r="BWN61" s="12"/>
      <c r="BXE61" s="12"/>
      <c r="BXF61" s="12"/>
      <c r="BXW61" s="12"/>
      <c r="BXX61" s="12"/>
      <c r="BYO61" s="12"/>
      <c r="BYP61" s="12"/>
      <c r="BZG61" s="12"/>
      <c r="BZH61" s="12"/>
      <c r="BZY61" s="12"/>
      <c r="BZZ61" s="12"/>
      <c r="CAQ61" s="12"/>
      <c r="CAR61" s="12"/>
      <c r="CBI61" s="12"/>
      <c r="CBJ61" s="12"/>
      <c r="CCA61" s="12"/>
      <c r="CCB61" s="12"/>
      <c r="CCS61" s="12"/>
      <c r="CCT61" s="12"/>
      <c r="CDK61" s="12"/>
      <c r="CDL61" s="12"/>
      <c r="CEC61" s="12"/>
      <c r="CED61" s="12"/>
      <c r="CEU61" s="12"/>
      <c r="CEV61" s="12"/>
      <c r="CFM61" s="12"/>
      <c r="CFN61" s="12"/>
      <c r="CGE61" s="12"/>
      <c r="CGF61" s="12"/>
      <c r="CGW61" s="12"/>
      <c r="CGX61" s="12"/>
      <c r="CHO61" s="12"/>
      <c r="CHP61" s="12"/>
      <c r="CIG61" s="12"/>
      <c r="CIH61" s="12"/>
      <c r="CIY61" s="12"/>
      <c r="CIZ61" s="12"/>
      <c r="CJQ61" s="12"/>
      <c r="CJR61" s="12"/>
      <c r="CKI61" s="12"/>
      <c r="CKJ61" s="12"/>
      <c r="CLA61" s="12"/>
      <c r="CLB61" s="12"/>
      <c r="CLS61" s="12"/>
      <c r="CLT61" s="12"/>
      <c r="CMK61" s="12"/>
      <c r="CML61" s="12"/>
      <c r="CNC61" s="12"/>
      <c r="CND61" s="12"/>
      <c r="CNU61" s="12"/>
      <c r="CNV61" s="12"/>
      <c r="COM61" s="12"/>
      <c r="CON61" s="12"/>
      <c r="CPE61" s="12"/>
      <c r="CPF61" s="12"/>
      <c r="CPW61" s="12"/>
      <c r="CPX61" s="12"/>
      <c r="CQO61" s="12"/>
      <c r="CQP61" s="12"/>
      <c r="CRG61" s="12"/>
      <c r="CRH61" s="12"/>
      <c r="CRY61" s="12"/>
      <c r="CRZ61" s="12"/>
      <c r="CSQ61" s="12"/>
      <c r="CSR61" s="12"/>
      <c r="CTI61" s="12"/>
      <c r="CTJ61" s="12"/>
      <c r="CUA61" s="12"/>
      <c r="CUB61" s="12"/>
      <c r="CUS61" s="12"/>
      <c r="CUT61" s="12"/>
      <c r="CVK61" s="12"/>
      <c r="CVL61" s="12"/>
      <c r="CWC61" s="12"/>
      <c r="CWD61" s="12"/>
      <c r="CWU61" s="12"/>
      <c r="CWV61" s="12"/>
      <c r="CXM61" s="12"/>
      <c r="CXN61" s="12"/>
      <c r="CYE61" s="12"/>
      <c r="CYF61" s="12"/>
      <c r="CYW61" s="12"/>
      <c r="CYX61" s="12"/>
      <c r="CZO61" s="12"/>
      <c r="CZP61" s="12"/>
      <c r="DAG61" s="12"/>
      <c r="DAH61" s="12"/>
      <c r="DAY61" s="12"/>
      <c r="DAZ61" s="12"/>
      <c r="DBQ61" s="12"/>
      <c r="DBR61" s="12"/>
      <c r="DCI61" s="12"/>
      <c r="DCJ61" s="12"/>
      <c r="DDA61" s="12"/>
      <c r="DDB61" s="12"/>
      <c r="DDS61" s="12"/>
      <c r="DDT61" s="12"/>
      <c r="DEK61" s="12"/>
      <c r="DEL61" s="12"/>
      <c r="DFC61" s="12"/>
      <c r="DFD61" s="12"/>
      <c r="DFU61" s="12"/>
      <c r="DFV61" s="12"/>
      <c r="DGM61" s="12"/>
      <c r="DGN61" s="12"/>
      <c r="DHE61" s="12"/>
      <c r="DHF61" s="12"/>
      <c r="DHW61" s="12"/>
      <c r="DHX61" s="12"/>
      <c r="DIO61" s="12"/>
      <c r="DIP61" s="12"/>
      <c r="DJG61" s="12"/>
      <c r="DJH61" s="12"/>
      <c r="DJY61" s="12"/>
      <c r="DJZ61" s="12"/>
      <c r="DKQ61" s="12"/>
      <c r="DKR61" s="12"/>
      <c r="DLI61" s="12"/>
      <c r="DLJ61" s="12"/>
      <c r="DMA61" s="12"/>
      <c r="DMB61" s="12"/>
      <c r="DMS61" s="12"/>
      <c r="DMT61" s="12"/>
      <c r="DNK61" s="12"/>
      <c r="DNL61" s="12"/>
      <c r="DOC61" s="12"/>
      <c r="DOD61" s="12"/>
      <c r="DOU61" s="12"/>
      <c r="DOV61" s="12"/>
      <c r="DPM61" s="12"/>
      <c r="DPN61" s="12"/>
      <c r="DQE61" s="12"/>
      <c r="DQF61" s="12"/>
      <c r="DQW61" s="12"/>
      <c r="DQX61" s="12"/>
      <c r="DRO61" s="12"/>
      <c r="DRP61" s="12"/>
      <c r="DSG61" s="12"/>
      <c r="DSH61" s="12"/>
      <c r="DSY61" s="12"/>
      <c r="DSZ61" s="12"/>
      <c r="DTQ61" s="12"/>
      <c r="DTR61" s="12"/>
      <c r="DUI61" s="12"/>
      <c r="DUJ61" s="12"/>
      <c r="DVA61" s="12"/>
      <c r="DVB61" s="12"/>
      <c r="DVS61" s="12"/>
      <c r="DVT61" s="12"/>
      <c r="DWK61" s="12"/>
      <c r="DWL61" s="12"/>
      <c r="DXC61" s="12"/>
      <c r="DXD61" s="12"/>
      <c r="DXU61" s="12"/>
      <c r="DXV61" s="12"/>
      <c r="DYM61" s="12"/>
      <c r="DYN61" s="12"/>
      <c r="DZE61" s="12"/>
      <c r="DZF61" s="12"/>
      <c r="DZW61" s="12"/>
      <c r="DZX61" s="12"/>
      <c r="EAO61" s="12"/>
      <c r="EAP61" s="12"/>
      <c r="EBG61" s="12"/>
      <c r="EBH61" s="12"/>
      <c r="EBY61" s="12"/>
      <c r="EBZ61" s="12"/>
      <c r="ECQ61" s="12"/>
      <c r="ECR61" s="12"/>
      <c r="EDI61" s="12"/>
      <c r="EDJ61" s="12"/>
      <c r="EEA61" s="12"/>
      <c r="EEB61" s="12"/>
      <c r="EES61" s="12"/>
      <c r="EET61" s="12"/>
      <c r="EFK61" s="12"/>
      <c r="EFL61" s="12"/>
      <c r="EGC61" s="12"/>
      <c r="EGD61" s="12"/>
      <c r="EGU61" s="12"/>
      <c r="EGV61" s="12"/>
      <c r="EHM61" s="12"/>
      <c r="EHN61" s="12"/>
      <c r="EIE61" s="12"/>
      <c r="EIF61" s="12"/>
      <c r="EIW61" s="12"/>
      <c r="EIX61" s="12"/>
      <c r="EJO61" s="12"/>
      <c r="EJP61" s="12"/>
      <c r="EKG61" s="12"/>
      <c r="EKH61" s="12"/>
      <c r="EKY61" s="12"/>
      <c r="EKZ61" s="12"/>
      <c r="ELQ61" s="12"/>
      <c r="ELR61" s="12"/>
      <c r="EMI61" s="12"/>
      <c r="EMJ61" s="12"/>
      <c r="ENA61" s="12"/>
      <c r="ENB61" s="12"/>
      <c r="ENS61" s="12"/>
      <c r="ENT61" s="12"/>
      <c r="EOK61" s="12"/>
      <c r="EOL61" s="12"/>
      <c r="EPC61" s="12"/>
      <c r="EPD61" s="12"/>
      <c r="EPU61" s="12"/>
      <c r="EPV61" s="12"/>
      <c r="EQM61" s="12"/>
      <c r="EQN61" s="12"/>
      <c r="ERE61" s="12"/>
      <c r="ERF61" s="12"/>
      <c r="ERW61" s="12"/>
      <c r="ERX61" s="12"/>
      <c r="ESO61" s="12"/>
      <c r="ESP61" s="12"/>
      <c r="ETG61" s="12"/>
      <c r="ETH61" s="12"/>
      <c r="ETY61" s="12"/>
      <c r="ETZ61" s="12"/>
      <c r="EUQ61" s="12"/>
      <c r="EUR61" s="12"/>
      <c r="EVI61" s="12"/>
      <c r="EVJ61" s="12"/>
      <c r="EWA61" s="12"/>
      <c r="EWB61" s="12"/>
      <c r="EWS61" s="12"/>
      <c r="EWT61" s="12"/>
      <c r="EXK61" s="12"/>
      <c r="EXL61" s="12"/>
      <c r="EYC61" s="12"/>
      <c r="EYD61" s="12"/>
      <c r="EYU61" s="12"/>
      <c r="EYV61" s="12"/>
      <c r="EZM61" s="12"/>
      <c r="EZN61" s="12"/>
      <c r="FAE61" s="12"/>
      <c r="FAF61" s="12"/>
      <c r="FAW61" s="12"/>
      <c r="FAX61" s="12"/>
      <c r="FBO61" s="12"/>
      <c r="FBP61" s="12"/>
      <c r="FCG61" s="12"/>
      <c r="FCH61" s="12"/>
      <c r="FCY61" s="12"/>
      <c r="FCZ61" s="12"/>
      <c r="FDQ61" s="12"/>
      <c r="FDR61" s="12"/>
      <c r="FEI61" s="12"/>
      <c r="FEJ61" s="12"/>
      <c r="FFA61" s="12"/>
      <c r="FFB61" s="12"/>
      <c r="FFS61" s="12"/>
      <c r="FFT61" s="12"/>
      <c r="FGK61" s="12"/>
      <c r="FGL61" s="12"/>
      <c r="FHC61" s="12"/>
      <c r="FHD61" s="12"/>
      <c r="FHU61" s="12"/>
      <c r="FHV61" s="12"/>
      <c r="FIM61" s="12"/>
      <c r="FIN61" s="12"/>
      <c r="FJE61" s="12"/>
      <c r="FJF61" s="12"/>
      <c r="FJW61" s="12"/>
      <c r="FJX61" s="12"/>
      <c r="FKO61" s="12"/>
      <c r="FKP61" s="12"/>
      <c r="FLG61" s="12"/>
      <c r="FLH61" s="12"/>
      <c r="FLY61" s="12"/>
      <c r="FLZ61" s="12"/>
      <c r="FMQ61" s="12"/>
      <c r="FMR61" s="12"/>
      <c r="FNI61" s="12"/>
      <c r="FNJ61" s="12"/>
      <c r="FOA61" s="12"/>
      <c r="FOB61" s="12"/>
      <c r="FOS61" s="12"/>
      <c r="FOT61" s="12"/>
      <c r="FPK61" s="12"/>
      <c r="FPL61" s="12"/>
      <c r="FQC61" s="12"/>
      <c r="FQD61" s="12"/>
      <c r="FQU61" s="12"/>
      <c r="FQV61" s="12"/>
      <c r="FRM61" s="12"/>
      <c r="FRN61" s="12"/>
      <c r="FSE61" s="12"/>
      <c r="FSF61" s="12"/>
      <c r="FSW61" s="12"/>
      <c r="FSX61" s="12"/>
      <c r="FTO61" s="12"/>
      <c r="FTP61" s="12"/>
      <c r="FUG61" s="12"/>
      <c r="FUH61" s="12"/>
      <c r="FUY61" s="12"/>
      <c r="FUZ61" s="12"/>
      <c r="FVQ61" s="12"/>
      <c r="FVR61" s="12"/>
      <c r="FWI61" s="12"/>
      <c r="FWJ61" s="12"/>
      <c r="FXA61" s="12"/>
      <c r="FXB61" s="12"/>
      <c r="FXS61" s="12"/>
      <c r="FXT61" s="12"/>
      <c r="FYK61" s="12"/>
      <c r="FYL61" s="12"/>
      <c r="FZC61" s="12"/>
      <c r="FZD61" s="12"/>
      <c r="FZU61" s="12"/>
      <c r="FZV61" s="12"/>
      <c r="GAM61" s="12"/>
      <c r="GAN61" s="12"/>
      <c r="GBE61" s="12"/>
      <c r="GBF61" s="12"/>
      <c r="GBW61" s="12"/>
      <c r="GBX61" s="12"/>
      <c r="GCO61" s="12"/>
      <c r="GCP61" s="12"/>
      <c r="GDG61" s="12"/>
      <c r="GDH61" s="12"/>
      <c r="GDY61" s="12"/>
      <c r="GDZ61" s="12"/>
      <c r="GEQ61" s="12"/>
      <c r="GER61" s="12"/>
      <c r="GFI61" s="12"/>
      <c r="GFJ61" s="12"/>
      <c r="GGA61" s="12"/>
      <c r="GGB61" s="12"/>
      <c r="GGS61" s="12"/>
      <c r="GGT61" s="12"/>
      <c r="GHK61" s="12"/>
      <c r="GHL61" s="12"/>
      <c r="GIC61" s="12"/>
      <c r="GID61" s="12"/>
      <c r="GIU61" s="12"/>
      <c r="GIV61" s="12"/>
      <c r="GJM61" s="12"/>
      <c r="GJN61" s="12"/>
      <c r="GKE61" s="12"/>
      <c r="GKF61" s="12"/>
      <c r="GKW61" s="12"/>
      <c r="GKX61" s="12"/>
      <c r="GLO61" s="12"/>
      <c r="GLP61" s="12"/>
      <c r="GMG61" s="12"/>
      <c r="GMH61" s="12"/>
      <c r="GMY61" s="12"/>
      <c r="GMZ61" s="12"/>
      <c r="GNQ61" s="12"/>
      <c r="GNR61" s="12"/>
      <c r="GOI61" s="12"/>
      <c r="GOJ61" s="12"/>
      <c r="GPA61" s="12"/>
      <c r="GPB61" s="12"/>
      <c r="GPS61" s="12"/>
      <c r="GPT61" s="12"/>
      <c r="GQK61" s="12"/>
      <c r="GQL61" s="12"/>
      <c r="GRC61" s="12"/>
      <c r="GRD61" s="12"/>
      <c r="GRU61" s="12"/>
      <c r="GRV61" s="12"/>
      <c r="GSM61" s="12"/>
      <c r="GSN61" s="12"/>
      <c r="GTE61" s="12"/>
      <c r="GTF61" s="12"/>
      <c r="GTW61" s="12"/>
      <c r="GTX61" s="12"/>
      <c r="GUO61" s="12"/>
      <c r="GUP61" s="12"/>
      <c r="GVG61" s="12"/>
      <c r="GVH61" s="12"/>
      <c r="GVY61" s="12"/>
      <c r="GVZ61" s="12"/>
      <c r="GWQ61" s="12"/>
      <c r="GWR61" s="12"/>
      <c r="GXI61" s="12"/>
      <c r="GXJ61" s="12"/>
      <c r="GYA61" s="12"/>
      <c r="GYB61" s="12"/>
      <c r="GYS61" s="12"/>
      <c r="GYT61" s="12"/>
      <c r="GZK61" s="12"/>
      <c r="GZL61" s="12"/>
      <c r="HAC61" s="12"/>
      <c r="HAD61" s="12"/>
      <c r="HAU61" s="12"/>
      <c r="HAV61" s="12"/>
      <c r="HBM61" s="12"/>
      <c r="HBN61" s="12"/>
      <c r="HCE61" s="12"/>
      <c r="HCF61" s="12"/>
      <c r="HCW61" s="12"/>
      <c r="HCX61" s="12"/>
      <c r="HDO61" s="12"/>
      <c r="HDP61" s="12"/>
      <c r="HEG61" s="12"/>
      <c r="HEH61" s="12"/>
      <c r="HEY61" s="12"/>
      <c r="HEZ61" s="12"/>
      <c r="HFQ61" s="12"/>
      <c r="HFR61" s="12"/>
      <c r="HGI61" s="12"/>
      <c r="HGJ61" s="12"/>
      <c r="HHA61" s="12"/>
      <c r="HHB61" s="12"/>
      <c r="HHS61" s="12"/>
      <c r="HHT61" s="12"/>
      <c r="HIK61" s="12"/>
      <c r="HIL61" s="12"/>
      <c r="HJC61" s="12"/>
      <c r="HJD61" s="12"/>
      <c r="HJU61" s="12"/>
      <c r="HJV61" s="12"/>
      <c r="HKM61" s="12"/>
      <c r="HKN61" s="12"/>
      <c r="HLE61" s="12"/>
      <c r="HLF61" s="12"/>
      <c r="HLW61" s="12"/>
      <c r="HLX61" s="12"/>
      <c r="HMO61" s="12"/>
      <c r="HMP61" s="12"/>
      <c r="HNG61" s="12"/>
      <c r="HNH61" s="12"/>
      <c r="HNY61" s="12"/>
      <c r="HNZ61" s="12"/>
      <c r="HOQ61" s="12"/>
      <c r="HOR61" s="12"/>
      <c r="HPI61" s="12"/>
      <c r="HPJ61" s="12"/>
      <c r="HQA61" s="12"/>
      <c r="HQB61" s="12"/>
      <c r="HQS61" s="12"/>
      <c r="HQT61" s="12"/>
      <c r="HRK61" s="12"/>
      <c r="HRL61" s="12"/>
      <c r="HSC61" s="12"/>
      <c r="HSD61" s="12"/>
      <c r="HSU61" s="12"/>
      <c r="HSV61" s="12"/>
      <c r="HTM61" s="12"/>
      <c r="HTN61" s="12"/>
      <c r="HUE61" s="12"/>
      <c r="HUF61" s="12"/>
      <c r="HUW61" s="12"/>
      <c r="HUX61" s="12"/>
      <c r="HVO61" s="12"/>
      <c r="HVP61" s="12"/>
      <c r="HWG61" s="12"/>
      <c r="HWH61" s="12"/>
      <c r="HWY61" s="12"/>
      <c r="HWZ61" s="12"/>
      <c r="HXQ61" s="12"/>
      <c r="HXR61" s="12"/>
      <c r="HYI61" s="12"/>
      <c r="HYJ61" s="12"/>
      <c r="HZA61" s="12"/>
      <c r="HZB61" s="12"/>
      <c r="HZS61" s="12"/>
      <c r="HZT61" s="12"/>
      <c r="IAK61" s="12"/>
      <c r="IAL61" s="12"/>
      <c r="IBC61" s="12"/>
      <c r="IBD61" s="12"/>
      <c r="IBU61" s="12"/>
      <c r="IBV61" s="12"/>
      <c r="ICM61" s="12"/>
      <c r="ICN61" s="12"/>
      <c r="IDE61" s="12"/>
      <c r="IDF61" s="12"/>
      <c r="IDW61" s="12"/>
      <c r="IDX61" s="12"/>
      <c r="IEO61" s="12"/>
      <c r="IEP61" s="12"/>
      <c r="IFG61" s="12"/>
      <c r="IFH61" s="12"/>
      <c r="IFY61" s="12"/>
      <c r="IFZ61" s="12"/>
      <c r="IGQ61" s="12"/>
      <c r="IGR61" s="12"/>
      <c r="IHI61" s="12"/>
      <c r="IHJ61" s="12"/>
      <c r="IIA61" s="12"/>
      <c r="IIB61" s="12"/>
      <c r="IIS61" s="12"/>
      <c r="IIT61" s="12"/>
      <c r="IJK61" s="12"/>
      <c r="IJL61" s="12"/>
      <c r="IKC61" s="12"/>
      <c r="IKD61" s="12"/>
      <c r="IKU61" s="12"/>
      <c r="IKV61" s="12"/>
      <c r="ILM61" s="12"/>
      <c r="ILN61" s="12"/>
      <c r="IME61" s="12"/>
      <c r="IMF61" s="12"/>
      <c r="IMW61" s="12"/>
      <c r="IMX61" s="12"/>
      <c r="INO61" s="12"/>
      <c r="INP61" s="12"/>
      <c r="IOG61" s="12"/>
      <c r="IOH61" s="12"/>
      <c r="IOY61" s="12"/>
      <c r="IOZ61" s="12"/>
      <c r="IPQ61" s="12"/>
      <c r="IPR61" s="12"/>
      <c r="IQI61" s="12"/>
      <c r="IQJ61" s="12"/>
      <c r="IRA61" s="12"/>
      <c r="IRB61" s="12"/>
      <c r="IRS61" s="12"/>
      <c r="IRT61" s="12"/>
      <c r="ISK61" s="12"/>
      <c r="ISL61" s="12"/>
      <c r="ITC61" s="12"/>
      <c r="ITD61" s="12"/>
      <c r="ITU61" s="12"/>
      <c r="ITV61" s="12"/>
      <c r="IUM61" s="12"/>
      <c r="IUN61" s="12"/>
      <c r="IVE61" s="12"/>
      <c r="IVF61" s="12"/>
      <c r="IVW61" s="12"/>
      <c r="IVX61" s="12"/>
      <c r="IWO61" s="12"/>
      <c r="IWP61" s="12"/>
      <c r="IXG61" s="12"/>
      <c r="IXH61" s="12"/>
      <c r="IXY61" s="12"/>
      <c r="IXZ61" s="12"/>
      <c r="IYQ61" s="12"/>
      <c r="IYR61" s="12"/>
      <c r="IZI61" s="12"/>
      <c r="IZJ61" s="12"/>
      <c r="JAA61" s="12"/>
      <c r="JAB61" s="12"/>
      <c r="JAS61" s="12"/>
      <c r="JAT61" s="12"/>
      <c r="JBK61" s="12"/>
      <c r="JBL61" s="12"/>
      <c r="JCC61" s="12"/>
      <c r="JCD61" s="12"/>
      <c r="JCU61" s="12"/>
      <c r="JCV61" s="12"/>
      <c r="JDM61" s="12"/>
      <c r="JDN61" s="12"/>
      <c r="JEE61" s="12"/>
      <c r="JEF61" s="12"/>
      <c r="JEW61" s="12"/>
      <c r="JEX61" s="12"/>
      <c r="JFO61" s="12"/>
      <c r="JFP61" s="12"/>
      <c r="JGG61" s="12"/>
      <c r="JGH61" s="12"/>
      <c r="JGY61" s="12"/>
      <c r="JGZ61" s="12"/>
      <c r="JHQ61" s="12"/>
      <c r="JHR61" s="12"/>
      <c r="JII61" s="12"/>
      <c r="JIJ61" s="12"/>
      <c r="JJA61" s="12"/>
      <c r="JJB61" s="12"/>
      <c r="JJS61" s="12"/>
      <c r="JJT61" s="12"/>
      <c r="JKK61" s="12"/>
      <c r="JKL61" s="12"/>
      <c r="JLC61" s="12"/>
      <c r="JLD61" s="12"/>
      <c r="JLU61" s="12"/>
      <c r="JLV61" s="12"/>
      <c r="JMM61" s="12"/>
      <c r="JMN61" s="12"/>
      <c r="JNE61" s="12"/>
      <c r="JNF61" s="12"/>
      <c r="JNW61" s="12"/>
      <c r="JNX61" s="12"/>
      <c r="JOO61" s="12"/>
      <c r="JOP61" s="12"/>
      <c r="JPG61" s="12"/>
      <c r="JPH61" s="12"/>
      <c r="JPY61" s="12"/>
      <c r="JPZ61" s="12"/>
      <c r="JQQ61" s="12"/>
      <c r="JQR61" s="12"/>
      <c r="JRI61" s="12"/>
      <c r="JRJ61" s="12"/>
      <c r="JSA61" s="12"/>
      <c r="JSB61" s="12"/>
      <c r="JSS61" s="12"/>
      <c r="JST61" s="12"/>
      <c r="JTK61" s="12"/>
      <c r="JTL61" s="12"/>
      <c r="JUC61" s="12"/>
      <c r="JUD61" s="12"/>
      <c r="JUU61" s="12"/>
      <c r="JUV61" s="12"/>
      <c r="JVM61" s="12"/>
      <c r="JVN61" s="12"/>
      <c r="JWE61" s="12"/>
      <c r="JWF61" s="12"/>
      <c r="JWW61" s="12"/>
      <c r="JWX61" s="12"/>
      <c r="JXO61" s="12"/>
      <c r="JXP61" s="12"/>
      <c r="JYG61" s="12"/>
      <c r="JYH61" s="12"/>
      <c r="JYY61" s="12"/>
      <c r="JYZ61" s="12"/>
      <c r="JZQ61" s="12"/>
      <c r="JZR61" s="12"/>
      <c r="KAI61" s="12"/>
      <c r="KAJ61" s="12"/>
      <c r="KBA61" s="12"/>
      <c r="KBB61" s="12"/>
      <c r="KBS61" s="12"/>
      <c r="KBT61" s="12"/>
      <c r="KCK61" s="12"/>
      <c r="KCL61" s="12"/>
      <c r="KDC61" s="12"/>
      <c r="KDD61" s="12"/>
      <c r="KDU61" s="12"/>
      <c r="KDV61" s="12"/>
      <c r="KEM61" s="12"/>
      <c r="KEN61" s="12"/>
      <c r="KFE61" s="12"/>
      <c r="KFF61" s="12"/>
      <c r="KFW61" s="12"/>
      <c r="KFX61" s="12"/>
      <c r="KGO61" s="12"/>
      <c r="KGP61" s="12"/>
      <c r="KHG61" s="12"/>
      <c r="KHH61" s="12"/>
      <c r="KHY61" s="12"/>
      <c r="KHZ61" s="12"/>
      <c r="KIQ61" s="12"/>
      <c r="KIR61" s="12"/>
      <c r="KJI61" s="12"/>
      <c r="KJJ61" s="12"/>
      <c r="KKA61" s="12"/>
      <c r="KKB61" s="12"/>
      <c r="KKS61" s="12"/>
      <c r="KKT61" s="12"/>
      <c r="KLK61" s="12"/>
      <c r="KLL61" s="12"/>
      <c r="KMC61" s="12"/>
      <c r="KMD61" s="12"/>
      <c r="KMU61" s="12"/>
      <c r="KMV61" s="12"/>
      <c r="KNM61" s="12"/>
      <c r="KNN61" s="12"/>
      <c r="KOE61" s="12"/>
      <c r="KOF61" s="12"/>
      <c r="KOW61" s="12"/>
      <c r="KOX61" s="12"/>
      <c r="KPO61" s="12"/>
      <c r="KPP61" s="12"/>
      <c r="KQG61" s="12"/>
      <c r="KQH61" s="12"/>
      <c r="KQY61" s="12"/>
      <c r="KQZ61" s="12"/>
      <c r="KRQ61" s="12"/>
      <c r="KRR61" s="12"/>
      <c r="KSI61" s="12"/>
      <c r="KSJ61" s="12"/>
      <c r="KTA61" s="12"/>
      <c r="KTB61" s="12"/>
      <c r="KTS61" s="12"/>
      <c r="KTT61" s="12"/>
      <c r="KUK61" s="12"/>
      <c r="KUL61" s="12"/>
      <c r="KVC61" s="12"/>
      <c r="KVD61" s="12"/>
      <c r="KVU61" s="12"/>
      <c r="KVV61" s="12"/>
      <c r="KWM61" s="12"/>
      <c r="KWN61" s="12"/>
      <c r="KXE61" s="12"/>
      <c r="KXF61" s="12"/>
      <c r="KXW61" s="12"/>
      <c r="KXX61" s="12"/>
      <c r="KYO61" s="12"/>
      <c r="KYP61" s="12"/>
      <c r="KZG61" s="12"/>
      <c r="KZH61" s="12"/>
      <c r="KZY61" s="12"/>
      <c r="KZZ61" s="12"/>
      <c r="LAQ61" s="12"/>
      <c r="LAR61" s="12"/>
      <c r="LBI61" s="12"/>
      <c r="LBJ61" s="12"/>
      <c r="LCA61" s="12"/>
      <c r="LCB61" s="12"/>
      <c r="LCS61" s="12"/>
      <c r="LCT61" s="12"/>
      <c r="LDK61" s="12"/>
      <c r="LDL61" s="12"/>
      <c r="LEC61" s="12"/>
      <c r="LED61" s="12"/>
      <c r="LEU61" s="12"/>
      <c r="LEV61" s="12"/>
      <c r="LFM61" s="12"/>
      <c r="LFN61" s="12"/>
      <c r="LGE61" s="12"/>
      <c r="LGF61" s="12"/>
      <c r="LGW61" s="12"/>
      <c r="LGX61" s="12"/>
      <c r="LHO61" s="12"/>
      <c r="LHP61" s="12"/>
      <c r="LIG61" s="12"/>
      <c r="LIH61" s="12"/>
      <c r="LIY61" s="12"/>
      <c r="LIZ61" s="12"/>
      <c r="LJQ61" s="12"/>
      <c r="LJR61" s="12"/>
      <c r="LKI61" s="12"/>
      <c r="LKJ61" s="12"/>
      <c r="LLA61" s="12"/>
      <c r="LLB61" s="12"/>
      <c r="LLS61" s="12"/>
      <c r="LLT61" s="12"/>
      <c r="LMK61" s="12"/>
      <c r="LML61" s="12"/>
      <c r="LNC61" s="12"/>
      <c r="LND61" s="12"/>
      <c r="LNU61" s="12"/>
      <c r="LNV61" s="12"/>
      <c r="LOM61" s="12"/>
      <c r="LON61" s="12"/>
      <c r="LPE61" s="12"/>
      <c r="LPF61" s="12"/>
      <c r="LPW61" s="12"/>
      <c r="LPX61" s="12"/>
      <c r="LQO61" s="12"/>
      <c r="LQP61" s="12"/>
      <c r="LRG61" s="12"/>
      <c r="LRH61" s="12"/>
      <c r="LRY61" s="12"/>
      <c r="LRZ61" s="12"/>
      <c r="LSQ61" s="12"/>
      <c r="LSR61" s="12"/>
      <c r="LTI61" s="12"/>
      <c r="LTJ61" s="12"/>
      <c r="LUA61" s="12"/>
      <c r="LUB61" s="12"/>
      <c r="LUS61" s="12"/>
      <c r="LUT61" s="12"/>
      <c r="LVK61" s="12"/>
      <c r="LVL61" s="12"/>
      <c r="LWC61" s="12"/>
      <c r="LWD61" s="12"/>
      <c r="LWU61" s="12"/>
      <c r="LWV61" s="12"/>
      <c r="LXM61" s="12"/>
      <c r="LXN61" s="12"/>
      <c r="LYE61" s="12"/>
      <c r="LYF61" s="12"/>
      <c r="LYW61" s="12"/>
      <c r="LYX61" s="12"/>
      <c r="LZO61" s="12"/>
      <c r="LZP61" s="12"/>
      <c r="MAG61" s="12"/>
      <c r="MAH61" s="12"/>
      <c r="MAY61" s="12"/>
      <c r="MAZ61" s="12"/>
      <c r="MBQ61" s="12"/>
      <c r="MBR61" s="12"/>
      <c r="MCI61" s="12"/>
      <c r="MCJ61" s="12"/>
      <c r="MDA61" s="12"/>
      <c r="MDB61" s="12"/>
      <c r="MDS61" s="12"/>
      <c r="MDT61" s="12"/>
      <c r="MEK61" s="12"/>
      <c r="MEL61" s="12"/>
      <c r="MFC61" s="12"/>
      <c r="MFD61" s="12"/>
      <c r="MFU61" s="12"/>
      <c r="MFV61" s="12"/>
      <c r="MGM61" s="12"/>
      <c r="MGN61" s="12"/>
      <c r="MHE61" s="12"/>
      <c r="MHF61" s="12"/>
      <c r="MHW61" s="12"/>
      <c r="MHX61" s="12"/>
      <c r="MIO61" s="12"/>
      <c r="MIP61" s="12"/>
      <c r="MJG61" s="12"/>
      <c r="MJH61" s="12"/>
      <c r="MJY61" s="12"/>
      <c r="MJZ61" s="12"/>
      <c r="MKQ61" s="12"/>
      <c r="MKR61" s="12"/>
      <c r="MLI61" s="12"/>
      <c r="MLJ61" s="12"/>
      <c r="MMA61" s="12"/>
      <c r="MMB61" s="12"/>
      <c r="MMS61" s="12"/>
      <c r="MMT61" s="12"/>
      <c r="MNK61" s="12"/>
      <c r="MNL61" s="12"/>
      <c r="MOC61" s="12"/>
      <c r="MOD61" s="12"/>
      <c r="MOU61" s="12"/>
      <c r="MOV61" s="12"/>
      <c r="MPM61" s="12"/>
      <c r="MPN61" s="12"/>
      <c r="MQE61" s="12"/>
      <c r="MQF61" s="12"/>
      <c r="MQW61" s="12"/>
      <c r="MQX61" s="12"/>
      <c r="MRO61" s="12"/>
      <c r="MRP61" s="12"/>
      <c r="MSG61" s="12"/>
      <c r="MSH61" s="12"/>
      <c r="MSY61" s="12"/>
      <c r="MSZ61" s="12"/>
      <c r="MTQ61" s="12"/>
      <c r="MTR61" s="12"/>
      <c r="MUI61" s="12"/>
      <c r="MUJ61" s="12"/>
      <c r="MVA61" s="12"/>
      <c r="MVB61" s="12"/>
      <c r="MVS61" s="12"/>
      <c r="MVT61" s="12"/>
      <c r="MWK61" s="12"/>
      <c r="MWL61" s="12"/>
      <c r="MXC61" s="12"/>
      <c r="MXD61" s="12"/>
      <c r="MXU61" s="12"/>
      <c r="MXV61" s="12"/>
      <c r="MYM61" s="12"/>
      <c r="MYN61" s="12"/>
      <c r="MZE61" s="12"/>
      <c r="MZF61" s="12"/>
      <c r="MZW61" s="12"/>
      <c r="MZX61" s="12"/>
      <c r="NAO61" s="12"/>
      <c r="NAP61" s="12"/>
      <c r="NBG61" s="12"/>
      <c r="NBH61" s="12"/>
      <c r="NBY61" s="12"/>
      <c r="NBZ61" s="12"/>
      <c r="NCQ61" s="12"/>
      <c r="NCR61" s="12"/>
      <c r="NDI61" s="12"/>
      <c r="NDJ61" s="12"/>
      <c r="NEA61" s="12"/>
      <c r="NEB61" s="12"/>
      <c r="NES61" s="12"/>
      <c r="NET61" s="12"/>
      <c r="NFK61" s="12"/>
      <c r="NFL61" s="12"/>
      <c r="NGC61" s="12"/>
      <c r="NGD61" s="12"/>
      <c r="NGU61" s="12"/>
      <c r="NGV61" s="12"/>
      <c r="NHM61" s="12"/>
      <c r="NHN61" s="12"/>
      <c r="NIE61" s="12"/>
      <c r="NIF61" s="12"/>
      <c r="NIW61" s="12"/>
      <c r="NIX61" s="12"/>
      <c r="NJO61" s="12"/>
      <c r="NJP61" s="12"/>
      <c r="NKG61" s="12"/>
      <c r="NKH61" s="12"/>
      <c r="NKY61" s="12"/>
      <c r="NKZ61" s="12"/>
      <c r="NLQ61" s="12"/>
      <c r="NLR61" s="12"/>
      <c r="NMI61" s="12"/>
      <c r="NMJ61" s="12"/>
      <c r="NNA61" s="12"/>
      <c r="NNB61" s="12"/>
      <c r="NNS61" s="12"/>
      <c r="NNT61" s="12"/>
      <c r="NOK61" s="12"/>
      <c r="NOL61" s="12"/>
      <c r="NPC61" s="12"/>
      <c r="NPD61" s="12"/>
      <c r="NPU61" s="12"/>
      <c r="NPV61" s="12"/>
      <c r="NQM61" s="12"/>
      <c r="NQN61" s="12"/>
      <c r="NRE61" s="12"/>
      <c r="NRF61" s="12"/>
      <c r="NRW61" s="12"/>
      <c r="NRX61" s="12"/>
      <c r="NSO61" s="12"/>
      <c r="NSP61" s="12"/>
      <c r="NTG61" s="12"/>
      <c r="NTH61" s="12"/>
      <c r="NTY61" s="12"/>
      <c r="NTZ61" s="12"/>
      <c r="NUQ61" s="12"/>
      <c r="NUR61" s="12"/>
      <c r="NVI61" s="12"/>
      <c r="NVJ61" s="12"/>
      <c r="NWA61" s="12"/>
      <c r="NWB61" s="12"/>
      <c r="NWS61" s="12"/>
      <c r="NWT61" s="12"/>
      <c r="NXK61" s="12"/>
      <c r="NXL61" s="12"/>
      <c r="NYC61" s="12"/>
      <c r="NYD61" s="12"/>
      <c r="NYU61" s="12"/>
      <c r="NYV61" s="12"/>
      <c r="NZM61" s="12"/>
      <c r="NZN61" s="12"/>
      <c r="OAE61" s="12"/>
      <c r="OAF61" s="12"/>
      <c r="OAW61" s="12"/>
      <c r="OAX61" s="12"/>
      <c r="OBO61" s="12"/>
      <c r="OBP61" s="12"/>
      <c r="OCG61" s="12"/>
      <c r="OCH61" s="12"/>
      <c r="OCY61" s="12"/>
      <c r="OCZ61" s="12"/>
      <c r="ODQ61" s="12"/>
      <c r="ODR61" s="12"/>
      <c r="OEI61" s="12"/>
      <c r="OEJ61" s="12"/>
      <c r="OFA61" s="12"/>
      <c r="OFB61" s="12"/>
      <c r="OFS61" s="12"/>
      <c r="OFT61" s="12"/>
      <c r="OGK61" s="12"/>
      <c r="OGL61" s="12"/>
      <c r="OHC61" s="12"/>
      <c r="OHD61" s="12"/>
      <c r="OHU61" s="12"/>
      <c r="OHV61" s="12"/>
      <c r="OIM61" s="12"/>
      <c r="OIN61" s="12"/>
      <c r="OJE61" s="12"/>
      <c r="OJF61" s="12"/>
      <c r="OJW61" s="12"/>
      <c r="OJX61" s="12"/>
      <c r="OKO61" s="12"/>
      <c r="OKP61" s="12"/>
      <c r="OLG61" s="12"/>
      <c r="OLH61" s="12"/>
      <c r="OLY61" s="12"/>
      <c r="OLZ61" s="12"/>
      <c r="OMQ61" s="12"/>
      <c r="OMR61" s="12"/>
      <c r="ONI61" s="12"/>
      <c r="ONJ61" s="12"/>
      <c r="OOA61" s="12"/>
      <c r="OOB61" s="12"/>
      <c r="OOS61" s="12"/>
      <c r="OOT61" s="12"/>
      <c r="OPK61" s="12"/>
      <c r="OPL61" s="12"/>
      <c r="OQC61" s="12"/>
      <c r="OQD61" s="12"/>
      <c r="OQU61" s="12"/>
      <c r="OQV61" s="12"/>
      <c r="ORM61" s="12"/>
      <c r="ORN61" s="12"/>
      <c r="OSE61" s="12"/>
      <c r="OSF61" s="12"/>
      <c r="OSW61" s="12"/>
      <c r="OSX61" s="12"/>
      <c r="OTO61" s="12"/>
      <c r="OTP61" s="12"/>
      <c r="OUG61" s="12"/>
      <c r="OUH61" s="12"/>
      <c r="OUY61" s="12"/>
      <c r="OUZ61" s="12"/>
      <c r="OVQ61" s="12"/>
      <c r="OVR61" s="12"/>
      <c r="OWI61" s="12"/>
      <c r="OWJ61" s="12"/>
      <c r="OXA61" s="12"/>
      <c r="OXB61" s="12"/>
      <c r="OXS61" s="12"/>
      <c r="OXT61" s="12"/>
      <c r="OYK61" s="12"/>
      <c r="OYL61" s="12"/>
      <c r="OZC61" s="12"/>
      <c r="OZD61" s="12"/>
      <c r="OZU61" s="12"/>
      <c r="OZV61" s="12"/>
      <c r="PAM61" s="12"/>
      <c r="PAN61" s="12"/>
      <c r="PBE61" s="12"/>
      <c r="PBF61" s="12"/>
      <c r="PBW61" s="12"/>
      <c r="PBX61" s="12"/>
      <c r="PCO61" s="12"/>
      <c r="PCP61" s="12"/>
      <c r="PDG61" s="12"/>
      <c r="PDH61" s="12"/>
      <c r="PDY61" s="12"/>
      <c r="PDZ61" s="12"/>
      <c r="PEQ61" s="12"/>
      <c r="PER61" s="12"/>
      <c r="PFI61" s="12"/>
      <c r="PFJ61" s="12"/>
      <c r="PGA61" s="12"/>
      <c r="PGB61" s="12"/>
      <c r="PGS61" s="12"/>
      <c r="PGT61" s="12"/>
      <c r="PHK61" s="12"/>
      <c r="PHL61" s="12"/>
      <c r="PIC61" s="12"/>
      <c r="PID61" s="12"/>
      <c r="PIU61" s="12"/>
      <c r="PIV61" s="12"/>
      <c r="PJM61" s="12"/>
      <c r="PJN61" s="12"/>
      <c r="PKE61" s="12"/>
      <c r="PKF61" s="12"/>
      <c r="PKW61" s="12"/>
      <c r="PKX61" s="12"/>
      <c r="PLO61" s="12"/>
      <c r="PLP61" s="12"/>
      <c r="PMG61" s="12"/>
      <c r="PMH61" s="12"/>
      <c r="PMY61" s="12"/>
      <c r="PMZ61" s="12"/>
      <c r="PNQ61" s="12"/>
      <c r="PNR61" s="12"/>
      <c r="POI61" s="12"/>
      <c r="POJ61" s="12"/>
      <c r="PPA61" s="12"/>
      <c r="PPB61" s="12"/>
      <c r="PPS61" s="12"/>
      <c r="PPT61" s="12"/>
      <c r="PQK61" s="12"/>
      <c r="PQL61" s="12"/>
      <c r="PRC61" s="12"/>
      <c r="PRD61" s="12"/>
      <c r="PRU61" s="12"/>
      <c r="PRV61" s="12"/>
      <c r="PSM61" s="12"/>
      <c r="PSN61" s="12"/>
      <c r="PTE61" s="12"/>
      <c r="PTF61" s="12"/>
      <c r="PTW61" s="12"/>
      <c r="PTX61" s="12"/>
      <c r="PUO61" s="12"/>
      <c r="PUP61" s="12"/>
      <c r="PVG61" s="12"/>
      <c r="PVH61" s="12"/>
      <c r="PVY61" s="12"/>
      <c r="PVZ61" s="12"/>
      <c r="PWQ61" s="12"/>
      <c r="PWR61" s="12"/>
      <c r="PXI61" s="12"/>
      <c r="PXJ61" s="12"/>
      <c r="PYA61" s="12"/>
      <c r="PYB61" s="12"/>
      <c r="PYS61" s="12"/>
      <c r="PYT61" s="12"/>
      <c r="PZK61" s="12"/>
      <c r="PZL61" s="12"/>
      <c r="QAC61" s="12"/>
      <c r="QAD61" s="12"/>
      <c r="QAU61" s="12"/>
      <c r="QAV61" s="12"/>
      <c r="QBM61" s="12"/>
      <c r="QBN61" s="12"/>
      <c r="QCE61" s="12"/>
      <c r="QCF61" s="12"/>
      <c r="QCW61" s="12"/>
      <c r="QCX61" s="12"/>
      <c r="QDO61" s="12"/>
      <c r="QDP61" s="12"/>
      <c r="QEG61" s="12"/>
      <c r="QEH61" s="12"/>
      <c r="QEY61" s="12"/>
      <c r="QEZ61" s="12"/>
      <c r="QFQ61" s="12"/>
      <c r="QFR61" s="12"/>
      <c r="QGI61" s="12"/>
      <c r="QGJ61" s="12"/>
      <c r="QHA61" s="12"/>
      <c r="QHB61" s="12"/>
      <c r="QHS61" s="12"/>
      <c r="QHT61" s="12"/>
      <c r="QIK61" s="12"/>
      <c r="QIL61" s="12"/>
      <c r="QJC61" s="12"/>
      <c r="QJD61" s="12"/>
      <c r="QJU61" s="12"/>
      <c r="QJV61" s="12"/>
      <c r="QKM61" s="12"/>
      <c r="QKN61" s="12"/>
      <c r="QLE61" s="12"/>
      <c r="QLF61" s="12"/>
      <c r="QLW61" s="12"/>
      <c r="QLX61" s="12"/>
      <c r="QMO61" s="12"/>
      <c r="QMP61" s="12"/>
      <c r="QNG61" s="12"/>
      <c r="QNH61" s="12"/>
      <c r="QNY61" s="12"/>
      <c r="QNZ61" s="12"/>
      <c r="QOQ61" s="12"/>
      <c r="QOR61" s="12"/>
      <c r="QPI61" s="12"/>
      <c r="QPJ61" s="12"/>
      <c r="QQA61" s="12"/>
      <c r="QQB61" s="12"/>
      <c r="QQS61" s="12"/>
      <c r="QQT61" s="12"/>
      <c r="QRK61" s="12"/>
      <c r="QRL61" s="12"/>
      <c r="QSC61" s="12"/>
      <c r="QSD61" s="12"/>
      <c r="QSU61" s="12"/>
      <c r="QSV61" s="12"/>
      <c r="QTM61" s="12"/>
      <c r="QTN61" s="12"/>
      <c r="QUE61" s="12"/>
      <c r="QUF61" s="12"/>
      <c r="QUW61" s="12"/>
      <c r="QUX61" s="12"/>
      <c r="QVO61" s="12"/>
      <c r="QVP61" s="12"/>
      <c r="QWG61" s="12"/>
      <c r="QWH61" s="12"/>
      <c r="QWY61" s="12"/>
      <c r="QWZ61" s="12"/>
      <c r="QXQ61" s="12"/>
      <c r="QXR61" s="12"/>
      <c r="QYI61" s="12"/>
      <c r="QYJ61" s="12"/>
      <c r="QZA61" s="12"/>
      <c r="QZB61" s="12"/>
      <c r="QZS61" s="12"/>
      <c r="QZT61" s="12"/>
      <c r="RAK61" s="12"/>
      <c r="RAL61" s="12"/>
      <c r="RBC61" s="12"/>
      <c r="RBD61" s="12"/>
      <c r="RBU61" s="12"/>
      <c r="RBV61" s="12"/>
      <c r="RCM61" s="12"/>
      <c r="RCN61" s="12"/>
      <c r="RDE61" s="12"/>
      <c r="RDF61" s="12"/>
      <c r="RDW61" s="12"/>
      <c r="RDX61" s="12"/>
      <c r="REO61" s="12"/>
      <c r="REP61" s="12"/>
      <c r="RFG61" s="12"/>
      <c r="RFH61" s="12"/>
      <c r="RFY61" s="12"/>
      <c r="RFZ61" s="12"/>
      <c r="RGQ61" s="12"/>
      <c r="RGR61" s="12"/>
      <c r="RHI61" s="12"/>
      <c r="RHJ61" s="12"/>
      <c r="RIA61" s="12"/>
      <c r="RIB61" s="12"/>
      <c r="RIS61" s="12"/>
      <c r="RIT61" s="12"/>
      <c r="RJK61" s="12"/>
      <c r="RJL61" s="12"/>
      <c r="RKC61" s="12"/>
      <c r="RKD61" s="12"/>
      <c r="RKU61" s="12"/>
      <c r="RKV61" s="12"/>
      <c r="RLM61" s="12"/>
      <c r="RLN61" s="12"/>
      <c r="RME61" s="12"/>
      <c r="RMF61" s="12"/>
      <c r="RMW61" s="12"/>
      <c r="RMX61" s="12"/>
      <c r="RNO61" s="12"/>
      <c r="RNP61" s="12"/>
      <c r="ROG61" s="12"/>
      <c r="ROH61" s="12"/>
      <c r="ROY61" s="12"/>
      <c r="ROZ61" s="12"/>
      <c r="RPQ61" s="12"/>
      <c r="RPR61" s="12"/>
      <c r="RQI61" s="12"/>
      <c r="RQJ61" s="12"/>
      <c r="RRA61" s="12"/>
      <c r="RRB61" s="12"/>
      <c r="RRS61" s="12"/>
      <c r="RRT61" s="12"/>
      <c r="RSK61" s="12"/>
      <c r="RSL61" s="12"/>
      <c r="RTC61" s="12"/>
      <c r="RTD61" s="12"/>
      <c r="RTU61" s="12"/>
      <c r="RTV61" s="12"/>
      <c r="RUM61" s="12"/>
      <c r="RUN61" s="12"/>
      <c r="RVE61" s="12"/>
      <c r="RVF61" s="12"/>
      <c r="RVW61" s="12"/>
      <c r="RVX61" s="12"/>
      <c r="RWO61" s="12"/>
      <c r="RWP61" s="12"/>
      <c r="RXG61" s="12"/>
      <c r="RXH61" s="12"/>
      <c r="RXY61" s="12"/>
      <c r="RXZ61" s="12"/>
      <c r="RYQ61" s="12"/>
      <c r="RYR61" s="12"/>
      <c r="RZI61" s="12"/>
      <c r="RZJ61" s="12"/>
      <c r="SAA61" s="12"/>
      <c r="SAB61" s="12"/>
      <c r="SAS61" s="12"/>
      <c r="SAT61" s="12"/>
      <c r="SBK61" s="12"/>
      <c r="SBL61" s="12"/>
      <c r="SCC61" s="12"/>
      <c r="SCD61" s="12"/>
      <c r="SCU61" s="12"/>
      <c r="SCV61" s="12"/>
      <c r="SDM61" s="12"/>
      <c r="SDN61" s="12"/>
      <c r="SEE61" s="12"/>
      <c r="SEF61" s="12"/>
      <c r="SEW61" s="12"/>
      <c r="SEX61" s="12"/>
      <c r="SFO61" s="12"/>
      <c r="SFP61" s="12"/>
      <c r="SGG61" s="12"/>
      <c r="SGH61" s="12"/>
      <c r="SGY61" s="12"/>
      <c r="SGZ61" s="12"/>
      <c r="SHQ61" s="12"/>
      <c r="SHR61" s="12"/>
      <c r="SII61" s="12"/>
      <c r="SIJ61" s="12"/>
      <c r="SJA61" s="12"/>
      <c r="SJB61" s="12"/>
      <c r="SJS61" s="12"/>
      <c r="SJT61" s="12"/>
      <c r="SKK61" s="12"/>
      <c r="SKL61" s="12"/>
      <c r="SLC61" s="12"/>
      <c r="SLD61" s="12"/>
      <c r="SLU61" s="12"/>
      <c r="SLV61" s="12"/>
      <c r="SMM61" s="12"/>
      <c r="SMN61" s="12"/>
      <c r="SNE61" s="12"/>
      <c r="SNF61" s="12"/>
      <c r="SNW61" s="12"/>
      <c r="SNX61" s="12"/>
      <c r="SOO61" s="12"/>
      <c r="SOP61" s="12"/>
      <c r="SPG61" s="12"/>
      <c r="SPH61" s="12"/>
      <c r="SPY61" s="12"/>
      <c r="SPZ61" s="12"/>
      <c r="SQQ61" s="12"/>
      <c r="SQR61" s="12"/>
      <c r="SRI61" s="12"/>
      <c r="SRJ61" s="12"/>
      <c r="SSA61" s="12"/>
      <c r="SSB61" s="12"/>
      <c r="SSS61" s="12"/>
      <c r="SST61" s="12"/>
      <c r="STK61" s="12"/>
      <c r="STL61" s="12"/>
      <c r="SUC61" s="12"/>
      <c r="SUD61" s="12"/>
      <c r="SUU61" s="12"/>
      <c r="SUV61" s="12"/>
      <c r="SVM61" s="12"/>
      <c r="SVN61" s="12"/>
      <c r="SWE61" s="12"/>
      <c r="SWF61" s="12"/>
      <c r="SWW61" s="12"/>
      <c r="SWX61" s="12"/>
      <c r="SXO61" s="12"/>
      <c r="SXP61" s="12"/>
      <c r="SYG61" s="12"/>
      <c r="SYH61" s="12"/>
      <c r="SYY61" s="12"/>
      <c r="SYZ61" s="12"/>
      <c r="SZQ61" s="12"/>
      <c r="SZR61" s="12"/>
      <c r="TAI61" s="12"/>
      <c r="TAJ61" s="12"/>
      <c r="TBA61" s="12"/>
      <c r="TBB61" s="12"/>
      <c r="TBS61" s="12"/>
      <c r="TBT61" s="12"/>
      <c r="TCK61" s="12"/>
      <c r="TCL61" s="12"/>
      <c r="TDC61" s="12"/>
      <c r="TDD61" s="12"/>
      <c r="TDU61" s="12"/>
      <c r="TDV61" s="12"/>
      <c r="TEM61" s="12"/>
      <c r="TEN61" s="12"/>
      <c r="TFE61" s="12"/>
      <c r="TFF61" s="12"/>
      <c r="TFW61" s="12"/>
      <c r="TFX61" s="12"/>
      <c r="TGO61" s="12"/>
      <c r="TGP61" s="12"/>
      <c r="THG61" s="12"/>
      <c r="THH61" s="12"/>
      <c r="THY61" s="12"/>
      <c r="THZ61" s="12"/>
      <c r="TIQ61" s="12"/>
      <c r="TIR61" s="12"/>
      <c r="TJI61" s="12"/>
      <c r="TJJ61" s="12"/>
      <c r="TKA61" s="12"/>
      <c r="TKB61" s="12"/>
      <c r="TKS61" s="12"/>
      <c r="TKT61" s="12"/>
      <c r="TLK61" s="12"/>
      <c r="TLL61" s="12"/>
      <c r="TMC61" s="12"/>
      <c r="TMD61" s="12"/>
      <c r="TMU61" s="12"/>
      <c r="TMV61" s="12"/>
      <c r="TNM61" s="12"/>
      <c r="TNN61" s="12"/>
      <c r="TOE61" s="12"/>
      <c r="TOF61" s="12"/>
      <c r="TOW61" s="12"/>
      <c r="TOX61" s="12"/>
      <c r="TPO61" s="12"/>
      <c r="TPP61" s="12"/>
      <c r="TQG61" s="12"/>
      <c r="TQH61" s="12"/>
      <c r="TQY61" s="12"/>
      <c r="TQZ61" s="12"/>
      <c r="TRQ61" s="12"/>
      <c r="TRR61" s="12"/>
      <c r="TSI61" s="12"/>
      <c r="TSJ61" s="12"/>
      <c r="TTA61" s="12"/>
      <c r="TTB61" s="12"/>
      <c r="TTS61" s="12"/>
      <c r="TTT61" s="12"/>
      <c r="TUK61" s="12"/>
      <c r="TUL61" s="12"/>
      <c r="TVC61" s="12"/>
      <c r="TVD61" s="12"/>
      <c r="TVU61" s="12"/>
      <c r="TVV61" s="12"/>
      <c r="TWM61" s="12"/>
      <c r="TWN61" s="12"/>
      <c r="TXE61" s="12"/>
      <c r="TXF61" s="12"/>
      <c r="TXW61" s="12"/>
      <c r="TXX61" s="12"/>
      <c r="TYO61" s="12"/>
      <c r="TYP61" s="12"/>
      <c r="TZG61" s="12"/>
      <c r="TZH61" s="12"/>
      <c r="TZY61" s="12"/>
      <c r="TZZ61" s="12"/>
      <c r="UAQ61" s="12"/>
      <c r="UAR61" s="12"/>
      <c r="UBI61" s="12"/>
      <c r="UBJ61" s="12"/>
      <c r="UCA61" s="12"/>
      <c r="UCB61" s="12"/>
      <c r="UCS61" s="12"/>
      <c r="UCT61" s="12"/>
      <c r="UDK61" s="12"/>
      <c r="UDL61" s="12"/>
      <c r="UEC61" s="12"/>
      <c r="UED61" s="12"/>
      <c r="UEU61" s="12"/>
      <c r="UEV61" s="12"/>
      <c r="UFM61" s="12"/>
      <c r="UFN61" s="12"/>
      <c r="UGE61" s="12"/>
      <c r="UGF61" s="12"/>
      <c r="UGW61" s="12"/>
      <c r="UGX61" s="12"/>
      <c r="UHO61" s="12"/>
      <c r="UHP61" s="12"/>
      <c r="UIG61" s="12"/>
      <c r="UIH61" s="12"/>
      <c r="UIY61" s="12"/>
      <c r="UIZ61" s="12"/>
      <c r="UJQ61" s="12"/>
      <c r="UJR61" s="12"/>
      <c r="UKI61" s="12"/>
      <c r="UKJ61" s="12"/>
      <c r="ULA61" s="12"/>
      <c r="ULB61" s="12"/>
      <c r="ULS61" s="12"/>
      <c r="ULT61" s="12"/>
      <c r="UMK61" s="12"/>
      <c r="UML61" s="12"/>
      <c r="UNC61" s="12"/>
      <c r="UND61" s="12"/>
      <c r="UNU61" s="12"/>
      <c r="UNV61" s="12"/>
      <c r="UOM61" s="12"/>
      <c r="UON61" s="12"/>
      <c r="UPE61" s="12"/>
      <c r="UPF61" s="12"/>
      <c r="UPW61" s="12"/>
      <c r="UPX61" s="12"/>
      <c r="UQO61" s="12"/>
      <c r="UQP61" s="12"/>
      <c r="URG61" s="12"/>
      <c r="URH61" s="12"/>
      <c r="URY61" s="12"/>
      <c r="URZ61" s="12"/>
      <c r="USQ61" s="12"/>
      <c r="USR61" s="12"/>
      <c r="UTI61" s="12"/>
      <c r="UTJ61" s="12"/>
      <c r="UUA61" s="12"/>
      <c r="UUB61" s="12"/>
      <c r="UUS61" s="12"/>
      <c r="UUT61" s="12"/>
      <c r="UVK61" s="12"/>
      <c r="UVL61" s="12"/>
      <c r="UWC61" s="12"/>
      <c r="UWD61" s="12"/>
      <c r="UWU61" s="12"/>
      <c r="UWV61" s="12"/>
      <c r="UXM61" s="12"/>
      <c r="UXN61" s="12"/>
      <c r="UYE61" s="12"/>
      <c r="UYF61" s="12"/>
      <c r="UYW61" s="12"/>
      <c r="UYX61" s="12"/>
      <c r="UZO61" s="12"/>
      <c r="UZP61" s="12"/>
      <c r="VAG61" s="12"/>
      <c r="VAH61" s="12"/>
      <c r="VAY61" s="12"/>
      <c r="VAZ61" s="12"/>
      <c r="VBQ61" s="12"/>
      <c r="VBR61" s="12"/>
      <c r="VCI61" s="12"/>
      <c r="VCJ61" s="12"/>
      <c r="VDA61" s="12"/>
      <c r="VDB61" s="12"/>
      <c r="VDS61" s="12"/>
      <c r="VDT61" s="12"/>
      <c r="VEK61" s="12"/>
      <c r="VEL61" s="12"/>
      <c r="VFC61" s="12"/>
      <c r="VFD61" s="12"/>
      <c r="VFU61" s="12"/>
      <c r="VFV61" s="12"/>
      <c r="VGM61" s="12"/>
      <c r="VGN61" s="12"/>
      <c r="VHE61" s="12"/>
      <c r="VHF61" s="12"/>
      <c r="VHW61" s="12"/>
      <c r="VHX61" s="12"/>
      <c r="VIO61" s="12"/>
      <c r="VIP61" s="12"/>
      <c r="VJG61" s="12"/>
      <c r="VJH61" s="12"/>
      <c r="VJY61" s="12"/>
      <c r="VJZ61" s="12"/>
      <c r="VKQ61" s="12"/>
      <c r="VKR61" s="12"/>
      <c r="VLI61" s="12"/>
      <c r="VLJ61" s="12"/>
      <c r="VMA61" s="12"/>
      <c r="VMB61" s="12"/>
      <c r="VMS61" s="12"/>
      <c r="VMT61" s="12"/>
      <c r="VNK61" s="12"/>
      <c r="VNL61" s="12"/>
      <c r="VOC61" s="12"/>
      <c r="VOD61" s="12"/>
      <c r="VOU61" s="12"/>
      <c r="VOV61" s="12"/>
      <c r="VPM61" s="12"/>
      <c r="VPN61" s="12"/>
      <c r="VQE61" s="12"/>
      <c r="VQF61" s="12"/>
      <c r="VQW61" s="12"/>
      <c r="VQX61" s="12"/>
      <c r="VRO61" s="12"/>
      <c r="VRP61" s="12"/>
      <c r="VSG61" s="12"/>
      <c r="VSH61" s="12"/>
      <c r="VSY61" s="12"/>
      <c r="VSZ61" s="12"/>
      <c r="VTQ61" s="12"/>
      <c r="VTR61" s="12"/>
      <c r="VUI61" s="12"/>
      <c r="VUJ61" s="12"/>
      <c r="VVA61" s="12"/>
      <c r="VVB61" s="12"/>
      <c r="VVS61" s="12"/>
      <c r="VVT61" s="12"/>
      <c r="VWK61" s="12"/>
      <c r="VWL61" s="12"/>
      <c r="VXC61" s="12"/>
      <c r="VXD61" s="12"/>
      <c r="VXU61" s="12"/>
      <c r="VXV61" s="12"/>
      <c r="VYM61" s="12"/>
      <c r="VYN61" s="12"/>
      <c r="VZE61" s="12"/>
      <c r="VZF61" s="12"/>
      <c r="VZW61" s="12"/>
      <c r="VZX61" s="12"/>
      <c r="WAO61" s="12"/>
      <c r="WAP61" s="12"/>
      <c r="WBG61" s="12"/>
      <c r="WBH61" s="12"/>
      <c r="WBY61" s="12"/>
      <c r="WBZ61" s="12"/>
      <c r="WCQ61" s="12"/>
      <c r="WCR61" s="12"/>
      <c r="WDI61" s="12"/>
      <c r="WDJ61" s="12"/>
      <c r="WEA61" s="12"/>
      <c r="WEB61" s="12"/>
      <c r="WES61" s="12"/>
      <c r="WET61" s="12"/>
      <c r="WFK61" s="12"/>
      <c r="WFL61" s="12"/>
      <c r="WGC61" s="12"/>
      <c r="WGD61" s="12"/>
      <c r="WGU61" s="12"/>
      <c r="WGV61" s="12"/>
      <c r="WHM61" s="12"/>
      <c r="WHN61" s="12"/>
      <c r="WIE61" s="12"/>
      <c r="WIF61" s="12"/>
      <c r="WIW61" s="12"/>
      <c r="WIX61" s="12"/>
      <c r="WJO61" s="12"/>
      <c r="WJP61" s="12"/>
      <c r="WKG61" s="12"/>
      <c r="WKH61" s="12"/>
      <c r="WKY61" s="12"/>
      <c r="WKZ61" s="12"/>
      <c r="WLQ61" s="12"/>
      <c r="WLR61" s="12"/>
      <c r="WMI61" s="12"/>
      <c r="WMJ61" s="12"/>
      <c r="WNA61" s="12"/>
      <c r="WNB61" s="12"/>
      <c r="WNS61" s="12"/>
      <c r="WNT61" s="12"/>
      <c r="WOK61" s="12"/>
      <c r="WOL61" s="12"/>
      <c r="WPC61" s="12"/>
      <c r="WPD61" s="12"/>
      <c r="WPU61" s="12"/>
      <c r="WPV61" s="12"/>
      <c r="WQM61" s="12"/>
      <c r="WQN61" s="12"/>
      <c r="WRE61" s="12"/>
      <c r="WRF61" s="12"/>
      <c r="WRW61" s="12"/>
      <c r="WRX61" s="12"/>
      <c r="WSO61" s="12"/>
      <c r="WSP61" s="12"/>
      <c r="WTG61" s="12"/>
      <c r="WTH61" s="12"/>
      <c r="WTY61" s="12"/>
      <c r="WTZ61" s="12"/>
      <c r="WUQ61" s="12"/>
      <c r="WUR61" s="12"/>
      <c r="WVI61" s="12"/>
      <c r="WVJ61" s="12"/>
      <c r="WWA61" s="12"/>
      <c r="WWB61" s="12"/>
      <c r="WWS61" s="12"/>
      <c r="WWT61" s="12"/>
      <c r="WXK61" s="12"/>
      <c r="WXL61" s="12"/>
      <c r="WYC61" s="12"/>
      <c r="WYD61" s="12"/>
      <c r="WYU61" s="12"/>
      <c r="WYV61" s="12"/>
      <c r="WZM61" s="12"/>
      <c r="WZN61" s="12"/>
      <c r="XAE61" s="12"/>
      <c r="XAF61" s="12"/>
      <c r="XAW61" s="12"/>
      <c r="XAX61" s="12"/>
      <c r="XBO61" s="12"/>
      <c r="XBP61" s="12"/>
      <c r="XCG61" s="12"/>
      <c r="XCH61" s="12"/>
      <c r="XCY61" s="12"/>
      <c r="XCZ61" s="12"/>
      <c r="XDQ61" s="12"/>
      <c r="XDR61" s="12"/>
      <c r="XEI61" s="12"/>
      <c r="XEJ61" s="12"/>
      <c r="XFA61" s="12"/>
      <c r="XFB61" s="12"/>
    </row>
    <row r="62" spans="1:1010 1027:2036 2053:3062 3079:4088 4105:5114 5131:6140 6157:7166 7183:8192 8209:9200 9217:10226 10243:11252 11269:12278 12295:13304 13321:14330 14347:15356 15373:16382" x14ac:dyDescent="0.35">
      <c r="A62" s="189" t="s">
        <v>302</v>
      </c>
      <c r="B62" s="189" t="s">
        <v>303</v>
      </c>
      <c r="C62" s="190">
        <v>20.266999999999999</v>
      </c>
      <c r="D62" s="190">
        <v>23.178999999999998</v>
      </c>
      <c r="E62" s="190">
        <v>20.277000000000001</v>
      </c>
      <c r="F62" s="190">
        <v>2.1720000000000002</v>
      </c>
      <c r="G62" s="190">
        <v>38.628999999999998</v>
      </c>
      <c r="H62" s="190">
        <v>42.572000000000003</v>
      </c>
      <c r="I62" s="190">
        <v>65.468999999999994</v>
      </c>
      <c r="J62" s="190">
        <v>72.379000000000005</v>
      </c>
      <c r="K62" s="190">
        <v>66.257000000000005</v>
      </c>
      <c r="L62" s="190">
        <v>74.052000000000007</v>
      </c>
      <c r="M62" s="312">
        <f>IF(OR(K62=0,K62=""),"",L62/K62-1)</f>
        <v>0.11764794663205391</v>
      </c>
      <c r="N62" s="135"/>
      <c r="O62" s="135"/>
      <c r="P62" s="135"/>
      <c r="Q62" s="135"/>
      <c r="R62" s="135"/>
    </row>
    <row r="63" spans="1:1010 1027:2036 2053:3062 3079:4088 4105:5114 5131:6140 6157:7166 7183:8192 8209:9200 9217:10226 10243:11252 11269:12278 12295:13304 13321:14330 14347:15356 15373:16382" x14ac:dyDescent="0.35">
      <c r="A63" s="24" t="s">
        <v>29</v>
      </c>
      <c r="B63" s="24"/>
      <c r="C63" s="260">
        <f t="shared" ref="C63:L63" si="12">ROUND(IF(C58="",0,C58)-IF(C60="",0,C60)-IF(C61="",0,C61)-IF(C62="",0,C62),1)</f>
        <v>0</v>
      </c>
      <c r="D63" s="260">
        <f t="shared" si="12"/>
        <v>0</v>
      </c>
      <c r="E63" s="260">
        <f t="shared" si="12"/>
        <v>0</v>
      </c>
      <c r="F63" s="260">
        <f t="shared" si="12"/>
        <v>0</v>
      </c>
      <c r="G63" s="260">
        <f t="shared" si="12"/>
        <v>0</v>
      </c>
      <c r="H63" s="260">
        <f t="shared" si="12"/>
        <v>0</v>
      </c>
      <c r="I63" s="260">
        <f t="shared" si="12"/>
        <v>0</v>
      </c>
      <c r="J63" s="260">
        <f t="shared" si="12"/>
        <v>0</v>
      </c>
      <c r="K63" s="260">
        <f t="shared" si="12"/>
        <v>0</v>
      </c>
      <c r="L63" s="260">
        <f t="shared" si="12"/>
        <v>0</v>
      </c>
      <c r="M63" s="141"/>
      <c r="N63" s="141"/>
      <c r="O63" s="141"/>
      <c r="P63" s="141"/>
      <c r="Q63" s="141"/>
      <c r="R63" s="141"/>
    </row>
    <row r="64" spans="1:1010 1027:2036 2053:3062 3079:4088 4105:5114 5131:6140 6157:7166 7183:8192 8209:9200 9217:10226 10243:11252 11269:12278 12295:13304 13321:14330 14347:15356 15373:16382" x14ac:dyDescent="0.35">
      <c r="A64" s="15"/>
      <c r="B64" s="14"/>
      <c r="C64" s="104"/>
      <c r="D64" s="104"/>
      <c r="E64" s="104"/>
      <c r="F64" s="104"/>
      <c r="G64" s="104"/>
      <c r="H64" s="104"/>
      <c r="I64" s="104"/>
      <c r="J64" s="104"/>
      <c r="K64" s="104"/>
      <c r="L64" s="104"/>
      <c r="M64" s="116"/>
      <c r="N64" s="116"/>
      <c r="O64" s="116"/>
      <c r="P64" s="116"/>
      <c r="Q64" s="116"/>
      <c r="R64" s="116"/>
    </row>
    <row r="65" spans="1:18" x14ac:dyDescent="0.35">
      <c r="A65" s="191" t="s">
        <v>304</v>
      </c>
      <c r="B65" s="191" t="s">
        <v>305</v>
      </c>
      <c r="C65" s="192">
        <v>10.906000000000001</v>
      </c>
      <c r="D65" s="192">
        <v>10.666</v>
      </c>
      <c r="E65" s="192">
        <v>10.741</v>
      </c>
      <c r="F65" s="192">
        <v>10.781000000000001</v>
      </c>
      <c r="G65" s="192">
        <v>10.823</v>
      </c>
      <c r="H65" s="192">
        <v>10.885999999999999</v>
      </c>
      <c r="I65" s="192">
        <v>10.965</v>
      </c>
      <c r="J65" s="192">
        <v>11.003</v>
      </c>
      <c r="K65" s="192">
        <v>10.976000000000001</v>
      </c>
      <c r="L65" s="192">
        <v>10.859</v>
      </c>
      <c r="M65" s="11"/>
      <c r="N65" s="11"/>
      <c r="O65" s="11"/>
      <c r="P65" s="11"/>
      <c r="Q65" s="11"/>
      <c r="R65" s="11"/>
    </row>
    <row r="66" spans="1:18" x14ac:dyDescent="0.35">
      <c r="A66" s="193" t="s">
        <v>306</v>
      </c>
      <c r="B66" s="193" t="s">
        <v>307</v>
      </c>
      <c r="C66" s="194">
        <v>1.86</v>
      </c>
      <c r="D66" s="194">
        <v>2.17</v>
      </c>
      <c r="E66" s="194">
        <v>1.89</v>
      </c>
      <c r="F66" s="194">
        <v>0.2</v>
      </c>
      <c r="G66" s="194">
        <v>3.57</v>
      </c>
      <c r="H66" s="194">
        <v>3.91</v>
      </c>
      <c r="I66" s="194">
        <v>5.97</v>
      </c>
      <c r="J66" s="194">
        <v>6.58</v>
      </c>
      <c r="K66" s="194">
        <v>6.04</v>
      </c>
      <c r="L66" s="194">
        <v>6.82</v>
      </c>
      <c r="M66" s="134"/>
      <c r="N66" s="134"/>
      <c r="O66" s="134"/>
      <c r="P66" s="134"/>
      <c r="Q66" s="134"/>
      <c r="R66" s="134"/>
    </row>
    <row r="67" spans="1:18" x14ac:dyDescent="0.35">
      <c r="A67" s="187" t="s">
        <v>308</v>
      </c>
      <c r="B67" s="187" t="s">
        <v>309</v>
      </c>
      <c r="C67" s="195">
        <v>1.86</v>
      </c>
      <c r="D67" s="195">
        <v>2.17</v>
      </c>
      <c r="E67" s="195">
        <v>1.89</v>
      </c>
      <c r="F67" s="195">
        <v>0.2</v>
      </c>
      <c r="G67" s="195">
        <v>3.57</v>
      </c>
      <c r="H67" s="195">
        <v>3.91</v>
      </c>
      <c r="I67" s="195">
        <v>5.97</v>
      </c>
      <c r="J67" s="195">
        <v>6.58</v>
      </c>
      <c r="K67" s="195">
        <v>6.04</v>
      </c>
      <c r="L67" s="195">
        <v>6.82</v>
      </c>
      <c r="M67" s="134"/>
      <c r="N67" s="134"/>
      <c r="O67" s="134"/>
      <c r="P67" s="134"/>
      <c r="Q67" s="134"/>
      <c r="R67" s="134"/>
    </row>
    <row r="68" spans="1:18" x14ac:dyDescent="0.35">
      <c r="A68" s="187" t="s">
        <v>310</v>
      </c>
      <c r="B68" s="187" t="s">
        <v>311</v>
      </c>
      <c r="C68" s="195">
        <v>2.6377000000000002</v>
      </c>
      <c r="D68" s="195">
        <v>2.17</v>
      </c>
      <c r="E68" s="195">
        <v>2.4998999999999998</v>
      </c>
      <c r="F68" s="195">
        <v>1.2121999999999999</v>
      </c>
      <c r="G68" s="195">
        <v>3.4845999999999999</v>
      </c>
      <c r="H68" s="195">
        <v>3.8317999999999999</v>
      </c>
      <c r="I68" s="195">
        <v>5.97</v>
      </c>
      <c r="J68" s="195">
        <v>6.58</v>
      </c>
      <c r="K68" s="195">
        <v>6.04</v>
      </c>
      <c r="L68" s="195">
        <v>6.82</v>
      </c>
      <c r="M68" s="134"/>
      <c r="N68" s="134"/>
      <c r="O68" s="134"/>
      <c r="P68" s="134"/>
      <c r="Q68" s="134"/>
      <c r="R68" s="134"/>
    </row>
    <row r="69" spans="1:18" x14ac:dyDescent="0.35">
      <c r="A69" s="187"/>
      <c r="B69" s="196"/>
      <c r="C69" s="197"/>
      <c r="D69" s="197"/>
      <c r="E69" s="197"/>
      <c r="F69" s="197"/>
      <c r="G69" s="197"/>
      <c r="H69" s="197"/>
      <c r="I69" s="197"/>
      <c r="J69" s="197"/>
      <c r="K69" s="197"/>
      <c r="L69" s="197"/>
      <c r="M69" s="116"/>
      <c r="N69" s="116"/>
      <c r="O69" s="116"/>
      <c r="P69" s="116"/>
      <c r="Q69" s="116"/>
      <c r="R69" s="116"/>
    </row>
    <row r="70" spans="1:18" x14ac:dyDescent="0.35">
      <c r="A70" s="191" t="s">
        <v>312</v>
      </c>
      <c r="B70" s="191" t="s">
        <v>313</v>
      </c>
      <c r="C70" s="192">
        <v>10.93</v>
      </c>
      <c r="D70" s="192">
        <v>10.694000000000001</v>
      </c>
      <c r="E70" s="192">
        <v>10.772</v>
      </c>
      <c r="F70" s="192">
        <v>10.81</v>
      </c>
      <c r="G70" s="192">
        <v>10.861000000000001</v>
      </c>
      <c r="H70" s="192">
        <v>10.984999999999999</v>
      </c>
      <c r="I70" s="192">
        <v>11.031000000000001</v>
      </c>
      <c r="J70" s="192">
        <v>11.061999999999999</v>
      </c>
      <c r="K70" s="192">
        <v>11.016999999999999</v>
      </c>
      <c r="L70" s="192">
        <v>10.917999999999999</v>
      </c>
      <c r="M70" s="11"/>
      <c r="N70" s="11"/>
      <c r="O70" s="11"/>
      <c r="P70" s="11"/>
      <c r="Q70" s="11"/>
      <c r="R70" s="11"/>
    </row>
    <row r="71" spans="1:18" x14ac:dyDescent="0.35">
      <c r="A71" s="193" t="s">
        <v>314</v>
      </c>
      <c r="B71" s="193" t="s">
        <v>315</v>
      </c>
      <c r="C71" s="194">
        <v>1.85</v>
      </c>
      <c r="D71" s="194">
        <v>2.17</v>
      </c>
      <c r="E71" s="194">
        <v>1.88</v>
      </c>
      <c r="F71" s="194">
        <v>0.2</v>
      </c>
      <c r="G71" s="194">
        <v>3.56</v>
      </c>
      <c r="H71" s="194">
        <v>3.88</v>
      </c>
      <c r="I71" s="194">
        <v>5.94</v>
      </c>
      <c r="J71" s="194">
        <v>6.54</v>
      </c>
      <c r="K71" s="194">
        <v>6.01</v>
      </c>
      <c r="L71" s="194">
        <v>6.78</v>
      </c>
      <c r="M71" s="312">
        <f>IF(OR(K71=0,K71=""),"",L71/K71-1)</f>
        <v>0.12811980033277881</v>
      </c>
      <c r="N71" s="134"/>
      <c r="O71" s="134"/>
      <c r="P71" s="134"/>
      <c r="Q71" s="134"/>
      <c r="R71" s="134"/>
    </row>
    <row r="72" spans="1:18" x14ac:dyDescent="0.35">
      <c r="A72" s="187" t="s">
        <v>316</v>
      </c>
      <c r="B72" s="187" t="s">
        <v>317</v>
      </c>
      <c r="C72" s="195">
        <v>1.85</v>
      </c>
      <c r="D72" s="195">
        <v>2.17</v>
      </c>
      <c r="E72" s="195">
        <v>1.88</v>
      </c>
      <c r="F72" s="195">
        <v>0.2</v>
      </c>
      <c r="G72" s="195">
        <v>3.56</v>
      </c>
      <c r="H72" s="195">
        <v>3.88</v>
      </c>
      <c r="I72" s="195">
        <v>5.94</v>
      </c>
      <c r="J72" s="195">
        <v>6.54</v>
      </c>
      <c r="K72" s="195">
        <v>6.01</v>
      </c>
      <c r="L72" s="195">
        <v>6.78</v>
      </c>
      <c r="M72" s="134"/>
      <c r="N72" s="134"/>
      <c r="O72" s="134"/>
      <c r="P72" s="134"/>
      <c r="Q72" s="134"/>
      <c r="R72" s="134"/>
    </row>
    <row r="73" spans="1:18" x14ac:dyDescent="0.35">
      <c r="A73" s="187" t="s">
        <v>318</v>
      </c>
      <c r="B73" s="187" t="s">
        <v>319</v>
      </c>
      <c r="C73" s="195">
        <v>2.6276999999999999</v>
      </c>
      <c r="D73" s="195">
        <v>2.17</v>
      </c>
      <c r="E73" s="195">
        <v>2.4903</v>
      </c>
      <c r="F73" s="195">
        <v>1.208</v>
      </c>
      <c r="G73" s="195">
        <v>3.4758</v>
      </c>
      <c r="H73" s="195">
        <v>3.8018000000000001</v>
      </c>
      <c r="I73" s="195">
        <v>5.94</v>
      </c>
      <c r="J73" s="195">
        <v>6.54</v>
      </c>
      <c r="K73" s="195">
        <v>6.01</v>
      </c>
      <c r="L73" s="195">
        <v>6.78</v>
      </c>
      <c r="M73" s="134"/>
      <c r="N73" s="134"/>
      <c r="O73" s="134"/>
      <c r="P73" s="134"/>
      <c r="Q73" s="134"/>
      <c r="R73" s="134"/>
    </row>
    <row r="74" spans="1:18" x14ac:dyDescent="0.35">
      <c r="A74" s="187"/>
      <c r="B74" s="196"/>
      <c r="C74" s="197"/>
      <c r="D74" s="197"/>
      <c r="E74" s="197"/>
      <c r="F74" s="197"/>
      <c r="G74" s="197"/>
      <c r="H74" s="197"/>
      <c r="I74" s="197"/>
      <c r="J74" s="197"/>
      <c r="K74" s="197"/>
      <c r="L74" s="197"/>
      <c r="M74" s="116"/>
      <c r="N74" s="116"/>
      <c r="O74" s="116"/>
      <c r="P74" s="116"/>
      <c r="Q74" s="116"/>
      <c r="R74" s="116"/>
    </row>
    <row r="75" spans="1:18" x14ac:dyDescent="0.35">
      <c r="A75" s="187" t="s">
        <v>320</v>
      </c>
      <c r="B75" s="196"/>
      <c r="C75" s="197"/>
      <c r="D75" s="197"/>
      <c r="E75" s="197"/>
      <c r="F75" s="197"/>
      <c r="G75" s="197"/>
      <c r="H75" s="197"/>
      <c r="I75" s="197"/>
      <c r="J75" s="197"/>
      <c r="K75" s="197"/>
      <c r="L75" s="197"/>
      <c r="M75" s="116"/>
      <c r="N75" s="116"/>
      <c r="O75" s="116"/>
      <c r="P75" s="116"/>
      <c r="Q75" s="116"/>
      <c r="R75" s="116"/>
    </row>
    <row r="76" spans="1:18" x14ac:dyDescent="0.35">
      <c r="A76" s="181" t="s">
        <v>321</v>
      </c>
      <c r="B76" s="181" t="s">
        <v>321</v>
      </c>
      <c r="C76" s="198">
        <v>51.256</v>
      </c>
      <c r="D76" s="198">
        <v>56.878999999999998</v>
      </c>
      <c r="E76" s="198">
        <v>55.076999999999998</v>
      </c>
      <c r="F76" s="198">
        <v>20.132999999999999</v>
      </c>
      <c r="G76" s="198">
        <v>79.596999999999994</v>
      </c>
      <c r="H76" s="198">
        <v>78.724999999999994</v>
      </c>
      <c r="I76" s="198">
        <v>120.39400000000001</v>
      </c>
      <c r="J76" s="198">
        <v>125.58</v>
      </c>
      <c r="K76" s="198">
        <v>102.194</v>
      </c>
      <c r="L76" s="198">
        <v>113.84</v>
      </c>
      <c r="M76" s="11"/>
      <c r="N76" s="11"/>
      <c r="O76" s="11"/>
      <c r="P76" s="11"/>
      <c r="Q76" s="11"/>
      <c r="R76" s="11"/>
    </row>
    <row r="77" spans="1:18" x14ac:dyDescent="0.35">
      <c r="A77" s="181" t="s">
        <v>322</v>
      </c>
      <c r="B77" s="181" t="s">
        <v>322</v>
      </c>
      <c r="C77" s="198">
        <v>39.055999999999997</v>
      </c>
      <c r="D77" s="198">
        <v>44.679000000000002</v>
      </c>
      <c r="E77" s="198">
        <v>42.576999999999998</v>
      </c>
      <c r="F77" s="198">
        <v>9.0329999999999995</v>
      </c>
      <c r="G77" s="198">
        <v>67.997</v>
      </c>
      <c r="H77" s="198">
        <v>66.025000000000006</v>
      </c>
      <c r="I77" s="198">
        <v>106.89400000000001</v>
      </c>
      <c r="J77" s="198">
        <v>111.68</v>
      </c>
      <c r="K77" s="198">
        <v>79.507999999999996</v>
      </c>
      <c r="L77" s="198">
        <v>90.323999999999998</v>
      </c>
      <c r="M77" s="11"/>
      <c r="N77" s="11"/>
      <c r="O77" s="11"/>
      <c r="P77" s="11"/>
      <c r="Q77" s="11"/>
      <c r="R77" s="11"/>
    </row>
    <row r="78" spans="1:18" x14ac:dyDescent="0.35">
      <c r="A78" s="181" t="s">
        <v>323</v>
      </c>
      <c r="B78" s="181" t="s">
        <v>323</v>
      </c>
      <c r="C78" s="198">
        <v>34.375</v>
      </c>
      <c r="D78" s="198">
        <v>40.201000000000001</v>
      </c>
      <c r="E78" s="198">
        <v>38.563000000000002</v>
      </c>
      <c r="F78" s="198">
        <v>6.1150000000000002</v>
      </c>
      <c r="G78" s="198">
        <v>54.201999999999998</v>
      </c>
      <c r="H78" s="198">
        <v>54.106999999999999</v>
      </c>
      <c r="I78" s="198">
        <v>94.643000000000001</v>
      </c>
      <c r="J78" s="198">
        <v>102.184</v>
      </c>
      <c r="K78" s="198">
        <v>76.608000000000004</v>
      </c>
      <c r="L78" s="198">
        <v>88.123999999999995</v>
      </c>
      <c r="M78" s="11"/>
      <c r="N78" s="11"/>
      <c r="O78" s="11"/>
      <c r="P78" s="11"/>
      <c r="Q78" s="11"/>
      <c r="R78" s="11"/>
    </row>
    <row r="79" spans="1:18" x14ac:dyDescent="0.35">
      <c r="A79" s="181" t="s">
        <v>324</v>
      </c>
      <c r="B79" s="181" t="s">
        <v>325</v>
      </c>
      <c r="C79" s="198">
        <v>28.777999999999999</v>
      </c>
      <c r="D79" s="198">
        <v>27.9954</v>
      </c>
      <c r="E79" s="198">
        <v>27.6539</v>
      </c>
      <c r="F79" s="198">
        <v>25.808399999999999</v>
      </c>
      <c r="G79" s="198">
        <v>32.135199999999998</v>
      </c>
      <c r="H79" s="198">
        <v>26.460999999999999</v>
      </c>
      <c r="I79" s="198">
        <v>25.842300000000002</v>
      </c>
      <c r="J79" s="198">
        <v>31.6007</v>
      </c>
      <c r="K79" s="198">
        <v>31.471499999999999</v>
      </c>
      <c r="L79" s="198">
        <v>31.163499999999999</v>
      </c>
      <c r="M79" s="131"/>
      <c r="N79" s="131"/>
      <c r="O79" s="131"/>
      <c r="P79" s="131"/>
      <c r="Q79" s="131"/>
      <c r="R79" s="131"/>
    </row>
    <row r="80" spans="1:18" x14ac:dyDescent="0.35">
      <c r="A80" s="181" t="s">
        <v>326</v>
      </c>
      <c r="B80" s="181" t="s">
        <v>327</v>
      </c>
      <c r="C80" s="198">
        <v>6.6565000000000003</v>
      </c>
      <c r="D80" s="198">
        <v>7.7610000000000001</v>
      </c>
      <c r="E80" s="198">
        <v>7.0407999999999999</v>
      </c>
      <c r="F80" s="198">
        <v>1.377</v>
      </c>
      <c r="G80" s="198">
        <v>11.4184</v>
      </c>
      <c r="H80" s="198">
        <v>9.5318000000000005</v>
      </c>
      <c r="I80" s="198">
        <v>12.279400000000001</v>
      </c>
      <c r="J80" s="198">
        <v>15.158899999999999</v>
      </c>
      <c r="K80" s="198">
        <v>12.619199999999999</v>
      </c>
      <c r="L80" s="198">
        <v>13.029</v>
      </c>
      <c r="M80" s="131"/>
      <c r="N80" s="131"/>
      <c r="O80" s="131"/>
      <c r="P80" s="131"/>
      <c r="Q80" s="131"/>
      <c r="R80" s="131"/>
    </row>
    <row r="81" spans="1:18" x14ac:dyDescent="0.35">
      <c r="A81" s="181" t="s">
        <v>328</v>
      </c>
      <c r="B81" s="181" t="s">
        <v>329</v>
      </c>
      <c r="C81" s="198">
        <v>3.9245999999999999</v>
      </c>
      <c r="D81" s="198">
        <v>4.4748000000000001</v>
      </c>
      <c r="E81" s="198">
        <v>3.7021999999999999</v>
      </c>
      <c r="F81" s="198">
        <v>0.48909999999999998</v>
      </c>
      <c r="G81" s="198">
        <v>8.1377000000000006</v>
      </c>
      <c r="H81" s="198">
        <v>7.4996999999999998</v>
      </c>
      <c r="I81" s="198">
        <v>8.4943000000000008</v>
      </c>
      <c r="J81" s="198">
        <v>10.737399999999999</v>
      </c>
      <c r="K81" s="198">
        <v>10.914199999999999</v>
      </c>
      <c r="L81" s="198">
        <v>10.948499999999999</v>
      </c>
      <c r="M81" s="131"/>
      <c r="N81" s="131"/>
      <c r="O81" s="131"/>
      <c r="P81" s="131"/>
      <c r="Q81" s="131"/>
      <c r="R81" s="131"/>
    </row>
    <row r="82" spans="1:18" x14ac:dyDescent="0.35">
      <c r="A82" s="181" t="s">
        <v>330</v>
      </c>
      <c r="B82" s="181" t="s">
        <v>331</v>
      </c>
      <c r="C82" s="198">
        <v>1.1299999999999999</v>
      </c>
      <c r="D82" s="198">
        <v>1.17</v>
      </c>
      <c r="E82" s="198">
        <v>1.21</v>
      </c>
      <c r="F82" s="198">
        <v>1.24</v>
      </c>
      <c r="G82" s="198">
        <v>1.26</v>
      </c>
      <c r="H82" s="198">
        <v>1.3</v>
      </c>
      <c r="I82" s="198">
        <v>1.33</v>
      </c>
      <c r="J82" s="198">
        <v>1.37</v>
      </c>
      <c r="K82" s="198">
        <v>1.41</v>
      </c>
      <c r="L82" s="198">
        <v>1.45</v>
      </c>
      <c r="M82" s="131"/>
      <c r="N82" s="131"/>
      <c r="O82" s="131"/>
      <c r="P82" s="131"/>
      <c r="Q82" s="131"/>
      <c r="R82" s="131"/>
    </row>
    <row r="83" spans="1:18" x14ac:dyDescent="0.35">
      <c r="A83" s="181" t="s">
        <v>332</v>
      </c>
      <c r="B83" s="181" t="s">
        <v>333</v>
      </c>
      <c r="C83" s="198">
        <v>12.2</v>
      </c>
      <c r="D83" s="198">
        <v>12.2</v>
      </c>
      <c r="E83" s="198">
        <v>12.5</v>
      </c>
      <c r="F83" s="198">
        <v>11.1</v>
      </c>
      <c r="G83" s="198">
        <v>11.6</v>
      </c>
      <c r="H83" s="198">
        <v>12.7</v>
      </c>
      <c r="I83" s="198">
        <v>13.5</v>
      </c>
      <c r="J83" s="198">
        <v>13.9</v>
      </c>
      <c r="K83" s="198"/>
      <c r="L83" s="198"/>
      <c r="M83" s="11"/>
      <c r="N83" s="11"/>
      <c r="O83" s="11"/>
      <c r="P83" s="11"/>
      <c r="Q83" s="11"/>
      <c r="R83" s="11"/>
    </row>
    <row r="84" spans="1:18" x14ac:dyDescent="0.35">
      <c r="A84" s="306" t="s">
        <v>334</v>
      </c>
      <c r="B84" s="306" t="s">
        <v>335</v>
      </c>
      <c r="C84" s="304">
        <v>5</v>
      </c>
      <c r="D84" s="304">
        <v>5.0999999999999996</v>
      </c>
      <c r="E84" s="304">
        <v>5</v>
      </c>
      <c r="F84" s="304">
        <v>5.4</v>
      </c>
      <c r="G84" s="304">
        <v>6.423</v>
      </c>
      <c r="H84" s="304">
        <v>5.9489999999999998</v>
      </c>
      <c r="I84" s="304">
        <v>6.125</v>
      </c>
      <c r="J84" s="304">
        <v>4.6500000000000004</v>
      </c>
      <c r="K84" s="304">
        <v>4.9530000000000003</v>
      </c>
      <c r="L84" s="304">
        <v>5.3940000000000001</v>
      </c>
      <c r="M84" s="11"/>
      <c r="N84" s="11"/>
      <c r="O84" s="11"/>
      <c r="P84" s="11"/>
      <c r="Q84" s="11"/>
      <c r="R84" s="11"/>
    </row>
    <row r="85" spans="1:18" x14ac:dyDescent="0.35">
      <c r="A85" s="152"/>
      <c r="B85" s="152"/>
      <c r="C85" s="199"/>
      <c r="D85" s="199"/>
      <c r="E85" s="199"/>
      <c r="F85" s="199"/>
      <c r="G85" s="199"/>
      <c r="H85" s="199"/>
      <c r="I85" s="199"/>
      <c r="J85" s="199"/>
      <c r="K85" s="199"/>
      <c r="L85" s="199"/>
    </row>
    <row r="86" spans="1:18" x14ac:dyDescent="0.35">
      <c r="B86" s="152"/>
      <c r="C86" s="199"/>
      <c r="D86" s="199"/>
      <c r="E86" s="199"/>
      <c r="F86" s="199"/>
      <c r="G86" s="199"/>
      <c r="H86" s="199"/>
      <c r="I86" s="199"/>
      <c r="J86" s="199"/>
      <c r="K86" s="199"/>
      <c r="L86" s="199"/>
      <c r="M86" t="str">
        <f>"FY "&amp;VALUE(RIGHT(L7,4))+1</f>
        <v>FY 2026</v>
      </c>
    </row>
    <row r="87" spans="1:18" ht="30" customHeight="1" x14ac:dyDescent="0.35">
      <c r="A87" s="100" t="s">
        <v>336</v>
      </c>
      <c r="B87" s="515" t="s">
        <v>337</v>
      </c>
      <c r="C87" s="264">
        <v>0.68879999999999997</v>
      </c>
      <c r="D87" s="264">
        <v>0</v>
      </c>
      <c r="E87" s="264">
        <v>0</v>
      </c>
      <c r="F87" s="264">
        <v>0</v>
      </c>
      <c r="G87" s="264">
        <v>0</v>
      </c>
      <c r="H87" s="264">
        <v>0</v>
      </c>
      <c r="I87" s="264">
        <v>0</v>
      </c>
      <c r="J87" s="264">
        <v>0</v>
      </c>
      <c r="K87" s="264">
        <v>4.07E-2</v>
      </c>
      <c r="L87" s="264">
        <v>8.5699999999999998E-2</v>
      </c>
      <c r="N87" s="142"/>
      <c r="O87" s="142"/>
      <c r="P87" s="142"/>
      <c r="Q87" s="142"/>
      <c r="R87" s="142"/>
    </row>
    <row r="88" spans="1:18" x14ac:dyDescent="0.35">
      <c r="A88" s="200" t="s">
        <v>338</v>
      </c>
      <c r="B88" s="152" t="s">
        <v>339</v>
      </c>
      <c r="C88" s="253">
        <v>48.3</v>
      </c>
      <c r="D88" s="253">
        <v>0</v>
      </c>
      <c r="E88" s="253">
        <v>0</v>
      </c>
      <c r="F88" s="253">
        <v>0</v>
      </c>
      <c r="G88" s="253">
        <v>0</v>
      </c>
      <c r="H88" s="253">
        <v>0</v>
      </c>
      <c r="I88" s="253">
        <v>0</v>
      </c>
      <c r="J88" s="253">
        <v>0</v>
      </c>
      <c r="K88" s="253">
        <v>4.55</v>
      </c>
      <c r="L88" s="253">
        <v>11.42</v>
      </c>
      <c r="N88" s="252">
        <f>SUM(C88:L88)</f>
        <v>64.27</v>
      </c>
      <c r="O88" s="142"/>
      <c r="P88" s="142"/>
      <c r="Q88" s="142"/>
      <c r="R88" s="142"/>
    </row>
    <row r="89" spans="1:18" x14ac:dyDescent="0.35">
      <c r="A89" t="s">
        <v>340</v>
      </c>
      <c r="B89" s="152"/>
      <c r="C89" s="513">
        <f ca="1">IF(C87="","",C87*PRODUCT(C92:$M$92))</f>
        <v>0.68879999999999997</v>
      </c>
      <c r="D89" s="513">
        <f ca="1">IF(D87="","",D87*PRODUCT(D92:$M$92))</f>
        <v>0</v>
      </c>
      <c r="E89" s="513">
        <f ca="1">IF(E87="","",E87*PRODUCT(E92:$M$92))</f>
        <v>0</v>
      </c>
      <c r="F89" s="513">
        <f ca="1">IF(F87="","",F87*PRODUCT(F92:$M$92))</f>
        <v>0</v>
      </c>
      <c r="G89" s="513">
        <f ca="1">IF(G87="","",G87*PRODUCT(G92:$M$92))</f>
        <v>0</v>
      </c>
      <c r="H89" s="513">
        <f ca="1">IF(H87="","",H87*PRODUCT(H92:$M$92))</f>
        <v>0</v>
      </c>
      <c r="I89" s="513">
        <f ca="1">IF(I87="","",I87*PRODUCT(I92:$M$92))</f>
        <v>0</v>
      </c>
      <c r="J89" s="513">
        <f ca="1">IF(J87="","",J87*PRODUCT(J92:$M$92))</f>
        <v>0</v>
      </c>
      <c r="K89" s="513">
        <f ca="1">IF(K87="","",K87*PRODUCT(K92:$M$92))</f>
        <v>4.07E-2</v>
      </c>
      <c r="L89" s="513">
        <f ca="1">IF(L87="","",L87*PRODUCT(L92:$M$92))</f>
        <v>8.5699999999999998E-2</v>
      </c>
      <c r="N89" s="252">
        <f ca="1">SUM(C89:L89)</f>
        <v>0.81519999999999992</v>
      </c>
      <c r="O89" s="142"/>
      <c r="P89" s="142"/>
      <c r="Q89" s="142"/>
      <c r="R89" s="142"/>
    </row>
    <row r="90" spans="1:18" x14ac:dyDescent="0.35">
      <c r="A90" s="152" t="s">
        <v>341</v>
      </c>
      <c r="B90" s="152"/>
      <c r="C90" s="254">
        <f t="shared" ref="C90:L90" ca="1" si="13">IF(OR(C88="", C89=""),"",C88/C89)</f>
        <v>70.121951219512198</v>
      </c>
      <c r="D90" s="254" t="e">
        <f t="shared" ca="1" si="13"/>
        <v>#DIV/0!</v>
      </c>
      <c r="E90" s="254" t="e">
        <f t="shared" ca="1" si="13"/>
        <v>#DIV/0!</v>
      </c>
      <c r="F90" s="254" t="e">
        <f t="shared" ca="1" si="13"/>
        <v>#DIV/0!</v>
      </c>
      <c r="G90" s="254" t="e">
        <f t="shared" ca="1" si="13"/>
        <v>#DIV/0!</v>
      </c>
      <c r="H90" s="254" t="e">
        <f t="shared" ca="1" si="13"/>
        <v>#DIV/0!</v>
      </c>
      <c r="I90" s="254" t="e">
        <f t="shared" ca="1" si="13"/>
        <v>#DIV/0!</v>
      </c>
      <c r="J90" s="254" t="e">
        <f t="shared" ca="1" si="13"/>
        <v>#DIV/0!</v>
      </c>
      <c r="K90" s="254">
        <f t="shared" ca="1" si="13"/>
        <v>111.79361179361179</v>
      </c>
      <c r="L90" s="254">
        <f t="shared" ca="1" si="13"/>
        <v>133.25554259043173</v>
      </c>
      <c r="N90" s="40">
        <f ca="1">N88/N89</f>
        <v>78.839548577036311</v>
      </c>
      <c r="O90" s="143"/>
      <c r="P90" s="143"/>
      <c r="Q90" s="143"/>
      <c r="R90" s="143"/>
    </row>
    <row r="91" spans="1:18" x14ac:dyDescent="0.35">
      <c r="A91" s="152" t="s">
        <v>342</v>
      </c>
      <c r="B91" s="152"/>
      <c r="C91" s="255">
        <f t="shared" ref="C91:L91" ca="1" si="14">IF(C90="","",C90/C71)</f>
        <v>37.903757415952541</v>
      </c>
      <c r="D91" s="255" t="e">
        <f t="shared" ca="1" si="14"/>
        <v>#DIV/0!</v>
      </c>
      <c r="E91" s="255" t="e">
        <f t="shared" ca="1" si="14"/>
        <v>#DIV/0!</v>
      </c>
      <c r="F91" s="255" t="e">
        <f t="shared" ca="1" si="14"/>
        <v>#DIV/0!</v>
      </c>
      <c r="G91" s="255" t="e">
        <f t="shared" ca="1" si="14"/>
        <v>#DIV/0!</v>
      </c>
      <c r="H91" s="255" t="e">
        <f t="shared" ca="1" si="14"/>
        <v>#DIV/0!</v>
      </c>
      <c r="I91" s="255" t="e">
        <f t="shared" ca="1" si="14"/>
        <v>#DIV/0!</v>
      </c>
      <c r="J91" s="255" t="e">
        <f t="shared" ca="1" si="14"/>
        <v>#DIV/0!</v>
      </c>
      <c r="K91" s="255">
        <f t="shared" ca="1" si="14"/>
        <v>18.601266521399634</v>
      </c>
      <c r="L91" s="255">
        <f t="shared" ca="1" si="14"/>
        <v>19.6542098215976</v>
      </c>
      <c r="M91" s="101"/>
      <c r="N91" s="101"/>
      <c r="O91" s="101"/>
      <c r="P91" s="101"/>
      <c r="Q91" s="101"/>
      <c r="R91" s="101"/>
    </row>
    <row r="92" spans="1:18" x14ac:dyDescent="0.35">
      <c r="A92" t="s">
        <v>343</v>
      </c>
      <c r="B92" s="152"/>
      <c r="C92" s="514">
        <f t="shared" ref="C92:L92" si="15">VLOOKUP(VALUE(RIGHT(C7,4)), SplitsByYear, 3, FALSE)</f>
        <v>1</v>
      </c>
      <c r="D92" s="514">
        <f t="shared" si="15"/>
        <v>1</v>
      </c>
      <c r="E92" s="514">
        <f t="shared" si="15"/>
        <v>1</v>
      </c>
      <c r="F92" s="514">
        <f t="shared" si="15"/>
        <v>1</v>
      </c>
      <c r="G92" s="514">
        <f t="shared" si="15"/>
        <v>1</v>
      </c>
      <c r="H92" s="514">
        <f t="shared" si="15"/>
        <v>1</v>
      </c>
      <c r="I92" s="514">
        <f t="shared" si="15"/>
        <v>1</v>
      </c>
      <c r="J92" s="514">
        <f t="shared" si="15"/>
        <v>1</v>
      </c>
      <c r="K92" s="514">
        <f t="shared" si="15"/>
        <v>1</v>
      </c>
      <c r="L92" s="514">
        <f t="shared" si="15"/>
        <v>1</v>
      </c>
      <c r="M92" s="514">
        <f ca="1">VLOOKUP(VALUE(RIGHT(L7,4))+1, SplitsByYear, 3, FALSE)</f>
        <v>1</v>
      </c>
      <c r="N92" s="101"/>
      <c r="O92" s="101"/>
      <c r="P92" s="101"/>
      <c r="Q92" s="101"/>
      <c r="R92" s="101"/>
    </row>
    <row r="93" spans="1:18" ht="30" customHeight="1" x14ac:dyDescent="0.35">
      <c r="A93" s="230" t="s">
        <v>344</v>
      </c>
      <c r="C93">
        <v>71.959999999999994</v>
      </c>
      <c r="D93">
        <v>86.57</v>
      </c>
      <c r="E93">
        <v>95.77</v>
      </c>
      <c r="F93">
        <v>88.26</v>
      </c>
      <c r="G93">
        <v>99.93</v>
      </c>
      <c r="H93">
        <v>164.75</v>
      </c>
      <c r="I93">
        <v>160.36000000000001</v>
      </c>
      <c r="J93">
        <v>124.1</v>
      </c>
      <c r="K93">
        <v>124.05</v>
      </c>
      <c r="L93">
        <v>137.22999999999999</v>
      </c>
      <c r="M93" s="255"/>
      <c r="N93" s="101"/>
      <c r="O93" s="101"/>
      <c r="P93" s="101"/>
      <c r="Q93" s="101"/>
      <c r="R93" s="101"/>
    </row>
    <row r="94" spans="1:18" x14ac:dyDescent="0.35">
      <c r="C94" s="101"/>
      <c r="D94" s="101"/>
      <c r="E94" s="101"/>
      <c r="F94" s="101"/>
      <c r="G94" s="101"/>
      <c r="H94" s="101"/>
      <c r="I94" s="101"/>
      <c r="J94" s="101"/>
      <c r="K94" s="101"/>
      <c r="L94" s="101"/>
    </row>
    <row r="95" spans="1:18" x14ac:dyDescent="0.35">
      <c r="A95" t="s">
        <v>345</v>
      </c>
    </row>
    <row r="96" spans="1:18" x14ac:dyDescent="0.35">
      <c r="A96" t="str">
        <f>"Retained Earnings FY "&amp;RIGHT(C7,4)-1</f>
        <v>Retained Earnings FY 2015</v>
      </c>
      <c r="B96" t="s">
        <v>190</v>
      </c>
      <c r="C96" s="287">
        <v>458.9</v>
      </c>
    </row>
    <row r="97" spans="1:3" x14ac:dyDescent="0.35">
      <c r="A97" t="str">
        <f>"EPS FY "&amp;RIGHT($C$7,4)-1</f>
        <v>EPS FY 2015</v>
      </c>
      <c r="B97" t="s">
        <v>315</v>
      </c>
      <c r="C97" s="40">
        <v>2.2200000000000002</v>
      </c>
    </row>
    <row r="98" spans="1:3" x14ac:dyDescent="0.35">
      <c r="A98" t="str">
        <f>"EPS FY "&amp;RIGHT($C$7,4)-2</f>
        <v>EPS FY 2014</v>
      </c>
      <c r="B98" t="s">
        <v>315</v>
      </c>
      <c r="C98" s="40">
        <v>4</v>
      </c>
    </row>
    <row r="99" spans="1:3" x14ac:dyDescent="0.35">
      <c r="A99" t="str">
        <f>"EPS FY "&amp;RIGHT($C$7,4)-3</f>
        <v>EPS FY 2013</v>
      </c>
      <c r="B99" t="s">
        <v>315</v>
      </c>
      <c r="C99" s="40">
        <v>5.47</v>
      </c>
    </row>
    <row r="100" spans="1:3" x14ac:dyDescent="0.35">
      <c r="A100" t="str">
        <f>"EPS FY "&amp;RIGHT($C$7,4)-4</f>
        <v>EPS FY 2012</v>
      </c>
      <c r="B100" t="s">
        <v>315</v>
      </c>
      <c r="C100" s="40">
        <v>3.38</v>
      </c>
    </row>
    <row r="101" spans="1:3" x14ac:dyDescent="0.35">
      <c r="A101" t="str">
        <f>"EPS FY "&amp;RIGHT($C$7,4)-5</f>
        <v>EPS FY 2011</v>
      </c>
      <c r="B101" t="s">
        <v>315</v>
      </c>
      <c r="C101" s="40">
        <v>2.9</v>
      </c>
    </row>
    <row r="102" spans="1:3" x14ac:dyDescent="0.35">
      <c r="A102" t="str">
        <f>"EPS FY "&amp;RIGHT($C$7,4)-6</f>
        <v>EPS FY 2010</v>
      </c>
      <c r="B102" t="s">
        <v>315</v>
      </c>
      <c r="C102" s="40">
        <v>1.98</v>
      </c>
    </row>
    <row r="103" spans="1:3" x14ac:dyDescent="0.35">
      <c r="A103" t="str">
        <f>"EPS FY "&amp;RIGHT($C$7,4)-7</f>
        <v>EPS FY 2009</v>
      </c>
      <c r="B103" t="s">
        <v>315</v>
      </c>
      <c r="C103" s="40">
        <v>1.1100000000000001</v>
      </c>
    </row>
    <row r="104" spans="1:3" x14ac:dyDescent="0.35">
      <c r="A104" t="str">
        <f>"EPS FY "&amp;RIGHT($C$7,4)-8</f>
        <v>EPS FY 2008</v>
      </c>
      <c r="B104" t="s">
        <v>315</v>
      </c>
      <c r="C104" s="40">
        <v>3.2</v>
      </c>
    </row>
    <row r="105" spans="1:3" x14ac:dyDescent="0.35">
      <c r="A105" t="str">
        <f>"EPS FY "&amp;RIGHT($C$7,4)-9</f>
        <v>EPS FY 2007</v>
      </c>
      <c r="B105" t="s">
        <v>315</v>
      </c>
      <c r="C105" s="40">
        <v>1.31</v>
      </c>
    </row>
    <row r="106" spans="1:3" x14ac:dyDescent="0.35">
      <c r="A106" t="s">
        <v>346</v>
      </c>
      <c r="C106">
        <v>4.6761999999999997</v>
      </c>
    </row>
    <row r="114" spans="4:4" x14ac:dyDescent="0.35">
      <c r="D114" s="20"/>
    </row>
    <row r="115" spans="4:4" x14ac:dyDescent="0.35">
      <c r="D115" s="20"/>
    </row>
    <row r="116" spans="4:4" x14ac:dyDescent="0.35">
      <c r="D116" s="20"/>
    </row>
    <row r="117" spans="4:4" x14ac:dyDescent="0.35">
      <c r="D117" s="20"/>
    </row>
    <row r="118" spans="4:4" x14ac:dyDescent="0.35">
      <c r="D118" s="20"/>
    </row>
    <row r="119" spans="4:4" x14ac:dyDescent="0.35">
      <c r="D119" s="20"/>
    </row>
    <row r="120" spans="4:4" x14ac:dyDescent="0.35">
      <c r="D120" s="20"/>
    </row>
    <row r="121" spans="4:4" x14ac:dyDescent="0.35">
      <c r="D121" s="20"/>
    </row>
    <row r="122" spans="4:4" x14ac:dyDescent="0.35">
      <c r="D122" s="20"/>
    </row>
    <row r="123" spans="4:4" x14ac:dyDescent="0.35">
      <c r="D123" s="20"/>
    </row>
    <row r="124" spans="4:4" x14ac:dyDescent="0.35">
      <c r="D124" s="20"/>
    </row>
    <row r="125" spans="4:4" x14ac:dyDescent="0.35">
      <c r="D125" s="20"/>
    </row>
    <row r="126" spans="4:4" x14ac:dyDescent="0.35">
      <c r="D126" s="20"/>
    </row>
    <row r="127" spans="4:4" x14ac:dyDescent="0.35">
      <c r="D127" s="20"/>
    </row>
    <row r="128" spans="4:4" x14ac:dyDescent="0.35">
      <c r="D128" s="20"/>
    </row>
    <row r="129" spans="4:4" x14ac:dyDescent="0.35">
      <c r="D129" s="20"/>
    </row>
    <row r="130" spans="4:4" x14ac:dyDescent="0.35">
      <c r="D130" s="20"/>
    </row>
    <row r="131" spans="4:4" x14ac:dyDescent="0.35">
      <c r="D131" s="20"/>
    </row>
    <row r="132" spans="4:4" x14ac:dyDescent="0.35">
      <c r="D132" s="20"/>
    </row>
    <row r="133" spans="4:4" x14ac:dyDescent="0.35">
      <c r="D133" s="20"/>
    </row>
    <row r="134" spans="4:4" x14ac:dyDescent="0.35">
      <c r="D134" s="20"/>
    </row>
    <row r="135" spans="4:4" x14ac:dyDescent="0.35">
      <c r="D135" s="20"/>
    </row>
    <row r="136" spans="4:4" x14ac:dyDescent="0.35">
      <c r="D136" s="20"/>
    </row>
  </sheetData>
  <conditionalFormatting sqref="C13:L13">
    <cfRule type="containsErrors" dxfId="187" priority="1">
      <formula>ISERROR(C13)</formula>
    </cfRule>
    <cfRule type="expression" dxfId="186" priority="5">
      <formula>NOT(ROUND(C13, 1) = 0)</formula>
    </cfRule>
  </conditionalFormatting>
  <conditionalFormatting sqref="C18:L18">
    <cfRule type="expression" dxfId="185" priority="6">
      <formula>NOT(ROUND(C18, 1) = 0)</formula>
    </cfRule>
    <cfRule type="containsErrors" dxfId="184" priority="19">
      <formula>ISERROR(C18)</formula>
    </cfRule>
  </conditionalFormatting>
  <conditionalFormatting sqref="C20:L20">
    <cfRule type="expression" dxfId="183" priority="7">
      <formula>NOT(ROUND(C20, 1) = 0)</formula>
    </cfRule>
    <cfRule type="containsErrors" dxfId="182" priority="20">
      <formula>ISERROR(C20)</formula>
    </cfRule>
  </conditionalFormatting>
  <conditionalFormatting sqref="C29:L29">
    <cfRule type="expression" dxfId="181" priority="8">
      <formula>NOT(ROUND(C29, 1) = 0)</formula>
    </cfRule>
    <cfRule type="containsErrors" dxfId="180" priority="21">
      <formula>ISERROR(C29)</formula>
    </cfRule>
  </conditionalFormatting>
  <conditionalFormatting sqref="C31:L31">
    <cfRule type="expression" dxfId="179" priority="9">
      <formula>NOT(ROUND(C31, 1) = 0)</formula>
    </cfRule>
    <cfRule type="containsErrors" dxfId="178" priority="22">
      <formula>ISERROR(C31)</formula>
    </cfRule>
  </conditionalFormatting>
  <conditionalFormatting sqref="C36:L36">
    <cfRule type="expression" dxfId="177" priority="10">
      <formula>NOT(ROUND(C36, 1) = 0)</formula>
    </cfRule>
    <cfRule type="containsErrors" dxfId="176" priority="23">
      <formula>ISERROR(C36)</formula>
    </cfRule>
  </conditionalFormatting>
  <conditionalFormatting sqref="C41:L41">
    <cfRule type="expression" dxfId="175" priority="11">
      <formula>NOT(ROUND(C41, 1) = 0)</formula>
    </cfRule>
    <cfRule type="containsErrors" dxfId="174" priority="24">
      <formula>ISERROR(C41)</formula>
    </cfRule>
  </conditionalFormatting>
  <conditionalFormatting sqref="C43:L43">
    <cfRule type="expression" dxfId="173" priority="12">
      <formula>NOT(ROUND(C43, 1) = 0)</formula>
    </cfRule>
    <cfRule type="containsErrors" dxfId="172" priority="25">
      <formula>ISERROR(C43)</formula>
    </cfRule>
  </conditionalFormatting>
  <conditionalFormatting sqref="C49:L49">
    <cfRule type="expression" dxfId="171" priority="13">
      <formula>NOT(ROUND(C49, 1) = 0)</formula>
    </cfRule>
    <cfRule type="containsErrors" dxfId="170" priority="26">
      <formula>ISERROR(C49)</formula>
    </cfRule>
  </conditionalFormatting>
  <conditionalFormatting sqref="C51:L51">
    <cfRule type="expression" dxfId="169" priority="14">
      <formula>NOT(ROUND(C51, 1) = 0)</formula>
    </cfRule>
    <cfRule type="containsErrors" dxfId="168" priority="27">
      <formula>ISERROR(C51)</formula>
    </cfRule>
  </conditionalFormatting>
  <conditionalFormatting sqref="C55:L55">
    <cfRule type="expression" dxfId="167" priority="15">
      <formula>NOT(ROUND(C55, 1) = 0)</formula>
    </cfRule>
    <cfRule type="containsErrors" dxfId="166" priority="28">
      <formula>ISERROR(C55)</formula>
    </cfRule>
  </conditionalFormatting>
  <conditionalFormatting sqref="C59:L59">
    <cfRule type="expression" dxfId="165" priority="16">
      <formula>NOT(ROUND(C59, 1) = 0)</formula>
    </cfRule>
    <cfRule type="containsErrors" dxfId="164" priority="29">
      <formula>ISERROR(C59)</formula>
    </cfRule>
  </conditionalFormatting>
  <conditionalFormatting sqref="C63:L63">
    <cfRule type="expression" dxfId="163" priority="18">
      <formula>NOT(ROUND(C63, 1) = 0)</formula>
    </cfRule>
    <cfRule type="containsErrors" dxfId="162" priority="30">
      <formula>ISERROR(C63)</formula>
    </cfRule>
  </conditionalFormatting>
  <conditionalFormatting sqref="N1">
    <cfRule type="cellIs" dxfId="161" priority="2" operator="equal">
      <formula>0</formula>
    </cfRule>
    <cfRule type="containsErrors" dxfId="160" priority="3">
      <formula>ISERROR(N1)</formula>
    </cfRule>
    <cfRule type="cellIs" dxfId="159" priority="4" operator="notEqual">
      <formula>0</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B62"/>
  <sheetViews>
    <sheetView workbookViewId="0">
      <pane xSplit="2" ySplit="8" topLeftCell="C9" activePane="bottomRight" state="frozen"/>
      <selection pane="topRight" activeCell="C1" sqref="C1"/>
      <selection pane="bottomLeft" activeCell="A9" sqref="A9"/>
      <selection pane="bottomRight"/>
    </sheetView>
  </sheetViews>
  <sheetFormatPr defaultColWidth="8.7265625" defaultRowHeight="14.5" x14ac:dyDescent="0.35"/>
  <cols>
    <col min="1" max="1" width="36.7265625" bestFit="1" customWidth="1"/>
    <col min="2" max="2" width="37.26953125" hidden="1" customWidth="1"/>
    <col min="3" max="18" width="11.81640625" customWidth="1"/>
  </cols>
  <sheetData>
    <row r="1" spans="1:1010 1027:2036 2053:3062 3079:4088 4105:5114 5131:6140 6157:7166 7183:8192 8209:9200 9217:10226 10243:11252 11269:12278 12295:13304 13321:14330 14347:15356 15373:16382" x14ac:dyDescent="0.35">
      <c r="A1" t="str">
        <f>'Income - GAAP'!A1</f>
        <v>Ticker</v>
      </c>
      <c r="C1" s="2" t="str">
        <f>IF('Balance Sheet - Standardized'!C1="","",'Balance Sheet - Standardized'!C1)</f>
        <v>LNN</v>
      </c>
    </row>
    <row r="2" spans="1:1010 1027:2036 2053:3062 3079:4088 4105:5114 5131:6140 6157:7166 7183:8192 8209:9200 9217:10226 10243:11252 11269:12278 12295:13304 13321:14330 14347:15356 15373:16382" x14ac:dyDescent="0.35">
      <c r="A2" t="str">
        <f>'Income - GAAP'!A2</f>
        <v>Start Year</v>
      </c>
      <c r="C2" s="2" t="str">
        <f>'Income - GAAP'!C2</f>
        <v>FY 2016</v>
      </c>
    </row>
    <row r="3" spans="1:1010 1027:2036 2053:3062 3079:4088 4105:5114 5131:6140 6157:7166 7183:8192 8209:9200 9217:10226 10243:11252 11269:12278 12295:13304 13321:14330 14347:15356 15373:16382" x14ac:dyDescent="0.35">
      <c r="A3" t="str">
        <f>'Income - GAAP'!A3</f>
        <v>End Year</v>
      </c>
      <c r="C3" s="2" t="str">
        <f>'Income - GAAP'!C3</f>
        <v>FY 2025</v>
      </c>
    </row>
    <row r="4" spans="1:1010 1027:2036 2053:3062 3079:4088 4105:5114 5131:6140 6157:7166 7183:8192 8209:9200 9217:10226 10243:11252 11269:12278 12295:13304 13321:14330 14347:15356 15373:16382" x14ac:dyDescent="0.35">
      <c r="C4" s="20"/>
      <c r="D4" s="20"/>
      <c r="E4" s="20"/>
      <c r="F4" s="20"/>
      <c r="G4" s="20"/>
      <c r="H4" s="20"/>
      <c r="I4" s="20"/>
      <c r="J4" s="20"/>
      <c r="K4" s="20"/>
      <c r="L4" s="20"/>
      <c r="M4" s="20"/>
      <c r="N4" s="20"/>
    </row>
    <row r="5" spans="1:1010 1027:2036 2053:3062 3079:4088 4105:5114 5131:6140 6157:7166 7183:8192 8209:9200 9217:10226 10243:11252 11269:12278 12295:13304 13321:14330 14347:15356 15373:16382" hidden="1" x14ac:dyDescent="0.35">
      <c r="C5" s="20"/>
      <c r="D5" s="20"/>
      <c r="E5" s="20"/>
      <c r="F5" s="20"/>
      <c r="G5" s="20"/>
      <c r="H5" s="20"/>
      <c r="I5" s="20"/>
      <c r="J5" s="20"/>
      <c r="K5" s="20"/>
      <c r="L5" s="20"/>
      <c r="M5" s="20"/>
      <c r="N5" s="20"/>
    </row>
    <row r="6" spans="1:1010 1027:2036 2053:3062 3079:4088 4105:5114 5131:6140 6157:7166 7183:8192 8209:9200 9217:10226 10243:11252 11269:12278 12295:13304 13321:14330 14347:15356 15373:16382" hidden="1" x14ac:dyDescent="0.35"/>
    <row r="7" spans="1:1010 1027:2036 2053:3062 3079:4088 4105:5114 5131:6140 6157:7166 7183:8192 8209:9200 9217:10226 10243:11252 11269:12278 12295:13304 13321:14330 14347:15356 15373:16382" x14ac:dyDescent="0.35">
      <c r="A7" s="19" t="str">
        <f>'Income - GAAP'!A7</f>
        <v>In Millions of USD except Per Share</v>
      </c>
      <c r="B7" s="19"/>
      <c r="C7" s="18" t="str">
        <f>'Income - GAAP'!C7</f>
        <v>FY 2016</v>
      </c>
      <c r="D7" s="18" t="str">
        <f>'Income - GAAP'!D7</f>
        <v>FY 2017</v>
      </c>
      <c r="E7" s="18" t="str">
        <f>'Income - GAAP'!E7</f>
        <v>FY 2018</v>
      </c>
      <c r="F7" s="18" t="str">
        <f>'Income - GAAP'!F7</f>
        <v>FY 2019</v>
      </c>
      <c r="G7" s="18" t="str">
        <f>'Income - GAAP'!G7</f>
        <v>FY 2020</v>
      </c>
      <c r="H7" s="18" t="str">
        <f>'Income - GAAP'!H7</f>
        <v>FY 2021</v>
      </c>
      <c r="I7" s="18" t="str">
        <f>'Income - GAAP'!I7</f>
        <v>FY 2022</v>
      </c>
      <c r="J7" s="18" t="str">
        <f>'Income - GAAP'!J7</f>
        <v>FY 2023</v>
      </c>
      <c r="K7" s="18" t="str">
        <f>'Income - GAAP'!K7</f>
        <v>FY 2024</v>
      </c>
      <c r="L7" s="45" t="str">
        <f>'Income - GAAP'!L7</f>
        <v>FY 2025</v>
      </c>
      <c r="M7" s="114"/>
      <c r="N7" s="114"/>
      <c r="O7" s="114"/>
      <c r="P7" s="114"/>
      <c r="Q7" s="114"/>
      <c r="R7" s="114"/>
    </row>
    <row r="8" spans="1:1010 1027:2036 2053:3062 3079:4088 4105:5114 5131:6140 6157:7166 7183:8192 8209:9200 9217:10226 10243:11252 11269:12278 12295:13304 13321:14330 14347:15356 15373:16382" x14ac:dyDescent="0.35">
      <c r="A8" s="17" t="str">
        <f>'Income - GAAP'!A8</f>
        <v>12 Months Ending</v>
      </c>
      <c r="B8" s="17"/>
      <c r="C8" s="7">
        <f>'Income - GAAP'!C8</f>
        <v>42613</v>
      </c>
      <c r="D8" s="7">
        <f>'Income - GAAP'!D8</f>
        <v>42978</v>
      </c>
      <c r="E8" s="7">
        <f>'Income - GAAP'!E8</f>
        <v>43343</v>
      </c>
      <c r="F8" s="7">
        <f>'Income - GAAP'!F8</f>
        <v>43708</v>
      </c>
      <c r="G8" s="7">
        <f>'Income - GAAP'!G8</f>
        <v>44074</v>
      </c>
      <c r="H8" s="7">
        <f>'Income - GAAP'!H8</f>
        <v>44439</v>
      </c>
      <c r="I8" s="7">
        <f>'Income - GAAP'!I8</f>
        <v>44804</v>
      </c>
      <c r="J8" s="7">
        <f>'Income - GAAP'!J8</f>
        <v>45169</v>
      </c>
      <c r="K8" s="7">
        <f>'Income - GAAP'!K8</f>
        <v>45535</v>
      </c>
      <c r="L8" s="46">
        <f>'Income - GAAP'!L8</f>
        <v>45900</v>
      </c>
      <c r="M8" s="115"/>
      <c r="N8" s="115"/>
      <c r="O8" s="115"/>
      <c r="P8" s="115"/>
      <c r="Q8" s="115"/>
      <c r="R8" s="115"/>
    </row>
    <row r="9" spans="1:1010 1027:2036 2053:3062 3079:4088 4105:5114 5131:6140 6157:7166 7183:8192 8209:9200 9217:10226 10243:11252 11269:12278 12295:13304 13321:14330 14347:15356 15373:16382" x14ac:dyDescent="0.35">
      <c r="A9" s="51" t="str">
        <f>'Income - GAAP'!A9</f>
        <v>Revenue</v>
      </c>
      <c r="B9" s="51" t="str">
        <f>'Income - GAAP'!B9</f>
        <v>SALES_REV_TURN</v>
      </c>
      <c r="C9" s="81">
        <f>IF('Income - GAAP'!C9="",0,'Income - GAAP'!C9)/'Income - GAAP'!C$9</f>
        <v>1</v>
      </c>
      <c r="D9" s="81">
        <f>IF('Income - GAAP'!D9="",0,'Income - GAAP'!D9)/'Income - GAAP'!D$9</f>
        <v>1</v>
      </c>
      <c r="E9" s="81">
        <f>IF('Income - GAAP'!E9="",0,'Income - GAAP'!E9)/'Income - GAAP'!E$9</f>
        <v>1</v>
      </c>
      <c r="F9" s="81">
        <f>IF('Income - GAAP'!F9="",0,'Income - GAAP'!F9)/'Income - GAAP'!F$9</f>
        <v>1</v>
      </c>
      <c r="G9" s="81">
        <f>IF('Income - GAAP'!G9="",0,'Income - GAAP'!G9)/'Income - GAAP'!G$9</f>
        <v>1</v>
      </c>
      <c r="H9" s="81">
        <f>IF('Income - GAAP'!H9="",0,'Income - GAAP'!H9)/'Income - GAAP'!H$9</f>
        <v>1</v>
      </c>
      <c r="I9" s="81">
        <f>IF('Income - GAAP'!I9="",0,'Income - GAAP'!I9)/'Income - GAAP'!I$9</f>
        <v>1</v>
      </c>
      <c r="J9" s="81">
        <f>IF('Income - GAAP'!J9="",0,'Income - GAAP'!J9)/'Income - GAAP'!J$9</f>
        <v>1</v>
      </c>
      <c r="K9" s="81">
        <f>IF('Income - GAAP'!K9="",0,'Income - GAAP'!K9)/'Income - GAAP'!K$9</f>
        <v>1</v>
      </c>
      <c r="L9" s="480">
        <f>IF('Income - GAAP'!L9="",0,'Income - GAAP'!L9)/'Income - GAAP'!L$9</f>
        <v>1</v>
      </c>
      <c r="M9" s="128"/>
      <c r="N9" s="128"/>
      <c r="O9" s="128"/>
      <c r="P9" s="128"/>
      <c r="Q9" s="128"/>
      <c r="R9" s="128"/>
      <c r="S9" s="37"/>
      <c r="T9" s="37"/>
      <c r="U9" s="37"/>
      <c r="V9" s="37"/>
      <c r="W9" s="37"/>
      <c r="X9" s="37"/>
      <c r="Y9" s="37"/>
      <c r="Z9" s="37"/>
      <c r="AA9" s="37"/>
      <c r="AB9" s="37"/>
      <c r="AC9" s="37"/>
      <c r="AD9" s="37"/>
      <c r="AE9" s="37"/>
      <c r="AF9" s="37"/>
      <c r="AG9" s="37"/>
      <c r="AH9" s="37"/>
      <c r="AI9" s="37"/>
      <c r="AJ9" s="37"/>
      <c r="AK9" s="37"/>
    </row>
    <row r="10" spans="1:1010 1027:2036 2053:3062 3079:4088 4105:5114 5131:6140 6157:7166 7183:8192 8209:9200 9217:10226 10243:11252 11269:12278 12295:13304 13321:14330 14347:15356 15373:16382" x14ac:dyDescent="0.35">
      <c r="A10" s="181" t="str">
        <f>'Income - GAAP'!A10</f>
        <v xml:space="preserve">    + Sales &amp; Services Revenue</v>
      </c>
      <c r="B10" s="13" t="str">
        <f>'Income - GAAP'!B10</f>
        <v>IS_SALES_AND_SERVICES_REVENUES</v>
      </c>
      <c r="C10" s="77">
        <f>IF('Income - GAAP'!C10="",0,'Income - GAAP'!C10)/'Income - GAAP'!C$9</f>
        <v>1</v>
      </c>
      <c r="D10" s="77">
        <f>IF('Income - GAAP'!D10="",0,'Income - GAAP'!D10)/'Income - GAAP'!D$9</f>
        <v>1</v>
      </c>
      <c r="E10" s="77">
        <f>IF('Income - GAAP'!E10="",0,'Income - GAAP'!E10)/'Income - GAAP'!E$9</f>
        <v>1</v>
      </c>
      <c r="F10" s="77">
        <f>IF('Income - GAAP'!F10="",0,'Income - GAAP'!F10)/'Income - GAAP'!F$9</f>
        <v>1</v>
      </c>
      <c r="G10" s="77">
        <f>IF('Income - GAAP'!G10="",0,'Income - GAAP'!G10)/'Income - GAAP'!G$9</f>
        <v>1</v>
      </c>
      <c r="H10" s="77">
        <f>IF('Income - GAAP'!H10="",0,'Income - GAAP'!H10)/'Income - GAAP'!H$9</f>
        <v>1</v>
      </c>
      <c r="I10" s="77">
        <f>IF('Income - GAAP'!I10="",0,'Income - GAAP'!I10)/'Income - GAAP'!I$9</f>
        <v>1</v>
      </c>
      <c r="J10" s="77">
        <f>IF('Income - GAAP'!J10="",0,'Income - GAAP'!J10)/'Income - GAAP'!J$9</f>
        <v>1</v>
      </c>
      <c r="K10" s="77">
        <f>IF('Income - GAAP'!K10="",0,'Income - GAAP'!K10)/'Income - GAAP'!K$9</f>
        <v>1</v>
      </c>
      <c r="L10" s="77">
        <f>IF('Income - GAAP'!L10="",0,'Income - GAAP'!L10)/'Income - GAAP'!L$9</f>
        <v>1</v>
      </c>
      <c r="M10" s="108"/>
      <c r="N10" s="108"/>
      <c r="O10" s="108"/>
      <c r="P10" s="108"/>
      <c r="Q10" s="108"/>
      <c r="R10" s="108"/>
      <c r="S10" s="37"/>
      <c r="T10" s="37"/>
      <c r="U10" s="37"/>
      <c r="V10" s="37"/>
      <c r="W10" s="37"/>
      <c r="X10" s="37"/>
      <c r="Y10" s="37"/>
      <c r="Z10" s="37"/>
      <c r="AA10" s="37"/>
      <c r="AB10" s="37"/>
      <c r="AC10" s="37"/>
      <c r="AD10" s="37"/>
      <c r="AE10" s="37"/>
      <c r="AF10" s="37"/>
      <c r="AG10" s="37"/>
      <c r="AH10" s="37"/>
      <c r="AI10" s="37"/>
      <c r="AJ10" s="37"/>
      <c r="AK10" s="37"/>
    </row>
    <row r="11" spans="1:1010 1027:2036 2053:3062 3079:4088 4105:5114 5131:6140 6157:7166 7183:8192 8209:9200 9217:10226 10243:11252 11269:12278 12295:13304 13321:14330 14347:15356 15373:16382" x14ac:dyDescent="0.35">
      <c r="A11" s="181" t="str">
        <f>'Income - GAAP'!A11</f>
        <v xml:space="preserve">    + Financing Revenue</v>
      </c>
      <c r="B11" s="13" t="str">
        <f>'Income - GAAP'!B11</f>
        <v>IS_FINANCING_REVENUE</v>
      </c>
      <c r="C11" s="77">
        <f>IF('Income - GAAP'!C11="",0,'Income - GAAP'!C11)/'Income - GAAP'!C$9</f>
        <v>0</v>
      </c>
      <c r="D11" s="77">
        <f>IF('Income - GAAP'!D11="",0,'Income - GAAP'!D11)/'Income - GAAP'!D$9</f>
        <v>0</v>
      </c>
      <c r="E11" s="77">
        <f>IF('Income - GAAP'!E11="",0,'Income - GAAP'!E11)/'Income - GAAP'!E$9</f>
        <v>0</v>
      </c>
      <c r="F11" s="77">
        <f>IF('Income - GAAP'!F11="",0,'Income - GAAP'!F11)/'Income - GAAP'!F$9</f>
        <v>0</v>
      </c>
      <c r="G11" s="77">
        <f>IF('Income - GAAP'!G11="",0,'Income - GAAP'!G11)/'Income - GAAP'!G$9</f>
        <v>0</v>
      </c>
      <c r="H11" s="77">
        <f>IF('Income - GAAP'!H11="",0,'Income - GAAP'!H11)/'Income - GAAP'!H$9</f>
        <v>0</v>
      </c>
      <c r="I11" s="77">
        <f>IF('Income - GAAP'!I11="",0,'Income - GAAP'!I11)/'Income - GAAP'!I$9</f>
        <v>0</v>
      </c>
      <c r="J11" s="77">
        <f>IF('Income - GAAP'!J11="",0,'Income - GAAP'!J11)/'Income - GAAP'!J$9</f>
        <v>0</v>
      </c>
      <c r="K11" s="77">
        <f>IF('Income - GAAP'!K11="",0,'Income - GAAP'!K11)/'Income - GAAP'!K$9</f>
        <v>0</v>
      </c>
      <c r="L11" s="77">
        <f>IF('Income - GAAP'!L11="",0,'Income - GAAP'!L11)/'Income - GAAP'!L$9</f>
        <v>0</v>
      </c>
      <c r="M11" s="108"/>
      <c r="N11" s="108"/>
      <c r="O11" s="108"/>
      <c r="P11" s="108"/>
      <c r="Q11" s="108"/>
      <c r="R11" s="108"/>
      <c r="S11" s="37"/>
      <c r="T11" s="37"/>
      <c r="U11" s="37"/>
      <c r="V11" s="37"/>
      <c r="W11" s="37"/>
      <c r="X11" s="37"/>
      <c r="Y11" s="37"/>
      <c r="Z11" s="37"/>
      <c r="AA11" s="37"/>
      <c r="AB11" s="37"/>
      <c r="AC11" s="37"/>
      <c r="AD11" s="37"/>
      <c r="AE11" s="37"/>
      <c r="AF11" s="37"/>
      <c r="AG11" s="37"/>
      <c r="AH11" s="37"/>
      <c r="AI11" s="37"/>
      <c r="AJ11" s="37"/>
      <c r="AK11" s="37"/>
    </row>
    <row r="12" spans="1:1010 1027:2036 2053:3062 3079:4088 4105:5114 5131:6140 6157:7166 7183:8192 8209:9200 9217:10226 10243:11252 11269:12278 12295:13304 13321:14330 14347:15356 15373:16382" x14ac:dyDescent="0.35">
      <c r="A12" s="181" t="str">
        <f>'Income - GAAP'!A12</f>
        <v xml:space="preserve">    + Other Revenue</v>
      </c>
      <c r="B12" s="4" t="str">
        <f>'Income - GAAP'!B12</f>
        <v>IS_OTHER_REVENUE</v>
      </c>
      <c r="C12" s="77">
        <f>IF('Income - GAAP'!C12="",0,'Income - GAAP'!C12)/'Income - GAAP'!C$9</f>
        <v>0</v>
      </c>
      <c r="D12" s="77">
        <f>IF('Income - GAAP'!D12="",0,'Income - GAAP'!D12)/'Income - GAAP'!D$9</f>
        <v>0</v>
      </c>
      <c r="E12" s="77">
        <f>IF('Income - GAAP'!E12="",0,'Income - GAAP'!E12)/'Income - GAAP'!E$9</f>
        <v>0</v>
      </c>
      <c r="F12" s="77">
        <f>IF('Income - GAAP'!F12="",0,'Income - GAAP'!F12)/'Income - GAAP'!F$9</f>
        <v>0</v>
      </c>
      <c r="G12" s="77">
        <f>IF('Income - GAAP'!G12="",0,'Income - GAAP'!G12)/'Income - GAAP'!G$9</f>
        <v>0</v>
      </c>
      <c r="H12" s="77">
        <f>IF('Income - GAAP'!H12="",0,'Income - GAAP'!H12)/'Income - GAAP'!H$9</f>
        <v>0</v>
      </c>
      <c r="I12" s="77">
        <f>IF('Income - GAAP'!I12="",0,'Income - GAAP'!I12)/'Income - GAAP'!I$9</f>
        <v>0</v>
      </c>
      <c r="J12" s="77">
        <f>IF('Income - GAAP'!J12="",0,'Income - GAAP'!J12)/'Income - GAAP'!J$9</f>
        <v>0</v>
      </c>
      <c r="K12" s="77">
        <f>IF('Income - GAAP'!K12="",0,'Income - GAAP'!K12)/'Income - GAAP'!K$9</f>
        <v>0</v>
      </c>
      <c r="L12" s="77">
        <f>IF('Income - GAAP'!L12="",0,'Income - GAAP'!L12)/'Income - GAAP'!L$9</f>
        <v>0</v>
      </c>
      <c r="M12" s="108"/>
      <c r="N12" s="108"/>
      <c r="O12" s="108"/>
      <c r="P12" s="108"/>
      <c r="Q12" s="108"/>
      <c r="R12" s="108"/>
      <c r="S12" s="37"/>
      <c r="T12" s="37"/>
      <c r="U12" s="37"/>
      <c r="V12" s="37"/>
      <c r="W12" s="37"/>
      <c r="X12" s="37"/>
      <c r="Y12" s="37"/>
      <c r="Z12" s="37"/>
      <c r="AA12" s="37"/>
      <c r="AB12" s="37"/>
      <c r="AC12" s="37"/>
      <c r="AD12" s="37"/>
      <c r="AE12" s="37"/>
      <c r="AF12" s="37"/>
      <c r="AG12" s="37"/>
      <c r="AH12" s="37"/>
      <c r="AI12" s="37"/>
      <c r="AJ12" s="37"/>
      <c r="AK12" s="37"/>
    </row>
    <row r="13" spans="1:1010 1027:2036 2053:3062 3079:4088 4105:5114 5131:6140 6157:7166 7183:8192 8209:9200 9217:10226 10243:11252 11269:12278 12295:13304 13321:14330 14347:15356 15373:16382" x14ac:dyDescent="0.35">
      <c r="A13" s="23" t="str">
        <f>'Income - GAAP'!A13</f>
        <v>check</v>
      </c>
      <c r="B13" s="23"/>
      <c r="C13" s="79"/>
      <c r="D13" s="79"/>
      <c r="E13" s="79"/>
      <c r="F13" s="79"/>
      <c r="G13" s="79"/>
      <c r="H13" s="79"/>
      <c r="I13" s="79"/>
      <c r="J13" s="79"/>
      <c r="K13" s="79"/>
      <c r="L13" s="79"/>
      <c r="M13" s="127"/>
      <c r="N13" s="127"/>
      <c r="O13" s="127"/>
      <c r="P13" s="127"/>
      <c r="Q13" s="127"/>
      <c r="R13" s="127"/>
      <c r="S13" s="37"/>
      <c r="T13" s="37"/>
      <c r="U13" s="37"/>
      <c r="V13" s="37"/>
      <c r="W13" s="37"/>
      <c r="X13" s="37"/>
      <c r="Y13" s="37"/>
      <c r="Z13" s="37"/>
      <c r="AA13" s="37"/>
      <c r="AB13" s="37"/>
      <c r="AC13" s="37"/>
      <c r="AD13" s="37"/>
      <c r="AE13" s="37"/>
      <c r="AF13" s="37"/>
      <c r="AG13" s="37"/>
      <c r="AH13" s="37"/>
      <c r="AI13" s="37"/>
      <c r="AJ13" s="37"/>
      <c r="AK13" s="37"/>
    </row>
    <row r="14" spans="1:1010 1027:2036 2053:3062 3079:4088 4105:5114 5131:6140 6157:7166 7183:8192 8209:9200 9217:10226 10243:11252 11269:12278 12295:13304 13321:14330 14347:15356 15373:16382" s="11" customFormat="1" x14ac:dyDescent="0.35">
      <c r="A14" s="183" t="str">
        <f>'Income - GAAP'!A14</f>
        <v xml:space="preserve">  - Cost of Revenue</v>
      </c>
      <c r="B14" s="75" t="str">
        <f>'Income - GAAP'!B14</f>
        <v>IS_COGS_TO_FE_AND_PP_AND_G</v>
      </c>
      <c r="C14" s="76">
        <f>IF('Income - GAAP'!C14="",0,'Income - GAAP'!C14)/'Income - GAAP'!C$9</f>
        <v>0.71221953056770682</v>
      </c>
      <c r="D14" s="76">
        <f>IF('Income - GAAP'!D14="",0,'Income - GAAP'!D14)/'Income - GAAP'!D$9</f>
        <v>0.72004594727646554</v>
      </c>
      <c r="E14" s="76">
        <f>IF('Income - GAAP'!E14="",0,'Income - GAAP'!E14)/'Income - GAAP'!E$9</f>
        <v>0.72346062205019124</v>
      </c>
      <c r="F14" s="76">
        <f>IF('Income - GAAP'!F14="",0,'Income - GAAP'!F14)/'Income - GAAP'!F$9</f>
        <v>0.74191572537786665</v>
      </c>
      <c r="G14" s="76">
        <f>IF('Income - GAAP'!G14="",0,'Income - GAAP'!G14)/'Income - GAAP'!G$9</f>
        <v>0.67864847100856973</v>
      </c>
      <c r="H14" s="76">
        <f>IF('Income - GAAP'!H14="",0,'Income - GAAP'!H14)/'Income - GAAP'!H$9</f>
        <v>0.73538966186672683</v>
      </c>
      <c r="I14" s="76">
        <f>IF('Income - GAAP'!I14="",0,'Income - GAAP'!I14)/'Income - GAAP'!I$9</f>
        <v>0.74157663449424782</v>
      </c>
      <c r="J14" s="76">
        <f>IF('Income - GAAP'!J14="",0,'Income - GAAP'!J14)/'Income - GAAP'!J$9</f>
        <v>0.68399338954789024</v>
      </c>
      <c r="K14" s="76">
        <f>IF('Income - GAAP'!K14="",0,'Income - GAAP'!K14)/'Income - GAAP'!K$9</f>
        <v>0.68528548414196633</v>
      </c>
      <c r="L14" s="76">
        <f>IF('Income - GAAP'!L14="",0,'Income - GAAP'!L14)/'Income - GAAP'!L$9</f>
        <v>0.68836491377474984</v>
      </c>
      <c r="M14" s="108"/>
      <c r="N14" s="108"/>
      <c r="O14" s="108"/>
      <c r="P14" s="108"/>
      <c r="Q14" s="108"/>
      <c r="R14" s="108"/>
      <c r="S14" s="109"/>
      <c r="T14" s="109"/>
      <c r="U14" s="108"/>
      <c r="V14" s="108"/>
      <c r="W14" s="108"/>
      <c r="X14" s="108"/>
      <c r="Y14" s="108"/>
      <c r="Z14" s="108"/>
      <c r="AA14" s="108"/>
      <c r="AB14" s="108"/>
      <c r="AC14" s="108"/>
      <c r="AD14" s="108"/>
      <c r="AE14" s="108"/>
      <c r="AF14" s="108"/>
      <c r="AG14" s="108"/>
      <c r="AH14" s="108"/>
      <c r="AI14" s="108"/>
      <c r="AJ14" s="108"/>
      <c r="AK14" s="109"/>
      <c r="AL14" s="12"/>
      <c r="BC14" s="12"/>
      <c r="BD14" s="12"/>
      <c r="BU14" s="12"/>
      <c r="BV14" s="12"/>
      <c r="CM14" s="12"/>
      <c r="CN14" s="12"/>
      <c r="DE14" s="12"/>
      <c r="DF14" s="12"/>
      <c r="DW14" s="12"/>
      <c r="DX14" s="12"/>
      <c r="EO14" s="12"/>
      <c r="EP14" s="12"/>
      <c r="FG14" s="12"/>
      <c r="FH14" s="12"/>
      <c r="FY14" s="12"/>
      <c r="FZ14" s="12"/>
      <c r="GQ14" s="12"/>
      <c r="GR14" s="12"/>
      <c r="HI14" s="12"/>
      <c r="HJ14" s="12"/>
      <c r="IA14" s="12"/>
      <c r="IB14" s="12"/>
      <c r="IS14" s="12"/>
      <c r="IT14" s="12"/>
      <c r="JK14" s="12"/>
      <c r="JL14" s="12"/>
      <c r="KC14" s="12"/>
      <c r="KD14" s="12"/>
      <c r="KU14" s="12"/>
      <c r="KV14" s="12"/>
      <c r="LM14" s="12"/>
      <c r="LN14" s="12"/>
      <c r="ME14" s="12"/>
      <c r="MF14" s="12"/>
      <c r="MW14" s="12"/>
      <c r="MX14" s="12"/>
      <c r="NO14" s="12"/>
      <c r="NP14" s="12"/>
      <c r="OG14" s="12"/>
      <c r="OH14" s="12"/>
      <c r="OY14" s="12"/>
      <c r="OZ14" s="12"/>
      <c r="PQ14" s="12"/>
      <c r="PR14" s="12"/>
      <c r="QI14" s="12"/>
      <c r="QJ14" s="12"/>
      <c r="RA14" s="12"/>
      <c r="RB14" s="12"/>
      <c r="RS14" s="12"/>
      <c r="RT14" s="12"/>
      <c r="SK14" s="12"/>
      <c r="SL14" s="12"/>
      <c r="TC14" s="12"/>
      <c r="TD14" s="12"/>
      <c r="TU14" s="12"/>
      <c r="TV14" s="12"/>
      <c r="UM14" s="12"/>
      <c r="UN14" s="12"/>
      <c r="VE14" s="12"/>
      <c r="VF14" s="12"/>
      <c r="VW14" s="12"/>
      <c r="VX14" s="12"/>
      <c r="WO14" s="12"/>
      <c r="WP14" s="12"/>
      <c r="XG14" s="12"/>
      <c r="XH14" s="12"/>
      <c r="XY14" s="12"/>
      <c r="XZ14" s="12"/>
      <c r="YQ14" s="12"/>
      <c r="YR14" s="12"/>
      <c r="ZI14" s="12"/>
      <c r="ZJ14" s="12"/>
      <c r="AAA14" s="12"/>
      <c r="AAB14" s="12"/>
      <c r="AAS14" s="12"/>
      <c r="AAT14" s="12"/>
      <c r="ABK14" s="12"/>
      <c r="ABL14" s="12"/>
      <c r="ACC14" s="12"/>
      <c r="ACD14" s="12"/>
      <c r="ACU14" s="12"/>
      <c r="ACV14" s="12"/>
      <c r="ADM14" s="12"/>
      <c r="ADN14" s="12"/>
      <c r="AEE14" s="12"/>
      <c r="AEF14" s="12"/>
      <c r="AEW14" s="12"/>
      <c r="AEX14" s="12"/>
      <c r="AFO14" s="12"/>
      <c r="AFP14" s="12"/>
      <c r="AGG14" s="12"/>
      <c r="AGH14" s="12"/>
      <c r="AGY14" s="12"/>
      <c r="AGZ14" s="12"/>
      <c r="AHQ14" s="12"/>
      <c r="AHR14" s="12"/>
      <c r="AII14" s="12"/>
      <c r="AIJ14" s="12"/>
      <c r="AJA14" s="12"/>
      <c r="AJB14" s="12"/>
      <c r="AJS14" s="12"/>
      <c r="AJT14" s="12"/>
      <c r="AKK14" s="12"/>
      <c r="AKL14" s="12"/>
      <c r="ALC14" s="12"/>
      <c r="ALD14" s="12"/>
      <c r="ALU14" s="12"/>
      <c r="ALV14" s="12"/>
      <c r="AMM14" s="12"/>
      <c r="AMN14" s="12"/>
      <c r="ANE14" s="12"/>
      <c r="ANF14" s="12"/>
      <c r="ANW14" s="12"/>
      <c r="ANX14" s="12"/>
      <c r="AOO14" s="12"/>
      <c r="AOP14" s="12"/>
      <c r="APG14" s="12"/>
      <c r="APH14" s="12"/>
      <c r="APY14" s="12"/>
      <c r="APZ14" s="12"/>
      <c r="AQQ14" s="12"/>
      <c r="AQR14" s="12"/>
      <c r="ARI14" s="12"/>
      <c r="ARJ14" s="12"/>
      <c r="ASA14" s="12"/>
      <c r="ASB14" s="12"/>
      <c r="ASS14" s="12"/>
      <c r="AST14" s="12"/>
      <c r="ATK14" s="12"/>
      <c r="ATL14" s="12"/>
      <c r="AUC14" s="12"/>
      <c r="AUD14" s="12"/>
      <c r="AUU14" s="12"/>
      <c r="AUV14" s="12"/>
      <c r="AVM14" s="12"/>
      <c r="AVN14" s="12"/>
      <c r="AWE14" s="12"/>
      <c r="AWF14" s="12"/>
      <c r="AWW14" s="12"/>
      <c r="AWX14" s="12"/>
      <c r="AXO14" s="12"/>
      <c r="AXP14" s="12"/>
      <c r="AYG14" s="12"/>
      <c r="AYH14" s="12"/>
      <c r="AYY14" s="12"/>
      <c r="AYZ14" s="12"/>
      <c r="AZQ14" s="12"/>
      <c r="AZR14" s="12"/>
      <c r="BAI14" s="12"/>
      <c r="BAJ14" s="12"/>
      <c r="BBA14" s="12"/>
      <c r="BBB14" s="12"/>
      <c r="BBS14" s="12"/>
      <c r="BBT14" s="12"/>
      <c r="BCK14" s="12"/>
      <c r="BCL14" s="12"/>
      <c r="BDC14" s="12"/>
      <c r="BDD14" s="12"/>
      <c r="BDU14" s="12"/>
      <c r="BDV14" s="12"/>
      <c r="BEM14" s="12"/>
      <c r="BEN14" s="12"/>
      <c r="BFE14" s="12"/>
      <c r="BFF14" s="12"/>
      <c r="BFW14" s="12"/>
      <c r="BFX14" s="12"/>
      <c r="BGO14" s="12"/>
      <c r="BGP14" s="12"/>
      <c r="BHG14" s="12"/>
      <c r="BHH14" s="12"/>
      <c r="BHY14" s="12"/>
      <c r="BHZ14" s="12"/>
      <c r="BIQ14" s="12"/>
      <c r="BIR14" s="12"/>
      <c r="BJI14" s="12"/>
      <c r="BJJ14" s="12"/>
      <c r="BKA14" s="12"/>
      <c r="BKB14" s="12"/>
      <c r="BKS14" s="12"/>
      <c r="BKT14" s="12"/>
      <c r="BLK14" s="12"/>
      <c r="BLL14" s="12"/>
      <c r="BMC14" s="12"/>
      <c r="BMD14" s="12"/>
      <c r="BMU14" s="12"/>
      <c r="BMV14" s="12"/>
      <c r="BNM14" s="12"/>
      <c r="BNN14" s="12"/>
      <c r="BOE14" s="12"/>
      <c r="BOF14" s="12"/>
      <c r="BOW14" s="12"/>
      <c r="BOX14" s="12"/>
      <c r="BPO14" s="12"/>
      <c r="BPP14" s="12"/>
      <c r="BQG14" s="12"/>
      <c r="BQH14" s="12"/>
      <c r="BQY14" s="12"/>
      <c r="BQZ14" s="12"/>
      <c r="BRQ14" s="12"/>
      <c r="BRR14" s="12"/>
      <c r="BSI14" s="12"/>
      <c r="BSJ14" s="12"/>
      <c r="BTA14" s="12"/>
      <c r="BTB14" s="12"/>
      <c r="BTS14" s="12"/>
      <c r="BTT14" s="12"/>
      <c r="BUK14" s="12"/>
      <c r="BUL14" s="12"/>
      <c r="BVC14" s="12"/>
      <c r="BVD14" s="12"/>
      <c r="BVU14" s="12"/>
      <c r="BVV14" s="12"/>
      <c r="BWM14" s="12"/>
      <c r="BWN14" s="12"/>
      <c r="BXE14" s="12"/>
      <c r="BXF14" s="12"/>
      <c r="BXW14" s="12"/>
      <c r="BXX14" s="12"/>
      <c r="BYO14" s="12"/>
      <c r="BYP14" s="12"/>
      <c r="BZG14" s="12"/>
      <c r="BZH14" s="12"/>
      <c r="BZY14" s="12"/>
      <c r="BZZ14" s="12"/>
      <c r="CAQ14" s="12"/>
      <c r="CAR14" s="12"/>
      <c r="CBI14" s="12"/>
      <c r="CBJ14" s="12"/>
      <c r="CCA14" s="12"/>
      <c r="CCB14" s="12"/>
      <c r="CCS14" s="12"/>
      <c r="CCT14" s="12"/>
      <c r="CDK14" s="12"/>
      <c r="CDL14" s="12"/>
      <c r="CEC14" s="12"/>
      <c r="CED14" s="12"/>
      <c r="CEU14" s="12"/>
      <c r="CEV14" s="12"/>
      <c r="CFM14" s="12"/>
      <c r="CFN14" s="12"/>
      <c r="CGE14" s="12"/>
      <c r="CGF14" s="12"/>
      <c r="CGW14" s="12"/>
      <c r="CGX14" s="12"/>
      <c r="CHO14" s="12"/>
      <c r="CHP14" s="12"/>
      <c r="CIG14" s="12"/>
      <c r="CIH14" s="12"/>
      <c r="CIY14" s="12"/>
      <c r="CIZ14" s="12"/>
      <c r="CJQ14" s="12"/>
      <c r="CJR14" s="12"/>
      <c r="CKI14" s="12"/>
      <c r="CKJ14" s="12"/>
      <c r="CLA14" s="12"/>
      <c r="CLB14" s="12"/>
      <c r="CLS14" s="12"/>
      <c r="CLT14" s="12"/>
      <c r="CMK14" s="12"/>
      <c r="CML14" s="12"/>
      <c r="CNC14" s="12"/>
      <c r="CND14" s="12"/>
      <c r="CNU14" s="12"/>
      <c r="CNV14" s="12"/>
      <c r="COM14" s="12"/>
      <c r="CON14" s="12"/>
      <c r="CPE14" s="12"/>
      <c r="CPF14" s="12"/>
      <c r="CPW14" s="12"/>
      <c r="CPX14" s="12"/>
      <c r="CQO14" s="12"/>
      <c r="CQP14" s="12"/>
      <c r="CRG14" s="12"/>
      <c r="CRH14" s="12"/>
      <c r="CRY14" s="12"/>
      <c r="CRZ14" s="12"/>
      <c r="CSQ14" s="12"/>
      <c r="CSR14" s="12"/>
      <c r="CTI14" s="12"/>
      <c r="CTJ14" s="12"/>
      <c r="CUA14" s="12"/>
      <c r="CUB14" s="12"/>
      <c r="CUS14" s="12"/>
      <c r="CUT14" s="12"/>
      <c r="CVK14" s="12"/>
      <c r="CVL14" s="12"/>
      <c r="CWC14" s="12"/>
      <c r="CWD14" s="12"/>
      <c r="CWU14" s="12"/>
      <c r="CWV14" s="12"/>
      <c r="CXM14" s="12"/>
      <c r="CXN14" s="12"/>
      <c r="CYE14" s="12"/>
      <c r="CYF14" s="12"/>
      <c r="CYW14" s="12"/>
      <c r="CYX14" s="12"/>
      <c r="CZO14" s="12"/>
      <c r="CZP14" s="12"/>
      <c r="DAG14" s="12"/>
      <c r="DAH14" s="12"/>
      <c r="DAY14" s="12"/>
      <c r="DAZ14" s="12"/>
      <c r="DBQ14" s="12"/>
      <c r="DBR14" s="12"/>
      <c r="DCI14" s="12"/>
      <c r="DCJ14" s="12"/>
      <c r="DDA14" s="12"/>
      <c r="DDB14" s="12"/>
      <c r="DDS14" s="12"/>
      <c r="DDT14" s="12"/>
      <c r="DEK14" s="12"/>
      <c r="DEL14" s="12"/>
      <c r="DFC14" s="12"/>
      <c r="DFD14" s="12"/>
      <c r="DFU14" s="12"/>
      <c r="DFV14" s="12"/>
      <c r="DGM14" s="12"/>
      <c r="DGN14" s="12"/>
      <c r="DHE14" s="12"/>
      <c r="DHF14" s="12"/>
      <c r="DHW14" s="12"/>
      <c r="DHX14" s="12"/>
      <c r="DIO14" s="12"/>
      <c r="DIP14" s="12"/>
      <c r="DJG14" s="12"/>
      <c r="DJH14" s="12"/>
      <c r="DJY14" s="12"/>
      <c r="DJZ14" s="12"/>
      <c r="DKQ14" s="12"/>
      <c r="DKR14" s="12"/>
      <c r="DLI14" s="12"/>
      <c r="DLJ14" s="12"/>
      <c r="DMA14" s="12"/>
      <c r="DMB14" s="12"/>
      <c r="DMS14" s="12"/>
      <c r="DMT14" s="12"/>
      <c r="DNK14" s="12"/>
      <c r="DNL14" s="12"/>
      <c r="DOC14" s="12"/>
      <c r="DOD14" s="12"/>
      <c r="DOU14" s="12"/>
      <c r="DOV14" s="12"/>
      <c r="DPM14" s="12"/>
      <c r="DPN14" s="12"/>
      <c r="DQE14" s="12"/>
      <c r="DQF14" s="12"/>
      <c r="DQW14" s="12"/>
      <c r="DQX14" s="12"/>
      <c r="DRO14" s="12"/>
      <c r="DRP14" s="12"/>
      <c r="DSG14" s="12"/>
      <c r="DSH14" s="12"/>
      <c r="DSY14" s="12"/>
      <c r="DSZ14" s="12"/>
      <c r="DTQ14" s="12"/>
      <c r="DTR14" s="12"/>
      <c r="DUI14" s="12"/>
      <c r="DUJ14" s="12"/>
      <c r="DVA14" s="12"/>
      <c r="DVB14" s="12"/>
      <c r="DVS14" s="12"/>
      <c r="DVT14" s="12"/>
      <c r="DWK14" s="12"/>
      <c r="DWL14" s="12"/>
      <c r="DXC14" s="12"/>
      <c r="DXD14" s="12"/>
      <c r="DXU14" s="12"/>
      <c r="DXV14" s="12"/>
      <c r="DYM14" s="12"/>
      <c r="DYN14" s="12"/>
      <c r="DZE14" s="12"/>
      <c r="DZF14" s="12"/>
      <c r="DZW14" s="12"/>
      <c r="DZX14" s="12"/>
      <c r="EAO14" s="12"/>
      <c r="EAP14" s="12"/>
      <c r="EBG14" s="12"/>
      <c r="EBH14" s="12"/>
      <c r="EBY14" s="12"/>
      <c r="EBZ14" s="12"/>
      <c r="ECQ14" s="12"/>
      <c r="ECR14" s="12"/>
      <c r="EDI14" s="12"/>
      <c r="EDJ14" s="12"/>
      <c r="EEA14" s="12"/>
      <c r="EEB14" s="12"/>
      <c r="EES14" s="12"/>
      <c r="EET14" s="12"/>
      <c r="EFK14" s="12"/>
      <c r="EFL14" s="12"/>
      <c r="EGC14" s="12"/>
      <c r="EGD14" s="12"/>
      <c r="EGU14" s="12"/>
      <c r="EGV14" s="12"/>
      <c r="EHM14" s="12"/>
      <c r="EHN14" s="12"/>
      <c r="EIE14" s="12"/>
      <c r="EIF14" s="12"/>
      <c r="EIW14" s="12"/>
      <c r="EIX14" s="12"/>
      <c r="EJO14" s="12"/>
      <c r="EJP14" s="12"/>
      <c r="EKG14" s="12"/>
      <c r="EKH14" s="12"/>
      <c r="EKY14" s="12"/>
      <c r="EKZ14" s="12"/>
      <c r="ELQ14" s="12"/>
      <c r="ELR14" s="12"/>
      <c r="EMI14" s="12"/>
      <c r="EMJ14" s="12"/>
      <c r="ENA14" s="12"/>
      <c r="ENB14" s="12"/>
      <c r="ENS14" s="12"/>
      <c r="ENT14" s="12"/>
      <c r="EOK14" s="12"/>
      <c r="EOL14" s="12"/>
      <c r="EPC14" s="12"/>
      <c r="EPD14" s="12"/>
      <c r="EPU14" s="12"/>
      <c r="EPV14" s="12"/>
      <c r="EQM14" s="12"/>
      <c r="EQN14" s="12"/>
      <c r="ERE14" s="12"/>
      <c r="ERF14" s="12"/>
      <c r="ERW14" s="12"/>
      <c r="ERX14" s="12"/>
      <c r="ESO14" s="12"/>
      <c r="ESP14" s="12"/>
      <c r="ETG14" s="12"/>
      <c r="ETH14" s="12"/>
      <c r="ETY14" s="12"/>
      <c r="ETZ14" s="12"/>
      <c r="EUQ14" s="12"/>
      <c r="EUR14" s="12"/>
      <c r="EVI14" s="12"/>
      <c r="EVJ14" s="12"/>
      <c r="EWA14" s="12"/>
      <c r="EWB14" s="12"/>
      <c r="EWS14" s="12"/>
      <c r="EWT14" s="12"/>
      <c r="EXK14" s="12"/>
      <c r="EXL14" s="12"/>
      <c r="EYC14" s="12"/>
      <c r="EYD14" s="12"/>
      <c r="EYU14" s="12"/>
      <c r="EYV14" s="12"/>
      <c r="EZM14" s="12"/>
      <c r="EZN14" s="12"/>
      <c r="FAE14" s="12"/>
      <c r="FAF14" s="12"/>
      <c r="FAW14" s="12"/>
      <c r="FAX14" s="12"/>
      <c r="FBO14" s="12"/>
      <c r="FBP14" s="12"/>
      <c r="FCG14" s="12"/>
      <c r="FCH14" s="12"/>
      <c r="FCY14" s="12"/>
      <c r="FCZ14" s="12"/>
      <c r="FDQ14" s="12"/>
      <c r="FDR14" s="12"/>
      <c r="FEI14" s="12"/>
      <c r="FEJ14" s="12"/>
      <c r="FFA14" s="12"/>
      <c r="FFB14" s="12"/>
      <c r="FFS14" s="12"/>
      <c r="FFT14" s="12"/>
      <c r="FGK14" s="12"/>
      <c r="FGL14" s="12"/>
      <c r="FHC14" s="12"/>
      <c r="FHD14" s="12"/>
      <c r="FHU14" s="12"/>
      <c r="FHV14" s="12"/>
      <c r="FIM14" s="12"/>
      <c r="FIN14" s="12"/>
      <c r="FJE14" s="12"/>
      <c r="FJF14" s="12"/>
      <c r="FJW14" s="12"/>
      <c r="FJX14" s="12"/>
      <c r="FKO14" s="12"/>
      <c r="FKP14" s="12"/>
      <c r="FLG14" s="12"/>
      <c r="FLH14" s="12"/>
      <c r="FLY14" s="12"/>
      <c r="FLZ14" s="12"/>
      <c r="FMQ14" s="12"/>
      <c r="FMR14" s="12"/>
      <c r="FNI14" s="12"/>
      <c r="FNJ14" s="12"/>
      <c r="FOA14" s="12"/>
      <c r="FOB14" s="12"/>
      <c r="FOS14" s="12"/>
      <c r="FOT14" s="12"/>
      <c r="FPK14" s="12"/>
      <c r="FPL14" s="12"/>
      <c r="FQC14" s="12"/>
      <c r="FQD14" s="12"/>
      <c r="FQU14" s="12"/>
      <c r="FQV14" s="12"/>
      <c r="FRM14" s="12"/>
      <c r="FRN14" s="12"/>
      <c r="FSE14" s="12"/>
      <c r="FSF14" s="12"/>
      <c r="FSW14" s="12"/>
      <c r="FSX14" s="12"/>
      <c r="FTO14" s="12"/>
      <c r="FTP14" s="12"/>
      <c r="FUG14" s="12"/>
      <c r="FUH14" s="12"/>
      <c r="FUY14" s="12"/>
      <c r="FUZ14" s="12"/>
      <c r="FVQ14" s="12"/>
      <c r="FVR14" s="12"/>
      <c r="FWI14" s="12"/>
      <c r="FWJ14" s="12"/>
      <c r="FXA14" s="12"/>
      <c r="FXB14" s="12"/>
      <c r="FXS14" s="12"/>
      <c r="FXT14" s="12"/>
      <c r="FYK14" s="12"/>
      <c r="FYL14" s="12"/>
      <c r="FZC14" s="12"/>
      <c r="FZD14" s="12"/>
      <c r="FZU14" s="12"/>
      <c r="FZV14" s="12"/>
      <c r="GAM14" s="12"/>
      <c r="GAN14" s="12"/>
      <c r="GBE14" s="12"/>
      <c r="GBF14" s="12"/>
      <c r="GBW14" s="12"/>
      <c r="GBX14" s="12"/>
      <c r="GCO14" s="12"/>
      <c r="GCP14" s="12"/>
      <c r="GDG14" s="12"/>
      <c r="GDH14" s="12"/>
      <c r="GDY14" s="12"/>
      <c r="GDZ14" s="12"/>
      <c r="GEQ14" s="12"/>
      <c r="GER14" s="12"/>
      <c r="GFI14" s="12"/>
      <c r="GFJ14" s="12"/>
      <c r="GGA14" s="12"/>
      <c r="GGB14" s="12"/>
      <c r="GGS14" s="12"/>
      <c r="GGT14" s="12"/>
      <c r="GHK14" s="12"/>
      <c r="GHL14" s="12"/>
      <c r="GIC14" s="12"/>
      <c r="GID14" s="12"/>
      <c r="GIU14" s="12"/>
      <c r="GIV14" s="12"/>
      <c r="GJM14" s="12"/>
      <c r="GJN14" s="12"/>
      <c r="GKE14" s="12"/>
      <c r="GKF14" s="12"/>
      <c r="GKW14" s="12"/>
      <c r="GKX14" s="12"/>
      <c r="GLO14" s="12"/>
      <c r="GLP14" s="12"/>
      <c r="GMG14" s="12"/>
      <c r="GMH14" s="12"/>
      <c r="GMY14" s="12"/>
      <c r="GMZ14" s="12"/>
      <c r="GNQ14" s="12"/>
      <c r="GNR14" s="12"/>
      <c r="GOI14" s="12"/>
      <c r="GOJ14" s="12"/>
      <c r="GPA14" s="12"/>
      <c r="GPB14" s="12"/>
      <c r="GPS14" s="12"/>
      <c r="GPT14" s="12"/>
      <c r="GQK14" s="12"/>
      <c r="GQL14" s="12"/>
      <c r="GRC14" s="12"/>
      <c r="GRD14" s="12"/>
      <c r="GRU14" s="12"/>
      <c r="GRV14" s="12"/>
      <c r="GSM14" s="12"/>
      <c r="GSN14" s="12"/>
      <c r="GTE14" s="12"/>
      <c r="GTF14" s="12"/>
      <c r="GTW14" s="12"/>
      <c r="GTX14" s="12"/>
      <c r="GUO14" s="12"/>
      <c r="GUP14" s="12"/>
      <c r="GVG14" s="12"/>
      <c r="GVH14" s="12"/>
      <c r="GVY14" s="12"/>
      <c r="GVZ14" s="12"/>
      <c r="GWQ14" s="12"/>
      <c r="GWR14" s="12"/>
      <c r="GXI14" s="12"/>
      <c r="GXJ14" s="12"/>
      <c r="GYA14" s="12"/>
      <c r="GYB14" s="12"/>
      <c r="GYS14" s="12"/>
      <c r="GYT14" s="12"/>
      <c r="GZK14" s="12"/>
      <c r="GZL14" s="12"/>
      <c r="HAC14" s="12"/>
      <c r="HAD14" s="12"/>
      <c r="HAU14" s="12"/>
      <c r="HAV14" s="12"/>
      <c r="HBM14" s="12"/>
      <c r="HBN14" s="12"/>
      <c r="HCE14" s="12"/>
      <c r="HCF14" s="12"/>
      <c r="HCW14" s="12"/>
      <c r="HCX14" s="12"/>
      <c r="HDO14" s="12"/>
      <c r="HDP14" s="12"/>
      <c r="HEG14" s="12"/>
      <c r="HEH14" s="12"/>
      <c r="HEY14" s="12"/>
      <c r="HEZ14" s="12"/>
      <c r="HFQ14" s="12"/>
      <c r="HFR14" s="12"/>
      <c r="HGI14" s="12"/>
      <c r="HGJ14" s="12"/>
      <c r="HHA14" s="12"/>
      <c r="HHB14" s="12"/>
      <c r="HHS14" s="12"/>
      <c r="HHT14" s="12"/>
      <c r="HIK14" s="12"/>
      <c r="HIL14" s="12"/>
      <c r="HJC14" s="12"/>
      <c r="HJD14" s="12"/>
      <c r="HJU14" s="12"/>
      <c r="HJV14" s="12"/>
      <c r="HKM14" s="12"/>
      <c r="HKN14" s="12"/>
      <c r="HLE14" s="12"/>
      <c r="HLF14" s="12"/>
      <c r="HLW14" s="12"/>
      <c r="HLX14" s="12"/>
      <c r="HMO14" s="12"/>
      <c r="HMP14" s="12"/>
      <c r="HNG14" s="12"/>
      <c r="HNH14" s="12"/>
      <c r="HNY14" s="12"/>
      <c r="HNZ14" s="12"/>
      <c r="HOQ14" s="12"/>
      <c r="HOR14" s="12"/>
      <c r="HPI14" s="12"/>
      <c r="HPJ14" s="12"/>
      <c r="HQA14" s="12"/>
      <c r="HQB14" s="12"/>
      <c r="HQS14" s="12"/>
      <c r="HQT14" s="12"/>
      <c r="HRK14" s="12"/>
      <c r="HRL14" s="12"/>
      <c r="HSC14" s="12"/>
      <c r="HSD14" s="12"/>
      <c r="HSU14" s="12"/>
      <c r="HSV14" s="12"/>
      <c r="HTM14" s="12"/>
      <c r="HTN14" s="12"/>
      <c r="HUE14" s="12"/>
      <c r="HUF14" s="12"/>
      <c r="HUW14" s="12"/>
      <c r="HUX14" s="12"/>
      <c r="HVO14" s="12"/>
      <c r="HVP14" s="12"/>
      <c r="HWG14" s="12"/>
      <c r="HWH14" s="12"/>
      <c r="HWY14" s="12"/>
      <c r="HWZ14" s="12"/>
      <c r="HXQ14" s="12"/>
      <c r="HXR14" s="12"/>
      <c r="HYI14" s="12"/>
      <c r="HYJ14" s="12"/>
      <c r="HZA14" s="12"/>
      <c r="HZB14" s="12"/>
      <c r="HZS14" s="12"/>
      <c r="HZT14" s="12"/>
      <c r="IAK14" s="12"/>
      <c r="IAL14" s="12"/>
      <c r="IBC14" s="12"/>
      <c r="IBD14" s="12"/>
      <c r="IBU14" s="12"/>
      <c r="IBV14" s="12"/>
      <c r="ICM14" s="12"/>
      <c r="ICN14" s="12"/>
      <c r="IDE14" s="12"/>
      <c r="IDF14" s="12"/>
      <c r="IDW14" s="12"/>
      <c r="IDX14" s="12"/>
      <c r="IEO14" s="12"/>
      <c r="IEP14" s="12"/>
      <c r="IFG14" s="12"/>
      <c r="IFH14" s="12"/>
      <c r="IFY14" s="12"/>
      <c r="IFZ14" s="12"/>
      <c r="IGQ14" s="12"/>
      <c r="IGR14" s="12"/>
      <c r="IHI14" s="12"/>
      <c r="IHJ14" s="12"/>
      <c r="IIA14" s="12"/>
      <c r="IIB14" s="12"/>
      <c r="IIS14" s="12"/>
      <c r="IIT14" s="12"/>
      <c r="IJK14" s="12"/>
      <c r="IJL14" s="12"/>
      <c r="IKC14" s="12"/>
      <c r="IKD14" s="12"/>
      <c r="IKU14" s="12"/>
      <c r="IKV14" s="12"/>
      <c r="ILM14" s="12"/>
      <c r="ILN14" s="12"/>
      <c r="IME14" s="12"/>
      <c r="IMF14" s="12"/>
      <c r="IMW14" s="12"/>
      <c r="IMX14" s="12"/>
      <c r="INO14" s="12"/>
      <c r="INP14" s="12"/>
      <c r="IOG14" s="12"/>
      <c r="IOH14" s="12"/>
      <c r="IOY14" s="12"/>
      <c r="IOZ14" s="12"/>
      <c r="IPQ14" s="12"/>
      <c r="IPR14" s="12"/>
      <c r="IQI14" s="12"/>
      <c r="IQJ14" s="12"/>
      <c r="IRA14" s="12"/>
      <c r="IRB14" s="12"/>
      <c r="IRS14" s="12"/>
      <c r="IRT14" s="12"/>
      <c r="ISK14" s="12"/>
      <c r="ISL14" s="12"/>
      <c r="ITC14" s="12"/>
      <c r="ITD14" s="12"/>
      <c r="ITU14" s="12"/>
      <c r="ITV14" s="12"/>
      <c r="IUM14" s="12"/>
      <c r="IUN14" s="12"/>
      <c r="IVE14" s="12"/>
      <c r="IVF14" s="12"/>
      <c r="IVW14" s="12"/>
      <c r="IVX14" s="12"/>
      <c r="IWO14" s="12"/>
      <c r="IWP14" s="12"/>
      <c r="IXG14" s="12"/>
      <c r="IXH14" s="12"/>
      <c r="IXY14" s="12"/>
      <c r="IXZ14" s="12"/>
      <c r="IYQ14" s="12"/>
      <c r="IYR14" s="12"/>
      <c r="IZI14" s="12"/>
      <c r="IZJ14" s="12"/>
      <c r="JAA14" s="12"/>
      <c r="JAB14" s="12"/>
      <c r="JAS14" s="12"/>
      <c r="JAT14" s="12"/>
      <c r="JBK14" s="12"/>
      <c r="JBL14" s="12"/>
      <c r="JCC14" s="12"/>
      <c r="JCD14" s="12"/>
      <c r="JCU14" s="12"/>
      <c r="JCV14" s="12"/>
      <c r="JDM14" s="12"/>
      <c r="JDN14" s="12"/>
      <c r="JEE14" s="12"/>
      <c r="JEF14" s="12"/>
      <c r="JEW14" s="12"/>
      <c r="JEX14" s="12"/>
      <c r="JFO14" s="12"/>
      <c r="JFP14" s="12"/>
      <c r="JGG14" s="12"/>
      <c r="JGH14" s="12"/>
      <c r="JGY14" s="12"/>
      <c r="JGZ14" s="12"/>
      <c r="JHQ14" s="12"/>
      <c r="JHR14" s="12"/>
      <c r="JII14" s="12"/>
      <c r="JIJ14" s="12"/>
      <c r="JJA14" s="12"/>
      <c r="JJB14" s="12"/>
      <c r="JJS14" s="12"/>
      <c r="JJT14" s="12"/>
      <c r="JKK14" s="12"/>
      <c r="JKL14" s="12"/>
      <c r="JLC14" s="12"/>
      <c r="JLD14" s="12"/>
      <c r="JLU14" s="12"/>
      <c r="JLV14" s="12"/>
      <c r="JMM14" s="12"/>
      <c r="JMN14" s="12"/>
      <c r="JNE14" s="12"/>
      <c r="JNF14" s="12"/>
      <c r="JNW14" s="12"/>
      <c r="JNX14" s="12"/>
      <c r="JOO14" s="12"/>
      <c r="JOP14" s="12"/>
      <c r="JPG14" s="12"/>
      <c r="JPH14" s="12"/>
      <c r="JPY14" s="12"/>
      <c r="JPZ14" s="12"/>
      <c r="JQQ14" s="12"/>
      <c r="JQR14" s="12"/>
      <c r="JRI14" s="12"/>
      <c r="JRJ14" s="12"/>
      <c r="JSA14" s="12"/>
      <c r="JSB14" s="12"/>
      <c r="JSS14" s="12"/>
      <c r="JST14" s="12"/>
      <c r="JTK14" s="12"/>
      <c r="JTL14" s="12"/>
      <c r="JUC14" s="12"/>
      <c r="JUD14" s="12"/>
      <c r="JUU14" s="12"/>
      <c r="JUV14" s="12"/>
      <c r="JVM14" s="12"/>
      <c r="JVN14" s="12"/>
      <c r="JWE14" s="12"/>
      <c r="JWF14" s="12"/>
      <c r="JWW14" s="12"/>
      <c r="JWX14" s="12"/>
      <c r="JXO14" s="12"/>
      <c r="JXP14" s="12"/>
      <c r="JYG14" s="12"/>
      <c r="JYH14" s="12"/>
      <c r="JYY14" s="12"/>
      <c r="JYZ14" s="12"/>
      <c r="JZQ14" s="12"/>
      <c r="JZR14" s="12"/>
      <c r="KAI14" s="12"/>
      <c r="KAJ14" s="12"/>
      <c r="KBA14" s="12"/>
      <c r="KBB14" s="12"/>
      <c r="KBS14" s="12"/>
      <c r="KBT14" s="12"/>
      <c r="KCK14" s="12"/>
      <c r="KCL14" s="12"/>
      <c r="KDC14" s="12"/>
      <c r="KDD14" s="12"/>
      <c r="KDU14" s="12"/>
      <c r="KDV14" s="12"/>
      <c r="KEM14" s="12"/>
      <c r="KEN14" s="12"/>
      <c r="KFE14" s="12"/>
      <c r="KFF14" s="12"/>
      <c r="KFW14" s="12"/>
      <c r="KFX14" s="12"/>
      <c r="KGO14" s="12"/>
      <c r="KGP14" s="12"/>
      <c r="KHG14" s="12"/>
      <c r="KHH14" s="12"/>
      <c r="KHY14" s="12"/>
      <c r="KHZ14" s="12"/>
      <c r="KIQ14" s="12"/>
      <c r="KIR14" s="12"/>
      <c r="KJI14" s="12"/>
      <c r="KJJ14" s="12"/>
      <c r="KKA14" s="12"/>
      <c r="KKB14" s="12"/>
      <c r="KKS14" s="12"/>
      <c r="KKT14" s="12"/>
      <c r="KLK14" s="12"/>
      <c r="KLL14" s="12"/>
      <c r="KMC14" s="12"/>
      <c r="KMD14" s="12"/>
      <c r="KMU14" s="12"/>
      <c r="KMV14" s="12"/>
      <c r="KNM14" s="12"/>
      <c r="KNN14" s="12"/>
      <c r="KOE14" s="12"/>
      <c r="KOF14" s="12"/>
      <c r="KOW14" s="12"/>
      <c r="KOX14" s="12"/>
      <c r="KPO14" s="12"/>
      <c r="KPP14" s="12"/>
      <c r="KQG14" s="12"/>
      <c r="KQH14" s="12"/>
      <c r="KQY14" s="12"/>
      <c r="KQZ14" s="12"/>
      <c r="KRQ14" s="12"/>
      <c r="KRR14" s="12"/>
      <c r="KSI14" s="12"/>
      <c r="KSJ14" s="12"/>
      <c r="KTA14" s="12"/>
      <c r="KTB14" s="12"/>
      <c r="KTS14" s="12"/>
      <c r="KTT14" s="12"/>
      <c r="KUK14" s="12"/>
      <c r="KUL14" s="12"/>
      <c r="KVC14" s="12"/>
      <c r="KVD14" s="12"/>
      <c r="KVU14" s="12"/>
      <c r="KVV14" s="12"/>
      <c r="KWM14" s="12"/>
      <c r="KWN14" s="12"/>
      <c r="KXE14" s="12"/>
      <c r="KXF14" s="12"/>
      <c r="KXW14" s="12"/>
      <c r="KXX14" s="12"/>
      <c r="KYO14" s="12"/>
      <c r="KYP14" s="12"/>
      <c r="KZG14" s="12"/>
      <c r="KZH14" s="12"/>
      <c r="KZY14" s="12"/>
      <c r="KZZ14" s="12"/>
      <c r="LAQ14" s="12"/>
      <c r="LAR14" s="12"/>
      <c r="LBI14" s="12"/>
      <c r="LBJ14" s="12"/>
      <c r="LCA14" s="12"/>
      <c r="LCB14" s="12"/>
      <c r="LCS14" s="12"/>
      <c r="LCT14" s="12"/>
      <c r="LDK14" s="12"/>
      <c r="LDL14" s="12"/>
      <c r="LEC14" s="12"/>
      <c r="LED14" s="12"/>
      <c r="LEU14" s="12"/>
      <c r="LEV14" s="12"/>
      <c r="LFM14" s="12"/>
      <c r="LFN14" s="12"/>
      <c r="LGE14" s="12"/>
      <c r="LGF14" s="12"/>
      <c r="LGW14" s="12"/>
      <c r="LGX14" s="12"/>
      <c r="LHO14" s="12"/>
      <c r="LHP14" s="12"/>
      <c r="LIG14" s="12"/>
      <c r="LIH14" s="12"/>
      <c r="LIY14" s="12"/>
      <c r="LIZ14" s="12"/>
      <c r="LJQ14" s="12"/>
      <c r="LJR14" s="12"/>
      <c r="LKI14" s="12"/>
      <c r="LKJ14" s="12"/>
      <c r="LLA14" s="12"/>
      <c r="LLB14" s="12"/>
      <c r="LLS14" s="12"/>
      <c r="LLT14" s="12"/>
      <c r="LMK14" s="12"/>
      <c r="LML14" s="12"/>
      <c r="LNC14" s="12"/>
      <c r="LND14" s="12"/>
      <c r="LNU14" s="12"/>
      <c r="LNV14" s="12"/>
      <c r="LOM14" s="12"/>
      <c r="LON14" s="12"/>
      <c r="LPE14" s="12"/>
      <c r="LPF14" s="12"/>
      <c r="LPW14" s="12"/>
      <c r="LPX14" s="12"/>
      <c r="LQO14" s="12"/>
      <c r="LQP14" s="12"/>
      <c r="LRG14" s="12"/>
      <c r="LRH14" s="12"/>
      <c r="LRY14" s="12"/>
      <c r="LRZ14" s="12"/>
      <c r="LSQ14" s="12"/>
      <c r="LSR14" s="12"/>
      <c r="LTI14" s="12"/>
      <c r="LTJ14" s="12"/>
      <c r="LUA14" s="12"/>
      <c r="LUB14" s="12"/>
      <c r="LUS14" s="12"/>
      <c r="LUT14" s="12"/>
      <c r="LVK14" s="12"/>
      <c r="LVL14" s="12"/>
      <c r="LWC14" s="12"/>
      <c r="LWD14" s="12"/>
      <c r="LWU14" s="12"/>
      <c r="LWV14" s="12"/>
      <c r="LXM14" s="12"/>
      <c r="LXN14" s="12"/>
      <c r="LYE14" s="12"/>
      <c r="LYF14" s="12"/>
      <c r="LYW14" s="12"/>
      <c r="LYX14" s="12"/>
      <c r="LZO14" s="12"/>
      <c r="LZP14" s="12"/>
      <c r="MAG14" s="12"/>
      <c r="MAH14" s="12"/>
      <c r="MAY14" s="12"/>
      <c r="MAZ14" s="12"/>
      <c r="MBQ14" s="12"/>
      <c r="MBR14" s="12"/>
      <c r="MCI14" s="12"/>
      <c r="MCJ14" s="12"/>
      <c r="MDA14" s="12"/>
      <c r="MDB14" s="12"/>
      <c r="MDS14" s="12"/>
      <c r="MDT14" s="12"/>
      <c r="MEK14" s="12"/>
      <c r="MEL14" s="12"/>
      <c r="MFC14" s="12"/>
      <c r="MFD14" s="12"/>
      <c r="MFU14" s="12"/>
      <c r="MFV14" s="12"/>
      <c r="MGM14" s="12"/>
      <c r="MGN14" s="12"/>
      <c r="MHE14" s="12"/>
      <c r="MHF14" s="12"/>
      <c r="MHW14" s="12"/>
      <c r="MHX14" s="12"/>
      <c r="MIO14" s="12"/>
      <c r="MIP14" s="12"/>
      <c r="MJG14" s="12"/>
      <c r="MJH14" s="12"/>
      <c r="MJY14" s="12"/>
      <c r="MJZ14" s="12"/>
      <c r="MKQ14" s="12"/>
      <c r="MKR14" s="12"/>
      <c r="MLI14" s="12"/>
      <c r="MLJ14" s="12"/>
      <c r="MMA14" s="12"/>
      <c r="MMB14" s="12"/>
      <c r="MMS14" s="12"/>
      <c r="MMT14" s="12"/>
      <c r="MNK14" s="12"/>
      <c r="MNL14" s="12"/>
      <c r="MOC14" s="12"/>
      <c r="MOD14" s="12"/>
      <c r="MOU14" s="12"/>
      <c r="MOV14" s="12"/>
      <c r="MPM14" s="12"/>
      <c r="MPN14" s="12"/>
      <c r="MQE14" s="12"/>
      <c r="MQF14" s="12"/>
      <c r="MQW14" s="12"/>
      <c r="MQX14" s="12"/>
      <c r="MRO14" s="12"/>
      <c r="MRP14" s="12"/>
      <c r="MSG14" s="12"/>
      <c r="MSH14" s="12"/>
      <c r="MSY14" s="12"/>
      <c r="MSZ14" s="12"/>
      <c r="MTQ14" s="12"/>
      <c r="MTR14" s="12"/>
      <c r="MUI14" s="12"/>
      <c r="MUJ14" s="12"/>
      <c r="MVA14" s="12"/>
      <c r="MVB14" s="12"/>
      <c r="MVS14" s="12"/>
      <c r="MVT14" s="12"/>
      <c r="MWK14" s="12"/>
      <c r="MWL14" s="12"/>
      <c r="MXC14" s="12"/>
      <c r="MXD14" s="12"/>
      <c r="MXU14" s="12"/>
      <c r="MXV14" s="12"/>
      <c r="MYM14" s="12"/>
      <c r="MYN14" s="12"/>
      <c r="MZE14" s="12"/>
      <c r="MZF14" s="12"/>
      <c r="MZW14" s="12"/>
      <c r="MZX14" s="12"/>
      <c r="NAO14" s="12"/>
      <c r="NAP14" s="12"/>
      <c r="NBG14" s="12"/>
      <c r="NBH14" s="12"/>
      <c r="NBY14" s="12"/>
      <c r="NBZ14" s="12"/>
      <c r="NCQ14" s="12"/>
      <c r="NCR14" s="12"/>
      <c r="NDI14" s="12"/>
      <c r="NDJ14" s="12"/>
      <c r="NEA14" s="12"/>
      <c r="NEB14" s="12"/>
      <c r="NES14" s="12"/>
      <c r="NET14" s="12"/>
      <c r="NFK14" s="12"/>
      <c r="NFL14" s="12"/>
      <c r="NGC14" s="12"/>
      <c r="NGD14" s="12"/>
      <c r="NGU14" s="12"/>
      <c r="NGV14" s="12"/>
      <c r="NHM14" s="12"/>
      <c r="NHN14" s="12"/>
      <c r="NIE14" s="12"/>
      <c r="NIF14" s="12"/>
      <c r="NIW14" s="12"/>
      <c r="NIX14" s="12"/>
      <c r="NJO14" s="12"/>
      <c r="NJP14" s="12"/>
      <c r="NKG14" s="12"/>
      <c r="NKH14" s="12"/>
      <c r="NKY14" s="12"/>
      <c r="NKZ14" s="12"/>
      <c r="NLQ14" s="12"/>
      <c r="NLR14" s="12"/>
      <c r="NMI14" s="12"/>
      <c r="NMJ14" s="12"/>
      <c r="NNA14" s="12"/>
      <c r="NNB14" s="12"/>
      <c r="NNS14" s="12"/>
      <c r="NNT14" s="12"/>
      <c r="NOK14" s="12"/>
      <c r="NOL14" s="12"/>
      <c r="NPC14" s="12"/>
      <c r="NPD14" s="12"/>
      <c r="NPU14" s="12"/>
      <c r="NPV14" s="12"/>
      <c r="NQM14" s="12"/>
      <c r="NQN14" s="12"/>
      <c r="NRE14" s="12"/>
      <c r="NRF14" s="12"/>
      <c r="NRW14" s="12"/>
      <c r="NRX14" s="12"/>
      <c r="NSO14" s="12"/>
      <c r="NSP14" s="12"/>
      <c r="NTG14" s="12"/>
      <c r="NTH14" s="12"/>
      <c r="NTY14" s="12"/>
      <c r="NTZ14" s="12"/>
      <c r="NUQ14" s="12"/>
      <c r="NUR14" s="12"/>
      <c r="NVI14" s="12"/>
      <c r="NVJ14" s="12"/>
      <c r="NWA14" s="12"/>
      <c r="NWB14" s="12"/>
      <c r="NWS14" s="12"/>
      <c r="NWT14" s="12"/>
      <c r="NXK14" s="12"/>
      <c r="NXL14" s="12"/>
      <c r="NYC14" s="12"/>
      <c r="NYD14" s="12"/>
      <c r="NYU14" s="12"/>
      <c r="NYV14" s="12"/>
      <c r="NZM14" s="12"/>
      <c r="NZN14" s="12"/>
      <c r="OAE14" s="12"/>
      <c r="OAF14" s="12"/>
      <c r="OAW14" s="12"/>
      <c r="OAX14" s="12"/>
      <c r="OBO14" s="12"/>
      <c r="OBP14" s="12"/>
      <c r="OCG14" s="12"/>
      <c r="OCH14" s="12"/>
      <c r="OCY14" s="12"/>
      <c r="OCZ14" s="12"/>
      <c r="ODQ14" s="12"/>
      <c r="ODR14" s="12"/>
      <c r="OEI14" s="12"/>
      <c r="OEJ14" s="12"/>
      <c r="OFA14" s="12"/>
      <c r="OFB14" s="12"/>
      <c r="OFS14" s="12"/>
      <c r="OFT14" s="12"/>
      <c r="OGK14" s="12"/>
      <c r="OGL14" s="12"/>
      <c r="OHC14" s="12"/>
      <c r="OHD14" s="12"/>
      <c r="OHU14" s="12"/>
      <c r="OHV14" s="12"/>
      <c r="OIM14" s="12"/>
      <c r="OIN14" s="12"/>
      <c r="OJE14" s="12"/>
      <c r="OJF14" s="12"/>
      <c r="OJW14" s="12"/>
      <c r="OJX14" s="12"/>
      <c r="OKO14" s="12"/>
      <c r="OKP14" s="12"/>
      <c r="OLG14" s="12"/>
      <c r="OLH14" s="12"/>
      <c r="OLY14" s="12"/>
      <c r="OLZ14" s="12"/>
      <c r="OMQ14" s="12"/>
      <c r="OMR14" s="12"/>
      <c r="ONI14" s="12"/>
      <c r="ONJ14" s="12"/>
      <c r="OOA14" s="12"/>
      <c r="OOB14" s="12"/>
      <c r="OOS14" s="12"/>
      <c r="OOT14" s="12"/>
      <c r="OPK14" s="12"/>
      <c r="OPL14" s="12"/>
      <c r="OQC14" s="12"/>
      <c r="OQD14" s="12"/>
      <c r="OQU14" s="12"/>
      <c r="OQV14" s="12"/>
      <c r="ORM14" s="12"/>
      <c r="ORN14" s="12"/>
      <c r="OSE14" s="12"/>
      <c r="OSF14" s="12"/>
      <c r="OSW14" s="12"/>
      <c r="OSX14" s="12"/>
      <c r="OTO14" s="12"/>
      <c r="OTP14" s="12"/>
      <c r="OUG14" s="12"/>
      <c r="OUH14" s="12"/>
      <c r="OUY14" s="12"/>
      <c r="OUZ14" s="12"/>
      <c r="OVQ14" s="12"/>
      <c r="OVR14" s="12"/>
      <c r="OWI14" s="12"/>
      <c r="OWJ14" s="12"/>
      <c r="OXA14" s="12"/>
      <c r="OXB14" s="12"/>
      <c r="OXS14" s="12"/>
      <c r="OXT14" s="12"/>
      <c r="OYK14" s="12"/>
      <c r="OYL14" s="12"/>
      <c r="OZC14" s="12"/>
      <c r="OZD14" s="12"/>
      <c r="OZU14" s="12"/>
      <c r="OZV14" s="12"/>
      <c r="PAM14" s="12"/>
      <c r="PAN14" s="12"/>
      <c r="PBE14" s="12"/>
      <c r="PBF14" s="12"/>
      <c r="PBW14" s="12"/>
      <c r="PBX14" s="12"/>
      <c r="PCO14" s="12"/>
      <c r="PCP14" s="12"/>
      <c r="PDG14" s="12"/>
      <c r="PDH14" s="12"/>
      <c r="PDY14" s="12"/>
      <c r="PDZ14" s="12"/>
      <c r="PEQ14" s="12"/>
      <c r="PER14" s="12"/>
      <c r="PFI14" s="12"/>
      <c r="PFJ14" s="12"/>
      <c r="PGA14" s="12"/>
      <c r="PGB14" s="12"/>
      <c r="PGS14" s="12"/>
      <c r="PGT14" s="12"/>
      <c r="PHK14" s="12"/>
      <c r="PHL14" s="12"/>
      <c r="PIC14" s="12"/>
      <c r="PID14" s="12"/>
      <c r="PIU14" s="12"/>
      <c r="PIV14" s="12"/>
      <c r="PJM14" s="12"/>
      <c r="PJN14" s="12"/>
      <c r="PKE14" s="12"/>
      <c r="PKF14" s="12"/>
      <c r="PKW14" s="12"/>
      <c r="PKX14" s="12"/>
      <c r="PLO14" s="12"/>
      <c r="PLP14" s="12"/>
      <c r="PMG14" s="12"/>
      <c r="PMH14" s="12"/>
      <c r="PMY14" s="12"/>
      <c r="PMZ14" s="12"/>
      <c r="PNQ14" s="12"/>
      <c r="PNR14" s="12"/>
      <c r="POI14" s="12"/>
      <c r="POJ14" s="12"/>
      <c r="PPA14" s="12"/>
      <c r="PPB14" s="12"/>
      <c r="PPS14" s="12"/>
      <c r="PPT14" s="12"/>
      <c r="PQK14" s="12"/>
      <c r="PQL14" s="12"/>
      <c r="PRC14" s="12"/>
      <c r="PRD14" s="12"/>
      <c r="PRU14" s="12"/>
      <c r="PRV14" s="12"/>
      <c r="PSM14" s="12"/>
      <c r="PSN14" s="12"/>
      <c r="PTE14" s="12"/>
      <c r="PTF14" s="12"/>
      <c r="PTW14" s="12"/>
      <c r="PTX14" s="12"/>
      <c r="PUO14" s="12"/>
      <c r="PUP14" s="12"/>
      <c r="PVG14" s="12"/>
      <c r="PVH14" s="12"/>
      <c r="PVY14" s="12"/>
      <c r="PVZ14" s="12"/>
      <c r="PWQ14" s="12"/>
      <c r="PWR14" s="12"/>
      <c r="PXI14" s="12"/>
      <c r="PXJ14" s="12"/>
      <c r="PYA14" s="12"/>
      <c r="PYB14" s="12"/>
      <c r="PYS14" s="12"/>
      <c r="PYT14" s="12"/>
      <c r="PZK14" s="12"/>
      <c r="PZL14" s="12"/>
      <c r="QAC14" s="12"/>
      <c r="QAD14" s="12"/>
      <c r="QAU14" s="12"/>
      <c r="QAV14" s="12"/>
      <c r="QBM14" s="12"/>
      <c r="QBN14" s="12"/>
      <c r="QCE14" s="12"/>
      <c r="QCF14" s="12"/>
      <c r="QCW14" s="12"/>
      <c r="QCX14" s="12"/>
      <c r="QDO14" s="12"/>
      <c r="QDP14" s="12"/>
      <c r="QEG14" s="12"/>
      <c r="QEH14" s="12"/>
      <c r="QEY14" s="12"/>
      <c r="QEZ14" s="12"/>
      <c r="QFQ14" s="12"/>
      <c r="QFR14" s="12"/>
      <c r="QGI14" s="12"/>
      <c r="QGJ14" s="12"/>
      <c r="QHA14" s="12"/>
      <c r="QHB14" s="12"/>
      <c r="QHS14" s="12"/>
      <c r="QHT14" s="12"/>
      <c r="QIK14" s="12"/>
      <c r="QIL14" s="12"/>
      <c r="QJC14" s="12"/>
      <c r="QJD14" s="12"/>
      <c r="QJU14" s="12"/>
      <c r="QJV14" s="12"/>
      <c r="QKM14" s="12"/>
      <c r="QKN14" s="12"/>
      <c r="QLE14" s="12"/>
      <c r="QLF14" s="12"/>
      <c r="QLW14" s="12"/>
      <c r="QLX14" s="12"/>
      <c r="QMO14" s="12"/>
      <c r="QMP14" s="12"/>
      <c r="QNG14" s="12"/>
      <c r="QNH14" s="12"/>
      <c r="QNY14" s="12"/>
      <c r="QNZ14" s="12"/>
      <c r="QOQ14" s="12"/>
      <c r="QOR14" s="12"/>
      <c r="QPI14" s="12"/>
      <c r="QPJ14" s="12"/>
      <c r="QQA14" s="12"/>
      <c r="QQB14" s="12"/>
      <c r="QQS14" s="12"/>
      <c r="QQT14" s="12"/>
      <c r="QRK14" s="12"/>
      <c r="QRL14" s="12"/>
      <c r="QSC14" s="12"/>
      <c r="QSD14" s="12"/>
      <c r="QSU14" s="12"/>
      <c r="QSV14" s="12"/>
      <c r="QTM14" s="12"/>
      <c r="QTN14" s="12"/>
      <c r="QUE14" s="12"/>
      <c r="QUF14" s="12"/>
      <c r="QUW14" s="12"/>
      <c r="QUX14" s="12"/>
      <c r="QVO14" s="12"/>
      <c r="QVP14" s="12"/>
      <c r="QWG14" s="12"/>
      <c r="QWH14" s="12"/>
      <c r="QWY14" s="12"/>
      <c r="QWZ14" s="12"/>
      <c r="QXQ14" s="12"/>
      <c r="QXR14" s="12"/>
      <c r="QYI14" s="12"/>
      <c r="QYJ14" s="12"/>
      <c r="QZA14" s="12"/>
      <c r="QZB14" s="12"/>
      <c r="QZS14" s="12"/>
      <c r="QZT14" s="12"/>
      <c r="RAK14" s="12"/>
      <c r="RAL14" s="12"/>
      <c r="RBC14" s="12"/>
      <c r="RBD14" s="12"/>
      <c r="RBU14" s="12"/>
      <c r="RBV14" s="12"/>
      <c r="RCM14" s="12"/>
      <c r="RCN14" s="12"/>
      <c r="RDE14" s="12"/>
      <c r="RDF14" s="12"/>
      <c r="RDW14" s="12"/>
      <c r="RDX14" s="12"/>
      <c r="REO14" s="12"/>
      <c r="REP14" s="12"/>
      <c r="RFG14" s="12"/>
      <c r="RFH14" s="12"/>
      <c r="RFY14" s="12"/>
      <c r="RFZ14" s="12"/>
      <c r="RGQ14" s="12"/>
      <c r="RGR14" s="12"/>
      <c r="RHI14" s="12"/>
      <c r="RHJ14" s="12"/>
      <c r="RIA14" s="12"/>
      <c r="RIB14" s="12"/>
      <c r="RIS14" s="12"/>
      <c r="RIT14" s="12"/>
      <c r="RJK14" s="12"/>
      <c r="RJL14" s="12"/>
      <c r="RKC14" s="12"/>
      <c r="RKD14" s="12"/>
      <c r="RKU14" s="12"/>
      <c r="RKV14" s="12"/>
      <c r="RLM14" s="12"/>
      <c r="RLN14" s="12"/>
      <c r="RME14" s="12"/>
      <c r="RMF14" s="12"/>
      <c r="RMW14" s="12"/>
      <c r="RMX14" s="12"/>
      <c r="RNO14" s="12"/>
      <c r="RNP14" s="12"/>
      <c r="ROG14" s="12"/>
      <c r="ROH14" s="12"/>
      <c r="ROY14" s="12"/>
      <c r="ROZ14" s="12"/>
      <c r="RPQ14" s="12"/>
      <c r="RPR14" s="12"/>
      <c r="RQI14" s="12"/>
      <c r="RQJ14" s="12"/>
      <c r="RRA14" s="12"/>
      <c r="RRB14" s="12"/>
      <c r="RRS14" s="12"/>
      <c r="RRT14" s="12"/>
      <c r="RSK14" s="12"/>
      <c r="RSL14" s="12"/>
      <c r="RTC14" s="12"/>
      <c r="RTD14" s="12"/>
      <c r="RTU14" s="12"/>
      <c r="RTV14" s="12"/>
      <c r="RUM14" s="12"/>
      <c r="RUN14" s="12"/>
      <c r="RVE14" s="12"/>
      <c r="RVF14" s="12"/>
      <c r="RVW14" s="12"/>
      <c r="RVX14" s="12"/>
      <c r="RWO14" s="12"/>
      <c r="RWP14" s="12"/>
      <c r="RXG14" s="12"/>
      <c r="RXH14" s="12"/>
      <c r="RXY14" s="12"/>
      <c r="RXZ14" s="12"/>
      <c r="RYQ14" s="12"/>
      <c r="RYR14" s="12"/>
      <c r="RZI14" s="12"/>
      <c r="RZJ14" s="12"/>
      <c r="SAA14" s="12"/>
      <c r="SAB14" s="12"/>
      <c r="SAS14" s="12"/>
      <c r="SAT14" s="12"/>
      <c r="SBK14" s="12"/>
      <c r="SBL14" s="12"/>
      <c r="SCC14" s="12"/>
      <c r="SCD14" s="12"/>
      <c r="SCU14" s="12"/>
      <c r="SCV14" s="12"/>
      <c r="SDM14" s="12"/>
      <c r="SDN14" s="12"/>
      <c r="SEE14" s="12"/>
      <c r="SEF14" s="12"/>
      <c r="SEW14" s="12"/>
      <c r="SEX14" s="12"/>
      <c r="SFO14" s="12"/>
      <c r="SFP14" s="12"/>
      <c r="SGG14" s="12"/>
      <c r="SGH14" s="12"/>
      <c r="SGY14" s="12"/>
      <c r="SGZ14" s="12"/>
      <c r="SHQ14" s="12"/>
      <c r="SHR14" s="12"/>
      <c r="SII14" s="12"/>
      <c r="SIJ14" s="12"/>
      <c r="SJA14" s="12"/>
      <c r="SJB14" s="12"/>
      <c r="SJS14" s="12"/>
      <c r="SJT14" s="12"/>
      <c r="SKK14" s="12"/>
      <c r="SKL14" s="12"/>
      <c r="SLC14" s="12"/>
      <c r="SLD14" s="12"/>
      <c r="SLU14" s="12"/>
      <c r="SLV14" s="12"/>
      <c r="SMM14" s="12"/>
      <c r="SMN14" s="12"/>
      <c r="SNE14" s="12"/>
      <c r="SNF14" s="12"/>
      <c r="SNW14" s="12"/>
      <c r="SNX14" s="12"/>
      <c r="SOO14" s="12"/>
      <c r="SOP14" s="12"/>
      <c r="SPG14" s="12"/>
      <c r="SPH14" s="12"/>
      <c r="SPY14" s="12"/>
      <c r="SPZ14" s="12"/>
      <c r="SQQ14" s="12"/>
      <c r="SQR14" s="12"/>
      <c r="SRI14" s="12"/>
      <c r="SRJ14" s="12"/>
      <c r="SSA14" s="12"/>
      <c r="SSB14" s="12"/>
      <c r="SSS14" s="12"/>
      <c r="SST14" s="12"/>
      <c r="STK14" s="12"/>
      <c r="STL14" s="12"/>
      <c r="SUC14" s="12"/>
      <c r="SUD14" s="12"/>
      <c r="SUU14" s="12"/>
      <c r="SUV14" s="12"/>
      <c r="SVM14" s="12"/>
      <c r="SVN14" s="12"/>
      <c r="SWE14" s="12"/>
      <c r="SWF14" s="12"/>
      <c r="SWW14" s="12"/>
      <c r="SWX14" s="12"/>
      <c r="SXO14" s="12"/>
      <c r="SXP14" s="12"/>
      <c r="SYG14" s="12"/>
      <c r="SYH14" s="12"/>
      <c r="SYY14" s="12"/>
      <c r="SYZ14" s="12"/>
      <c r="SZQ14" s="12"/>
      <c r="SZR14" s="12"/>
      <c r="TAI14" s="12"/>
      <c r="TAJ14" s="12"/>
      <c r="TBA14" s="12"/>
      <c r="TBB14" s="12"/>
      <c r="TBS14" s="12"/>
      <c r="TBT14" s="12"/>
      <c r="TCK14" s="12"/>
      <c r="TCL14" s="12"/>
      <c r="TDC14" s="12"/>
      <c r="TDD14" s="12"/>
      <c r="TDU14" s="12"/>
      <c r="TDV14" s="12"/>
      <c r="TEM14" s="12"/>
      <c r="TEN14" s="12"/>
      <c r="TFE14" s="12"/>
      <c r="TFF14" s="12"/>
      <c r="TFW14" s="12"/>
      <c r="TFX14" s="12"/>
      <c r="TGO14" s="12"/>
      <c r="TGP14" s="12"/>
      <c r="THG14" s="12"/>
      <c r="THH14" s="12"/>
      <c r="THY14" s="12"/>
      <c r="THZ14" s="12"/>
      <c r="TIQ14" s="12"/>
      <c r="TIR14" s="12"/>
      <c r="TJI14" s="12"/>
      <c r="TJJ14" s="12"/>
      <c r="TKA14" s="12"/>
      <c r="TKB14" s="12"/>
      <c r="TKS14" s="12"/>
      <c r="TKT14" s="12"/>
      <c r="TLK14" s="12"/>
      <c r="TLL14" s="12"/>
      <c r="TMC14" s="12"/>
      <c r="TMD14" s="12"/>
      <c r="TMU14" s="12"/>
      <c r="TMV14" s="12"/>
      <c r="TNM14" s="12"/>
      <c r="TNN14" s="12"/>
      <c r="TOE14" s="12"/>
      <c r="TOF14" s="12"/>
      <c r="TOW14" s="12"/>
      <c r="TOX14" s="12"/>
      <c r="TPO14" s="12"/>
      <c r="TPP14" s="12"/>
      <c r="TQG14" s="12"/>
      <c r="TQH14" s="12"/>
      <c r="TQY14" s="12"/>
      <c r="TQZ14" s="12"/>
      <c r="TRQ14" s="12"/>
      <c r="TRR14" s="12"/>
      <c r="TSI14" s="12"/>
      <c r="TSJ14" s="12"/>
      <c r="TTA14" s="12"/>
      <c r="TTB14" s="12"/>
      <c r="TTS14" s="12"/>
      <c r="TTT14" s="12"/>
      <c r="TUK14" s="12"/>
      <c r="TUL14" s="12"/>
      <c r="TVC14" s="12"/>
      <c r="TVD14" s="12"/>
      <c r="TVU14" s="12"/>
      <c r="TVV14" s="12"/>
      <c r="TWM14" s="12"/>
      <c r="TWN14" s="12"/>
      <c r="TXE14" s="12"/>
      <c r="TXF14" s="12"/>
      <c r="TXW14" s="12"/>
      <c r="TXX14" s="12"/>
      <c r="TYO14" s="12"/>
      <c r="TYP14" s="12"/>
      <c r="TZG14" s="12"/>
      <c r="TZH14" s="12"/>
      <c r="TZY14" s="12"/>
      <c r="TZZ14" s="12"/>
      <c r="UAQ14" s="12"/>
      <c r="UAR14" s="12"/>
      <c r="UBI14" s="12"/>
      <c r="UBJ14" s="12"/>
      <c r="UCA14" s="12"/>
      <c r="UCB14" s="12"/>
      <c r="UCS14" s="12"/>
      <c r="UCT14" s="12"/>
      <c r="UDK14" s="12"/>
      <c r="UDL14" s="12"/>
      <c r="UEC14" s="12"/>
      <c r="UED14" s="12"/>
      <c r="UEU14" s="12"/>
      <c r="UEV14" s="12"/>
      <c r="UFM14" s="12"/>
      <c r="UFN14" s="12"/>
      <c r="UGE14" s="12"/>
      <c r="UGF14" s="12"/>
      <c r="UGW14" s="12"/>
      <c r="UGX14" s="12"/>
      <c r="UHO14" s="12"/>
      <c r="UHP14" s="12"/>
      <c r="UIG14" s="12"/>
      <c r="UIH14" s="12"/>
      <c r="UIY14" s="12"/>
      <c r="UIZ14" s="12"/>
      <c r="UJQ14" s="12"/>
      <c r="UJR14" s="12"/>
      <c r="UKI14" s="12"/>
      <c r="UKJ14" s="12"/>
      <c r="ULA14" s="12"/>
      <c r="ULB14" s="12"/>
      <c r="ULS14" s="12"/>
      <c r="ULT14" s="12"/>
      <c r="UMK14" s="12"/>
      <c r="UML14" s="12"/>
      <c r="UNC14" s="12"/>
      <c r="UND14" s="12"/>
      <c r="UNU14" s="12"/>
      <c r="UNV14" s="12"/>
      <c r="UOM14" s="12"/>
      <c r="UON14" s="12"/>
      <c r="UPE14" s="12"/>
      <c r="UPF14" s="12"/>
      <c r="UPW14" s="12"/>
      <c r="UPX14" s="12"/>
      <c r="UQO14" s="12"/>
      <c r="UQP14" s="12"/>
      <c r="URG14" s="12"/>
      <c r="URH14" s="12"/>
      <c r="URY14" s="12"/>
      <c r="URZ14" s="12"/>
      <c r="USQ14" s="12"/>
      <c r="USR14" s="12"/>
      <c r="UTI14" s="12"/>
      <c r="UTJ14" s="12"/>
      <c r="UUA14" s="12"/>
      <c r="UUB14" s="12"/>
      <c r="UUS14" s="12"/>
      <c r="UUT14" s="12"/>
      <c r="UVK14" s="12"/>
      <c r="UVL14" s="12"/>
      <c r="UWC14" s="12"/>
      <c r="UWD14" s="12"/>
      <c r="UWU14" s="12"/>
      <c r="UWV14" s="12"/>
      <c r="UXM14" s="12"/>
      <c r="UXN14" s="12"/>
      <c r="UYE14" s="12"/>
      <c r="UYF14" s="12"/>
      <c r="UYW14" s="12"/>
      <c r="UYX14" s="12"/>
      <c r="UZO14" s="12"/>
      <c r="UZP14" s="12"/>
      <c r="VAG14" s="12"/>
      <c r="VAH14" s="12"/>
      <c r="VAY14" s="12"/>
      <c r="VAZ14" s="12"/>
      <c r="VBQ14" s="12"/>
      <c r="VBR14" s="12"/>
      <c r="VCI14" s="12"/>
      <c r="VCJ14" s="12"/>
      <c r="VDA14" s="12"/>
      <c r="VDB14" s="12"/>
      <c r="VDS14" s="12"/>
      <c r="VDT14" s="12"/>
      <c r="VEK14" s="12"/>
      <c r="VEL14" s="12"/>
      <c r="VFC14" s="12"/>
      <c r="VFD14" s="12"/>
      <c r="VFU14" s="12"/>
      <c r="VFV14" s="12"/>
      <c r="VGM14" s="12"/>
      <c r="VGN14" s="12"/>
      <c r="VHE14" s="12"/>
      <c r="VHF14" s="12"/>
      <c r="VHW14" s="12"/>
      <c r="VHX14" s="12"/>
      <c r="VIO14" s="12"/>
      <c r="VIP14" s="12"/>
      <c r="VJG14" s="12"/>
      <c r="VJH14" s="12"/>
      <c r="VJY14" s="12"/>
      <c r="VJZ14" s="12"/>
      <c r="VKQ14" s="12"/>
      <c r="VKR14" s="12"/>
      <c r="VLI14" s="12"/>
      <c r="VLJ14" s="12"/>
      <c r="VMA14" s="12"/>
      <c r="VMB14" s="12"/>
      <c r="VMS14" s="12"/>
      <c r="VMT14" s="12"/>
      <c r="VNK14" s="12"/>
      <c r="VNL14" s="12"/>
      <c r="VOC14" s="12"/>
      <c r="VOD14" s="12"/>
      <c r="VOU14" s="12"/>
      <c r="VOV14" s="12"/>
      <c r="VPM14" s="12"/>
      <c r="VPN14" s="12"/>
      <c r="VQE14" s="12"/>
      <c r="VQF14" s="12"/>
      <c r="VQW14" s="12"/>
      <c r="VQX14" s="12"/>
      <c r="VRO14" s="12"/>
      <c r="VRP14" s="12"/>
      <c r="VSG14" s="12"/>
      <c r="VSH14" s="12"/>
      <c r="VSY14" s="12"/>
      <c r="VSZ14" s="12"/>
      <c r="VTQ14" s="12"/>
      <c r="VTR14" s="12"/>
      <c r="VUI14" s="12"/>
      <c r="VUJ14" s="12"/>
      <c r="VVA14" s="12"/>
      <c r="VVB14" s="12"/>
      <c r="VVS14" s="12"/>
      <c r="VVT14" s="12"/>
      <c r="VWK14" s="12"/>
      <c r="VWL14" s="12"/>
      <c r="VXC14" s="12"/>
      <c r="VXD14" s="12"/>
      <c r="VXU14" s="12"/>
      <c r="VXV14" s="12"/>
      <c r="VYM14" s="12"/>
      <c r="VYN14" s="12"/>
      <c r="VZE14" s="12"/>
      <c r="VZF14" s="12"/>
      <c r="VZW14" s="12"/>
      <c r="VZX14" s="12"/>
      <c r="WAO14" s="12"/>
      <c r="WAP14" s="12"/>
      <c r="WBG14" s="12"/>
      <c r="WBH14" s="12"/>
      <c r="WBY14" s="12"/>
      <c r="WBZ14" s="12"/>
      <c r="WCQ14" s="12"/>
      <c r="WCR14" s="12"/>
      <c r="WDI14" s="12"/>
      <c r="WDJ14" s="12"/>
      <c r="WEA14" s="12"/>
      <c r="WEB14" s="12"/>
      <c r="WES14" s="12"/>
      <c r="WET14" s="12"/>
      <c r="WFK14" s="12"/>
      <c r="WFL14" s="12"/>
      <c r="WGC14" s="12"/>
      <c r="WGD14" s="12"/>
      <c r="WGU14" s="12"/>
      <c r="WGV14" s="12"/>
      <c r="WHM14" s="12"/>
      <c r="WHN14" s="12"/>
      <c r="WIE14" s="12"/>
      <c r="WIF14" s="12"/>
      <c r="WIW14" s="12"/>
      <c r="WIX14" s="12"/>
      <c r="WJO14" s="12"/>
      <c r="WJP14" s="12"/>
      <c r="WKG14" s="12"/>
      <c r="WKH14" s="12"/>
      <c r="WKY14" s="12"/>
      <c r="WKZ14" s="12"/>
      <c r="WLQ14" s="12"/>
      <c r="WLR14" s="12"/>
      <c r="WMI14" s="12"/>
      <c r="WMJ14" s="12"/>
      <c r="WNA14" s="12"/>
      <c r="WNB14" s="12"/>
      <c r="WNS14" s="12"/>
      <c r="WNT14" s="12"/>
      <c r="WOK14" s="12"/>
      <c r="WOL14" s="12"/>
      <c r="WPC14" s="12"/>
      <c r="WPD14" s="12"/>
      <c r="WPU14" s="12"/>
      <c r="WPV14" s="12"/>
      <c r="WQM14" s="12"/>
      <c r="WQN14" s="12"/>
      <c r="WRE14" s="12"/>
      <c r="WRF14" s="12"/>
      <c r="WRW14" s="12"/>
      <c r="WRX14" s="12"/>
      <c r="WSO14" s="12"/>
      <c r="WSP14" s="12"/>
      <c r="WTG14" s="12"/>
      <c r="WTH14" s="12"/>
      <c r="WTY14" s="12"/>
      <c r="WTZ14" s="12"/>
      <c r="WUQ14" s="12"/>
      <c r="WUR14" s="12"/>
      <c r="WVI14" s="12"/>
      <c r="WVJ14" s="12"/>
      <c r="WWA14" s="12"/>
      <c r="WWB14" s="12"/>
      <c r="WWS14" s="12"/>
      <c r="WWT14" s="12"/>
      <c r="WXK14" s="12"/>
      <c r="WXL14" s="12"/>
      <c r="WYC14" s="12"/>
      <c r="WYD14" s="12"/>
      <c r="WYU14" s="12"/>
      <c r="WYV14" s="12"/>
      <c r="WZM14" s="12"/>
      <c r="WZN14" s="12"/>
      <c r="XAE14" s="12"/>
      <c r="XAF14" s="12"/>
      <c r="XAW14" s="12"/>
      <c r="XAX14" s="12"/>
      <c r="XBO14" s="12"/>
      <c r="XBP14" s="12"/>
      <c r="XCG14" s="12"/>
      <c r="XCH14" s="12"/>
      <c r="XCY14" s="12"/>
      <c r="XCZ14" s="12"/>
      <c r="XDQ14" s="12"/>
      <c r="XDR14" s="12"/>
      <c r="XEI14" s="12"/>
      <c r="XEJ14" s="12"/>
      <c r="XFA14" s="12"/>
      <c r="XFB14" s="12"/>
    </row>
    <row r="15" spans="1:1010 1027:2036 2053:3062 3079:4088 4105:5114 5131:6140 6157:7166 7183:8192 8209:9200 9217:10226 10243:11252 11269:12278 12295:13304 13321:14330 14347:15356 15373:16382" x14ac:dyDescent="0.35">
      <c r="A15" s="181" t="str">
        <f>'Income - GAAP'!A15</f>
        <v xml:space="preserve">    + Cost of Goods &amp; Services</v>
      </c>
      <c r="B15" s="13" t="str">
        <f>'Income - GAAP'!B15</f>
        <v>IS_COG_AND_SERVICES_SOLD</v>
      </c>
      <c r="C15" s="77">
        <f>IF('Income - GAAP'!C15="",0,'Income - GAAP'!C15)/'Income - GAAP'!C$9</f>
        <v>0.71221953056770682</v>
      </c>
      <c r="D15" s="77">
        <f>IF('Income - GAAP'!D15="",0,'Income - GAAP'!D15)/'Income - GAAP'!D$9</f>
        <v>0.72004594727646554</v>
      </c>
      <c r="E15" s="77">
        <f>IF('Income - GAAP'!E15="",0,'Income - GAAP'!E15)/'Income - GAAP'!E$9</f>
        <v>0.72346062205019124</v>
      </c>
      <c r="F15" s="77">
        <f>IF('Income - GAAP'!F15="",0,'Income - GAAP'!F15)/'Income - GAAP'!F$9</f>
        <v>0.74191572537786665</v>
      </c>
      <c r="G15" s="77">
        <f>IF('Income - GAAP'!G15="",0,'Income - GAAP'!G15)/'Income - GAAP'!G$9</f>
        <v>0.67864847100856973</v>
      </c>
      <c r="H15" s="77">
        <f>IF('Income - GAAP'!H15="",0,'Income - GAAP'!H15)/'Income - GAAP'!H$9</f>
        <v>0.73538966186672683</v>
      </c>
      <c r="I15" s="77">
        <f>IF('Income - GAAP'!I15="",0,'Income - GAAP'!I15)/'Income - GAAP'!I$9</f>
        <v>0.74157663449424782</v>
      </c>
      <c r="J15" s="77">
        <f>IF('Income - GAAP'!J15="",0,'Income - GAAP'!J15)/'Income - GAAP'!J$9</f>
        <v>0.68399338954789024</v>
      </c>
      <c r="K15" s="77">
        <f>IF('Income - GAAP'!K15="",0,'Income - GAAP'!K15)/'Income - GAAP'!K$9</f>
        <v>0.68528548414196633</v>
      </c>
      <c r="L15" s="77">
        <f>IF('Income - GAAP'!L15="",0,'Income - GAAP'!L15)/'Income - GAAP'!L$9</f>
        <v>0.68836491377474984</v>
      </c>
      <c r="M15" s="108"/>
      <c r="N15" s="108"/>
      <c r="O15" s="108"/>
      <c r="P15" s="108"/>
      <c r="Q15" s="108"/>
      <c r="R15" s="108"/>
      <c r="S15" s="37"/>
      <c r="T15" s="37"/>
      <c r="U15" s="37"/>
      <c r="V15" s="37"/>
      <c r="W15" s="37"/>
      <c r="X15" s="37"/>
      <c r="Y15" s="37"/>
      <c r="Z15" s="37"/>
      <c r="AA15" s="37"/>
      <c r="AB15" s="37"/>
      <c r="AC15" s="37"/>
      <c r="AD15" s="37"/>
      <c r="AE15" s="37"/>
      <c r="AF15" s="37"/>
      <c r="AG15" s="37"/>
      <c r="AH15" s="37"/>
      <c r="AI15" s="37"/>
      <c r="AJ15" s="37"/>
      <c r="AK15" s="37"/>
    </row>
    <row r="16" spans="1:1010 1027:2036 2053:3062 3079:4088 4105:5114 5131:6140 6157:7166 7183:8192 8209:9200 9217:10226 10243:11252 11269:12278 12295:13304 13321:14330 14347:15356 15373:16382" x14ac:dyDescent="0.35">
      <c r="A16" s="181" t="str">
        <f>'Income - GAAP'!A16</f>
        <v xml:space="preserve">    + Depreciation &amp; Amortization - COGS</v>
      </c>
      <c r="B16" s="13" t="str">
        <f>'Income - GAAP'!B16</f>
        <v>IS_DA_COST_OF_REVENUE_GAAP</v>
      </c>
      <c r="C16" s="77">
        <f>IF('Income - GAAP'!C16="",0,'Income - GAAP'!C16)/'Income - GAAP'!C$9</f>
        <v>0</v>
      </c>
      <c r="D16" s="77">
        <f>IF('Income - GAAP'!D16="",0,'Income - GAAP'!D16)/'Income - GAAP'!D$9</f>
        <v>0</v>
      </c>
      <c r="E16" s="77">
        <f>IF('Income - GAAP'!E16="",0,'Income - GAAP'!E16)/'Income - GAAP'!E$9</f>
        <v>0</v>
      </c>
      <c r="F16" s="77">
        <f>IF('Income - GAAP'!F16="",0,'Income - GAAP'!F16)/'Income - GAAP'!F$9</f>
        <v>0</v>
      </c>
      <c r="G16" s="77">
        <f>IF('Income - GAAP'!G16="",0,'Income - GAAP'!G16)/'Income - GAAP'!G$9</f>
        <v>0</v>
      </c>
      <c r="H16" s="77">
        <f>IF('Income - GAAP'!H16="",0,'Income - GAAP'!H16)/'Income - GAAP'!H$9</f>
        <v>0</v>
      </c>
      <c r="I16" s="77">
        <f>IF('Income - GAAP'!I16="",0,'Income - GAAP'!I16)/'Income - GAAP'!I$9</f>
        <v>0</v>
      </c>
      <c r="J16" s="77">
        <f>IF('Income - GAAP'!J16="",0,'Income - GAAP'!J16)/'Income - GAAP'!J$9</f>
        <v>0</v>
      </c>
      <c r="K16" s="77">
        <f>IF('Income - GAAP'!K16="",0,'Income - GAAP'!K16)/'Income - GAAP'!K$9</f>
        <v>0</v>
      </c>
      <c r="L16" s="77">
        <f>IF('Income - GAAP'!L16="",0,'Income - GAAP'!L16)/'Income - GAAP'!L$9</f>
        <v>0</v>
      </c>
      <c r="M16" s="108"/>
      <c r="N16" s="108"/>
      <c r="O16" s="108"/>
      <c r="P16" s="108"/>
      <c r="Q16" s="108"/>
      <c r="R16" s="108"/>
      <c r="S16" s="37"/>
      <c r="T16" s="37"/>
      <c r="U16" s="37"/>
      <c r="V16" s="37"/>
      <c r="W16" s="37"/>
      <c r="X16" s="37"/>
      <c r="Y16" s="37"/>
      <c r="Z16" s="37"/>
      <c r="AA16" s="37"/>
      <c r="AB16" s="37"/>
      <c r="AC16" s="37"/>
      <c r="AD16" s="37"/>
      <c r="AE16" s="37"/>
      <c r="AF16" s="37"/>
      <c r="AG16" s="37"/>
      <c r="AH16" s="37"/>
      <c r="AI16" s="37"/>
      <c r="AJ16" s="37"/>
      <c r="AK16" s="37"/>
    </row>
    <row r="17" spans="1:1010 1027:2036 2053:3062 3079:4088 4105:5114 5131:6140 6157:7166 7183:8192 8209:9200 9217:10226 10243:11252 11269:12278 12295:13304 13321:14330 14347:15356 15373:16382" x14ac:dyDescent="0.35">
      <c r="A17" s="181" t="str">
        <f>'Income - GAAP'!A17</f>
        <v xml:space="preserve">    + Cost of Financing Revenue</v>
      </c>
      <c r="B17" s="13" t="str">
        <f>'Income - GAAP'!B17</f>
        <v>IS_COST_OF_FINANCING_REVENUE</v>
      </c>
      <c r="C17" s="77">
        <f>IF('Income - GAAP'!C17="",0,'Income - GAAP'!C17)/'Income - GAAP'!C$9</f>
        <v>0</v>
      </c>
      <c r="D17" s="77">
        <f>IF('Income - GAAP'!D17="",0,'Income - GAAP'!D17)/'Income - GAAP'!D$9</f>
        <v>0</v>
      </c>
      <c r="E17" s="77">
        <f>IF('Income - GAAP'!E17="",0,'Income - GAAP'!E17)/'Income - GAAP'!E$9</f>
        <v>0</v>
      </c>
      <c r="F17" s="77">
        <f>IF('Income - GAAP'!F17="",0,'Income - GAAP'!F17)/'Income - GAAP'!F$9</f>
        <v>0</v>
      </c>
      <c r="G17" s="77">
        <f>IF('Income - GAAP'!G17="",0,'Income - GAAP'!G17)/'Income - GAAP'!G$9</f>
        <v>0</v>
      </c>
      <c r="H17" s="77">
        <f>IF('Income - GAAP'!H17="",0,'Income - GAAP'!H17)/'Income - GAAP'!H$9</f>
        <v>0</v>
      </c>
      <c r="I17" s="77">
        <f>IF('Income - GAAP'!I17="",0,'Income - GAAP'!I17)/'Income - GAAP'!I$9</f>
        <v>0</v>
      </c>
      <c r="J17" s="77">
        <f>IF('Income - GAAP'!J17="",0,'Income - GAAP'!J17)/'Income - GAAP'!J$9</f>
        <v>0</v>
      </c>
      <c r="K17" s="77">
        <f>IF('Income - GAAP'!K17="",0,'Income - GAAP'!K17)/'Income - GAAP'!K$9</f>
        <v>0</v>
      </c>
      <c r="L17" s="77">
        <f>IF('Income - GAAP'!L17="",0,'Income - GAAP'!L17)/'Income - GAAP'!L$9</f>
        <v>0</v>
      </c>
      <c r="M17" s="108"/>
      <c r="N17" s="108"/>
      <c r="O17" s="108"/>
      <c r="P17" s="108"/>
      <c r="Q17" s="108"/>
      <c r="R17" s="108"/>
      <c r="S17" s="37"/>
      <c r="T17" s="37"/>
      <c r="U17" s="37"/>
      <c r="V17" s="37"/>
      <c r="W17" s="37"/>
      <c r="X17" s="37"/>
      <c r="Y17" s="37"/>
      <c r="Z17" s="37"/>
      <c r="AA17" s="37"/>
      <c r="AB17" s="37"/>
      <c r="AC17" s="37"/>
      <c r="AD17" s="37"/>
      <c r="AE17" s="37"/>
      <c r="AF17" s="37"/>
      <c r="AG17" s="37"/>
      <c r="AH17" s="37"/>
      <c r="AI17" s="37"/>
      <c r="AJ17" s="37"/>
      <c r="AK17" s="37"/>
    </row>
    <row r="18" spans="1:1010 1027:2036 2053:3062 3079:4088 4105:5114 5131:6140 6157:7166 7183:8192 8209:9200 9217:10226 10243:11252 11269:12278 12295:13304 13321:14330 14347:15356 15373:16382" x14ac:dyDescent="0.35">
      <c r="A18" s="181" t="str">
        <f>'Income - GAAP'!A18</f>
        <v>check</v>
      </c>
      <c r="B18" s="23"/>
      <c r="C18" s="79"/>
      <c r="D18" s="79"/>
      <c r="E18" s="79"/>
      <c r="F18" s="79"/>
      <c r="G18" s="79"/>
      <c r="H18" s="79"/>
      <c r="I18" s="79"/>
      <c r="J18" s="79"/>
      <c r="K18" s="79"/>
      <c r="L18" s="79"/>
      <c r="M18" s="127"/>
      <c r="N18" s="127"/>
      <c r="O18" s="127"/>
      <c r="P18" s="127"/>
      <c r="Q18" s="127"/>
      <c r="R18" s="127"/>
      <c r="S18" s="37"/>
      <c r="T18" s="37"/>
      <c r="U18" s="37"/>
      <c r="V18" s="37"/>
      <c r="W18" s="37"/>
      <c r="X18" s="37"/>
      <c r="Y18" s="37"/>
      <c r="Z18" s="37"/>
      <c r="AA18" s="37"/>
      <c r="AB18" s="37"/>
      <c r="AC18" s="37"/>
      <c r="AD18" s="37"/>
      <c r="AE18" s="37"/>
      <c r="AF18" s="37"/>
      <c r="AG18" s="37"/>
      <c r="AH18" s="37"/>
      <c r="AI18" s="37"/>
      <c r="AJ18" s="37"/>
      <c r="AK18" s="37"/>
    </row>
    <row r="19" spans="1:1010 1027:2036 2053:3062 3079:4088 4105:5114 5131:6140 6157:7166 7183:8192 8209:9200 9217:10226 10243:11252 11269:12278 12295:13304 13321:14330 14347:15356 15373:16382" x14ac:dyDescent="0.35">
      <c r="A19" s="51" t="str">
        <f>'Income - GAAP'!A19</f>
        <v>Gross Profit</v>
      </c>
      <c r="B19" s="51" t="str">
        <f>'Income - GAAP'!B19</f>
        <v>GROSS_PROFIT</v>
      </c>
      <c r="C19" s="81">
        <f>IF('Income - GAAP'!C19="",0,'Income - GAAP'!C19)/'Income - GAAP'!C$9</f>
        <v>0.2877804694322933</v>
      </c>
      <c r="D19" s="81">
        <f>IF('Income - GAAP'!D19="",0,'Income - GAAP'!D19)/'Income - GAAP'!D$9</f>
        <v>0.27995405272353446</v>
      </c>
      <c r="E19" s="81">
        <f>IF('Income - GAAP'!E19="",0,'Income - GAAP'!E19)/'Income - GAAP'!E$9</f>
        <v>0.27653937794980871</v>
      </c>
      <c r="F19" s="81">
        <f>IF('Income - GAAP'!F19="",0,'Income - GAAP'!F19)/'Income - GAAP'!F$9</f>
        <v>0.25808427462213335</v>
      </c>
      <c r="G19" s="81">
        <f>IF('Income - GAAP'!G19="",0,'Income - GAAP'!G19)/'Income - GAAP'!G$9</f>
        <v>0.32135152899143027</v>
      </c>
      <c r="H19" s="81">
        <f>IF('Income - GAAP'!H19="",0,'Income - GAAP'!H19)/'Income - GAAP'!H$9</f>
        <v>0.26461033813327323</v>
      </c>
      <c r="I19" s="81">
        <f>IF('Income - GAAP'!I19="",0,'Income - GAAP'!I19)/'Income - GAAP'!I$9</f>
        <v>0.25842336550575223</v>
      </c>
      <c r="J19" s="81">
        <f>IF('Income - GAAP'!J19="",0,'Income - GAAP'!J19)/'Income - GAAP'!J$9</f>
        <v>0.31600661045210982</v>
      </c>
      <c r="K19" s="81">
        <f>IF('Income - GAAP'!K19="",0,'Income - GAAP'!K19)/'Income - GAAP'!K$9</f>
        <v>0.31471451585803384</v>
      </c>
      <c r="L19" s="81">
        <f>IF('Income - GAAP'!L19="",0,'Income - GAAP'!L19)/'Income - GAAP'!L$9</f>
        <v>0.31163508622525016</v>
      </c>
      <c r="M19" s="128"/>
      <c r="N19" s="128"/>
      <c r="O19" s="128"/>
      <c r="P19" s="128"/>
      <c r="Q19" s="128"/>
      <c r="R19" s="128"/>
      <c r="S19" s="37"/>
      <c r="T19" s="37"/>
      <c r="U19" s="37"/>
      <c r="V19" s="37"/>
      <c r="W19" s="37"/>
      <c r="X19" s="37"/>
      <c r="Y19" s="37"/>
      <c r="Z19" s="37"/>
      <c r="AA19" s="37"/>
      <c r="AB19" s="37"/>
      <c r="AC19" s="37"/>
      <c r="AD19" s="37"/>
      <c r="AE19" s="37"/>
      <c r="AF19" s="37"/>
      <c r="AG19" s="37"/>
      <c r="AH19" s="37"/>
      <c r="AI19" s="37"/>
      <c r="AJ19" s="37"/>
      <c r="AK19" s="37"/>
    </row>
    <row r="20" spans="1:1010 1027:2036 2053:3062 3079:4088 4105:5114 5131:6140 6157:7166 7183:8192 8209:9200 9217:10226 10243:11252 11269:12278 12295:13304 13321:14330 14347:15356 15373:16382" x14ac:dyDescent="0.35">
      <c r="A20" s="24" t="str">
        <f>'Income - GAAP'!A20</f>
        <v>check</v>
      </c>
      <c r="B20" s="24"/>
      <c r="C20" s="83"/>
      <c r="D20" s="83"/>
      <c r="E20" s="83"/>
      <c r="F20" s="83"/>
      <c r="G20" s="83"/>
      <c r="H20" s="83"/>
      <c r="I20" s="83"/>
      <c r="J20" s="83"/>
      <c r="K20" s="83"/>
      <c r="L20" s="83"/>
      <c r="M20" s="129"/>
      <c r="N20" s="129"/>
      <c r="O20" s="129"/>
      <c r="P20" s="129"/>
      <c r="Q20" s="129"/>
      <c r="R20" s="129"/>
      <c r="S20" s="37"/>
      <c r="T20" s="37"/>
      <c r="U20" s="37"/>
      <c r="V20" s="37"/>
      <c r="W20" s="37"/>
      <c r="X20" s="37"/>
      <c r="Y20" s="37"/>
      <c r="Z20" s="37"/>
      <c r="AA20" s="37"/>
      <c r="AB20" s="37"/>
      <c r="AC20" s="37"/>
      <c r="AD20" s="37"/>
      <c r="AE20" s="37"/>
      <c r="AF20" s="37"/>
      <c r="AG20" s="37"/>
      <c r="AH20" s="37"/>
      <c r="AI20" s="37"/>
      <c r="AJ20" s="37"/>
      <c r="AK20" s="37"/>
    </row>
    <row r="21" spans="1:1010 1027:2036 2053:3062 3079:4088 4105:5114 5131:6140 6157:7166 7183:8192 8209:9200 9217:10226 10243:11252 11269:12278 12295:13304 13321:14330 14347:15356 15373:16382" s="11" customFormat="1" x14ac:dyDescent="0.35">
      <c r="A21" s="183" t="str">
        <f>'Income - GAAP'!A21</f>
        <v xml:space="preserve">  + Other Operating Income</v>
      </c>
      <c r="B21" s="75" t="str">
        <f>'Income - GAAP'!B21</f>
        <v>IS_OTHER_OPER_INC</v>
      </c>
      <c r="C21" s="76">
        <f>IF('Income - GAAP'!C21="",0,'Income - GAAP'!C21)/'Income - GAAP'!C$9</f>
        <v>0</v>
      </c>
      <c r="D21" s="76">
        <f>IF('Income - GAAP'!D21="",0,'Income - GAAP'!D21)/'Income - GAAP'!D$9</f>
        <v>0</v>
      </c>
      <c r="E21" s="76">
        <f>IF('Income - GAAP'!E21="",0,'Income - GAAP'!E21)/'Income - GAAP'!E$9</f>
        <v>0</v>
      </c>
      <c r="F21" s="76">
        <f>IF('Income - GAAP'!F21="",0,'Income - GAAP'!F21)/'Income - GAAP'!F$9</f>
        <v>0</v>
      </c>
      <c r="G21" s="76">
        <f>IF('Income - GAAP'!G21="",0,'Income - GAAP'!G21)/'Income - GAAP'!G$9</f>
        <v>0</v>
      </c>
      <c r="H21" s="76">
        <f>IF('Income - GAAP'!H21="",0,'Income - GAAP'!H21)/'Income - GAAP'!H$9</f>
        <v>0</v>
      </c>
      <c r="I21" s="76">
        <f>IF('Income - GAAP'!I21="",0,'Income - GAAP'!I21)/'Income - GAAP'!I$9</f>
        <v>0</v>
      </c>
      <c r="J21" s="76">
        <f>IF('Income - GAAP'!J21="",0,'Income - GAAP'!J21)/'Income - GAAP'!J$9</f>
        <v>0</v>
      </c>
      <c r="K21" s="76">
        <f>IF('Income - GAAP'!K21="",0,'Income - GAAP'!K21)/'Income - GAAP'!K$9</f>
        <v>0</v>
      </c>
      <c r="L21" s="76">
        <f>IF('Income - GAAP'!L21="",0,'Income - GAAP'!L21)/'Income - GAAP'!L$9</f>
        <v>0</v>
      </c>
      <c r="M21" s="108"/>
      <c r="N21" s="108"/>
      <c r="O21" s="108"/>
      <c r="P21" s="108"/>
      <c r="Q21" s="108"/>
      <c r="R21" s="108"/>
      <c r="S21" s="109"/>
      <c r="T21" s="109"/>
      <c r="U21" s="108"/>
      <c r="V21" s="108"/>
      <c r="W21" s="108"/>
      <c r="X21" s="108"/>
      <c r="Y21" s="108"/>
      <c r="Z21" s="108"/>
      <c r="AA21" s="108"/>
      <c r="AB21" s="108"/>
      <c r="AC21" s="108"/>
      <c r="AD21" s="108"/>
      <c r="AE21" s="108"/>
      <c r="AF21" s="108"/>
      <c r="AG21" s="108"/>
      <c r="AH21" s="108"/>
      <c r="AI21" s="108"/>
      <c r="AJ21" s="108"/>
      <c r="AK21" s="109"/>
      <c r="AL21" s="12"/>
      <c r="BC21" s="12"/>
      <c r="BD21" s="12"/>
      <c r="BU21" s="12"/>
      <c r="BV21" s="12"/>
      <c r="CM21" s="12"/>
      <c r="CN21" s="12"/>
      <c r="DE21" s="12"/>
      <c r="DF21" s="12"/>
      <c r="DW21" s="12"/>
      <c r="DX21" s="12"/>
      <c r="EO21" s="12"/>
      <c r="EP21" s="12"/>
      <c r="FG21" s="12"/>
      <c r="FH21" s="12"/>
      <c r="FY21" s="12"/>
      <c r="FZ21" s="12"/>
      <c r="GQ21" s="12"/>
      <c r="GR21" s="12"/>
      <c r="HI21" s="12"/>
      <c r="HJ21" s="12"/>
      <c r="IA21" s="12"/>
      <c r="IB21" s="12"/>
      <c r="IS21" s="12"/>
      <c r="IT21" s="12"/>
      <c r="JK21" s="12"/>
      <c r="JL21" s="12"/>
      <c r="KC21" s="12"/>
      <c r="KD21" s="12"/>
      <c r="KU21" s="12"/>
      <c r="KV21" s="12"/>
      <c r="LM21" s="12"/>
      <c r="LN21" s="12"/>
      <c r="ME21" s="12"/>
      <c r="MF21" s="12"/>
      <c r="MW21" s="12"/>
      <c r="MX21" s="12"/>
      <c r="NO21" s="12"/>
      <c r="NP21" s="12"/>
      <c r="OG21" s="12"/>
      <c r="OH21" s="12"/>
      <c r="OY21" s="12"/>
      <c r="OZ21" s="12"/>
      <c r="PQ21" s="12"/>
      <c r="PR21" s="12"/>
      <c r="QI21" s="12"/>
      <c r="QJ21" s="12"/>
      <c r="RA21" s="12"/>
      <c r="RB21" s="12"/>
      <c r="RS21" s="12"/>
      <c r="RT21" s="12"/>
      <c r="SK21" s="12"/>
      <c r="SL21" s="12"/>
      <c r="TC21" s="12"/>
      <c r="TD21" s="12"/>
      <c r="TU21" s="12"/>
      <c r="TV21" s="12"/>
      <c r="UM21" s="12"/>
      <c r="UN21" s="12"/>
      <c r="VE21" s="12"/>
      <c r="VF21" s="12"/>
      <c r="VW21" s="12"/>
      <c r="VX21" s="12"/>
      <c r="WO21" s="12"/>
      <c r="WP21" s="12"/>
      <c r="XG21" s="12"/>
      <c r="XH21" s="12"/>
      <c r="XY21" s="12"/>
      <c r="XZ21" s="12"/>
      <c r="YQ21" s="12"/>
      <c r="YR21" s="12"/>
      <c r="ZI21" s="12"/>
      <c r="ZJ21" s="12"/>
      <c r="AAA21" s="12"/>
      <c r="AAB21" s="12"/>
      <c r="AAS21" s="12"/>
      <c r="AAT21" s="12"/>
      <c r="ABK21" s="12"/>
      <c r="ABL21" s="12"/>
      <c r="ACC21" s="12"/>
      <c r="ACD21" s="12"/>
      <c r="ACU21" s="12"/>
      <c r="ACV21" s="12"/>
      <c r="ADM21" s="12"/>
      <c r="ADN21" s="12"/>
      <c r="AEE21" s="12"/>
      <c r="AEF21" s="12"/>
      <c r="AEW21" s="12"/>
      <c r="AEX21" s="12"/>
      <c r="AFO21" s="12"/>
      <c r="AFP21" s="12"/>
      <c r="AGG21" s="12"/>
      <c r="AGH21" s="12"/>
      <c r="AGY21" s="12"/>
      <c r="AGZ21" s="12"/>
      <c r="AHQ21" s="12"/>
      <c r="AHR21" s="12"/>
      <c r="AII21" s="12"/>
      <c r="AIJ21" s="12"/>
      <c r="AJA21" s="12"/>
      <c r="AJB21" s="12"/>
      <c r="AJS21" s="12"/>
      <c r="AJT21" s="12"/>
      <c r="AKK21" s="12"/>
      <c r="AKL21" s="12"/>
      <c r="ALC21" s="12"/>
      <c r="ALD21" s="12"/>
      <c r="ALU21" s="12"/>
      <c r="ALV21" s="12"/>
      <c r="AMM21" s="12"/>
      <c r="AMN21" s="12"/>
      <c r="ANE21" s="12"/>
      <c r="ANF21" s="12"/>
      <c r="ANW21" s="12"/>
      <c r="ANX21" s="12"/>
      <c r="AOO21" s="12"/>
      <c r="AOP21" s="12"/>
      <c r="APG21" s="12"/>
      <c r="APH21" s="12"/>
      <c r="APY21" s="12"/>
      <c r="APZ21" s="12"/>
      <c r="AQQ21" s="12"/>
      <c r="AQR21" s="12"/>
      <c r="ARI21" s="12"/>
      <c r="ARJ21" s="12"/>
      <c r="ASA21" s="12"/>
      <c r="ASB21" s="12"/>
      <c r="ASS21" s="12"/>
      <c r="AST21" s="12"/>
      <c r="ATK21" s="12"/>
      <c r="ATL21" s="12"/>
      <c r="AUC21" s="12"/>
      <c r="AUD21" s="12"/>
      <c r="AUU21" s="12"/>
      <c r="AUV21" s="12"/>
      <c r="AVM21" s="12"/>
      <c r="AVN21" s="12"/>
      <c r="AWE21" s="12"/>
      <c r="AWF21" s="12"/>
      <c r="AWW21" s="12"/>
      <c r="AWX21" s="12"/>
      <c r="AXO21" s="12"/>
      <c r="AXP21" s="12"/>
      <c r="AYG21" s="12"/>
      <c r="AYH21" s="12"/>
      <c r="AYY21" s="12"/>
      <c r="AYZ21" s="12"/>
      <c r="AZQ21" s="12"/>
      <c r="AZR21" s="12"/>
      <c r="BAI21" s="12"/>
      <c r="BAJ21" s="12"/>
      <c r="BBA21" s="12"/>
      <c r="BBB21" s="12"/>
      <c r="BBS21" s="12"/>
      <c r="BBT21" s="12"/>
      <c r="BCK21" s="12"/>
      <c r="BCL21" s="12"/>
      <c r="BDC21" s="12"/>
      <c r="BDD21" s="12"/>
      <c r="BDU21" s="12"/>
      <c r="BDV21" s="12"/>
      <c r="BEM21" s="12"/>
      <c r="BEN21" s="12"/>
      <c r="BFE21" s="12"/>
      <c r="BFF21" s="12"/>
      <c r="BFW21" s="12"/>
      <c r="BFX21" s="12"/>
      <c r="BGO21" s="12"/>
      <c r="BGP21" s="12"/>
      <c r="BHG21" s="12"/>
      <c r="BHH21" s="12"/>
      <c r="BHY21" s="12"/>
      <c r="BHZ21" s="12"/>
      <c r="BIQ21" s="12"/>
      <c r="BIR21" s="12"/>
      <c r="BJI21" s="12"/>
      <c r="BJJ21" s="12"/>
      <c r="BKA21" s="12"/>
      <c r="BKB21" s="12"/>
      <c r="BKS21" s="12"/>
      <c r="BKT21" s="12"/>
      <c r="BLK21" s="12"/>
      <c r="BLL21" s="12"/>
      <c r="BMC21" s="12"/>
      <c r="BMD21" s="12"/>
      <c r="BMU21" s="12"/>
      <c r="BMV21" s="12"/>
      <c r="BNM21" s="12"/>
      <c r="BNN21" s="12"/>
      <c r="BOE21" s="12"/>
      <c r="BOF21" s="12"/>
      <c r="BOW21" s="12"/>
      <c r="BOX21" s="12"/>
      <c r="BPO21" s="12"/>
      <c r="BPP21" s="12"/>
      <c r="BQG21" s="12"/>
      <c r="BQH21" s="12"/>
      <c r="BQY21" s="12"/>
      <c r="BQZ21" s="12"/>
      <c r="BRQ21" s="12"/>
      <c r="BRR21" s="12"/>
      <c r="BSI21" s="12"/>
      <c r="BSJ21" s="12"/>
      <c r="BTA21" s="12"/>
      <c r="BTB21" s="12"/>
      <c r="BTS21" s="12"/>
      <c r="BTT21" s="12"/>
      <c r="BUK21" s="12"/>
      <c r="BUL21" s="12"/>
      <c r="BVC21" s="12"/>
      <c r="BVD21" s="12"/>
      <c r="BVU21" s="12"/>
      <c r="BVV21" s="12"/>
      <c r="BWM21" s="12"/>
      <c r="BWN21" s="12"/>
      <c r="BXE21" s="12"/>
      <c r="BXF21" s="12"/>
      <c r="BXW21" s="12"/>
      <c r="BXX21" s="12"/>
      <c r="BYO21" s="12"/>
      <c r="BYP21" s="12"/>
      <c r="BZG21" s="12"/>
      <c r="BZH21" s="12"/>
      <c r="BZY21" s="12"/>
      <c r="BZZ21" s="12"/>
      <c r="CAQ21" s="12"/>
      <c r="CAR21" s="12"/>
      <c r="CBI21" s="12"/>
      <c r="CBJ21" s="12"/>
      <c r="CCA21" s="12"/>
      <c r="CCB21" s="12"/>
      <c r="CCS21" s="12"/>
      <c r="CCT21" s="12"/>
      <c r="CDK21" s="12"/>
      <c r="CDL21" s="12"/>
      <c r="CEC21" s="12"/>
      <c r="CED21" s="12"/>
      <c r="CEU21" s="12"/>
      <c r="CEV21" s="12"/>
      <c r="CFM21" s="12"/>
      <c r="CFN21" s="12"/>
      <c r="CGE21" s="12"/>
      <c r="CGF21" s="12"/>
      <c r="CGW21" s="12"/>
      <c r="CGX21" s="12"/>
      <c r="CHO21" s="12"/>
      <c r="CHP21" s="12"/>
      <c r="CIG21" s="12"/>
      <c r="CIH21" s="12"/>
      <c r="CIY21" s="12"/>
      <c r="CIZ21" s="12"/>
      <c r="CJQ21" s="12"/>
      <c r="CJR21" s="12"/>
      <c r="CKI21" s="12"/>
      <c r="CKJ21" s="12"/>
      <c r="CLA21" s="12"/>
      <c r="CLB21" s="12"/>
      <c r="CLS21" s="12"/>
      <c r="CLT21" s="12"/>
      <c r="CMK21" s="12"/>
      <c r="CML21" s="12"/>
      <c r="CNC21" s="12"/>
      <c r="CND21" s="12"/>
      <c r="CNU21" s="12"/>
      <c r="CNV21" s="12"/>
      <c r="COM21" s="12"/>
      <c r="CON21" s="12"/>
      <c r="CPE21" s="12"/>
      <c r="CPF21" s="12"/>
      <c r="CPW21" s="12"/>
      <c r="CPX21" s="12"/>
      <c r="CQO21" s="12"/>
      <c r="CQP21" s="12"/>
      <c r="CRG21" s="12"/>
      <c r="CRH21" s="12"/>
      <c r="CRY21" s="12"/>
      <c r="CRZ21" s="12"/>
      <c r="CSQ21" s="12"/>
      <c r="CSR21" s="12"/>
      <c r="CTI21" s="12"/>
      <c r="CTJ21" s="12"/>
      <c r="CUA21" s="12"/>
      <c r="CUB21" s="12"/>
      <c r="CUS21" s="12"/>
      <c r="CUT21" s="12"/>
      <c r="CVK21" s="12"/>
      <c r="CVL21" s="12"/>
      <c r="CWC21" s="12"/>
      <c r="CWD21" s="12"/>
      <c r="CWU21" s="12"/>
      <c r="CWV21" s="12"/>
      <c r="CXM21" s="12"/>
      <c r="CXN21" s="12"/>
      <c r="CYE21" s="12"/>
      <c r="CYF21" s="12"/>
      <c r="CYW21" s="12"/>
      <c r="CYX21" s="12"/>
      <c r="CZO21" s="12"/>
      <c r="CZP21" s="12"/>
      <c r="DAG21" s="12"/>
      <c r="DAH21" s="12"/>
      <c r="DAY21" s="12"/>
      <c r="DAZ21" s="12"/>
      <c r="DBQ21" s="12"/>
      <c r="DBR21" s="12"/>
      <c r="DCI21" s="12"/>
      <c r="DCJ21" s="12"/>
      <c r="DDA21" s="12"/>
      <c r="DDB21" s="12"/>
      <c r="DDS21" s="12"/>
      <c r="DDT21" s="12"/>
      <c r="DEK21" s="12"/>
      <c r="DEL21" s="12"/>
      <c r="DFC21" s="12"/>
      <c r="DFD21" s="12"/>
      <c r="DFU21" s="12"/>
      <c r="DFV21" s="12"/>
      <c r="DGM21" s="12"/>
      <c r="DGN21" s="12"/>
      <c r="DHE21" s="12"/>
      <c r="DHF21" s="12"/>
      <c r="DHW21" s="12"/>
      <c r="DHX21" s="12"/>
      <c r="DIO21" s="12"/>
      <c r="DIP21" s="12"/>
      <c r="DJG21" s="12"/>
      <c r="DJH21" s="12"/>
      <c r="DJY21" s="12"/>
      <c r="DJZ21" s="12"/>
      <c r="DKQ21" s="12"/>
      <c r="DKR21" s="12"/>
      <c r="DLI21" s="12"/>
      <c r="DLJ21" s="12"/>
      <c r="DMA21" s="12"/>
      <c r="DMB21" s="12"/>
      <c r="DMS21" s="12"/>
      <c r="DMT21" s="12"/>
      <c r="DNK21" s="12"/>
      <c r="DNL21" s="12"/>
      <c r="DOC21" s="12"/>
      <c r="DOD21" s="12"/>
      <c r="DOU21" s="12"/>
      <c r="DOV21" s="12"/>
      <c r="DPM21" s="12"/>
      <c r="DPN21" s="12"/>
      <c r="DQE21" s="12"/>
      <c r="DQF21" s="12"/>
      <c r="DQW21" s="12"/>
      <c r="DQX21" s="12"/>
      <c r="DRO21" s="12"/>
      <c r="DRP21" s="12"/>
      <c r="DSG21" s="12"/>
      <c r="DSH21" s="12"/>
      <c r="DSY21" s="12"/>
      <c r="DSZ21" s="12"/>
      <c r="DTQ21" s="12"/>
      <c r="DTR21" s="12"/>
      <c r="DUI21" s="12"/>
      <c r="DUJ21" s="12"/>
      <c r="DVA21" s="12"/>
      <c r="DVB21" s="12"/>
      <c r="DVS21" s="12"/>
      <c r="DVT21" s="12"/>
      <c r="DWK21" s="12"/>
      <c r="DWL21" s="12"/>
      <c r="DXC21" s="12"/>
      <c r="DXD21" s="12"/>
      <c r="DXU21" s="12"/>
      <c r="DXV21" s="12"/>
      <c r="DYM21" s="12"/>
      <c r="DYN21" s="12"/>
      <c r="DZE21" s="12"/>
      <c r="DZF21" s="12"/>
      <c r="DZW21" s="12"/>
      <c r="DZX21" s="12"/>
      <c r="EAO21" s="12"/>
      <c r="EAP21" s="12"/>
      <c r="EBG21" s="12"/>
      <c r="EBH21" s="12"/>
      <c r="EBY21" s="12"/>
      <c r="EBZ21" s="12"/>
      <c r="ECQ21" s="12"/>
      <c r="ECR21" s="12"/>
      <c r="EDI21" s="12"/>
      <c r="EDJ21" s="12"/>
      <c r="EEA21" s="12"/>
      <c r="EEB21" s="12"/>
      <c r="EES21" s="12"/>
      <c r="EET21" s="12"/>
      <c r="EFK21" s="12"/>
      <c r="EFL21" s="12"/>
      <c r="EGC21" s="12"/>
      <c r="EGD21" s="12"/>
      <c r="EGU21" s="12"/>
      <c r="EGV21" s="12"/>
      <c r="EHM21" s="12"/>
      <c r="EHN21" s="12"/>
      <c r="EIE21" s="12"/>
      <c r="EIF21" s="12"/>
      <c r="EIW21" s="12"/>
      <c r="EIX21" s="12"/>
      <c r="EJO21" s="12"/>
      <c r="EJP21" s="12"/>
      <c r="EKG21" s="12"/>
      <c r="EKH21" s="12"/>
      <c r="EKY21" s="12"/>
      <c r="EKZ21" s="12"/>
      <c r="ELQ21" s="12"/>
      <c r="ELR21" s="12"/>
      <c r="EMI21" s="12"/>
      <c r="EMJ21" s="12"/>
      <c r="ENA21" s="12"/>
      <c r="ENB21" s="12"/>
      <c r="ENS21" s="12"/>
      <c r="ENT21" s="12"/>
      <c r="EOK21" s="12"/>
      <c r="EOL21" s="12"/>
      <c r="EPC21" s="12"/>
      <c r="EPD21" s="12"/>
      <c r="EPU21" s="12"/>
      <c r="EPV21" s="12"/>
      <c r="EQM21" s="12"/>
      <c r="EQN21" s="12"/>
      <c r="ERE21" s="12"/>
      <c r="ERF21" s="12"/>
      <c r="ERW21" s="12"/>
      <c r="ERX21" s="12"/>
      <c r="ESO21" s="12"/>
      <c r="ESP21" s="12"/>
      <c r="ETG21" s="12"/>
      <c r="ETH21" s="12"/>
      <c r="ETY21" s="12"/>
      <c r="ETZ21" s="12"/>
      <c r="EUQ21" s="12"/>
      <c r="EUR21" s="12"/>
      <c r="EVI21" s="12"/>
      <c r="EVJ21" s="12"/>
      <c r="EWA21" s="12"/>
      <c r="EWB21" s="12"/>
      <c r="EWS21" s="12"/>
      <c r="EWT21" s="12"/>
      <c r="EXK21" s="12"/>
      <c r="EXL21" s="12"/>
      <c r="EYC21" s="12"/>
      <c r="EYD21" s="12"/>
      <c r="EYU21" s="12"/>
      <c r="EYV21" s="12"/>
      <c r="EZM21" s="12"/>
      <c r="EZN21" s="12"/>
      <c r="FAE21" s="12"/>
      <c r="FAF21" s="12"/>
      <c r="FAW21" s="12"/>
      <c r="FAX21" s="12"/>
      <c r="FBO21" s="12"/>
      <c r="FBP21" s="12"/>
      <c r="FCG21" s="12"/>
      <c r="FCH21" s="12"/>
      <c r="FCY21" s="12"/>
      <c r="FCZ21" s="12"/>
      <c r="FDQ21" s="12"/>
      <c r="FDR21" s="12"/>
      <c r="FEI21" s="12"/>
      <c r="FEJ21" s="12"/>
      <c r="FFA21" s="12"/>
      <c r="FFB21" s="12"/>
      <c r="FFS21" s="12"/>
      <c r="FFT21" s="12"/>
      <c r="FGK21" s="12"/>
      <c r="FGL21" s="12"/>
      <c r="FHC21" s="12"/>
      <c r="FHD21" s="12"/>
      <c r="FHU21" s="12"/>
      <c r="FHV21" s="12"/>
      <c r="FIM21" s="12"/>
      <c r="FIN21" s="12"/>
      <c r="FJE21" s="12"/>
      <c r="FJF21" s="12"/>
      <c r="FJW21" s="12"/>
      <c r="FJX21" s="12"/>
      <c r="FKO21" s="12"/>
      <c r="FKP21" s="12"/>
      <c r="FLG21" s="12"/>
      <c r="FLH21" s="12"/>
      <c r="FLY21" s="12"/>
      <c r="FLZ21" s="12"/>
      <c r="FMQ21" s="12"/>
      <c r="FMR21" s="12"/>
      <c r="FNI21" s="12"/>
      <c r="FNJ21" s="12"/>
      <c r="FOA21" s="12"/>
      <c r="FOB21" s="12"/>
      <c r="FOS21" s="12"/>
      <c r="FOT21" s="12"/>
      <c r="FPK21" s="12"/>
      <c r="FPL21" s="12"/>
      <c r="FQC21" s="12"/>
      <c r="FQD21" s="12"/>
      <c r="FQU21" s="12"/>
      <c r="FQV21" s="12"/>
      <c r="FRM21" s="12"/>
      <c r="FRN21" s="12"/>
      <c r="FSE21" s="12"/>
      <c r="FSF21" s="12"/>
      <c r="FSW21" s="12"/>
      <c r="FSX21" s="12"/>
      <c r="FTO21" s="12"/>
      <c r="FTP21" s="12"/>
      <c r="FUG21" s="12"/>
      <c r="FUH21" s="12"/>
      <c r="FUY21" s="12"/>
      <c r="FUZ21" s="12"/>
      <c r="FVQ21" s="12"/>
      <c r="FVR21" s="12"/>
      <c r="FWI21" s="12"/>
      <c r="FWJ21" s="12"/>
      <c r="FXA21" s="12"/>
      <c r="FXB21" s="12"/>
      <c r="FXS21" s="12"/>
      <c r="FXT21" s="12"/>
      <c r="FYK21" s="12"/>
      <c r="FYL21" s="12"/>
      <c r="FZC21" s="12"/>
      <c r="FZD21" s="12"/>
      <c r="FZU21" s="12"/>
      <c r="FZV21" s="12"/>
      <c r="GAM21" s="12"/>
      <c r="GAN21" s="12"/>
      <c r="GBE21" s="12"/>
      <c r="GBF21" s="12"/>
      <c r="GBW21" s="12"/>
      <c r="GBX21" s="12"/>
      <c r="GCO21" s="12"/>
      <c r="GCP21" s="12"/>
      <c r="GDG21" s="12"/>
      <c r="GDH21" s="12"/>
      <c r="GDY21" s="12"/>
      <c r="GDZ21" s="12"/>
      <c r="GEQ21" s="12"/>
      <c r="GER21" s="12"/>
      <c r="GFI21" s="12"/>
      <c r="GFJ21" s="12"/>
      <c r="GGA21" s="12"/>
      <c r="GGB21" s="12"/>
      <c r="GGS21" s="12"/>
      <c r="GGT21" s="12"/>
      <c r="GHK21" s="12"/>
      <c r="GHL21" s="12"/>
      <c r="GIC21" s="12"/>
      <c r="GID21" s="12"/>
      <c r="GIU21" s="12"/>
      <c r="GIV21" s="12"/>
      <c r="GJM21" s="12"/>
      <c r="GJN21" s="12"/>
      <c r="GKE21" s="12"/>
      <c r="GKF21" s="12"/>
      <c r="GKW21" s="12"/>
      <c r="GKX21" s="12"/>
      <c r="GLO21" s="12"/>
      <c r="GLP21" s="12"/>
      <c r="GMG21" s="12"/>
      <c r="GMH21" s="12"/>
      <c r="GMY21" s="12"/>
      <c r="GMZ21" s="12"/>
      <c r="GNQ21" s="12"/>
      <c r="GNR21" s="12"/>
      <c r="GOI21" s="12"/>
      <c r="GOJ21" s="12"/>
      <c r="GPA21" s="12"/>
      <c r="GPB21" s="12"/>
      <c r="GPS21" s="12"/>
      <c r="GPT21" s="12"/>
      <c r="GQK21" s="12"/>
      <c r="GQL21" s="12"/>
      <c r="GRC21" s="12"/>
      <c r="GRD21" s="12"/>
      <c r="GRU21" s="12"/>
      <c r="GRV21" s="12"/>
      <c r="GSM21" s="12"/>
      <c r="GSN21" s="12"/>
      <c r="GTE21" s="12"/>
      <c r="GTF21" s="12"/>
      <c r="GTW21" s="12"/>
      <c r="GTX21" s="12"/>
      <c r="GUO21" s="12"/>
      <c r="GUP21" s="12"/>
      <c r="GVG21" s="12"/>
      <c r="GVH21" s="12"/>
      <c r="GVY21" s="12"/>
      <c r="GVZ21" s="12"/>
      <c r="GWQ21" s="12"/>
      <c r="GWR21" s="12"/>
      <c r="GXI21" s="12"/>
      <c r="GXJ21" s="12"/>
      <c r="GYA21" s="12"/>
      <c r="GYB21" s="12"/>
      <c r="GYS21" s="12"/>
      <c r="GYT21" s="12"/>
      <c r="GZK21" s="12"/>
      <c r="GZL21" s="12"/>
      <c r="HAC21" s="12"/>
      <c r="HAD21" s="12"/>
      <c r="HAU21" s="12"/>
      <c r="HAV21" s="12"/>
      <c r="HBM21" s="12"/>
      <c r="HBN21" s="12"/>
      <c r="HCE21" s="12"/>
      <c r="HCF21" s="12"/>
      <c r="HCW21" s="12"/>
      <c r="HCX21" s="12"/>
      <c r="HDO21" s="12"/>
      <c r="HDP21" s="12"/>
      <c r="HEG21" s="12"/>
      <c r="HEH21" s="12"/>
      <c r="HEY21" s="12"/>
      <c r="HEZ21" s="12"/>
      <c r="HFQ21" s="12"/>
      <c r="HFR21" s="12"/>
      <c r="HGI21" s="12"/>
      <c r="HGJ21" s="12"/>
      <c r="HHA21" s="12"/>
      <c r="HHB21" s="12"/>
      <c r="HHS21" s="12"/>
      <c r="HHT21" s="12"/>
      <c r="HIK21" s="12"/>
      <c r="HIL21" s="12"/>
      <c r="HJC21" s="12"/>
      <c r="HJD21" s="12"/>
      <c r="HJU21" s="12"/>
      <c r="HJV21" s="12"/>
      <c r="HKM21" s="12"/>
      <c r="HKN21" s="12"/>
      <c r="HLE21" s="12"/>
      <c r="HLF21" s="12"/>
      <c r="HLW21" s="12"/>
      <c r="HLX21" s="12"/>
      <c r="HMO21" s="12"/>
      <c r="HMP21" s="12"/>
      <c r="HNG21" s="12"/>
      <c r="HNH21" s="12"/>
      <c r="HNY21" s="12"/>
      <c r="HNZ21" s="12"/>
      <c r="HOQ21" s="12"/>
      <c r="HOR21" s="12"/>
      <c r="HPI21" s="12"/>
      <c r="HPJ21" s="12"/>
      <c r="HQA21" s="12"/>
      <c r="HQB21" s="12"/>
      <c r="HQS21" s="12"/>
      <c r="HQT21" s="12"/>
      <c r="HRK21" s="12"/>
      <c r="HRL21" s="12"/>
      <c r="HSC21" s="12"/>
      <c r="HSD21" s="12"/>
      <c r="HSU21" s="12"/>
      <c r="HSV21" s="12"/>
      <c r="HTM21" s="12"/>
      <c r="HTN21" s="12"/>
      <c r="HUE21" s="12"/>
      <c r="HUF21" s="12"/>
      <c r="HUW21" s="12"/>
      <c r="HUX21" s="12"/>
      <c r="HVO21" s="12"/>
      <c r="HVP21" s="12"/>
      <c r="HWG21" s="12"/>
      <c r="HWH21" s="12"/>
      <c r="HWY21" s="12"/>
      <c r="HWZ21" s="12"/>
      <c r="HXQ21" s="12"/>
      <c r="HXR21" s="12"/>
      <c r="HYI21" s="12"/>
      <c r="HYJ21" s="12"/>
      <c r="HZA21" s="12"/>
      <c r="HZB21" s="12"/>
      <c r="HZS21" s="12"/>
      <c r="HZT21" s="12"/>
      <c r="IAK21" s="12"/>
      <c r="IAL21" s="12"/>
      <c r="IBC21" s="12"/>
      <c r="IBD21" s="12"/>
      <c r="IBU21" s="12"/>
      <c r="IBV21" s="12"/>
      <c r="ICM21" s="12"/>
      <c r="ICN21" s="12"/>
      <c r="IDE21" s="12"/>
      <c r="IDF21" s="12"/>
      <c r="IDW21" s="12"/>
      <c r="IDX21" s="12"/>
      <c r="IEO21" s="12"/>
      <c r="IEP21" s="12"/>
      <c r="IFG21" s="12"/>
      <c r="IFH21" s="12"/>
      <c r="IFY21" s="12"/>
      <c r="IFZ21" s="12"/>
      <c r="IGQ21" s="12"/>
      <c r="IGR21" s="12"/>
      <c r="IHI21" s="12"/>
      <c r="IHJ21" s="12"/>
      <c r="IIA21" s="12"/>
      <c r="IIB21" s="12"/>
      <c r="IIS21" s="12"/>
      <c r="IIT21" s="12"/>
      <c r="IJK21" s="12"/>
      <c r="IJL21" s="12"/>
      <c r="IKC21" s="12"/>
      <c r="IKD21" s="12"/>
      <c r="IKU21" s="12"/>
      <c r="IKV21" s="12"/>
      <c r="ILM21" s="12"/>
      <c r="ILN21" s="12"/>
      <c r="IME21" s="12"/>
      <c r="IMF21" s="12"/>
      <c r="IMW21" s="12"/>
      <c r="IMX21" s="12"/>
      <c r="INO21" s="12"/>
      <c r="INP21" s="12"/>
      <c r="IOG21" s="12"/>
      <c r="IOH21" s="12"/>
      <c r="IOY21" s="12"/>
      <c r="IOZ21" s="12"/>
      <c r="IPQ21" s="12"/>
      <c r="IPR21" s="12"/>
      <c r="IQI21" s="12"/>
      <c r="IQJ21" s="12"/>
      <c r="IRA21" s="12"/>
      <c r="IRB21" s="12"/>
      <c r="IRS21" s="12"/>
      <c r="IRT21" s="12"/>
      <c r="ISK21" s="12"/>
      <c r="ISL21" s="12"/>
      <c r="ITC21" s="12"/>
      <c r="ITD21" s="12"/>
      <c r="ITU21" s="12"/>
      <c r="ITV21" s="12"/>
      <c r="IUM21" s="12"/>
      <c r="IUN21" s="12"/>
      <c r="IVE21" s="12"/>
      <c r="IVF21" s="12"/>
      <c r="IVW21" s="12"/>
      <c r="IVX21" s="12"/>
      <c r="IWO21" s="12"/>
      <c r="IWP21" s="12"/>
      <c r="IXG21" s="12"/>
      <c r="IXH21" s="12"/>
      <c r="IXY21" s="12"/>
      <c r="IXZ21" s="12"/>
      <c r="IYQ21" s="12"/>
      <c r="IYR21" s="12"/>
      <c r="IZI21" s="12"/>
      <c r="IZJ21" s="12"/>
      <c r="JAA21" s="12"/>
      <c r="JAB21" s="12"/>
      <c r="JAS21" s="12"/>
      <c r="JAT21" s="12"/>
      <c r="JBK21" s="12"/>
      <c r="JBL21" s="12"/>
      <c r="JCC21" s="12"/>
      <c r="JCD21" s="12"/>
      <c r="JCU21" s="12"/>
      <c r="JCV21" s="12"/>
      <c r="JDM21" s="12"/>
      <c r="JDN21" s="12"/>
      <c r="JEE21" s="12"/>
      <c r="JEF21" s="12"/>
      <c r="JEW21" s="12"/>
      <c r="JEX21" s="12"/>
      <c r="JFO21" s="12"/>
      <c r="JFP21" s="12"/>
      <c r="JGG21" s="12"/>
      <c r="JGH21" s="12"/>
      <c r="JGY21" s="12"/>
      <c r="JGZ21" s="12"/>
      <c r="JHQ21" s="12"/>
      <c r="JHR21" s="12"/>
      <c r="JII21" s="12"/>
      <c r="JIJ21" s="12"/>
      <c r="JJA21" s="12"/>
      <c r="JJB21" s="12"/>
      <c r="JJS21" s="12"/>
      <c r="JJT21" s="12"/>
      <c r="JKK21" s="12"/>
      <c r="JKL21" s="12"/>
      <c r="JLC21" s="12"/>
      <c r="JLD21" s="12"/>
      <c r="JLU21" s="12"/>
      <c r="JLV21" s="12"/>
      <c r="JMM21" s="12"/>
      <c r="JMN21" s="12"/>
      <c r="JNE21" s="12"/>
      <c r="JNF21" s="12"/>
      <c r="JNW21" s="12"/>
      <c r="JNX21" s="12"/>
      <c r="JOO21" s="12"/>
      <c r="JOP21" s="12"/>
      <c r="JPG21" s="12"/>
      <c r="JPH21" s="12"/>
      <c r="JPY21" s="12"/>
      <c r="JPZ21" s="12"/>
      <c r="JQQ21" s="12"/>
      <c r="JQR21" s="12"/>
      <c r="JRI21" s="12"/>
      <c r="JRJ21" s="12"/>
      <c r="JSA21" s="12"/>
      <c r="JSB21" s="12"/>
      <c r="JSS21" s="12"/>
      <c r="JST21" s="12"/>
      <c r="JTK21" s="12"/>
      <c r="JTL21" s="12"/>
      <c r="JUC21" s="12"/>
      <c r="JUD21" s="12"/>
      <c r="JUU21" s="12"/>
      <c r="JUV21" s="12"/>
      <c r="JVM21" s="12"/>
      <c r="JVN21" s="12"/>
      <c r="JWE21" s="12"/>
      <c r="JWF21" s="12"/>
      <c r="JWW21" s="12"/>
      <c r="JWX21" s="12"/>
      <c r="JXO21" s="12"/>
      <c r="JXP21" s="12"/>
      <c r="JYG21" s="12"/>
      <c r="JYH21" s="12"/>
      <c r="JYY21" s="12"/>
      <c r="JYZ21" s="12"/>
      <c r="JZQ21" s="12"/>
      <c r="JZR21" s="12"/>
      <c r="KAI21" s="12"/>
      <c r="KAJ21" s="12"/>
      <c r="KBA21" s="12"/>
      <c r="KBB21" s="12"/>
      <c r="KBS21" s="12"/>
      <c r="KBT21" s="12"/>
      <c r="KCK21" s="12"/>
      <c r="KCL21" s="12"/>
      <c r="KDC21" s="12"/>
      <c r="KDD21" s="12"/>
      <c r="KDU21" s="12"/>
      <c r="KDV21" s="12"/>
      <c r="KEM21" s="12"/>
      <c r="KEN21" s="12"/>
      <c r="KFE21" s="12"/>
      <c r="KFF21" s="12"/>
      <c r="KFW21" s="12"/>
      <c r="KFX21" s="12"/>
      <c r="KGO21" s="12"/>
      <c r="KGP21" s="12"/>
      <c r="KHG21" s="12"/>
      <c r="KHH21" s="12"/>
      <c r="KHY21" s="12"/>
      <c r="KHZ21" s="12"/>
      <c r="KIQ21" s="12"/>
      <c r="KIR21" s="12"/>
      <c r="KJI21" s="12"/>
      <c r="KJJ21" s="12"/>
      <c r="KKA21" s="12"/>
      <c r="KKB21" s="12"/>
      <c r="KKS21" s="12"/>
      <c r="KKT21" s="12"/>
      <c r="KLK21" s="12"/>
      <c r="KLL21" s="12"/>
      <c r="KMC21" s="12"/>
      <c r="KMD21" s="12"/>
      <c r="KMU21" s="12"/>
      <c r="KMV21" s="12"/>
      <c r="KNM21" s="12"/>
      <c r="KNN21" s="12"/>
      <c r="KOE21" s="12"/>
      <c r="KOF21" s="12"/>
      <c r="KOW21" s="12"/>
      <c r="KOX21" s="12"/>
      <c r="KPO21" s="12"/>
      <c r="KPP21" s="12"/>
      <c r="KQG21" s="12"/>
      <c r="KQH21" s="12"/>
      <c r="KQY21" s="12"/>
      <c r="KQZ21" s="12"/>
      <c r="KRQ21" s="12"/>
      <c r="KRR21" s="12"/>
      <c r="KSI21" s="12"/>
      <c r="KSJ21" s="12"/>
      <c r="KTA21" s="12"/>
      <c r="KTB21" s="12"/>
      <c r="KTS21" s="12"/>
      <c r="KTT21" s="12"/>
      <c r="KUK21" s="12"/>
      <c r="KUL21" s="12"/>
      <c r="KVC21" s="12"/>
      <c r="KVD21" s="12"/>
      <c r="KVU21" s="12"/>
      <c r="KVV21" s="12"/>
      <c r="KWM21" s="12"/>
      <c r="KWN21" s="12"/>
      <c r="KXE21" s="12"/>
      <c r="KXF21" s="12"/>
      <c r="KXW21" s="12"/>
      <c r="KXX21" s="12"/>
      <c r="KYO21" s="12"/>
      <c r="KYP21" s="12"/>
      <c r="KZG21" s="12"/>
      <c r="KZH21" s="12"/>
      <c r="KZY21" s="12"/>
      <c r="KZZ21" s="12"/>
      <c r="LAQ21" s="12"/>
      <c r="LAR21" s="12"/>
      <c r="LBI21" s="12"/>
      <c r="LBJ21" s="12"/>
      <c r="LCA21" s="12"/>
      <c r="LCB21" s="12"/>
      <c r="LCS21" s="12"/>
      <c r="LCT21" s="12"/>
      <c r="LDK21" s="12"/>
      <c r="LDL21" s="12"/>
      <c r="LEC21" s="12"/>
      <c r="LED21" s="12"/>
      <c r="LEU21" s="12"/>
      <c r="LEV21" s="12"/>
      <c r="LFM21" s="12"/>
      <c r="LFN21" s="12"/>
      <c r="LGE21" s="12"/>
      <c r="LGF21" s="12"/>
      <c r="LGW21" s="12"/>
      <c r="LGX21" s="12"/>
      <c r="LHO21" s="12"/>
      <c r="LHP21" s="12"/>
      <c r="LIG21" s="12"/>
      <c r="LIH21" s="12"/>
      <c r="LIY21" s="12"/>
      <c r="LIZ21" s="12"/>
      <c r="LJQ21" s="12"/>
      <c r="LJR21" s="12"/>
      <c r="LKI21" s="12"/>
      <c r="LKJ21" s="12"/>
      <c r="LLA21" s="12"/>
      <c r="LLB21" s="12"/>
      <c r="LLS21" s="12"/>
      <c r="LLT21" s="12"/>
      <c r="LMK21" s="12"/>
      <c r="LML21" s="12"/>
      <c r="LNC21" s="12"/>
      <c r="LND21" s="12"/>
      <c r="LNU21" s="12"/>
      <c r="LNV21" s="12"/>
      <c r="LOM21" s="12"/>
      <c r="LON21" s="12"/>
      <c r="LPE21" s="12"/>
      <c r="LPF21" s="12"/>
      <c r="LPW21" s="12"/>
      <c r="LPX21" s="12"/>
      <c r="LQO21" s="12"/>
      <c r="LQP21" s="12"/>
      <c r="LRG21" s="12"/>
      <c r="LRH21" s="12"/>
      <c r="LRY21" s="12"/>
      <c r="LRZ21" s="12"/>
      <c r="LSQ21" s="12"/>
      <c r="LSR21" s="12"/>
      <c r="LTI21" s="12"/>
      <c r="LTJ21" s="12"/>
      <c r="LUA21" s="12"/>
      <c r="LUB21" s="12"/>
      <c r="LUS21" s="12"/>
      <c r="LUT21" s="12"/>
      <c r="LVK21" s="12"/>
      <c r="LVL21" s="12"/>
      <c r="LWC21" s="12"/>
      <c r="LWD21" s="12"/>
      <c r="LWU21" s="12"/>
      <c r="LWV21" s="12"/>
      <c r="LXM21" s="12"/>
      <c r="LXN21" s="12"/>
      <c r="LYE21" s="12"/>
      <c r="LYF21" s="12"/>
      <c r="LYW21" s="12"/>
      <c r="LYX21" s="12"/>
      <c r="LZO21" s="12"/>
      <c r="LZP21" s="12"/>
      <c r="MAG21" s="12"/>
      <c r="MAH21" s="12"/>
      <c r="MAY21" s="12"/>
      <c r="MAZ21" s="12"/>
      <c r="MBQ21" s="12"/>
      <c r="MBR21" s="12"/>
      <c r="MCI21" s="12"/>
      <c r="MCJ21" s="12"/>
      <c r="MDA21" s="12"/>
      <c r="MDB21" s="12"/>
      <c r="MDS21" s="12"/>
      <c r="MDT21" s="12"/>
      <c r="MEK21" s="12"/>
      <c r="MEL21" s="12"/>
      <c r="MFC21" s="12"/>
      <c r="MFD21" s="12"/>
      <c r="MFU21" s="12"/>
      <c r="MFV21" s="12"/>
      <c r="MGM21" s="12"/>
      <c r="MGN21" s="12"/>
      <c r="MHE21" s="12"/>
      <c r="MHF21" s="12"/>
      <c r="MHW21" s="12"/>
      <c r="MHX21" s="12"/>
      <c r="MIO21" s="12"/>
      <c r="MIP21" s="12"/>
      <c r="MJG21" s="12"/>
      <c r="MJH21" s="12"/>
      <c r="MJY21" s="12"/>
      <c r="MJZ21" s="12"/>
      <c r="MKQ21" s="12"/>
      <c r="MKR21" s="12"/>
      <c r="MLI21" s="12"/>
      <c r="MLJ21" s="12"/>
      <c r="MMA21" s="12"/>
      <c r="MMB21" s="12"/>
      <c r="MMS21" s="12"/>
      <c r="MMT21" s="12"/>
      <c r="MNK21" s="12"/>
      <c r="MNL21" s="12"/>
      <c r="MOC21" s="12"/>
      <c r="MOD21" s="12"/>
      <c r="MOU21" s="12"/>
      <c r="MOV21" s="12"/>
      <c r="MPM21" s="12"/>
      <c r="MPN21" s="12"/>
      <c r="MQE21" s="12"/>
      <c r="MQF21" s="12"/>
      <c r="MQW21" s="12"/>
      <c r="MQX21" s="12"/>
      <c r="MRO21" s="12"/>
      <c r="MRP21" s="12"/>
      <c r="MSG21" s="12"/>
      <c r="MSH21" s="12"/>
      <c r="MSY21" s="12"/>
      <c r="MSZ21" s="12"/>
      <c r="MTQ21" s="12"/>
      <c r="MTR21" s="12"/>
      <c r="MUI21" s="12"/>
      <c r="MUJ21" s="12"/>
      <c r="MVA21" s="12"/>
      <c r="MVB21" s="12"/>
      <c r="MVS21" s="12"/>
      <c r="MVT21" s="12"/>
      <c r="MWK21" s="12"/>
      <c r="MWL21" s="12"/>
      <c r="MXC21" s="12"/>
      <c r="MXD21" s="12"/>
      <c r="MXU21" s="12"/>
      <c r="MXV21" s="12"/>
      <c r="MYM21" s="12"/>
      <c r="MYN21" s="12"/>
      <c r="MZE21" s="12"/>
      <c r="MZF21" s="12"/>
      <c r="MZW21" s="12"/>
      <c r="MZX21" s="12"/>
      <c r="NAO21" s="12"/>
      <c r="NAP21" s="12"/>
      <c r="NBG21" s="12"/>
      <c r="NBH21" s="12"/>
      <c r="NBY21" s="12"/>
      <c r="NBZ21" s="12"/>
      <c r="NCQ21" s="12"/>
      <c r="NCR21" s="12"/>
      <c r="NDI21" s="12"/>
      <c r="NDJ21" s="12"/>
      <c r="NEA21" s="12"/>
      <c r="NEB21" s="12"/>
      <c r="NES21" s="12"/>
      <c r="NET21" s="12"/>
      <c r="NFK21" s="12"/>
      <c r="NFL21" s="12"/>
      <c r="NGC21" s="12"/>
      <c r="NGD21" s="12"/>
      <c r="NGU21" s="12"/>
      <c r="NGV21" s="12"/>
      <c r="NHM21" s="12"/>
      <c r="NHN21" s="12"/>
      <c r="NIE21" s="12"/>
      <c r="NIF21" s="12"/>
      <c r="NIW21" s="12"/>
      <c r="NIX21" s="12"/>
      <c r="NJO21" s="12"/>
      <c r="NJP21" s="12"/>
      <c r="NKG21" s="12"/>
      <c r="NKH21" s="12"/>
      <c r="NKY21" s="12"/>
      <c r="NKZ21" s="12"/>
      <c r="NLQ21" s="12"/>
      <c r="NLR21" s="12"/>
      <c r="NMI21" s="12"/>
      <c r="NMJ21" s="12"/>
      <c r="NNA21" s="12"/>
      <c r="NNB21" s="12"/>
      <c r="NNS21" s="12"/>
      <c r="NNT21" s="12"/>
      <c r="NOK21" s="12"/>
      <c r="NOL21" s="12"/>
      <c r="NPC21" s="12"/>
      <c r="NPD21" s="12"/>
      <c r="NPU21" s="12"/>
      <c r="NPV21" s="12"/>
      <c r="NQM21" s="12"/>
      <c r="NQN21" s="12"/>
      <c r="NRE21" s="12"/>
      <c r="NRF21" s="12"/>
      <c r="NRW21" s="12"/>
      <c r="NRX21" s="12"/>
      <c r="NSO21" s="12"/>
      <c r="NSP21" s="12"/>
      <c r="NTG21" s="12"/>
      <c r="NTH21" s="12"/>
      <c r="NTY21" s="12"/>
      <c r="NTZ21" s="12"/>
      <c r="NUQ21" s="12"/>
      <c r="NUR21" s="12"/>
      <c r="NVI21" s="12"/>
      <c r="NVJ21" s="12"/>
      <c r="NWA21" s="12"/>
      <c r="NWB21" s="12"/>
      <c r="NWS21" s="12"/>
      <c r="NWT21" s="12"/>
      <c r="NXK21" s="12"/>
      <c r="NXL21" s="12"/>
      <c r="NYC21" s="12"/>
      <c r="NYD21" s="12"/>
      <c r="NYU21" s="12"/>
      <c r="NYV21" s="12"/>
      <c r="NZM21" s="12"/>
      <c r="NZN21" s="12"/>
      <c r="OAE21" s="12"/>
      <c r="OAF21" s="12"/>
      <c r="OAW21" s="12"/>
      <c r="OAX21" s="12"/>
      <c r="OBO21" s="12"/>
      <c r="OBP21" s="12"/>
      <c r="OCG21" s="12"/>
      <c r="OCH21" s="12"/>
      <c r="OCY21" s="12"/>
      <c r="OCZ21" s="12"/>
      <c r="ODQ21" s="12"/>
      <c r="ODR21" s="12"/>
      <c r="OEI21" s="12"/>
      <c r="OEJ21" s="12"/>
      <c r="OFA21" s="12"/>
      <c r="OFB21" s="12"/>
      <c r="OFS21" s="12"/>
      <c r="OFT21" s="12"/>
      <c r="OGK21" s="12"/>
      <c r="OGL21" s="12"/>
      <c r="OHC21" s="12"/>
      <c r="OHD21" s="12"/>
      <c r="OHU21" s="12"/>
      <c r="OHV21" s="12"/>
      <c r="OIM21" s="12"/>
      <c r="OIN21" s="12"/>
      <c r="OJE21" s="12"/>
      <c r="OJF21" s="12"/>
      <c r="OJW21" s="12"/>
      <c r="OJX21" s="12"/>
      <c r="OKO21" s="12"/>
      <c r="OKP21" s="12"/>
      <c r="OLG21" s="12"/>
      <c r="OLH21" s="12"/>
      <c r="OLY21" s="12"/>
      <c r="OLZ21" s="12"/>
      <c r="OMQ21" s="12"/>
      <c r="OMR21" s="12"/>
      <c r="ONI21" s="12"/>
      <c r="ONJ21" s="12"/>
      <c r="OOA21" s="12"/>
      <c r="OOB21" s="12"/>
      <c r="OOS21" s="12"/>
      <c r="OOT21" s="12"/>
      <c r="OPK21" s="12"/>
      <c r="OPL21" s="12"/>
      <c r="OQC21" s="12"/>
      <c r="OQD21" s="12"/>
      <c r="OQU21" s="12"/>
      <c r="OQV21" s="12"/>
      <c r="ORM21" s="12"/>
      <c r="ORN21" s="12"/>
      <c r="OSE21" s="12"/>
      <c r="OSF21" s="12"/>
      <c r="OSW21" s="12"/>
      <c r="OSX21" s="12"/>
      <c r="OTO21" s="12"/>
      <c r="OTP21" s="12"/>
      <c r="OUG21" s="12"/>
      <c r="OUH21" s="12"/>
      <c r="OUY21" s="12"/>
      <c r="OUZ21" s="12"/>
      <c r="OVQ21" s="12"/>
      <c r="OVR21" s="12"/>
      <c r="OWI21" s="12"/>
      <c r="OWJ21" s="12"/>
      <c r="OXA21" s="12"/>
      <c r="OXB21" s="12"/>
      <c r="OXS21" s="12"/>
      <c r="OXT21" s="12"/>
      <c r="OYK21" s="12"/>
      <c r="OYL21" s="12"/>
      <c r="OZC21" s="12"/>
      <c r="OZD21" s="12"/>
      <c r="OZU21" s="12"/>
      <c r="OZV21" s="12"/>
      <c r="PAM21" s="12"/>
      <c r="PAN21" s="12"/>
      <c r="PBE21" s="12"/>
      <c r="PBF21" s="12"/>
      <c r="PBW21" s="12"/>
      <c r="PBX21" s="12"/>
      <c r="PCO21" s="12"/>
      <c r="PCP21" s="12"/>
      <c r="PDG21" s="12"/>
      <c r="PDH21" s="12"/>
      <c r="PDY21" s="12"/>
      <c r="PDZ21" s="12"/>
      <c r="PEQ21" s="12"/>
      <c r="PER21" s="12"/>
      <c r="PFI21" s="12"/>
      <c r="PFJ21" s="12"/>
      <c r="PGA21" s="12"/>
      <c r="PGB21" s="12"/>
      <c r="PGS21" s="12"/>
      <c r="PGT21" s="12"/>
      <c r="PHK21" s="12"/>
      <c r="PHL21" s="12"/>
      <c r="PIC21" s="12"/>
      <c r="PID21" s="12"/>
      <c r="PIU21" s="12"/>
      <c r="PIV21" s="12"/>
      <c r="PJM21" s="12"/>
      <c r="PJN21" s="12"/>
      <c r="PKE21" s="12"/>
      <c r="PKF21" s="12"/>
      <c r="PKW21" s="12"/>
      <c r="PKX21" s="12"/>
      <c r="PLO21" s="12"/>
      <c r="PLP21" s="12"/>
      <c r="PMG21" s="12"/>
      <c r="PMH21" s="12"/>
      <c r="PMY21" s="12"/>
      <c r="PMZ21" s="12"/>
      <c r="PNQ21" s="12"/>
      <c r="PNR21" s="12"/>
      <c r="POI21" s="12"/>
      <c r="POJ21" s="12"/>
      <c r="PPA21" s="12"/>
      <c r="PPB21" s="12"/>
      <c r="PPS21" s="12"/>
      <c r="PPT21" s="12"/>
      <c r="PQK21" s="12"/>
      <c r="PQL21" s="12"/>
      <c r="PRC21" s="12"/>
      <c r="PRD21" s="12"/>
      <c r="PRU21" s="12"/>
      <c r="PRV21" s="12"/>
      <c r="PSM21" s="12"/>
      <c r="PSN21" s="12"/>
      <c r="PTE21" s="12"/>
      <c r="PTF21" s="12"/>
      <c r="PTW21" s="12"/>
      <c r="PTX21" s="12"/>
      <c r="PUO21" s="12"/>
      <c r="PUP21" s="12"/>
      <c r="PVG21" s="12"/>
      <c r="PVH21" s="12"/>
      <c r="PVY21" s="12"/>
      <c r="PVZ21" s="12"/>
      <c r="PWQ21" s="12"/>
      <c r="PWR21" s="12"/>
      <c r="PXI21" s="12"/>
      <c r="PXJ21" s="12"/>
      <c r="PYA21" s="12"/>
      <c r="PYB21" s="12"/>
      <c r="PYS21" s="12"/>
      <c r="PYT21" s="12"/>
      <c r="PZK21" s="12"/>
      <c r="PZL21" s="12"/>
      <c r="QAC21" s="12"/>
      <c r="QAD21" s="12"/>
      <c r="QAU21" s="12"/>
      <c r="QAV21" s="12"/>
      <c r="QBM21" s="12"/>
      <c r="QBN21" s="12"/>
      <c r="QCE21" s="12"/>
      <c r="QCF21" s="12"/>
      <c r="QCW21" s="12"/>
      <c r="QCX21" s="12"/>
      <c r="QDO21" s="12"/>
      <c r="QDP21" s="12"/>
      <c r="QEG21" s="12"/>
      <c r="QEH21" s="12"/>
      <c r="QEY21" s="12"/>
      <c r="QEZ21" s="12"/>
      <c r="QFQ21" s="12"/>
      <c r="QFR21" s="12"/>
      <c r="QGI21" s="12"/>
      <c r="QGJ21" s="12"/>
      <c r="QHA21" s="12"/>
      <c r="QHB21" s="12"/>
      <c r="QHS21" s="12"/>
      <c r="QHT21" s="12"/>
      <c r="QIK21" s="12"/>
      <c r="QIL21" s="12"/>
      <c r="QJC21" s="12"/>
      <c r="QJD21" s="12"/>
      <c r="QJU21" s="12"/>
      <c r="QJV21" s="12"/>
      <c r="QKM21" s="12"/>
      <c r="QKN21" s="12"/>
      <c r="QLE21" s="12"/>
      <c r="QLF21" s="12"/>
      <c r="QLW21" s="12"/>
      <c r="QLX21" s="12"/>
      <c r="QMO21" s="12"/>
      <c r="QMP21" s="12"/>
      <c r="QNG21" s="12"/>
      <c r="QNH21" s="12"/>
      <c r="QNY21" s="12"/>
      <c r="QNZ21" s="12"/>
      <c r="QOQ21" s="12"/>
      <c r="QOR21" s="12"/>
      <c r="QPI21" s="12"/>
      <c r="QPJ21" s="12"/>
      <c r="QQA21" s="12"/>
      <c r="QQB21" s="12"/>
      <c r="QQS21" s="12"/>
      <c r="QQT21" s="12"/>
      <c r="QRK21" s="12"/>
      <c r="QRL21" s="12"/>
      <c r="QSC21" s="12"/>
      <c r="QSD21" s="12"/>
      <c r="QSU21" s="12"/>
      <c r="QSV21" s="12"/>
      <c r="QTM21" s="12"/>
      <c r="QTN21" s="12"/>
      <c r="QUE21" s="12"/>
      <c r="QUF21" s="12"/>
      <c r="QUW21" s="12"/>
      <c r="QUX21" s="12"/>
      <c r="QVO21" s="12"/>
      <c r="QVP21" s="12"/>
      <c r="QWG21" s="12"/>
      <c r="QWH21" s="12"/>
      <c r="QWY21" s="12"/>
      <c r="QWZ21" s="12"/>
      <c r="QXQ21" s="12"/>
      <c r="QXR21" s="12"/>
      <c r="QYI21" s="12"/>
      <c r="QYJ21" s="12"/>
      <c r="QZA21" s="12"/>
      <c r="QZB21" s="12"/>
      <c r="QZS21" s="12"/>
      <c r="QZT21" s="12"/>
      <c r="RAK21" s="12"/>
      <c r="RAL21" s="12"/>
      <c r="RBC21" s="12"/>
      <c r="RBD21" s="12"/>
      <c r="RBU21" s="12"/>
      <c r="RBV21" s="12"/>
      <c r="RCM21" s="12"/>
      <c r="RCN21" s="12"/>
      <c r="RDE21" s="12"/>
      <c r="RDF21" s="12"/>
      <c r="RDW21" s="12"/>
      <c r="RDX21" s="12"/>
      <c r="REO21" s="12"/>
      <c r="REP21" s="12"/>
      <c r="RFG21" s="12"/>
      <c r="RFH21" s="12"/>
      <c r="RFY21" s="12"/>
      <c r="RFZ21" s="12"/>
      <c r="RGQ21" s="12"/>
      <c r="RGR21" s="12"/>
      <c r="RHI21" s="12"/>
      <c r="RHJ21" s="12"/>
      <c r="RIA21" s="12"/>
      <c r="RIB21" s="12"/>
      <c r="RIS21" s="12"/>
      <c r="RIT21" s="12"/>
      <c r="RJK21" s="12"/>
      <c r="RJL21" s="12"/>
      <c r="RKC21" s="12"/>
      <c r="RKD21" s="12"/>
      <c r="RKU21" s="12"/>
      <c r="RKV21" s="12"/>
      <c r="RLM21" s="12"/>
      <c r="RLN21" s="12"/>
      <c r="RME21" s="12"/>
      <c r="RMF21" s="12"/>
      <c r="RMW21" s="12"/>
      <c r="RMX21" s="12"/>
      <c r="RNO21" s="12"/>
      <c r="RNP21" s="12"/>
      <c r="ROG21" s="12"/>
      <c r="ROH21" s="12"/>
      <c r="ROY21" s="12"/>
      <c r="ROZ21" s="12"/>
      <c r="RPQ21" s="12"/>
      <c r="RPR21" s="12"/>
      <c r="RQI21" s="12"/>
      <c r="RQJ21" s="12"/>
      <c r="RRA21" s="12"/>
      <c r="RRB21" s="12"/>
      <c r="RRS21" s="12"/>
      <c r="RRT21" s="12"/>
      <c r="RSK21" s="12"/>
      <c r="RSL21" s="12"/>
      <c r="RTC21" s="12"/>
      <c r="RTD21" s="12"/>
      <c r="RTU21" s="12"/>
      <c r="RTV21" s="12"/>
      <c r="RUM21" s="12"/>
      <c r="RUN21" s="12"/>
      <c r="RVE21" s="12"/>
      <c r="RVF21" s="12"/>
      <c r="RVW21" s="12"/>
      <c r="RVX21" s="12"/>
      <c r="RWO21" s="12"/>
      <c r="RWP21" s="12"/>
      <c r="RXG21" s="12"/>
      <c r="RXH21" s="12"/>
      <c r="RXY21" s="12"/>
      <c r="RXZ21" s="12"/>
      <c r="RYQ21" s="12"/>
      <c r="RYR21" s="12"/>
      <c r="RZI21" s="12"/>
      <c r="RZJ21" s="12"/>
      <c r="SAA21" s="12"/>
      <c r="SAB21" s="12"/>
      <c r="SAS21" s="12"/>
      <c r="SAT21" s="12"/>
      <c r="SBK21" s="12"/>
      <c r="SBL21" s="12"/>
      <c r="SCC21" s="12"/>
      <c r="SCD21" s="12"/>
      <c r="SCU21" s="12"/>
      <c r="SCV21" s="12"/>
      <c r="SDM21" s="12"/>
      <c r="SDN21" s="12"/>
      <c r="SEE21" s="12"/>
      <c r="SEF21" s="12"/>
      <c r="SEW21" s="12"/>
      <c r="SEX21" s="12"/>
      <c r="SFO21" s="12"/>
      <c r="SFP21" s="12"/>
      <c r="SGG21" s="12"/>
      <c r="SGH21" s="12"/>
      <c r="SGY21" s="12"/>
      <c r="SGZ21" s="12"/>
      <c r="SHQ21" s="12"/>
      <c r="SHR21" s="12"/>
      <c r="SII21" s="12"/>
      <c r="SIJ21" s="12"/>
      <c r="SJA21" s="12"/>
      <c r="SJB21" s="12"/>
      <c r="SJS21" s="12"/>
      <c r="SJT21" s="12"/>
      <c r="SKK21" s="12"/>
      <c r="SKL21" s="12"/>
      <c r="SLC21" s="12"/>
      <c r="SLD21" s="12"/>
      <c r="SLU21" s="12"/>
      <c r="SLV21" s="12"/>
      <c r="SMM21" s="12"/>
      <c r="SMN21" s="12"/>
      <c r="SNE21" s="12"/>
      <c r="SNF21" s="12"/>
      <c r="SNW21" s="12"/>
      <c r="SNX21" s="12"/>
      <c r="SOO21" s="12"/>
      <c r="SOP21" s="12"/>
      <c r="SPG21" s="12"/>
      <c r="SPH21" s="12"/>
      <c r="SPY21" s="12"/>
      <c r="SPZ21" s="12"/>
      <c r="SQQ21" s="12"/>
      <c r="SQR21" s="12"/>
      <c r="SRI21" s="12"/>
      <c r="SRJ21" s="12"/>
      <c r="SSA21" s="12"/>
      <c r="SSB21" s="12"/>
      <c r="SSS21" s="12"/>
      <c r="SST21" s="12"/>
      <c r="STK21" s="12"/>
      <c r="STL21" s="12"/>
      <c r="SUC21" s="12"/>
      <c r="SUD21" s="12"/>
      <c r="SUU21" s="12"/>
      <c r="SUV21" s="12"/>
      <c r="SVM21" s="12"/>
      <c r="SVN21" s="12"/>
      <c r="SWE21" s="12"/>
      <c r="SWF21" s="12"/>
      <c r="SWW21" s="12"/>
      <c r="SWX21" s="12"/>
      <c r="SXO21" s="12"/>
      <c r="SXP21" s="12"/>
      <c r="SYG21" s="12"/>
      <c r="SYH21" s="12"/>
      <c r="SYY21" s="12"/>
      <c r="SYZ21" s="12"/>
      <c r="SZQ21" s="12"/>
      <c r="SZR21" s="12"/>
      <c r="TAI21" s="12"/>
      <c r="TAJ21" s="12"/>
      <c r="TBA21" s="12"/>
      <c r="TBB21" s="12"/>
      <c r="TBS21" s="12"/>
      <c r="TBT21" s="12"/>
      <c r="TCK21" s="12"/>
      <c r="TCL21" s="12"/>
      <c r="TDC21" s="12"/>
      <c r="TDD21" s="12"/>
      <c r="TDU21" s="12"/>
      <c r="TDV21" s="12"/>
      <c r="TEM21" s="12"/>
      <c r="TEN21" s="12"/>
      <c r="TFE21" s="12"/>
      <c r="TFF21" s="12"/>
      <c r="TFW21" s="12"/>
      <c r="TFX21" s="12"/>
      <c r="TGO21" s="12"/>
      <c r="TGP21" s="12"/>
      <c r="THG21" s="12"/>
      <c r="THH21" s="12"/>
      <c r="THY21" s="12"/>
      <c r="THZ21" s="12"/>
      <c r="TIQ21" s="12"/>
      <c r="TIR21" s="12"/>
      <c r="TJI21" s="12"/>
      <c r="TJJ21" s="12"/>
      <c r="TKA21" s="12"/>
      <c r="TKB21" s="12"/>
      <c r="TKS21" s="12"/>
      <c r="TKT21" s="12"/>
      <c r="TLK21" s="12"/>
      <c r="TLL21" s="12"/>
      <c r="TMC21" s="12"/>
      <c r="TMD21" s="12"/>
      <c r="TMU21" s="12"/>
      <c r="TMV21" s="12"/>
      <c r="TNM21" s="12"/>
      <c r="TNN21" s="12"/>
      <c r="TOE21" s="12"/>
      <c r="TOF21" s="12"/>
      <c r="TOW21" s="12"/>
      <c r="TOX21" s="12"/>
      <c r="TPO21" s="12"/>
      <c r="TPP21" s="12"/>
      <c r="TQG21" s="12"/>
      <c r="TQH21" s="12"/>
      <c r="TQY21" s="12"/>
      <c r="TQZ21" s="12"/>
      <c r="TRQ21" s="12"/>
      <c r="TRR21" s="12"/>
      <c r="TSI21" s="12"/>
      <c r="TSJ21" s="12"/>
      <c r="TTA21" s="12"/>
      <c r="TTB21" s="12"/>
      <c r="TTS21" s="12"/>
      <c r="TTT21" s="12"/>
      <c r="TUK21" s="12"/>
      <c r="TUL21" s="12"/>
      <c r="TVC21" s="12"/>
      <c r="TVD21" s="12"/>
      <c r="TVU21" s="12"/>
      <c r="TVV21" s="12"/>
      <c r="TWM21" s="12"/>
      <c r="TWN21" s="12"/>
      <c r="TXE21" s="12"/>
      <c r="TXF21" s="12"/>
      <c r="TXW21" s="12"/>
      <c r="TXX21" s="12"/>
      <c r="TYO21" s="12"/>
      <c r="TYP21" s="12"/>
      <c r="TZG21" s="12"/>
      <c r="TZH21" s="12"/>
      <c r="TZY21" s="12"/>
      <c r="TZZ21" s="12"/>
      <c r="UAQ21" s="12"/>
      <c r="UAR21" s="12"/>
      <c r="UBI21" s="12"/>
      <c r="UBJ21" s="12"/>
      <c r="UCA21" s="12"/>
      <c r="UCB21" s="12"/>
      <c r="UCS21" s="12"/>
      <c r="UCT21" s="12"/>
      <c r="UDK21" s="12"/>
      <c r="UDL21" s="12"/>
      <c r="UEC21" s="12"/>
      <c r="UED21" s="12"/>
      <c r="UEU21" s="12"/>
      <c r="UEV21" s="12"/>
      <c r="UFM21" s="12"/>
      <c r="UFN21" s="12"/>
      <c r="UGE21" s="12"/>
      <c r="UGF21" s="12"/>
      <c r="UGW21" s="12"/>
      <c r="UGX21" s="12"/>
      <c r="UHO21" s="12"/>
      <c r="UHP21" s="12"/>
      <c r="UIG21" s="12"/>
      <c r="UIH21" s="12"/>
      <c r="UIY21" s="12"/>
      <c r="UIZ21" s="12"/>
      <c r="UJQ21" s="12"/>
      <c r="UJR21" s="12"/>
      <c r="UKI21" s="12"/>
      <c r="UKJ21" s="12"/>
      <c r="ULA21" s="12"/>
      <c r="ULB21" s="12"/>
      <c r="ULS21" s="12"/>
      <c r="ULT21" s="12"/>
      <c r="UMK21" s="12"/>
      <c r="UML21" s="12"/>
      <c r="UNC21" s="12"/>
      <c r="UND21" s="12"/>
      <c r="UNU21" s="12"/>
      <c r="UNV21" s="12"/>
      <c r="UOM21" s="12"/>
      <c r="UON21" s="12"/>
      <c r="UPE21" s="12"/>
      <c r="UPF21" s="12"/>
      <c r="UPW21" s="12"/>
      <c r="UPX21" s="12"/>
      <c r="UQO21" s="12"/>
      <c r="UQP21" s="12"/>
      <c r="URG21" s="12"/>
      <c r="URH21" s="12"/>
      <c r="URY21" s="12"/>
      <c r="URZ21" s="12"/>
      <c r="USQ21" s="12"/>
      <c r="USR21" s="12"/>
      <c r="UTI21" s="12"/>
      <c r="UTJ21" s="12"/>
      <c r="UUA21" s="12"/>
      <c r="UUB21" s="12"/>
      <c r="UUS21" s="12"/>
      <c r="UUT21" s="12"/>
      <c r="UVK21" s="12"/>
      <c r="UVL21" s="12"/>
      <c r="UWC21" s="12"/>
      <c r="UWD21" s="12"/>
      <c r="UWU21" s="12"/>
      <c r="UWV21" s="12"/>
      <c r="UXM21" s="12"/>
      <c r="UXN21" s="12"/>
      <c r="UYE21" s="12"/>
      <c r="UYF21" s="12"/>
      <c r="UYW21" s="12"/>
      <c r="UYX21" s="12"/>
      <c r="UZO21" s="12"/>
      <c r="UZP21" s="12"/>
      <c r="VAG21" s="12"/>
      <c r="VAH21" s="12"/>
      <c r="VAY21" s="12"/>
      <c r="VAZ21" s="12"/>
      <c r="VBQ21" s="12"/>
      <c r="VBR21" s="12"/>
      <c r="VCI21" s="12"/>
      <c r="VCJ21" s="12"/>
      <c r="VDA21" s="12"/>
      <c r="VDB21" s="12"/>
      <c r="VDS21" s="12"/>
      <c r="VDT21" s="12"/>
      <c r="VEK21" s="12"/>
      <c r="VEL21" s="12"/>
      <c r="VFC21" s="12"/>
      <c r="VFD21" s="12"/>
      <c r="VFU21" s="12"/>
      <c r="VFV21" s="12"/>
      <c r="VGM21" s="12"/>
      <c r="VGN21" s="12"/>
      <c r="VHE21" s="12"/>
      <c r="VHF21" s="12"/>
      <c r="VHW21" s="12"/>
      <c r="VHX21" s="12"/>
      <c r="VIO21" s="12"/>
      <c r="VIP21" s="12"/>
      <c r="VJG21" s="12"/>
      <c r="VJH21" s="12"/>
      <c r="VJY21" s="12"/>
      <c r="VJZ21" s="12"/>
      <c r="VKQ21" s="12"/>
      <c r="VKR21" s="12"/>
      <c r="VLI21" s="12"/>
      <c r="VLJ21" s="12"/>
      <c r="VMA21" s="12"/>
      <c r="VMB21" s="12"/>
      <c r="VMS21" s="12"/>
      <c r="VMT21" s="12"/>
      <c r="VNK21" s="12"/>
      <c r="VNL21" s="12"/>
      <c r="VOC21" s="12"/>
      <c r="VOD21" s="12"/>
      <c r="VOU21" s="12"/>
      <c r="VOV21" s="12"/>
      <c r="VPM21" s="12"/>
      <c r="VPN21" s="12"/>
      <c r="VQE21" s="12"/>
      <c r="VQF21" s="12"/>
      <c r="VQW21" s="12"/>
      <c r="VQX21" s="12"/>
      <c r="VRO21" s="12"/>
      <c r="VRP21" s="12"/>
      <c r="VSG21" s="12"/>
      <c r="VSH21" s="12"/>
      <c r="VSY21" s="12"/>
      <c r="VSZ21" s="12"/>
      <c r="VTQ21" s="12"/>
      <c r="VTR21" s="12"/>
      <c r="VUI21" s="12"/>
      <c r="VUJ21" s="12"/>
      <c r="VVA21" s="12"/>
      <c r="VVB21" s="12"/>
      <c r="VVS21" s="12"/>
      <c r="VVT21" s="12"/>
      <c r="VWK21" s="12"/>
      <c r="VWL21" s="12"/>
      <c r="VXC21" s="12"/>
      <c r="VXD21" s="12"/>
      <c r="VXU21" s="12"/>
      <c r="VXV21" s="12"/>
      <c r="VYM21" s="12"/>
      <c r="VYN21" s="12"/>
      <c r="VZE21" s="12"/>
      <c r="VZF21" s="12"/>
      <c r="VZW21" s="12"/>
      <c r="VZX21" s="12"/>
      <c r="WAO21" s="12"/>
      <c r="WAP21" s="12"/>
      <c r="WBG21" s="12"/>
      <c r="WBH21" s="12"/>
      <c r="WBY21" s="12"/>
      <c r="WBZ21" s="12"/>
      <c r="WCQ21" s="12"/>
      <c r="WCR21" s="12"/>
      <c r="WDI21" s="12"/>
      <c r="WDJ21" s="12"/>
      <c r="WEA21" s="12"/>
      <c r="WEB21" s="12"/>
      <c r="WES21" s="12"/>
      <c r="WET21" s="12"/>
      <c r="WFK21" s="12"/>
      <c r="WFL21" s="12"/>
      <c r="WGC21" s="12"/>
      <c r="WGD21" s="12"/>
      <c r="WGU21" s="12"/>
      <c r="WGV21" s="12"/>
      <c r="WHM21" s="12"/>
      <c r="WHN21" s="12"/>
      <c r="WIE21" s="12"/>
      <c r="WIF21" s="12"/>
      <c r="WIW21" s="12"/>
      <c r="WIX21" s="12"/>
      <c r="WJO21" s="12"/>
      <c r="WJP21" s="12"/>
      <c r="WKG21" s="12"/>
      <c r="WKH21" s="12"/>
      <c r="WKY21" s="12"/>
      <c r="WKZ21" s="12"/>
      <c r="WLQ21" s="12"/>
      <c r="WLR21" s="12"/>
      <c r="WMI21" s="12"/>
      <c r="WMJ21" s="12"/>
      <c r="WNA21" s="12"/>
      <c r="WNB21" s="12"/>
      <c r="WNS21" s="12"/>
      <c r="WNT21" s="12"/>
      <c r="WOK21" s="12"/>
      <c r="WOL21" s="12"/>
      <c r="WPC21" s="12"/>
      <c r="WPD21" s="12"/>
      <c r="WPU21" s="12"/>
      <c r="WPV21" s="12"/>
      <c r="WQM21" s="12"/>
      <c r="WQN21" s="12"/>
      <c r="WRE21" s="12"/>
      <c r="WRF21" s="12"/>
      <c r="WRW21" s="12"/>
      <c r="WRX21" s="12"/>
      <c r="WSO21" s="12"/>
      <c r="WSP21" s="12"/>
      <c r="WTG21" s="12"/>
      <c r="WTH21" s="12"/>
      <c r="WTY21" s="12"/>
      <c r="WTZ21" s="12"/>
      <c r="WUQ21" s="12"/>
      <c r="WUR21" s="12"/>
      <c r="WVI21" s="12"/>
      <c r="WVJ21" s="12"/>
      <c r="WWA21" s="12"/>
      <c r="WWB21" s="12"/>
      <c r="WWS21" s="12"/>
      <c r="WWT21" s="12"/>
      <c r="WXK21" s="12"/>
      <c r="WXL21" s="12"/>
      <c r="WYC21" s="12"/>
      <c r="WYD21" s="12"/>
      <c r="WYU21" s="12"/>
      <c r="WYV21" s="12"/>
      <c r="WZM21" s="12"/>
      <c r="WZN21" s="12"/>
      <c r="XAE21" s="12"/>
      <c r="XAF21" s="12"/>
      <c r="XAW21" s="12"/>
      <c r="XAX21" s="12"/>
      <c r="XBO21" s="12"/>
      <c r="XBP21" s="12"/>
      <c r="XCG21" s="12"/>
      <c r="XCH21" s="12"/>
      <c r="XCY21" s="12"/>
      <c r="XCZ21" s="12"/>
      <c r="XDQ21" s="12"/>
      <c r="XDR21" s="12"/>
      <c r="XEI21" s="12"/>
      <c r="XEJ21" s="12"/>
      <c r="XFA21" s="12"/>
      <c r="XFB21" s="12"/>
    </row>
    <row r="22" spans="1:1010 1027:2036 2053:3062 3079:4088 4105:5114 5131:6140 6157:7166 7183:8192 8209:9200 9217:10226 10243:11252 11269:12278 12295:13304 13321:14330 14347:15356 15373:16382" s="11" customFormat="1" x14ac:dyDescent="0.35">
      <c r="A22" s="183" t="str">
        <f>'Income - GAAP'!A22</f>
        <v xml:space="preserve">  - Operating Expenses</v>
      </c>
      <c r="B22" s="75" t="str">
        <f>'Income - GAAP'!B22</f>
        <v>IS_OPERATING_EXPN</v>
      </c>
      <c r="C22" s="76">
        <f>IF('Income - GAAP'!C22="",0,'Income - GAAP'!C22)/'Income - GAAP'!C$9</f>
        <v>0.2212152723315344</v>
      </c>
      <c r="D22" s="76">
        <f>IF('Income - GAAP'!D22="",0,'Income - GAAP'!D22)/'Income - GAAP'!D$9</f>
        <v>0.20234369721130921</v>
      </c>
      <c r="E22" s="76">
        <f>IF('Income - GAAP'!E22="",0,'Income - GAAP'!E22)/'Income - GAAP'!E$9</f>
        <v>0.20613103769364893</v>
      </c>
      <c r="F22" s="76">
        <f>IF('Income - GAAP'!F22="",0,'Income - GAAP'!F22)/'Income - GAAP'!F$9</f>
        <v>0.24431398511953015</v>
      </c>
      <c r="G22" s="76">
        <f>IF('Income - GAAP'!G22="",0,'Income - GAAP'!G22)/'Income - GAAP'!G$9</f>
        <v>0.20716801631373605</v>
      </c>
      <c r="H22" s="76">
        <f>IF('Income - GAAP'!H22="",0,'Income - GAAP'!H22)/'Income - GAAP'!H$9</f>
        <v>0.16929212924956752</v>
      </c>
      <c r="I22" s="76">
        <f>IF('Income - GAAP'!I22="",0,'Income - GAAP'!I22)/'Income - GAAP'!I$9</f>
        <v>0.13562886720995193</v>
      </c>
      <c r="J22" s="76">
        <f>IF('Income - GAAP'!J22="",0,'Income - GAAP'!J22)/'Income - GAAP'!J$9</f>
        <v>0.16441719429625984</v>
      </c>
      <c r="K22" s="76">
        <f>IF('Income - GAAP'!K22="",0,'Income - GAAP'!K22)/'Income - GAAP'!K$9</f>
        <v>0.1885223218256753</v>
      </c>
      <c r="L22" s="76">
        <f>IF('Income - GAAP'!L22="",0,'Income - GAAP'!L22)/'Income - GAAP'!L$9</f>
        <v>0.18134506659096822</v>
      </c>
      <c r="M22" s="108"/>
      <c r="N22" s="108"/>
      <c r="O22" s="108"/>
      <c r="P22" s="108"/>
      <c r="Q22" s="108"/>
      <c r="R22" s="108"/>
      <c r="S22" s="109"/>
      <c r="T22" s="109"/>
      <c r="U22" s="108"/>
      <c r="V22" s="108"/>
      <c r="W22" s="108"/>
      <c r="X22" s="108"/>
      <c r="Y22" s="108"/>
      <c r="Z22" s="108"/>
      <c r="AA22" s="108"/>
      <c r="AB22" s="108"/>
      <c r="AC22" s="108"/>
      <c r="AD22" s="108"/>
      <c r="AE22" s="108"/>
      <c r="AF22" s="108"/>
      <c r="AG22" s="108"/>
      <c r="AH22" s="108"/>
      <c r="AI22" s="108"/>
      <c r="AJ22" s="108"/>
      <c r="AK22" s="109"/>
      <c r="AL22" s="12"/>
      <c r="BC22" s="12"/>
      <c r="BD22" s="12"/>
      <c r="BU22" s="12"/>
      <c r="BV22" s="12"/>
      <c r="CM22" s="12"/>
      <c r="CN22" s="12"/>
      <c r="DE22" s="12"/>
      <c r="DF22" s="12"/>
      <c r="DW22" s="12"/>
      <c r="DX22" s="12"/>
      <c r="EO22" s="12"/>
      <c r="EP22" s="12"/>
      <c r="FG22" s="12"/>
      <c r="FH22" s="12"/>
      <c r="FY22" s="12"/>
      <c r="FZ22" s="12"/>
      <c r="GQ22" s="12"/>
      <c r="GR22" s="12"/>
      <c r="HI22" s="12"/>
      <c r="HJ22" s="12"/>
      <c r="IA22" s="12"/>
      <c r="IB22" s="12"/>
      <c r="IS22" s="12"/>
      <c r="IT22" s="12"/>
      <c r="JK22" s="12"/>
      <c r="JL22" s="12"/>
      <c r="KC22" s="12"/>
      <c r="KD22" s="12"/>
      <c r="KU22" s="12"/>
      <c r="KV22" s="12"/>
      <c r="LM22" s="12"/>
      <c r="LN22" s="12"/>
      <c r="ME22" s="12"/>
      <c r="MF22" s="12"/>
      <c r="MW22" s="12"/>
      <c r="MX22" s="12"/>
      <c r="NO22" s="12"/>
      <c r="NP22" s="12"/>
      <c r="OG22" s="12"/>
      <c r="OH22" s="12"/>
      <c r="OY22" s="12"/>
      <c r="OZ22" s="12"/>
      <c r="PQ22" s="12"/>
      <c r="PR22" s="12"/>
      <c r="QI22" s="12"/>
      <c r="QJ22" s="12"/>
      <c r="RA22" s="12"/>
      <c r="RB22" s="12"/>
      <c r="RS22" s="12"/>
      <c r="RT22" s="12"/>
      <c r="SK22" s="12"/>
      <c r="SL22" s="12"/>
      <c r="TC22" s="12"/>
      <c r="TD22" s="12"/>
      <c r="TU22" s="12"/>
      <c r="TV22" s="12"/>
      <c r="UM22" s="12"/>
      <c r="UN22" s="12"/>
      <c r="VE22" s="12"/>
      <c r="VF22" s="12"/>
      <c r="VW22" s="12"/>
      <c r="VX22" s="12"/>
      <c r="WO22" s="12"/>
      <c r="WP22" s="12"/>
      <c r="XG22" s="12"/>
      <c r="XH22" s="12"/>
      <c r="XY22" s="12"/>
      <c r="XZ22" s="12"/>
      <c r="YQ22" s="12"/>
      <c r="YR22" s="12"/>
      <c r="ZI22" s="12"/>
      <c r="ZJ22" s="12"/>
      <c r="AAA22" s="12"/>
      <c r="AAB22" s="12"/>
      <c r="AAS22" s="12"/>
      <c r="AAT22" s="12"/>
      <c r="ABK22" s="12"/>
      <c r="ABL22" s="12"/>
      <c r="ACC22" s="12"/>
      <c r="ACD22" s="12"/>
      <c r="ACU22" s="12"/>
      <c r="ACV22" s="12"/>
      <c r="ADM22" s="12"/>
      <c r="ADN22" s="12"/>
      <c r="AEE22" s="12"/>
      <c r="AEF22" s="12"/>
      <c r="AEW22" s="12"/>
      <c r="AEX22" s="12"/>
      <c r="AFO22" s="12"/>
      <c r="AFP22" s="12"/>
      <c r="AGG22" s="12"/>
      <c r="AGH22" s="12"/>
      <c r="AGY22" s="12"/>
      <c r="AGZ22" s="12"/>
      <c r="AHQ22" s="12"/>
      <c r="AHR22" s="12"/>
      <c r="AII22" s="12"/>
      <c r="AIJ22" s="12"/>
      <c r="AJA22" s="12"/>
      <c r="AJB22" s="12"/>
      <c r="AJS22" s="12"/>
      <c r="AJT22" s="12"/>
      <c r="AKK22" s="12"/>
      <c r="AKL22" s="12"/>
      <c r="ALC22" s="12"/>
      <c r="ALD22" s="12"/>
      <c r="ALU22" s="12"/>
      <c r="ALV22" s="12"/>
      <c r="AMM22" s="12"/>
      <c r="AMN22" s="12"/>
      <c r="ANE22" s="12"/>
      <c r="ANF22" s="12"/>
      <c r="ANW22" s="12"/>
      <c r="ANX22" s="12"/>
      <c r="AOO22" s="12"/>
      <c r="AOP22" s="12"/>
      <c r="APG22" s="12"/>
      <c r="APH22" s="12"/>
      <c r="APY22" s="12"/>
      <c r="APZ22" s="12"/>
      <c r="AQQ22" s="12"/>
      <c r="AQR22" s="12"/>
      <c r="ARI22" s="12"/>
      <c r="ARJ22" s="12"/>
      <c r="ASA22" s="12"/>
      <c r="ASB22" s="12"/>
      <c r="ASS22" s="12"/>
      <c r="AST22" s="12"/>
      <c r="ATK22" s="12"/>
      <c r="ATL22" s="12"/>
      <c r="AUC22" s="12"/>
      <c r="AUD22" s="12"/>
      <c r="AUU22" s="12"/>
      <c r="AUV22" s="12"/>
      <c r="AVM22" s="12"/>
      <c r="AVN22" s="12"/>
      <c r="AWE22" s="12"/>
      <c r="AWF22" s="12"/>
      <c r="AWW22" s="12"/>
      <c r="AWX22" s="12"/>
      <c r="AXO22" s="12"/>
      <c r="AXP22" s="12"/>
      <c r="AYG22" s="12"/>
      <c r="AYH22" s="12"/>
      <c r="AYY22" s="12"/>
      <c r="AYZ22" s="12"/>
      <c r="AZQ22" s="12"/>
      <c r="AZR22" s="12"/>
      <c r="BAI22" s="12"/>
      <c r="BAJ22" s="12"/>
      <c r="BBA22" s="12"/>
      <c r="BBB22" s="12"/>
      <c r="BBS22" s="12"/>
      <c r="BBT22" s="12"/>
      <c r="BCK22" s="12"/>
      <c r="BCL22" s="12"/>
      <c r="BDC22" s="12"/>
      <c r="BDD22" s="12"/>
      <c r="BDU22" s="12"/>
      <c r="BDV22" s="12"/>
      <c r="BEM22" s="12"/>
      <c r="BEN22" s="12"/>
      <c r="BFE22" s="12"/>
      <c r="BFF22" s="12"/>
      <c r="BFW22" s="12"/>
      <c r="BFX22" s="12"/>
      <c r="BGO22" s="12"/>
      <c r="BGP22" s="12"/>
      <c r="BHG22" s="12"/>
      <c r="BHH22" s="12"/>
      <c r="BHY22" s="12"/>
      <c r="BHZ22" s="12"/>
      <c r="BIQ22" s="12"/>
      <c r="BIR22" s="12"/>
      <c r="BJI22" s="12"/>
      <c r="BJJ22" s="12"/>
      <c r="BKA22" s="12"/>
      <c r="BKB22" s="12"/>
      <c r="BKS22" s="12"/>
      <c r="BKT22" s="12"/>
      <c r="BLK22" s="12"/>
      <c r="BLL22" s="12"/>
      <c r="BMC22" s="12"/>
      <c r="BMD22" s="12"/>
      <c r="BMU22" s="12"/>
      <c r="BMV22" s="12"/>
      <c r="BNM22" s="12"/>
      <c r="BNN22" s="12"/>
      <c r="BOE22" s="12"/>
      <c r="BOF22" s="12"/>
      <c r="BOW22" s="12"/>
      <c r="BOX22" s="12"/>
      <c r="BPO22" s="12"/>
      <c r="BPP22" s="12"/>
      <c r="BQG22" s="12"/>
      <c r="BQH22" s="12"/>
      <c r="BQY22" s="12"/>
      <c r="BQZ22" s="12"/>
      <c r="BRQ22" s="12"/>
      <c r="BRR22" s="12"/>
      <c r="BSI22" s="12"/>
      <c r="BSJ22" s="12"/>
      <c r="BTA22" s="12"/>
      <c r="BTB22" s="12"/>
      <c r="BTS22" s="12"/>
      <c r="BTT22" s="12"/>
      <c r="BUK22" s="12"/>
      <c r="BUL22" s="12"/>
      <c r="BVC22" s="12"/>
      <c r="BVD22" s="12"/>
      <c r="BVU22" s="12"/>
      <c r="BVV22" s="12"/>
      <c r="BWM22" s="12"/>
      <c r="BWN22" s="12"/>
      <c r="BXE22" s="12"/>
      <c r="BXF22" s="12"/>
      <c r="BXW22" s="12"/>
      <c r="BXX22" s="12"/>
      <c r="BYO22" s="12"/>
      <c r="BYP22" s="12"/>
      <c r="BZG22" s="12"/>
      <c r="BZH22" s="12"/>
      <c r="BZY22" s="12"/>
      <c r="BZZ22" s="12"/>
      <c r="CAQ22" s="12"/>
      <c r="CAR22" s="12"/>
      <c r="CBI22" s="12"/>
      <c r="CBJ22" s="12"/>
      <c r="CCA22" s="12"/>
      <c r="CCB22" s="12"/>
      <c r="CCS22" s="12"/>
      <c r="CCT22" s="12"/>
      <c r="CDK22" s="12"/>
      <c r="CDL22" s="12"/>
      <c r="CEC22" s="12"/>
      <c r="CED22" s="12"/>
      <c r="CEU22" s="12"/>
      <c r="CEV22" s="12"/>
      <c r="CFM22" s="12"/>
      <c r="CFN22" s="12"/>
      <c r="CGE22" s="12"/>
      <c r="CGF22" s="12"/>
      <c r="CGW22" s="12"/>
      <c r="CGX22" s="12"/>
      <c r="CHO22" s="12"/>
      <c r="CHP22" s="12"/>
      <c r="CIG22" s="12"/>
      <c r="CIH22" s="12"/>
      <c r="CIY22" s="12"/>
      <c r="CIZ22" s="12"/>
      <c r="CJQ22" s="12"/>
      <c r="CJR22" s="12"/>
      <c r="CKI22" s="12"/>
      <c r="CKJ22" s="12"/>
      <c r="CLA22" s="12"/>
      <c r="CLB22" s="12"/>
      <c r="CLS22" s="12"/>
      <c r="CLT22" s="12"/>
      <c r="CMK22" s="12"/>
      <c r="CML22" s="12"/>
      <c r="CNC22" s="12"/>
      <c r="CND22" s="12"/>
      <c r="CNU22" s="12"/>
      <c r="CNV22" s="12"/>
      <c r="COM22" s="12"/>
      <c r="CON22" s="12"/>
      <c r="CPE22" s="12"/>
      <c r="CPF22" s="12"/>
      <c r="CPW22" s="12"/>
      <c r="CPX22" s="12"/>
      <c r="CQO22" s="12"/>
      <c r="CQP22" s="12"/>
      <c r="CRG22" s="12"/>
      <c r="CRH22" s="12"/>
      <c r="CRY22" s="12"/>
      <c r="CRZ22" s="12"/>
      <c r="CSQ22" s="12"/>
      <c r="CSR22" s="12"/>
      <c r="CTI22" s="12"/>
      <c r="CTJ22" s="12"/>
      <c r="CUA22" s="12"/>
      <c r="CUB22" s="12"/>
      <c r="CUS22" s="12"/>
      <c r="CUT22" s="12"/>
      <c r="CVK22" s="12"/>
      <c r="CVL22" s="12"/>
      <c r="CWC22" s="12"/>
      <c r="CWD22" s="12"/>
      <c r="CWU22" s="12"/>
      <c r="CWV22" s="12"/>
      <c r="CXM22" s="12"/>
      <c r="CXN22" s="12"/>
      <c r="CYE22" s="12"/>
      <c r="CYF22" s="12"/>
      <c r="CYW22" s="12"/>
      <c r="CYX22" s="12"/>
      <c r="CZO22" s="12"/>
      <c r="CZP22" s="12"/>
      <c r="DAG22" s="12"/>
      <c r="DAH22" s="12"/>
      <c r="DAY22" s="12"/>
      <c r="DAZ22" s="12"/>
      <c r="DBQ22" s="12"/>
      <c r="DBR22" s="12"/>
      <c r="DCI22" s="12"/>
      <c r="DCJ22" s="12"/>
      <c r="DDA22" s="12"/>
      <c r="DDB22" s="12"/>
      <c r="DDS22" s="12"/>
      <c r="DDT22" s="12"/>
      <c r="DEK22" s="12"/>
      <c r="DEL22" s="12"/>
      <c r="DFC22" s="12"/>
      <c r="DFD22" s="12"/>
      <c r="DFU22" s="12"/>
      <c r="DFV22" s="12"/>
      <c r="DGM22" s="12"/>
      <c r="DGN22" s="12"/>
      <c r="DHE22" s="12"/>
      <c r="DHF22" s="12"/>
      <c r="DHW22" s="12"/>
      <c r="DHX22" s="12"/>
      <c r="DIO22" s="12"/>
      <c r="DIP22" s="12"/>
      <c r="DJG22" s="12"/>
      <c r="DJH22" s="12"/>
      <c r="DJY22" s="12"/>
      <c r="DJZ22" s="12"/>
      <c r="DKQ22" s="12"/>
      <c r="DKR22" s="12"/>
      <c r="DLI22" s="12"/>
      <c r="DLJ22" s="12"/>
      <c r="DMA22" s="12"/>
      <c r="DMB22" s="12"/>
      <c r="DMS22" s="12"/>
      <c r="DMT22" s="12"/>
      <c r="DNK22" s="12"/>
      <c r="DNL22" s="12"/>
      <c r="DOC22" s="12"/>
      <c r="DOD22" s="12"/>
      <c r="DOU22" s="12"/>
      <c r="DOV22" s="12"/>
      <c r="DPM22" s="12"/>
      <c r="DPN22" s="12"/>
      <c r="DQE22" s="12"/>
      <c r="DQF22" s="12"/>
      <c r="DQW22" s="12"/>
      <c r="DQX22" s="12"/>
      <c r="DRO22" s="12"/>
      <c r="DRP22" s="12"/>
      <c r="DSG22" s="12"/>
      <c r="DSH22" s="12"/>
      <c r="DSY22" s="12"/>
      <c r="DSZ22" s="12"/>
      <c r="DTQ22" s="12"/>
      <c r="DTR22" s="12"/>
      <c r="DUI22" s="12"/>
      <c r="DUJ22" s="12"/>
      <c r="DVA22" s="12"/>
      <c r="DVB22" s="12"/>
      <c r="DVS22" s="12"/>
      <c r="DVT22" s="12"/>
      <c r="DWK22" s="12"/>
      <c r="DWL22" s="12"/>
      <c r="DXC22" s="12"/>
      <c r="DXD22" s="12"/>
      <c r="DXU22" s="12"/>
      <c r="DXV22" s="12"/>
      <c r="DYM22" s="12"/>
      <c r="DYN22" s="12"/>
      <c r="DZE22" s="12"/>
      <c r="DZF22" s="12"/>
      <c r="DZW22" s="12"/>
      <c r="DZX22" s="12"/>
      <c r="EAO22" s="12"/>
      <c r="EAP22" s="12"/>
      <c r="EBG22" s="12"/>
      <c r="EBH22" s="12"/>
      <c r="EBY22" s="12"/>
      <c r="EBZ22" s="12"/>
      <c r="ECQ22" s="12"/>
      <c r="ECR22" s="12"/>
      <c r="EDI22" s="12"/>
      <c r="EDJ22" s="12"/>
      <c r="EEA22" s="12"/>
      <c r="EEB22" s="12"/>
      <c r="EES22" s="12"/>
      <c r="EET22" s="12"/>
      <c r="EFK22" s="12"/>
      <c r="EFL22" s="12"/>
      <c r="EGC22" s="12"/>
      <c r="EGD22" s="12"/>
      <c r="EGU22" s="12"/>
      <c r="EGV22" s="12"/>
      <c r="EHM22" s="12"/>
      <c r="EHN22" s="12"/>
      <c r="EIE22" s="12"/>
      <c r="EIF22" s="12"/>
      <c r="EIW22" s="12"/>
      <c r="EIX22" s="12"/>
      <c r="EJO22" s="12"/>
      <c r="EJP22" s="12"/>
      <c r="EKG22" s="12"/>
      <c r="EKH22" s="12"/>
      <c r="EKY22" s="12"/>
      <c r="EKZ22" s="12"/>
      <c r="ELQ22" s="12"/>
      <c r="ELR22" s="12"/>
      <c r="EMI22" s="12"/>
      <c r="EMJ22" s="12"/>
      <c r="ENA22" s="12"/>
      <c r="ENB22" s="12"/>
      <c r="ENS22" s="12"/>
      <c r="ENT22" s="12"/>
      <c r="EOK22" s="12"/>
      <c r="EOL22" s="12"/>
      <c r="EPC22" s="12"/>
      <c r="EPD22" s="12"/>
      <c r="EPU22" s="12"/>
      <c r="EPV22" s="12"/>
      <c r="EQM22" s="12"/>
      <c r="EQN22" s="12"/>
      <c r="ERE22" s="12"/>
      <c r="ERF22" s="12"/>
      <c r="ERW22" s="12"/>
      <c r="ERX22" s="12"/>
      <c r="ESO22" s="12"/>
      <c r="ESP22" s="12"/>
      <c r="ETG22" s="12"/>
      <c r="ETH22" s="12"/>
      <c r="ETY22" s="12"/>
      <c r="ETZ22" s="12"/>
      <c r="EUQ22" s="12"/>
      <c r="EUR22" s="12"/>
      <c r="EVI22" s="12"/>
      <c r="EVJ22" s="12"/>
      <c r="EWA22" s="12"/>
      <c r="EWB22" s="12"/>
      <c r="EWS22" s="12"/>
      <c r="EWT22" s="12"/>
      <c r="EXK22" s="12"/>
      <c r="EXL22" s="12"/>
      <c r="EYC22" s="12"/>
      <c r="EYD22" s="12"/>
      <c r="EYU22" s="12"/>
      <c r="EYV22" s="12"/>
      <c r="EZM22" s="12"/>
      <c r="EZN22" s="12"/>
      <c r="FAE22" s="12"/>
      <c r="FAF22" s="12"/>
      <c r="FAW22" s="12"/>
      <c r="FAX22" s="12"/>
      <c r="FBO22" s="12"/>
      <c r="FBP22" s="12"/>
      <c r="FCG22" s="12"/>
      <c r="FCH22" s="12"/>
      <c r="FCY22" s="12"/>
      <c r="FCZ22" s="12"/>
      <c r="FDQ22" s="12"/>
      <c r="FDR22" s="12"/>
      <c r="FEI22" s="12"/>
      <c r="FEJ22" s="12"/>
      <c r="FFA22" s="12"/>
      <c r="FFB22" s="12"/>
      <c r="FFS22" s="12"/>
      <c r="FFT22" s="12"/>
      <c r="FGK22" s="12"/>
      <c r="FGL22" s="12"/>
      <c r="FHC22" s="12"/>
      <c r="FHD22" s="12"/>
      <c r="FHU22" s="12"/>
      <c r="FHV22" s="12"/>
      <c r="FIM22" s="12"/>
      <c r="FIN22" s="12"/>
      <c r="FJE22" s="12"/>
      <c r="FJF22" s="12"/>
      <c r="FJW22" s="12"/>
      <c r="FJX22" s="12"/>
      <c r="FKO22" s="12"/>
      <c r="FKP22" s="12"/>
      <c r="FLG22" s="12"/>
      <c r="FLH22" s="12"/>
      <c r="FLY22" s="12"/>
      <c r="FLZ22" s="12"/>
      <c r="FMQ22" s="12"/>
      <c r="FMR22" s="12"/>
      <c r="FNI22" s="12"/>
      <c r="FNJ22" s="12"/>
      <c r="FOA22" s="12"/>
      <c r="FOB22" s="12"/>
      <c r="FOS22" s="12"/>
      <c r="FOT22" s="12"/>
      <c r="FPK22" s="12"/>
      <c r="FPL22" s="12"/>
      <c r="FQC22" s="12"/>
      <c r="FQD22" s="12"/>
      <c r="FQU22" s="12"/>
      <c r="FQV22" s="12"/>
      <c r="FRM22" s="12"/>
      <c r="FRN22" s="12"/>
      <c r="FSE22" s="12"/>
      <c r="FSF22" s="12"/>
      <c r="FSW22" s="12"/>
      <c r="FSX22" s="12"/>
      <c r="FTO22" s="12"/>
      <c r="FTP22" s="12"/>
      <c r="FUG22" s="12"/>
      <c r="FUH22" s="12"/>
      <c r="FUY22" s="12"/>
      <c r="FUZ22" s="12"/>
      <c r="FVQ22" s="12"/>
      <c r="FVR22" s="12"/>
      <c r="FWI22" s="12"/>
      <c r="FWJ22" s="12"/>
      <c r="FXA22" s="12"/>
      <c r="FXB22" s="12"/>
      <c r="FXS22" s="12"/>
      <c r="FXT22" s="12"/>
      <c r="FYK22" s="12"/>
      <c r="FYL22" s="12"/>
      <c r="FZC22" s="12"/>
      <c r="FZD22" s="12"/>
      <c r="FZU22" s="12"/>
      <c r="FZV22" s="12"/>
      <c r="GAM22" s="12"/>
      <c r="GAN22" s="12"/>
      <c r="GBE22" s="12"/>
      <c r="GBF22" s="12"/>
      <c r="GBW22" s="12"/>
      <c r="GBX22" s="12"/>
      <c r="GCO22" s="12"/>
      <c r="GCP22" s="12"/>
      <c r="GDG22" s="12"/>
      <c r="GDH22" s="12"/>
      <c r="GDY22" s="12"/>
      <c r="GDZ22" s="12"/>
      <c r="GEQ22" s="12"/>
      <c r="GER22" s="12"/>
      <c r="GFI22" s="12"/>
      <c r="GFJ22" s="12"/>
      <c r="GGA22" s="12"/>
      <c r="GGB22" s="12"/>
      <c r="GGS22" s="12"/>
      <c r="GGT22" s="12"/>
      <c r="GHK22" s="12"/>
      <c r="GHL22" s="12"/>
      <c r="GIC22" s="12"/>
      <c r="GID22" s="12"/>
      <c r="GIU22" s="12"/>
      <c r="GIV22" s="12"/>
      <c r="GJM22" s="12"/>
      <c r="GJN22" s="12"/>
      <c r="GKE22" s="12"/>
      <c r="GKF22" s="12"/>
      <c r="GKW22" s="12"/>
      <c r="GKX22" s="12"/>
      <c r="GLO22" s="12"/>
      <c r="GLP22" s="12"/>
      <c r="GMG22" s="12"/>
      <c r="GMH22" s="12"/>
      <c r="GMY22" s="12"/>
      <c r="GMZ22" s="12"/>
      <c r="GNQ22" s="12"/>
      <c r="GNR22" s="12"/>
      <c r="GOI22" s="12"/>
      <c r="GOJ22" s="12"/>
      <c r="GPA22" s="12"/>
      <c r="GPB22" s="12"/>
      <c r="GPS22" s="12"/>
      <c r="GPT22" s="12"/>
      <c r="GQK22" s="12"/>
      <c r="GQL22" s="12"/>
      <c r="GRC22" s="12"/>
      <c r="GRD22" s="12"/>
      <c r="GRU22" s="12"/>
      <c r="GRV22" s="12"/>
      <c r="GSM22" s="12"/>
      <c r="GSN22" s="12"/>
      <c r="GTE22" s="12"/>
      <c r="GTF22" s="12"/>
      <c r="GTW22" s="12"/>
      <c r="GTX22" s="12"/>
      <c r="GUO22" s="12"/>
      <c r="GUP22" s="12"/>
      <c r="GVG22" s="12"/>
      <c r="GVH22" s="12"/>
      <c r="GVY22" s="12"/>
      <c r="GVZ22" s="12"/>
      <c r="GWQ22" s="12"/>
      <c r="GWR22" s="12"/>
      <c r="GXI22" s="12"/>
      <c r="GXJ22" s="12"/>
      <c r="GYA22" s="12"/>
      <c r="GYB22" s="12"/>
      <c r="GYS22" s="12"/>
      <c r="GYT22" s="12"/>
      <c r="GZK22" s="12"/>
      <c r="GZL22" s="12"/>
      <c r="HAC22" s="12"/>
      <c r="HAD22" s="12"/>
      <c r="HAU22" s="12"/>
      <c r="HAV22" s="12"/>
      <c r="HBM22" s="12"/>
      <c r="HBN22" s="12"/>
      <c r="HCE22" s="12"/>
      <c r="HCF22" s="12"/>
      <c r="HCW22" s="12"/>
      <c r="HCX22" s="12"/>
      <c r="HDO22" s="12"/>
      <c r="HDP22" s="12"/>
      <c r="HEG22" s="12"/>
      <c r="HEH22" s="12"/>
      <c r="HEY22" s="12"/>
      <c r="HEZ22" s="12"/>
      <c r="HFQ22" s="12"/>
      <c r="HFR22" s="12"/>
      <c r="HGI22" s="12"/>
      <c r="HGJ22" s="12"/>
      <c r="HHA22" s="12"/>
      <c r="HHB22" s="12"/>
      <c r="HHS22" s="12"/>
      <c r="HHT22" s="12"/>
      <c r="HIK22" s="12"/>
      <c r="HIL22" s="12"/>
      <c r="HJC22" s="12"/>
      <c r="HJD22" s="12"/>
      <c r="HJU22" s="12"/>
      <c r="HJV22" s="12"/>
      <c r="HKM22" s="12"/>
      <c r="HKN22" s="12"/>
      <c r="HLE22" s="12"/>
      <c r="HLF22" s="12"/>
      <c r="HLW22" s="12"/>
      <c r="HLX22" s="12"/>
      <c r="HMO22" s="12"/>
      <c r="HMP22" s="12"/>
      <c r="HNG22" s="12"/>
      <c r="HNH22" s="12"/>
      <c r="HNY22" s="12"/>
      <c r="HNZ22" s="12"/>
      <c r="HOQ22" s="12"/>
      <c r="HOR22" s="12"/>
      <c r="HPI22" s="12"/>
      <c r="HPJ22" s="12"/>
      <c r="HQA22" s="12"/>
      <c r="HQB22" s="12"/>
      <c r="HQS22" s="12"/>
      <c r="HQT22" s="12"/>
      <c r="HRK22" s="12"/>
      <c r="HRL22" s="12"/>
      <c r="HSC22" s="12"/>
      <c r="HSD22" s="12"/>
      <c r="HSU22" s="12"/>
      <c r="HSV22" s="12"/>
      <c r="HTM22" s="12"/>
      <c r="HTN22" s="12"/>
      <c r="HUE22" s="12"/>
      <c r="HUF22" s="12"/>
      <c r="HUW22" s="12"/>
      <c r="HUX22" s="12"/>
      <c r="HVO22" s="12"/>
      <c r="HVP22" s="12"/>
      <c r="HWG22" s="12"/>
      <c r="HWH22" s="12"/>
      <c r="HWY22" s="12"/>
      <c r="HWZ22" s="12"/>
      <c r="HXQ22" s="12"/>
      <c r="HXR22" s="12"/>
      <c r="HYI22" s="12"/>
      <c r="HYJ22" s="12"/>
      <c r="HZA22" s="12"/>
      <c r="HZB22" s="12"/>
      <c r="HZS22" s="12"/>
      <c r="HZT22" s="12"/>
      <c r="IAK22" s="12"/>
      <c r="IAL22" s="12"/>
      <c r="IBC22" s="12"/>
      <c r="IBD22" s="12"/>
      <c r="IBU22" s="12"/>
      <c r="IBV22" s="12"/>
      <c r="ICM22" s="12"/>
      <c r="ICN22" s="12"/>
      <c r="IDE22" s="12"/>
      <c r="IDF22" s="12"/>
      <c r="IDW22" s="12"/>
      <c r="IDX22" s="12"/>
      <c r="IEO22" s="12"/>
      <c r="IEP22" s="12"/>
      <c r="IFG22" s="12"/>
      <c r="IFH22" s="12"/>
      <c r="IFY22" s="12"/>
      <c r="IFZ22" s="12"/>
      <c r="IGQ22" s="12"/>
      <c r="IGR22" s="12"/>
      <c r="IHI22" s="12"/>
      <c r="IHJ22" s="12"/>
      <c r="IIA22" s="12"/>
      <c r="IIB22" s="12"/>
      <c r="IIS22" s="12"/>
      <c r="IIT22" s="12"/>
      <c r="IJK22" s="12"/>
      <c r="IJL22" s="12"/>
      <c r="IKC22" s="12"/>
      <c r="IKD22" s="12"/>
      <c r="IKU22" s="12"/>
      <c r="IKV22" s="12"/>
      <c r="ILM22" s="12"/>
      <c r="ILN22" s="12"/>
      <c r="IME22" s="12"/>
      <c r="IMF22" s="12"/>
      <c r="IMW22" s="12"/>
      <c r="IMX22" s="12"/>
      <c r="INO22" s="12"/>
      <c r="INP22" s="12"/>
      <c r="IOG22" s="12"/>
      <c r="IOH22" s="12"/>
      <c r="IOY22" s="12"/>
      <c r="IOZ22" s="12"/>
      <c r="IPQ22" s="12"/>
      <c r="IPR22" s="12"/>
      <c r="IQI22" s="12"/>
      <c r="IQJ22" s="12"/>
      <c r="IRA22" s="12"/>
      <c r="IRB22" s="12"/>
      <c r="IRS22" s="12"/>
      <c r="IRT22" s="12"/>
      <c r="ISK22" s="12"/>
      <c r="ISL22" s="12"/>
      <c r="ITC22" s="12"/>
      <c r="ITD22" s="12"/>
      <c r="ITU22" s="12"/>
      <c r="ITV22" s="12"/>
      <c r="IUM22" s="12"/>
      <c r="IUN22" s="12"/>
      <c r="IVE22" s="12"/>
      <c r="IVF22" s="12"/>
      <c r="IVW22" s="12"/>
      <c r="IVX22" s="12"/>
      <c r="IWO22" s="12"/>
      <c r="IWP22" s="12"/>
      <c r="IXG22" s="12"/>
      <c r="IXH22" s="12"/>
      <c r="IXY22" s="12"/>
      <c r="IXZ22" s="12"/>
      <c r="IYQ22" s="12"/>
      <c r="IYR22" s="12"/>
      <c r="IZI22" s="12"/>
      <c r="IZJ22" s="12"/>
      <c r="JAA22" s="12"/>
      <c r="JAB22" s="12"/>
      <c r="JAS22" s="12"/>
      <c r="JAT22" s="12"/>
      <c r="JBK22" s="12"/>
      <c r="JBL22" s="12"/>
      <c r="JCC22" s="12"/>
      <c r="JCD22" s="12"/>
      <c r="JCU22" s="12"/>
      <c r="JCV22" s="12"/>
      <c r="JDM22" s="12"/>
      <c r="JDN22" s="12"/>
      <c r="JEE22" s="12"/>
      <c r="JEF22" s="12"/>
      <c r="JEW22" s="12"/>
      <c r="JEX22" s="12"/>
      <c r="JFO22" s="12"/>
      <c r="JFP22" s="12"/>
      <c r="JGG22" s="12"/>
      <c r="JGH22" s="12"/>
      <c r="JGY22" s="12"/>
      <c r="JGZ22" s="12"/>
      <c r="JHQ22" s="12"/>
      <c r="JHR22" s="12"/>
      <c r="JII22" s="12"/>
      <c r="JIJ22" s="12"/>
      <c r="JJA22" s="12"/>
      <c r="JJB22" s="12"/>
      <c r="JJS22" s="12"/>
      <c r="JJT22" s="12"/>
      <c r="JKK22" s="12"/>
      <c r="JKL22" s="12"/>
      <c r="JLC22" s="12"/>
      <c r="JLD22" s="12"/>
      <c r="JLU22" s="12"/>
      <c r="JLV22" s="12"/>
      <c r="JMM22" s="12"/>
      <c r="JMN22" s="12"/>
      <c r="JNE22" s="12"/>
      <c r="JNF22" s="12"/>
      <c r="JNW22" s="12"/>
      <c r="JNX22" s="12"/>
      <c r="JOO22" s="12"/>
      <c r="JOP22" s="12"/>
      <c r="JPG22" s="12"/>
      <c r="JPH22" s="12"/>
      <c r="JPY22" s="12"/>
      <c r="JPZ22" s="12"/>
      <c r="JQQ22" s="12"/>
      <c r="JQR22" s="12"/>
      <c r="JRI22" s="12"/>
      <c r="JRJ22" s="12"/>
      <c r="JSA22" s="12"/>
      <c r="JSB22" s="12"/>
      <c r="JSS22" s="12"/>
      <c r="JST22" s="12"/>
      <c r="JTK22" s="12"/>
      <c r="JTL22" s="12"/>
      <c r="JUC22" s="12"/>
      <c r="JUD22" s="12"/>
      <c r="JUU22" s="12"/>
      <c r="JUV22" s="12"/>
      <c r="JVM22" s="12"/>
      <c r="JVN22" s="12"/>
      <c r="JWE22" s="12"/>
      <c r="JWF22" s="12"/>
      <c r="JWW22" s="12"/>
      <c r="JWX22" s="12"/>
      <c r="JXO22" s="12"/>
      <c r="JXP22" s="12"/>
      <c r="JYG22" s="12"/>
      <c r="JYH22" s="12"/>
      <c r="JYY22" s="12"/>
      <c r="JYZ22" s="12"/>
      <c r="JZQ22" s="12"/>
      <c r="JZR22" s="12"/>
      <c r="KAI22" s="12"/>
      <c r="KAJ22" s="12"/>
      <c r="KBA22" s="12"/>
      <c r="KBB22" s="12"/>
      <c r="KBS22" s="12"/>
      <c r="KBT22" s="12"/>
      <c r="KCK22" s="12"/>
      <c r="KCL22" s="12"/>
      <c r="KDC22" s="12"/>
      <c r="KDD22" s="12"/>
      <c r="KDU22" s="12"/>
      <c r="KDV22" s="12"/>
      <c r="KEM22" s="12"/>
      <c r="KEN22" s="12"/>
      <c r="KFE22" s="12"/>
      <c r="KFF22" s="12"/>
      <c r="KFW22" s="12"/>
      <c r="KFX22" s="12"/>
      <c r="KGO22" s="12"/>
      <c r="KGP22" s="12"/>
      <c r="KHG22" s="12"/>
      <c r="KHH22" s="12"/>
      <c r="KHY22" s="12"/>
      <c r="KHZ22" s="12"/>
      <c r="KIQ22" s="12"/>
      <c r="KIR22" s="12"/>
      <c r="KJI22" s="12"/>
      <c r="KJJ22" s="12"/>
      <c r="KKA22" s="12"/>
      <c r="KKB22" s="12"/>
      <c r="KKS22" s="12"/>
      <c r="KKT22" s="12"/>
      <c r="KLK22" s="12"/>
      <c r="KLL22" s="12"/>
      <c r="KMC22" s="12"/>
      <c r="KMD22" s="12"/>
      <c r="KMU22" s="12"/>
      <c r="KMV22" s="12"/>
      <c r="KNM22" s="12"/>
      <c r="KNN22" s="12"/>
      <c r="KOE22" s="12"/>
      <c r="KOF22" s="12"/>
      <c r="KOW22" s="12"/>
      <c r="KOX22" s="12"/>
      <c r="KPO22" s="12"/>
      <c r="KPP22" s="12"/>
      <c r="KQG22" s="12"/>
      <c r="KQH22" s="12"/>
      <c r="KQY22" s="12"/>
      <c r="KQZ22" s="12"/>
      <c r="KRQ22" s="12"/>
      <c r="KRR22" s="12"/>
      <c r="KSI22" s="12"/>
      <c r="KSJ22" s="12"/>
      <c r="KTA22" s="12"/>
      <c r="KTB22" s="12"/>
      <c r="KTS22" s="12"/>
      <c r="KTT22" s="12"/>
      <c r="KUK22" s="12"/>
      <c r="KUL22" s="12"/>
      <c r="KVC22" s="12"/>
      <c r="KVD22" s="12"/>
      <c r="KVU22" s="12"/>
      <c r="KVV22" s="12"/>
      <c r="KWM22" s="12"/>
      <c r="KWN22" s="12"/>
      <c r="KXE22" s="12"/>
      <c r="KXF22" s="12"/>
      <c r="KXW22" s="12"/>
      <c r="KXX22" s="12"/>
      <c r="KYO22" s="12"/>
      <c r="KYP22" s="12"/>
      <c r="KZG22" s="12"/>
      <c r="KZH22" s="12"/>
      <c r="KZY22" s="12"/>
      <c r="KZZ22" s="12"/>
      <c r="LAQ22" s="12"/>
      <c r="LAR22" s="12"/>
      <c r="LBI22" s="12"/>
      <c r="LBJ22" s="12"/>
      <c r="LCA22" s="12"/>
      <c r="LCB22" s="12"/>
      <c r="LCS22" s="12"/>
      <c r="LCT22" s="12"/>
      <c r="LDK22" s="12"/>
      <c r="LDL22" s="12"/>
      <c r="LEC22" s="12"/>
      <c r="LED22" s="12"/>
      <c r="LEU22" s="12"/>
      <c r="LEV22" s="12"/>
      <c r="LFM22" s="12"/>
      <c r="LFN22" s="12"/>
      <c r="LGE22" s="12"/>
      <c r="LGF22" s="12"/>
      <c r="LGW22" s="12"/>
      <c r="LGX22" s="12"/>
      <c r="LHO22" s="12"/>
      <c r="LHP22" s="12"/>
      <c r="LIG22" s="12"/>
      <c r="LIH22" s="12"/>
      <c r="LIY22" s="12"/>
      <c r="LIZ22" s="12"/>
      <c r="LJQ22" s="12"/>
      <c r="LJR22" s="12"/>
      <c r="LKI22" s="12"/>
      <c r="LKJ22" s="12"/>
      <c r="LLA22" s="12"/>
      <c r="LLB22" s="12"/>
      <c r="LLS22" s="12"/>
      <c r="LLT22" s="12"/>
      <c r="LMK22" s="12"/>
      <c r="LML22" s="12"/>
      <c r="LNC22" s="12"/>
      <c r="LND22" s="12"/>
      <c r="LNU22" s="12"/>
      <c r="LNV22" s="12"/>
      <c r="LOM22" s="12"/>
      <c r="LON22" s="12"/>
      <c r="LPE22" s="12"/>
      <c r="LPF22" s="12"/>
      <c r="LPW22" s="12"/>
      <c r="LPX22" s="12"/>
      <c r="LQO22" s="12"/>
      <c r="LQP22" s="12"/>
      <c r="LRG22" s="12"/>
      <c r="LRH22" s="12"/>
      <c r="LRY22" s="12"/>
      <c r="LRZ22" s="12"/>
      <c r="LSQ22" s="12"/>
      <c r="LSR22" s="12"/>
      <c r="LTI22" s="12"/>
      <c r="LTJ22" s="12"/>
      <c r="LUA22" s="12"/>
      <c r="LUB22" s="12"/>
      <c r="LUS22" s="12"/>
      <c r="LUT22" s="12"/>
      <c r="LVK22" s="12"/>
      <c r="LVL22" s="12"/>
      <c r="LWC22" s="12"/>
      <c r="LWD22" s="12"/>
      <c r="LWU22" s="12"/>
      <c r="LWV22" s="12"/>
      <c r="LXM22" s="12"/>
      <c r="LXN22" s="12"/>
      <c r="LYE22" s="12"/>
      <c r="LYF22" s="12"/>
      <c r="LYW22" s="12"/>
      <c r="LYX22" s="12"/>
      <c r="LZO22" s="12"/>
      <c r="LZP22" s="12"/>
      <c r="MAG22" s="12"/>
      <c r="MAH22" s="12"/>
      <c r="MAY22" s="12"/>
      <c r="MAZ22" s="12"/>
      <c r="MBQ22" s="12"/>
      <c r="MBR22" s="12"/>
      <c r="MCI22" s="12"/>
      <c r="MCJ22" s="12"/>
      <c r="MDA22" s="12"/>
      <c r="MDB22" s="12"/>
      <c r="MDS22" s="12"/>
      <c r="MDT22" s="12"/>
      <c r="MEK22" s="12"/>
      <c r="MEL22" s="12"/>
      <c r="MFC22" s="12"/>
      <c r="MFD22" s="12"/>
      <c r="MFU22" s="12"/>
      <c r="MFV22" s="12"/>
      <c r="MGM22" s="12"/>
      <c r="MGN22" s="12"/>
      <c r="MHE22" s="12"/>
      <c r="MHF22" s="12"/>
      <c r="MHW22" s="12"/>
      <c r="MHX22" s="12"/>
      <c r="MIO22" s="12"/>
      <c r="MIP22" s="12"/>
      <c r="MJG22" s="12"/>
      <c r="MJH22" s="12"/>
      <c r="MJY22" s="12"/>
      <c r="MJZ22" s="12"/>
      <c r="MKQ22" s="12"/>
      <c r="MKR22" s="12"/>
      <c r="MLI22" s="12"/>
      <c r="MLJ22" s="12"/>
      <c r="MMA22" s="12"/>
      <c r="MMB22" s="12"/>
      <c r="MMS22" s="12"/>
      <c r="MMT22" s="12"/>
      <c r="MNK22" s="12"/>
      <c r="MNL22" s="12"/>
      <c r="MOC22" s="12"/>
      <c r="MOD22" s="12"/>
      <c r="MOU22" s="12"/>
      <c r="MOV22" s="12"/>
      <c r="MPM22" s="12"/>
      <c r="MPN22" s="12"/>
      <c r="MQE22" s="12"/>
      <c r="MQF22" s="12"/>
      <c r="MQW22" s="12"/>
      <c r="MQX22" s="12"/>
      <c r="MRO22" s="12"/>
      <c r="MRP22" s="12"/>
      <c r="MSG22" s="12"/>
      <c r="MSH22" s="12"/>
      <c r="MSY22" s="12"/>
      <c r="MSZ22" s="12"/>
      <c r="MTQ22" s="12"/>
      <c r="MTR22" s="12"/>
      <c r="MUI22" s="12"/>
      <c r="MUJ22" s="12"/>
      <c r="MVA22" s="12"/>
      <c r="MVB22" s="12"/>
      <c r="MVS22" s="12"/>
      <c r="MVT22" s="12"/>
      <c r="MWK22" s="12"/>
      <c r="MWL22" s="12"/>
      <c r="MXC22" s="12"/>
      <c r="MXD22" s="12"/>
      <c r="MXU22" s="12"/>
      <c r="MXV22" s="12"/>
      <c r="MYM22" s="12"/>
      <c r="MYN22" s="12"/>
      <c r="MZE22" s="12"/>
      <c r="MZF22" s="12"/>
      <c r="MZW22" s="12"/>
      <c r="MZX22" s="12"/>
      <c r="NAO22" s="12"/>
      <c r="NAP22" s="12"/>
      <c r="NBG22" s="12"/>
      <c r="NBH22" s="12"/>
      <c r="NBY22" s="12"/>
      <c r="NBZ22" s="12"/>
      <c r="NCQ22" s="12"/>
      <c r="NCR22" s="12"/>
      <c r="NDI22" s="12"/>
      <c r="NDJ22" s="12"/>
      <c r="NEA22" s="12"/>
      <c r="NEB22" s="12"/>
      <c r="NES22" s="12"/>
      <c r="NET22" s="12"/>
      <c r="NFK22" s="12"/>
      <c r="NFL22" s="12"/>
      <c r="NGC22" s="12"/>
      <c r="NGD22" s="12"/>
      <c r="NGU22" s="12"/>
      <c r="NGV22" s="12"/>
      <c r="NHM22" s="12"/>
      <c r="NHN22" s="12"/>
      <c r="NIE22" s="12"/>
      <c r="NIF22" s="12"/>
      <c r="NIW22" s="12"/>
      <c r="NIX22" s="12"/>
      <c r="NJO22" s="12"/>
      <c r="NJP22" s="12"/>
      <c r="NKG22" s="12"/>
      <c r="NKH22" s="12"/>
      <c r="NKY22" s="12"/>
      <c r="NKZ22" s="12"/>
      <c r="NLQ22" s="12"/>
      <c r="NLR22" s="12"/>
      <c r="NMI22" s="12"/>
      <c r="NMJ22" s="12"/>
      <c r="NNA22" s="12"/>
      <c r="NNB22" s="12"/>
      <c r="NNS22" s="12"/>
      <c r="NNT22" s="12"/>
      <c r="NOK22" s="12"/>
      <c r="NOL22" s="12"/>
      <c r="NPC22" s="12"/>
      <c r="NPD22" s="12"/>
      <c r="NPU22" s="12"/>
      <c r="NPV22" s="12"/>
      <c r="NQM22" s="12"/>
      <c r="NQN22" s="12"/>
      <c r="NRE22" s="12"/>
      <c r="NRF22" s="12"/>
      <c r="NRW22" s="12"/>
      <c r="NRX22" s="12"/>
      <c r="NSO22" s="12"/>
      <c r="NSP22" s="12"/>
      <c r="NTG22" s="12"/>
      <c r="NTH22" s="12"/>
      <c r="NTY22" s="12"/>
      <c r="NTZ22" s="12"/>
      <c r="NUQ22" s="12"/>
      <c r="NUR22" s="12"/>
      <c r="NVI22" s="12"/>
      <c r="NVJ22" s="12"/>
      <c r="NWA22" s="12"/>
      <c r="NWB22" s="12"/>
      <c r="NWS22" s="12"/>
      <c r="NWT22" s="12"/>
      <c r="NXK22" s="12"/>
      <c r="NXL22" s="12"/>
      <c r="NYC22" s="12"/>
      <c r="NYD22" s="12"/>
      <c r="NYU22" s="12"/>
      <c r="NYV22" s="12"/>
      <c r="NZM22" s="12"/>
      <c r="NZN22" s="12"/>
      <c r="OAE22" s="12"/>
      <c r="OAF22" s="12"/>
      <c r="OAW22" s="12"/>
      <c r="OAX22" s="12"/>
      <c r="OBO22" s="12"/>
      <c r="OBP22" s="12"/>
      <c r="OCG22" s="12"/>
      <c r="OCH22" s="12"/>
      <c r="OCY22" s="12"/>
      <c r="OCZ22" s="12"/>
      <c r="ODQ22" s="12"/>
      <c r="ODR22" s="12"/>
      <c r="OEI22" s="12"/>
      <c r="OEJ22" s="12"/>
      <c r="OFA22" s="12"/>
      <c r="OFB22" s="12"/>
      <c r="OFS22" s="12"/>
      <c r="OFT22" s="12"/>
      <c r="OGK22" s="12"/>
      <c r="OGL22" s="12"/>
      <c r="OHC22" s="12"/>
      <c r="OHD22" s="12"/>
      <c r="OHU22" s="12"/>
      <c r="OHV22" s="12"/>
      <c r="OIM22" s="12"/>
      <c r="OIN22" s="12"/>
      <c r="OJE22" s="12"/>
      <c r="OJF22" s="12"/>
      <c r="OJW22" s="12"/>
      <c r="OJX22" s="12"/>
      <c r="OKO22" s="12"/>
      <c r="OKP22" s="12"/>
      <c r="OLG22" s="12"/>
      <c r="OLH22" s="12"/>
      <c r="OLY22" s="12"/>
      <c r="OLZ22" s="12"/>
      <c r="OMQ22" s="12"/>
      <c r="OMR22" s="12"/>
      <c r="ONI22" s="12"/>
      <c r="ONJ22" s="12"/>
      <c r="OOA22" s="12"/>
      <c r="OOB22" s="12"/>
      <c r="OOS22" s="12"/>
      <c r="OOT22" s="12"/>
      <c r="OPK22" s="12"/>
      <c r="OPL22" s="12"/>
      <c r="OQC22" s="12"/>
      <c r="OQD22" s="12"/>
      <c r="OQU22" s="12"/>
      <c r="OQV22" s="12"/>
      <c r="ORM22" s="12"/>
      <c r="ORN22" s="12"/>
      <c r="OSE22" s="12"/>
      <c r="OSF22" s="12"/>
      <c r="OSW22" s="12"/>
      <c r="OSX22" s="12"/>
      <c r="OTO22" s="12"/>
      <c r="OTP22" s="12"/>
      <c r="OUG22" s="12"/>
      <c r="OUH22" s="12"/>
      <c r="OUY22" s="12"/>
      <c r="OUZ22" s="12"/>
      <c r="OVQ22" s="12"/>
      <c r="OVR22" s="12"/>
      <c r="OWI22" s="12"/>
      <c r="OWJ22" s="12"/>
      <c r="OXA22" s="12"/>
      <c r="OXB22" s="12"/>
      <c r="OXS22" s="12"/>
      <c r="OXT22" s="12"/>
      <c r="OYK22" s="12"/>
      <c r="OYL22" s="12"/>
      <c r="OZC22" s="12"/>
      <c r="OZD22" s="12"/>
      <c r="OZU22" s="12"/>
      <c r="OZV22" s="12"/>
      <c r="PAM22" s="12"/>
      <c r="PAN22" s="12"/>
      <c r="PBE22" s="12"/>
      <c r="PBF22" s="12"/>
      <c r="PBW22" s="12"/>
      <c r="PBX22" s="12"/>
      <c r="PCO22" s="12"/>
      <c r="PCP22" s="12"/>
      <c r="PDG22" s="12"/>
      <c r="PDH22" s="12"/>
      <c r="PDY22" s="12"/>
      <c r="PDZ22" s="12"/>
      <c r="PEQ22" s="12"/>
      <c r="PER22" s="12"/>
      <c r="PFI22" s="12"/>
      <c r="PFJ22" s="12"/>
      <c r="PGA22" s="12"/>
      <c r="PGB22" s="12"/>
      <c r="PGS22" s="12"/>
      <c r="PGT22" s="12"/>
      <c r="PHK22" s="12"/>
      <c r="PHL22" s="12"/>
      <c r="PIC22" s="12"/>
      <c r="PID22" s="12"/>
      <c r="PIU22" s="12"/>
      <c r="PIV22" s="12"/>
      <c r="PJM22" s="12"/>
      <c r="PJN22" s="12"/>
      <c r="PKE22" s="12"/>
      <c r="PKF22" s="12"/>
      <c r="PKW22" s="12"/>
      <c r="PKX22" s="12"/>
      <c r="PLO22" s="12"/>
      <c r="PLP22" s="12"/>
      <c r="PMG22" s="12"/>
      <c r="PMH22" s="12"/>
      <c r="PMY22" s="12"/>
      <c r="PMZ22" s="12"/>
      <c r="PNQ22" s="12"/>
      <c r="PNR22" s="12"/>
      <c r="POI22" s="12"/>
      <c r="POJ22" s="12"/>
      <c r="PPA22" s="12"/>
      <c r="PPB22" s="12"/>
      <c r="PPS22" s="12"/>
      <c r="PPT22" s="12"/>
      <c r="PQK22" s="12"/>
      <c r="PQL22" s="12"/>
      <c r="PRC22" s="12"/>
      <c r="PRD22" s="12"/>
      <c r="PRU22" s="12"/>
      <c r="PRV22" s="12"/>
      <c r="PSM22" s="12"/>
      <c r="PSN22" s="12"/>
      <c r="PTE22" s="12"/>
      <c r="PTF22" s="12"/>
      <c r="PTW22" s="12"/>
      <c r="PTX22" s="12"/>
      <c r="PUO22" s="12"/>
      <c r="PUP22" s="12"/>
      <c r="PVG22" s="12"/>
      <c r="PVH22" s="12"/>
      <c r="PVY22" s="12"/>
      <c r="PVZ22" s="12"/>
      <c r="PWQ22" s="12"/>
      <c r="PWR22" s="12"/>
      <c r="PXI22" s="12"/>
      <c r="PXJ22" s="12"/>
      <c r="PYA22" s="12"/>
      <c r="PYB22" s="12"/>
      <c r="PYS22" s="12"/>
      <c r="PYT22" s="12"/>
      <c r="PZK22" s="12"/>
      <c r="PZL22" s="12"/>
      <c r="QAC22" s="12"/>
      <c r="QAD22" s="12"/>
      <c r="QAU22" s="12"/>
      <c r="QAV22" s="12"/>
      <c r="QBM22" s="12"/>
      <c r="QBN22" s="12"/>
      <c r="QCE22" s="12"/>
      <c r="QCF22" s="12"/>
      <c r="QCW22" s="12"/>
      <c r="QCX22" s="12"/>
      <c r="QDO22" s="12"/>
      <c r="QDP22" s="12"/>
      <c r="QEG22" s="12"/>
      <c r="QEH22" s="12"/>
      <c r="QEY22" s="12"/>
      <c r="QEZ22" s="12"/>
      <c r="QFQ22" s="12"/>
      <c r="QFR22" s="12"/>
      <c r="QGI22" s="12"/>
      <c r="QGJ22" s="12"/>
      <c r="QHA22" s="12"/>
      <c r="QHB22" s="12"/>
      <c r="QHS22" s="12"/>
      <c r="QHT22" s="12"/>
      <c r="QIK22" s="12"/>
      <c r="QIL22" s="12"/>
      <c r="QJC22" s="12"/>
      <c r="QJD22" s="12"/>
      <c r="QJU22" s="12"/>
      <c r="QJV22" s="12"/>
      <c r="QKM22" s="12"/>
      <c r="QKN22" s="12"/>
      <c r="QLE22" s="12"/>
      <c r="QLF22" s="12"/>
      <c r="QLW22" s="12"/>
      <c r="QLX22" s="12"/>
      <c r="QMO22" s="12"/>
      <c r="QMP22" s="12"/>
      <c r="QNG22" s="12"/>
      <c r="QNH22" s="12"/>
      <c r="QNY22" s="12"/>
      <c r="QNZ22" s="12"/>
      <c r="QOQ22" s="12"/>
      <c r="QOR22" s="12"/>
      <c r="QPI22" s="12"/>
      <c r="QPJ22" s="12"/>
      <c r="QQA22" s="12"/>
      <c r="QQB22" s="12"/>
      <c r="QQS22" s="12"/>
      <c r="QQT22" s="12"/>
      <c r="QRK22" s="12"/>
      <c r="QRL22" s="12"/>
      <c r="QSC22" s="12"/>
      <c r="QSD22" s="12"/>
      <c r="QSU22" s="12"/>
      <c r="QSV22" s="12"/>
      <c r="QTM22" s="12"/>
      <c r="QTN22" s="12"/>
      <c r="QUE22" s="12"/>
      <c r="QUF22" s="12"/>
      <c r="QUW22" s="12"/>
      <c r="QUX22" s="12"/>
      <c r="QVO22" s="12"/>
      <c r="QVP22" s="12"/>
      <c r="QWG22" s="12"/>
      <c r="QWH22" s="12"/>
      <c r="QWY22" s="12"/>
      <c r="QWZ22" s="12"/>
      <c r="QXQ22" s="12"/>
      <c r="QXR22" s="12"/>
      <c r="QYI22" s="12"/>
      <c r="QYJ22" s="12"/>
      <c r="QZA22" s="12"/>
      <c r="QZB22" s="12"/>
      <c r="QZS22" s="12"/>
      <c r="QZT22" s="12"/>
      <c r="RAK22" s="12"/>
      <c r="RAL22" s="12"/>
      <c r="RBC22" s="12"/>
      <c r="RBD22" s="12"/>
      <c r="RBU22" s="12"/>
      <c r="RBV22" s="12"/>
      <c r="RCM22" s="12"/>
      <c r="RCN22" s="12"/>
      <c r="RDE22" s="12"/>
      <c r="RDF22" s="12"/>
      <c r="RDW22" s="12"/>
      <c r="RDX22" s="12"/>
      <c r="REO22" s="12"/>
      <c r="REP22" s="12"/>
      <c r="RFG22" s="12"/>
      <c r="RFH22" s="12"/>
      <c r="RFY22" s="12"/>
      <c r="RFZ22" s="12"/>
      <c r="RGQ22" s="12"/>
      <c r="RGR22" s="12"/>
      <c r="RHI22" s="12"/>
      <c r="RHJ22" s="12"/>
      <c r="RIA22" s="12"/>
      <c r="RIB22" s="12"/>
      <c r="RIS22" s="12"/>
      <c r="RIT22" s="12"/>
      <c r="RJK22" s="12"/>
      <c r="RJL22" s="12"/>
      <c r="RKC22" s="12"/>
      <c r="RKD22" s="12"/>
      <c r="RKU22" s="12"/>
      <c r="RKV22" s="12"/>
      <c r="RLM22" s="12"/>
      <c r="RLN22" s="12"/>
      <c r="RME22" s="12"/>
      <c r="RMF22" s="12"/>
      <c r="RMW22" s="12"/>
      <c r="RMX22" s="12"/>
      <c r="RNO22" s="12"/>
      <c r="RNP22" s="12"/>
      <c r="ROG22" s="12"/>
      <c r="ROH22" s="12"/>
      <c r="ROY22" s="12"/>
      <c r="ROZ22" s="12"/>
      <c r="RPQ22" s="12"/>
      <c r="RPR22" s="12"/>
      <c r="RQI22" s="12"/>
      <c r="RQJ22" s="12"/>
      <c r="RRA22" s="12"/>
      <c r="RRB22" s="12"/>
      <c r="RRS22" s="12"/>
      <c r="RRT22" s="12"/>
      <c r="RSK22" s="12"/>
      <c r="RSL22" s="12"/>
      <c r="RTC22" s="12"/>
      <c r="RTD22" s="12"/>
      <c r="RTU22" s="12"/>
      <c r="RTV22" s="12"/>
      <c r="RUM22" s="12"/>
      <c r="RUN22" s="12"/>
      <c r="RVE22" s="12"/>
      <c r="RVF22" s="12"/>
      <c r="RVW22" s="12"/>
      <c r="RVX22" s="12"/>
      <c r="RWO22" s="12"/>
      <c r="RWP22" s="12"/>
      <c r="RXG22" s="12"/>
      <c r="RXH22" s="12"/>
      <c r="RXY22" s="12"/>
      <c r="RXZ22" s="12"/>
      <c r="RYQ22" s="12"/>
      <c r="RYR22" s="12"/>
      <c r="RZI22" s="12"/>
      <c r="RZJ22" s="12"/>
      <c r="SAA22" s="12"/>
      <c r="SAB22" s="12"/>
      <c r="SAS22" s="12"/>
      <c r="SAT22" s="12"/>
      <c r="SBK22" s="12"/>
      <c r="SBL22" s="12"/>
      <c r="SCC22" s="12"/>
      <c r="SCD22" s="12"/>
      <c r="SCU22" s="12"/>
      <c r="SCV22" s="12"/>
      <c r="SDM22" s="12"/>
      <c r="SDN22" s="12"/>
      <c r="SEE22" s="12"/>
      <c r="SEF22" s="12"/>
      <c r="SEW22" s="12"/>
      <c r="SEX22" s="12"/>
      <c r="SFO22" s="12"/>
      <c r="SFP22" s="12"/>
      <c r="SGG22" s="12"/>
      <c r="SGH22" s="12"/>
      <c r="SGY22" s="12"/>
      <c r="SGZ22" s="12"/>
      <c r="SHQ22" s="12"/>
      <c r="SHR22" s="12"/>
      <c r="SII22" s="12"/>
      <c r="SIJ22" s="12"/>
      <c r="SJA22" s="12"/>
      <c r="SJB22" s="12"/>
      <c r="SJS22" s="12"/>
      <c r="SJT22" s="12"/>
      <c r="SKK22" s="12"/>
      <c r="SKL22" s="12"/>
      <c r="SLC22" s="12"/>
      <c r="SLD22" s="12"/>
      <c r="SLU22" s="12"/>
      <c r="SLV22" s="12"/>
      <c r="SMM22" s="12"/>
      <c r="SMN22" s="12"/>
      <c r="SNE22" s="12"/>
      <c r="SNF22" s="12"/>
      <c r="SNW22" s="12"/>
      <c r="SNX22" s="12"/>
      <c r="SOO22" s="12"/>
      <c r="SOP22" s="12"/>
      <c r="SPG22" s="12"/>
      <c r="SPH22" s="12"/>
      <c r="SPY22" s="12"/>
      <c r="SPZ22" s="12"/>
      <c r="SQQ22" s="12"/>
      <c r="SQR22" s="12"/>
      <c r="SRI22" s="12"/>
      <c r="SRJ22" s="12"/>
      <c r="SSA22" s="12"/>
      <c r="SSB22" s="12"/>
      <c r="SSS22" s="12"/>
      <c r="SST22" s="12"/>
      <c r="STK22" s="12"/>
      <c r="STL22" s="12"/>
      <c r="SUC22" s="12"/>
      <c r="SUD22" s="12"/>
      <c r="SUU22" s="12"/>
      <c r="SUV22" s="12"/>
      <c r="SVM22" s="12"/>
      <c r="SVN22" s="12"/>
      <c r="SWE22" s="12"/>
      <c r="SWF22" s="12"/>
      <c r="SWW22" s="12"/>
      <c r="SWX22" s="12"/>
      <c r="SXO22" s="12"/>
      <c r="SXP22" s="12"/>
      <c r="SYG22" s="12"/>
      <c r="SYH22" s="12"/>
      <c r="SYY22" s="12"/>
      <c r="SYZ22" s="12"/>
      <c r="SZQ22" s="12"/>
      <c r="SZR22" s="12"/>
      <c r="TAI22" s="12"/>
      <c r="TAJ22" s="12"/>
      <c r="TBA22" s="12"/>
      <c r="TBB22" s="12"/>
      <c r="TBS22" s="12"/>
      <c r="TBT22" s="12"/>
      <c r="TCK22" s="12"/>
      <c r="TCL22" s="12"/>
      <c r="TDC22" s="12"/>
      <c r="TDD22" s="12"/>
      <c r="TDU22" s="12"/>
      <c r="TDV22" s="12"/>
      <c r="TEM22" s="12"/>
      <c r="TEN22" s="12"/>
      <c r="TFE22" s="12"/>
      <c r="TFF22" s="12"/>
      <c r="TFW22" s="12"/>
      <c r="TFX22" s="12"/>
      <c r="TGO22" s="12"/>
      <c r="TGP22" s="12"/>
      <c r="THG22" s="12"/>
      <c r="THH22" s="12"/>
      <c r="THY22" s="12"/>
      <c r="THZ22" s="12"/>
      <c r="TIQ22" s="12"/>
      <c r="TIR22" s="12"/>
      <c r="TJI22" s="12"/>
      <c r="TJJ22" s="12"/>
      <c r="TKA22" s="12"/>
      <c r="TKB22" s="12"/>
      <c r="TKS22" s="12"/>
      <c r="TKT22" s="12"/>
      <c r="TLK22" s="12"/>
      <c r="TLL22" s="12"/>
      <c r="TMC22" s="12"/>
      <c r="TMD22" s="12"/>
      <c r="TMU22" s="12"/>
      <c r="TMV22" s="12"/>
      <c r="TNM22" s="12"/>
      <c r="TNN22" s="12"/>
      <c r="TOE22" s="12"/>
      <c r="TOF22" s="12"/>
      <c r="TOW22" s="12"/>
      <c r="TOX22" s="12"/>
      <c r="TPO22" s="12"/>
      <c r="TPP22" s="12"/>
      <c r="TQG22" s="12"/>
      <c r="TQH22" s="12"/>
      <c r="TQY22" s="12"/>
      <c r="TQZ22" s="12"/>
      <c r="TRQ22" s="12"/>
      <c r="TRR22" s="12"/>
      <c r="TSI22" s="12"/>
      <c r="TSJ22" s="12"/>
      <c r="TTA22" s="12"/>
      <c r="TTB22" s="12"/>
      <c r="TTS22" s="12"/>
      <c r="TTT22" s="12"/>
      <c r="TUK22" s="12"/>
      <c r="TUL22" s="12"/>
      <c r="TVC22" s="12"/>
      <c r="TVD22" s="12"/>
      <c r="TVU22" s="12"/>
      <c r="TVV22" s="12"/>
      <c r="TWM22" s="12"/>
      <c r="TWN22" s="12"/>
      <c r="TXE22" s="12"/>
      <c r="TXF22" s="12"/>
      <c r="TXW22" s="12"/>
      <c r="TXX22" s="12"/>
      <c r="TYO22" s="12"/>
      <c r="TYP22" s="12"/>
      <c r="TZG22" s="12"/>
      <c r="TZH22" s="12"/>
      <c r="TZY22" s="12"/>
      <c r="TZZ22" s="12"/>
      <c r="UAQ22" s="12"/>
      <c r="UAR22" s="12"/>
      <c r="UBI22" s="12"/>
      <c r="UBJ22" s="12"/>
      <c r="UCA22" s="12"/>
      <c r="UCB22" s="12"/>
      <c r="UCS22" s="12"/>
      <c r="UCT22" s="12"/>
      <c r="UDK22" s="12"/>
      <c r="UDL22" s="12"/>
      <c r="UEC22" s="12"/>
      <c r="UED22" s="12"/>
      <c r="UEU22" s="12"/>
      <c r="UEV22" s="12"/>
      <c r="UFM22" s="12"/>
      <c r="UFN22" s="12"/>
      <c r="UGE22" s="12"/>
      <c r="UGF22" s="12"/>
      <c r="UGW22" s="12"/>
      <c r="UGX22" s="12"/>
      <c r="UHO22" s="12"/>
      <c r="UHP22" s="12"/>
      <c r="UIG22" s="12"/>
      <c r="UIH22" s="12"/>
      <c r="UIY22" s="12"/>
      <c r="UIZ22" s="12"/>
      <c r="UJQ22" s="12"/>
      <c r="UJR22" s="12"/>
      <c r="UKI22" s="12"/>
      <c r="UKJ22" s="12"/>
      <c r="ULA22" s="12"/>
      <c r="ULB22" s="12"/>
      <c r="ULS22" s="12"/>
      <c r="ULT22" s="12"/>
      <c r="UMK22" s="12"/>
      <c r="UML22" s="12"/>
      <c r="UNC22" s="12"/>
      <c r="UND22" s="12"/>
      <c r="UNU22" s="12"/>
      <c r="UNV22" s="12"/>
      <c r="UOM22" s="12"/>
      <c r="UON22" s="12"/>
      <c r="UPE22" s="12"/>
      <c r="UPF22" s="12"/>
      <c r="UPW22" s="12"/>
      <c r="UPX22" s="12"/>
      <c r="UQO22" s="12"/>
      <c r="UQP22" s="12"/>
      <c r="URG22" s="12"/>
      <c r="URH22" s="12"/>
      <c r="URY22" s="12"/>
      <c r="URZ22" s="12"/>
      <c r="USQ22" s="12"/>
      <c r="USR22" s="12"/>
      <c r="UTI22" s="12"/>
      <c r="UTJ22" s="12"/>
      <c r="UUA22" s="12"/>
      <c r="UUB22" s="12"/>
      <c r="UUS22" s="12"/>
      <c r="UUT22" s="12"/>
      <c r="UVK22" s="12"/>
      <c r="UVL22" s="12"/>
      <c r="UWC22" s="12"/>
      <c r="UWD22" s="12"/>
      <c r="UWU22" s="12"/>
      <c r="UWV22" s="12"/>
      <c r="UXM22" s="12"/>
      <c r="UXN22" s="12"/>
      <c r="UYE22" s="12"/>
      <c r="UYF22" s="12"/>
      <c r="UYW22" s="12"/>
      <c r="UYX22" s="12"/>
      <c r="UZO22" s="12"/>
      <c r="UZP22" s="12"/>
      <c r="VAG22" s="12"/>
      <c r="VAH22" s="12"/>
      <c r="VAY22" s="12"/>
      <c r="VAZ22" s="12"/>
      <c r="VBQ22" s="12"/>
      <c r="VBR22" s="12"/>
      <c r="VCI22" s="12"/>
      <c r="VCJ22" s="12"/>
      <c r="VDA22" s="12"/>
      <c r="VDB22" s="12"/>
      <c r="VDS22" s="12"/>
      <c r="VDT22" s="12"/>
      <c r="VEK22" s="12"/>
      <c r="VEL22" s="12"/>
      <c r="VFC22" s="12"/>
      <c r="VFD22" s="12"/>
      <c r="VFU22" s="12"/>
      <c r="VFV22" s="12"/>
      <c r="VGM22" s="12"/>
      <c r="VGN22" s="12"/>
      <c r="VHE22" s="12"/>
      <c r="VHF22" s="12"/>
      <c r="VHW22" s="12"/>
      <c r="VHX22" s="12"/>
      <c r="VIO22" s="12"/>
      <c r="VIP22" s="12"/>
      <c r="VJG22" s="12"/>
      <c r="VJH22" s="12"/>
      <c r="VJY22" s="12"/>
      <c r="VJZ22" s="12"/>
      <c r="VKQ22" s="12"/>
      <c r="VKR22" s="12"/>
      <c r="VLI22" s="12"/>
      <c r="VLJ22" s="12"/>
      <c r="VMA22" s="12"/>
      <c r="VMB22" s="12"/>
      <c r="VMS22" s="12"/>
      <c r="VMT22" s="12"/>
      <c r="VNK22" s="12"/>
      <c r="VNL22" s="12"/>
      <c r="VOC22" s="12"/>
      <c r="VOD22" s="12"/>
      <c r="VOU22" s="12"/>
      <c r="VOV22" s="12"/>
      <c r="VPM22" s="12"/>
      <c r="VPN22" s="12"/>
      <c r="VQE22" s="12"/>
      <c r="VQF22" s="12"/>
      <c r="VQW22" s="12"/>
      <c r="VQX22" s="12"/>
      <c r="VRO22" s="12"/>
      <c r="VRP22" s="12"/>
      <c r="VSG22" s="12"/>
      <c r="VSH22" s="12"/>
      <c r="VSY22" s="12"/>
      <c r="VSZ22" s="12"/>
      <c r="VTQ22" s="12"/>
      <c r="VTR22" s="12"/>
      <c r="VUI22" s="12"/>
      <c r="VUJ22" s="12"/>
      <c r="VVA22" s="12"/>
      <c r="VVB22" s="12"/>
      <c r="VVS22" s="12"/>
      <c r="VVT22" s="12"/>
      <c r="VWK22" s="12"/>
      <c r="VWL22" s="12"/>
      <c r="VXC22" s="12"/>
      <c r="VXD22" s="12"/>
      <c r="VXU22" s="12"/>
      <c r="VXV22" s="12"/>
      <c r="VYM22" s="12"/>
      <c r="VYN22" s="12"/>
      <c r="VZE22" s="12"/>
      <c r="VZF22" s="12"/>
      <c r="VZW22" s="12"/>
      <c r="VZX22" s="12"/>
      <c r="WAO22" s="12"/>
      <c r="WAP22" s="12"/>
      <c r="WBG22" s="12"/>
      <c r="WBH22" s="12"/>
      <c r="WBY22" s="12"/>
      <c r="WBZ22" s="12"/>
      <c r="WCQ22" s="12"/>
      <c r="WCR22" s="12"/>
      <c r="WDI22" s="12"/>
      <c r="WDJ22" s="12"/>
      <c r="WEA22" s="12"/>
      <c r="WEB22" s="12"/>
      <c r="WES22" s="12"/>
      <c r="WET22" s="12"/>
      <c r="WFK22" s="12"/>
      <c r="WFL22" s="12"/>
      <c r="WGC22" s="12"/>
      <c r="WGD22" s="12"/>
      <c r="WGU22" s="12"/>
      <c r="WGV22" s="12"/>
      <c r="WHM22" s="12"/>
      <c r="WHN22" s="12"/>
      <c r="WIE22" s="12"/>
      <c r="WIF22" s="12"/>
      <c r="WIW22" s="12"/>
      <c r="WIX22" s="12"/>
      <c r="WJO22" s="12"/>
      <c r="WJP22" s="12"/>
      <c r="WKG22" s="12"/>
      <c r="WKH22" s="12"/>
      <c r="WKY22" s="12"/>
      <c r="WKZ22" s="12"/>
      <c r="WLQ22" s="12"/>
      <c r="WLR22" s="12"/>
      <c r="WMI22" s="12"/>
      <c r="WMJ22" s="12"/>
      <c r="WNA22" s="12"/>
      <c r="WNB22" s="12"/>
      <c r="WNS22" s="12"/>
      <c r="WNT22" s="12"/>
      <c r="WOK22" s="12"/>
      <c r="WOL22" s="12"/>
      <c r="WPC22" s="12"/>
      <c r="WPD22" s="12"/>
      <c r="WPU22" s="12"/>
      <c r="WPV22" s="12"/>
      <c r="WQM22" s="12"/>
      <c r="WQN22" s="12"/>
      <c r="WRE22" s="12"/>
      <c r="WRF22" s="12"/>
      <c r="WRW22" s="12"/>
      <c r="WRX22" s="12"/>
      <c r="WSO22" s="12"/>
      <c r="WSP22" s="12"/>
      <c r="WTG22" s="12"/>
      <c r="WTH22" s="12"/>
      <c r="WTY22" s="12"/>
      <c r="WTZ22" s="12"/>
      <c r="WUQ22" s="12"/>
      <c r="WUR22" s="12"/>
      <c r="WVI22" s="12"/>
      <c r="WVJ22" s="12"/>
      <c r="WWA22" s="12"/>
      <c r="WWB22" s="12"/>
      <c r="WWS22" s="12"/>
      <c r="WWT22" s="12"/>
      <c r="WXK22" s="12"/>
      <c r="WXL22" s="12"/>
      <c r="WYC22" s="12"/>
      <c r="WYD22" s="12"/>
      <c r="WYU22" s="12"/>
      <c r="WYV22" s="12"/>
      <c r="WZM22" s="12"/>
      <c r="WZN22" s="12"/>
      <c r="XAE22" s="12"/>
      <c r="XAF22" s="12"/>
      <c r="XAW22" s="12"/>
      <c r="XAX22" s="12"/>
      <c r="XBO22" s="12"/>
      <c r="XBP22" s="12"/>
      <c r="XCG22" s="12"/>
      <c r="XCH22" s="12"/>
      <c r="XCY22" s="12"/>
      <c r="XCZ22" s="12"/>
      <c r="XDQ22" s="12"/>
      <c r="XDR22" s="12"/>
      <c r="XEI22" s="12"/>
      <c r="XEJ22" s="12"/>
      <c r="XFA22" s="12"/>
      <c r="XFB22" s="12"/>
    </row>
    <row r="23" spans="1:1010 1027:2036 2053:3062 3079:4088 4105:5114 5131:6140 6157:7166 7183:8192 8209:9200 9217:10226 10243:11252 11269:12278 12295:13304 13321:14330 14347:15356 15373:16382" x14ac:dyDescent="0.35">
      <c r="A23" s="181" t="str">
        <f>'Income - GAAP'!A23</f>
        <v xml:space="preserve">    + Selling, General &amp; Admin</v>
      </c>
      <c r="B23" s="13" t="str">
        <f>'Income - GAAP'!B23</f>
        <v>IS_SG&amp;A_EXPENSE</v>
      </c>
      <c r="C23" s="77">
        <f>IF('Income - GAAP'!C23="",0,'Income - GAAP'!C23)/'Income - GAAP'!C$9</f>
        <v>0.19053041085491984</v>
      </c>
      <c r="D23" s="77">
        <f>IF('Income - GAAP'!D23="",0,'Income - GAAP'!D23)/'Income - GAAP'!D$9</f>
        <v>0.16924042201994266</v>
      </c>
      <c r="E23" s="77">
        <f>IF('Income - GAAP'!E23="",0,'Income - GAAP'!E23)/'Income - GAAP'!E$9</f>
        <v>0.17682328990971416</v>
      </c>
      <c r="F23" s="77">
        <f>IF('Income - GAAP'!F23="",0,'Income - GAAP'!F23)/'Income - GAAP'!F$9</f>
        <v>0.21293168675349944</v>
      </c>
      <c r="G23" s="77">
        <f>IF('Income - GAAP'!G23="",0,'Income - GAAP'!G23)/'Income - GAAP'!G$9</f>
        <v>0.17778053980265099</v>
      </c>
      <c r="H23" s="77">
        <f>IF('Income - GAAP'!H23="",0,'Income - GAAP'!H23)/'Income - GAAP'!H$9</f>
        <v>0.1457580957145827</v>
      </c>
      <c r="I23" s="77">
        <f>IF('Income - GAAP'!I23="",0,'Income - GAAP'!I23)/'Income - GAAP'!I$9</f>
        <v>0.11597899689001391</v>
      </c>
      <c r="J23" s="77">
        <f>IF('Income - GAAP'!J23="",0,'Income - GAAP'!J23)/'Income - GAAP'!J$9</f>
        <v>0.13739088896932727</v>
      </c>
      <c r="K23" s="77">
        <f>IF('Income - GAAP'!K23="",0,'Income - GAAP'!K23)/'Income - GAAP'!K$9</f>
        <v>0.16031653472229088</v>
      </c>
      <c r="L23" s="77">
        <f>IF('Income - GAAP'!L23="",0,'Income - GAAP'!L23)/'Income - GAAP'!L$9</f>
        <v>0.15483582901615686</v>
      </c>
      <c r="M23" s="108"/>
      <c r="N23" s="108"/>
      <c r="O23" s="108"/>
      <c r="P23" s="108"/>
      <c r="Q23" s="108"/>
      <c r="R23" s="108"/>
      <c r="S23" s="37"/>
      <c r="T23" s="37"/>
      <c r="U23" s="37"/>
      <c r="V23" s="37"/>
      <c r="W23" s="37"/>
      <c r="X23" s="37"/>
      <c r="Y23" s="37"/>
      <c r="Z23" s="37"/>
      <c r="AA23" s="37"/>
      <c r="AB23" s="37"/>
      <c r="AC23" s="37"/>
      <c r="AD23" s="37"/>
      <c r="AE23" s="37"/>
      <c r="AF23" s="37"/>
      <c r="AG23" s="37"/>
      <c r="AH23" s="37"/>
      <c r="AI23" s="37"/>
      <c r="AJ23" s="37"/>
      <c r="AK23" s="37"/>
    </row>
    <row r="24" spans="1:1010 1027:2036 2053:3062 3079:4088 4105:5114 5131:6140 6157:7166 7183:8192 8209:9200 9217:10226 10243:11252 11269:12278 12295:13304 13321:14330 14347:15356 15373:16382" x14ac:dyDescent="0.35">
      <c r="A24" s="181" t="str">
        <f>'Income - GAAP'!A24</f>
        <v xml:space="preserve">        + Selling &amp; Marketing</v>
      </c>
      <c r="B24" s="13" t="str">
        <f>'Income - GAAP'!B24</f>
        <v>IS_SELLING_EXPENSES</v>
      </c>
      <c r="C24" s="77">
        <f>IF('Income - GAAP'!C24="",0,'Income - GAAP'!C24)/'Income - GAAP'!C$9</f>
        <v>8.1278284157386277E-2</v>
      </c>
      <c r="D24" s="77">
        <f>IF('Income - GAAP'!D24="",0,'Income - GAAP'!D24)/'Income - GAAP'!D$9</f>
        <v>7.8583356660907169E-2</v>
      </c>
      <c r="E24" s="77">
        <f>IF('Income - GAAP'!E24="",0,'Income - GAAP'!E24)/'Income - GAAP'!E$9</f>
        <v>7.4647848750696078E-2</v>
      </c>
      <c r="F24" s="77">
        <f>IF('Income - GAAP'!F24="",0,'Income - GAAP'!F24)/'Income - GAAP'!F$9</f>
        <v>6.9403159847952589E-2</v>
      </c>
      <c r="G24" s="77">
        <f>IF('Income - GAAP'!G24="",0,'Income - GAAP'!G24)/'Income - GAAP'!G$9</f>
        <v>6.6240846696384179E-2</v>
      </c>
      <c r="H24" s="77">
        <f>IF('Income - GAAP'!H24="",0,'Income - GAAP'!H24)/'Income - GAAP'!H$9</f>
        <v>5.4287355147398207E-2</v>
      </c>
      <c r="I24" s="77">
        <f>IF('Income - GAAP'!I24="",0,'Income - GAAP'!I24)/'Income - GAAP'!I$9</f>
        <v>4.4009481759808393E-2</v>
      </c>
      <c r="J24" s="77">
        <f>IF('Income - GAAP'!J24="",0,'Income - GAAP'!J24)/'Income - GAAP'!J$9</f>
        <v>5.3703989413782266E-2</v>
      </c>
      <c r="K24" s="77">
        <f>IF('Income - GAAP'!K24="",0,'Income - GAAP'!K24)/'Income - GAAP'!K$9</f>
        <v>6.573333728672287E-2</v>
      </c>
      <c r="L24" s="77">
        <f>IF('Income - GAAP'!L24="",0,'Income - GAAP'!L24)/'Income - GAAP'!L$9</f>
        <v>6.1711967449672368E-2</v>
      </c>
      <c r="M24" s="108"/>
      <c r="N24" s="108"/>
      <c r="O24" s="108"/>
      <c r="P24" s="108"/>
      <c r="Q24" s="108"/>
      <c r="R24" s="108"/>
      <c r="S24" s="37"/>
      <c r="T24" s="37"/>
      <c r="U24" s="37"/>
      <c r="V24" s="37"/>
      <c r="W24" s="37"/>
      <c r="X24" s="37"/>
      <c r="Y24" s="37"/>
      <c r="Z24" s="37"/>
      <c r="AA24" s="37"/>
      <c r="AB24" s="37"/>
      <c r="AC24" s="37"/>
      <c r="AD24" s="37"/>
      <c r="AE24" s="37"/>
      <c r="AF24" s="37"/>
      <c r="AG24" s="37"/>
      <c r="AH24" s="37"/>
      <c r="AI24" s="37"/>
      <c r="AJ24" s="37"/>
      <c r="AK24" s="37"/>
    </row>
    <row r="25" spans="1:1010 1027:2036 2053:3062 3079:4088 4105:5114 5131:6140 6157:7166 7183:8192 8209:9200 9217:10226 10243:11252 11269:12278 12295:13304 13321:14330 14347:15356 15373:16382" x14ac:dyDescent="0.35">
      <c r="A25" s="185" t="str">
        <f>'Income - GAAP'!A25</f>
        <v xml:space="preserve">        + General &amp; Administrative</v>
      </c>
      <c r="B25" s="3" t="str">
        <f>'Income - GAAP'!B25</f>
        <v>IS_GENERAL_AND_ADMINISTRATIVE</v>
      </c>
      <c r="C25" s="77">
        <f>IF('Income - GAAP'!C25="",0,'Income - GAAP'!C25)/'Income - GAAP'!C$9</f>
        <v>0.10925212669753356</v>
      </c>
      <c r="D25" s="77">
        <f>IF('Income - GAAP'!D25="",0,'Income - GAAP'!D25)/'Income - GAAP'!D$9</f>
        <v>9.0657065359035491E-2</v>
      </c>
      <c r="E25" s="77">
        <f>IF('Income - GAAP'!E25="",0,'Income - GAAP'!E25)/'Income - GAAP'!E$9</f>
        <v>0.10217544115901808</v>
      </c>
      <c r="F25" s="77">
        <f>IF('Income - GAAP'!F25="",0,'Income - GAAP'!F25)/'Income - GAAP'!F$9</f>
        <v>0.14352852690554685</v>
      </c>
      <c r="G25" s="77">
        <f>IF('Income - GAAP'!G25="",0,'Income - GAAP'!G25)/'Income - GAAP'!G$9</f>
        <v>0.11153969310626681</v>
      </c>
      <c r="H25" s="77">
        <f>IF('Income - GAAP'!H25="",0,'Income - GAAP'!H25)/'Income - GAAP'!H$9</f>
        <v>9.1470740567184489E-2</v>
      </c>
      <c r="I25" s="77">
        <f>IF('Income - GAAP'!I25="",0,'Income - GAAP'!I25)/'Income - GAAP'!I$9</f>
        <v>7.1969515130205525E-2</v>
      </c>
      <c r="J25" s="77">
        <f>IF('Income - GAAP'!J25="",0,'Income - GAAP'!J25)/'Income - GAAP'!J$9</f>
        <v>8.3686899555545008E-2</v>
      </c>
      <c r="K25" s="77">
        <f>IF('Income - GAAP'!K25="",0,'Income - GAAP'!K25)/'Income - GAAP'!K$9</f>
        <v>9.4583197435567992E-2</v>
      </c>
      <c r="L25" s="77">
        <f>IF('Income - GAAP'!L25="",0,'Income - GAAP'!L25)/'Income - GAAP'!L$9</f>
        <v>9.31238615664845E-2</v>
      </c>
      <c r="M25" s="108"/>
      <c r="N25" s="108"/>
      <c r="O25" s="108"/>
      <c r="P25" s="108"/>
      <c r="Q25" s="108"/>
      <c r="R25" s="108"/>
      <c r="S25" s="37"/>
      <c r="T25" s="37"/>
      <c r="U25" s="37"/>
      <c r="V25" s="37"/>
      <c r="W25" s="37"/>
      <c r="X25" s="37"/>
      <c r="Y25" s="37"/>
      <c r="Z25" s="37"/>
      <c r="AA25" s="37"/>
      <c r="AB25" s="37"/>
      <c r="AC25" s="37"/>
      <c r="AD25" s="37"/>
      <c r="AE25" s="37"/>
      <c r="AF25" s="37"/>
      <c r="AG25" s="37"/>
      <c r="AH25" s="37"/>
      <c r="AI25" s="37"/>
      <c r="AJ25" s="37"/>
      <c r="AK25" s="37"/>
    </row>
    <row r="26" spans="1:1010 1027:2036 2053:3062 3079:4088 4105:5114 5131:6140 6157:7166 7183:8192 8209:9200 9217:10226 10243:11252 11269:12278 12295:13304 13321:14330 14347:15356 15373:16382" x14ac:dyDescent="0.35">
      <c r="A26" s="181" t="str">
        <f>'Income - GAAP'!A26</f>
        <v xml:space="preserve">    + Research &amp; Development</v>
      </c>
      <c r="B26" s="13" t="str">
        <f>'Income - GAAP'!B26</f>
        <v>IS_OPERATING_EXPENSES_R&amp;D</v>
      </c>
      <c r="C26" s="77">
        <f>IF('Income - GAAP'!C26="",0,'Income - GAAP'!C26)/'Income - GAAP'!C$9</f>
        <v>3.0684861476614561E-2</v>
      </c>
      <c r="D26" s="77">
        <f>IF('Income - GAAP'!D26="",0,'Income - GAAP'!D26)/'Income - GAAP'!D$9</f>
        <v>3.3103275191366542E-2</v>
      </c>
      <c r="E26" s="77">
        <f>IF('Income - GAAP'!E26="",0,'Income - GAAP'!E26)/'Income - GAAP'!E$9</f>
        <v>2.930774778393478E-2</v>
      </c>
      <c r="F26" s="77">
        <f>IF('Income - GAAP'!F26="",0,'Income - GAAP'!F26)/'Income - GAAP'!F$9</f>
        <v>3.1382298366030736E-2</v>
      </c>
      <c r="G26" s="77">
        <f>IF('Income - GAAP'!G26="",0,'Income - GAAP'!G26)/'Income - GAAP'!G$9</f>
        <v>2.938747651108508E-2</v>
      </c>
      <c r="H26" s="77">
        <f>IF('Income - GAAP'!H26="",0,'Income - GAAP'!H26)/'Income - GAAP'!H$9</f>
        <v>2.3534033534984834E-2</v>
      </c>
      <c r="I26" s="77">
        <f>IF('Income - GAAP'!I26="",0,'Income - GAAP'!I26)/'Income - GAAP'!I$9</f>
        <v>1.9649870319938031E-2</v>
      </c>
      <c r="J26" s="77">
        <f>IF('Income - GAAP'!J26="",0,'Income - GAAP'!J26)/'Income - GAAP'!J$9</f>
        <v>2.7026305326932551E-2</v>
      </c>
      <c r="K26" s="77">
        <f>IF('Income - GAAP'!K26="",0,'Income - GAAP'!K26)/'Income - GAAP'!K$9</f>
        <v>2.8205787103384436E-2</v>
      </c>
      <c r="L26" s="77">
        <f>IF('Income - GAAP'!L26="",0,'Income - GAAP'!L26)/'Income - GAAP'!L$9</f>
        <v>2.6509237574811342E-2</v>
      </c>
      <c r="M26" s="108"/>
      <c r="N26" s="108"/>
      <c r="O26" s="108"/>
      <c r="P26" s="108"/>
      <c r="Q26" s="108"/>
      <c r="R26" s="108"/>
      <c r="S26" s="37"/>
      <c r="T26" s="37"/>
      <c r="U26" s="37"/>
      <c r="V26" s="37"/>
      <c r="W26" s="37"/>
      <c r="X26" s="37"/>
      <c r="Y26" s="37"/>
      <c r="Z26" s="37"/>
      <c r="AA26" s="37"/>
      <c r="AB26" s="37"/>
      <c r="AC26" s="37"/>
      <c r="AD26" s="37"/>
      <c r="AE26" s="37"/>
      <c r="AF26" s="37"/>
      <c r="AG26" s="37"/>
      <c r="AH26" s="37"/>
      <c r="AI26" s="37"/>
      <c r="AJ26" s="37"/>
      <c r="AK26" s="37"/>
    </row>
    <row r="27" spans="1:1010 1027:2036 2053:3062 3079:4088 4105:5114 5131:6140 6157:7166 7183:8192 8209:9200 9217:10226 10243:11252 11269:12278 12295:13304 13321:14330 14347:15356 15373:16382" x14ac:dyDescent="0.35">
      <c r="A27" s="181" t="str">
        <f>'Income - GAAP'!A27</f>
        <v xml:space="preserve">    + IS Depreciation &amp; Amortization</v>
      </c>
      <c r="B27" s="4" t="str">
        <f>'Income - GAAP'!B27</f>
        <v>IS_DEPRECIATION_AND_AMORTIZATION</v>
      </c>
      <c r="C27" s="77">
        <f>IF('Income - GAAP'!C27="",0,'Income - GAAP'!C27)/'Income - GAAP'!C$9</f>
        <v>0</v>
      </c>
      <c r="D27" s="77">
        <f>IF('Income - GAAP'!D27="",0,'Income - GAAP'!D27)/'Income - GAAP'!D$9</f>
        <v>0</v>
      </c>
      <c r="E27" s="77">
        <f>IF('Income - GAAP'!E27="",0,'Income - GAAP'!E27)/'Income - GAAP'!E$9</f>
        <v>0</v>
      </c>
      <c r="F27" s="77">
        <f>IF('Income - GAAP'!F27="",0,'Income - GAAP'!F27)/'Income - GAAP'!F$9</f>
        <v>0</v>
      </c>
      <c r="G27" s="77">
        <f>IF('Income - GAAP'!G27="",0,'Income - GAAP'!G27)/'Income - GAAP'!G$9</f>
        <v>0</v>
      </c>
      <c r="H27" s="77">
        <f>IF('Income - GAAP'!H27="",0,'Income - GAAP'!H27)/'Income - GAAP'!H$9</f>
        <v>0</v>
      </c>
      <c r="I27" s="77">
        <f>IF('Income - GAAP'!I27="",0,'Income - GAAP'!I27)/'Income - GAAP'!I$9</f>
        <v>0</v>
      </c>
      <c r="J27" s="77">
        <f>IF('Income - GAAP'!J27="",0,'Income - GAAP'!J27)/'Income - GAAP'!J$9</f>
        <v>0</v>
      </c>
      <c r="K27" s="77">
        <f>IF('Income - GAAP'!K27="",0,'Income - GAAP'!K27)/'Income - GAAP'!K$9</f>
        <v>0</v>
      </c>
      <c r="L27" s="77">
        <f>IF('Income - GAAP'!L27="",0,'Income - GAAP'!L27)/'Income - GAAP'!L$9</f>
        <v>0</v>
      </c>
      <c r="M27" s="108"/>
      <c r="N27" s="108"/>
      <c r="O27" s="108"/>
      <c r="P27" s="108"/>
      <c r="Q27" s="108"/>
      <c r="R27" s="108"/>
      <c r="S27" s="37"/>
      <c r="T27" s="37"/>
      <c r="U27" s="37"/>
      <c r="V27" s="37"/>
      <c r="W27" s="37"/>
      <c r="X27" s="37"/>
      <c r="Y27" s="37"/>
      <c r="Z27" s="37"/>
      <c r="AA27" s="37"/>
      <c r="AB27" s="37"/>
      <c r="AC27" s="37"/>
      <c r="AD27" s="37"/>
      <c r="AE27" s="37"/>
      <c r="AF27" s="37"/>
      <c r="AG27" s="37"/>
      <c r="AH27" s="37"/>
      <c r="AI27" s="37"/>
      <c r="AJ27" s="37"/>
      <c r="AK27" s="37"/>
    </row>
    <row r="28" spans="1:1010 1027:2036 2053:3062 3079:4088 4105:5114 5131:6140 6157:7166 7183:8192 8209:9200 9217:10226 10243:11252 11269:12278 12295:13304 13321:14330 14347:15356 15373:16382" x14ac:dyDescent="0.35">
      <c r="A28" s="181" t="str">
        <f>'Income - GAAP'!A28</f>
        <v xml:space="preserve">    + Other Operating Expense</v>
      </c>
      <c r="B28" s="13" t="str">
        <f>'Income - GAAP'!B28</f>
        <v>OTHER_OPERATING_EXPENSES_RATIO</v>
      </c>
      <c r="C28" s="77">
        <f>IF('Income - GAAP'!C28="",0,'Income - GAAP'!C28)/'Income - GAAP'!C$9</f>
        <v>0</v>
      </c>
      <c r="D28" s="77">
        <f>IF('Income - GAAP'!D28="",0,'Income - GAAP'!D28)/'Income - GAAP'!D$9</f>
        <v>0</v>
      </c>
      <c r="E28" s="77">
        <f>IF('Income - GAAP'!E28="",0,'Income - GAAP'!E28)/'Income - GAAP'!E$9</f>
        <v>0</v>
      </c>
      <c r="F28" s="77">
        <f>IF('Income - GAAP'!F28="",0,'Income - GAAP'!F28)/'Income - GAAP'!F$9</f>
        <v>0</v>
      </c>
      <c r="G28" s="77">
        <f>IF('Income - GAAP'!G28="",0,'Income - GAAP'!G28)/'Income - GAAP'!G$9</f>
        <v>0</v>
      </c>
      <c r="H28" s="77">
        <f>IF('Income - GAAP'!H28="",0,'Income - GAAP'!H28)/'Income - GAAP'!H$9</f>
        <v>0</v>
      </c>
      <c r="I28" s="77">
        <f>IF('Income - GAAP'!I28="",0,'Income - GAAP'!I28)/'Income - GAAP'!I$9</f>
        <v>0</v>
      </c>
      <c r="J28" s="77">
        <f>IF('Income - GAAP'!J28="",0,'Income - GAAP'!J28)/'Income - GAAP'!J$9</f>
        <v>0</v>
      </c>
      <c r="K28" s="77">
        <f>IF('Income - GAAP'!K28="",0,'Income - GAAP'!K28)/'Income - GAAP'!K$9</f>
        <v>0</v>
      </c>
      <c r="L28" s="77">
        <f>IF('Income - GAAP'!L28="",0,'Income - GAAP'!L28)/'Income - GAAP'!L$9</f>
        <v>0</v>
      </c>
      <c r="M28" s="108"/>
      <c r="N28" s="108"/>
      <c r="O28" s="108"/>
      <c r="P28" s="108"/>
      <c r="Q28" s="108"/>
      <c r="R28" s="108"/>
      <c r="S28" s="37"/>
      <c r="T28" s="37"/>
      <c r="U28" s="37"/>
      <c r="V28" s="37"/>
      <c r="W28" s="37"/>
      <c r="X28" s="37"/>
      <c r="Y28" s="37"/>
      <c r="Z28" s="37"/>
      <c r="AA28" s="37"/>
      <c r="AB28" s="37"/>
      <c r="AC28" s="37"/>
      <c r="AD28" s="37"/>
      <c r="AE28" s="37"/>
      <c r="AF28" s="37"/>
      <c r="AG28" s="37"/>
      <c r="AH28" s="37"/>
      <c r="AI28" s="37"/>
      <c r="AJ28" s="37"/>
      <c r="AK28" s="37"/>
    </row>
    <row r="29" spans="1:1010 1027:2036 2053:3062 3079:4088 4105:5114 5131:6140 6157:7166 7183:8192 8209:9200 9217:10226 10243:11252 11269:12278 12295:13304 13321:14330 14347:15356 15373:16382" x14ac:dyDescent="0.35">
      <c r="A29" s="23" t="str">
        <f>'Income - GAAP'!A29</f>
        <v>check</v>
      </c>
      <c r="B29" s="23"/>
      <c r="C29" s="79"/>
      <c r="D29" s="79"/>
      <c r="E29" s="79"/>
      <c r="F29" s="79"/>
      <c r="G29" s="79"/>
      <c r="H29" s="79"/>
      <c r="I29" s="79"/>
      <c r="J29" s="79"/>
      <c r="K29" s="79"/>
      <c r="L29" s="79"/>
      <c r="M29" s="127"/>
      <c r="N29" s="127"/>
      <c r="O29" s="127"/>
      <c r="P29" s="127"/>
      <c r="Q29" s="127"/>
      <c r="R29" s="127"/>
      <c r="S29" s="37"/>
      <c r="T29" s="37"/>
      <c r="U29" s="37"/>
      <c r="V29" s="37"/>
      <c r="W29" s="37"/>
      <c r="X29" s="37"/>
      <c r="Y29" s="37"/>
      <c r="Z29" s="37"/>
      <c r="AA29" s="37"/>
      <c r="AB29" s="37"/>
      <c r="AC29" s="37"/>
      <c r="AD29" s="37"/>
      <c r="AE29" s="37"/>
      <c r="AF29" s="37"/>
      <c r="AG29" s="37"/>
      <c r="AH29" s="37"/>
      <c r="AI29" s="37"/>
      <c r="AJ29" s="37"/>
      <c r="AK29" s="37"/>
    </row>
    <row r="30" spans="1:1010 1027:2036 2053:3062 3079:4088 4105:5114 5131:6140 6157:7166 7183:8192 8209:9200 9217:10226 10243:11252 11269:12278 12295:13304 13321:14330 14347:15356 15373:16382" x14ac:dyDescent="0.35">
      <c r="A30" s="51" t="str">
        <f>'Income - GAAP'!A30</f>
        <v>Operating Income (Loss)</v>
      </c>
      <c r="B30" s="51" t="str">
        <f>'Income - GAAP'!B30</f>
        <v>IS_OPER_INC</v>
      </c>
      <c r="C30" s="81">
        <f>IF('Income - GAAP'!C30="",0,'Income - GAAP'!C30)/'Income - GAAP'!C$9</f>
        <v>6.6565197100758894E-2</v>
      </c>
      <c r="D30" s="81">
        <f>IF('Income - GAAP'!D30="",0,'Income - GAAP'!D30)/'Income - GAAP'!D$9</f>
        <v>7.7610355512225254E-2</v>
      </c>
      <c r="E30" s="81">
        <f>IF('Income - GAAP'!E30="",0,'Income - GAAP'!E30)/'Income - GAAP'!E$9</f>
        <v>7.0408340256159788E-2</v>
      </c>
      <c r="F30" s="81">
        <f>IF('Income - GAAP'!F30="",0,'Income - GAAP'!F30)/'Income - GAAP'!F$9</f>
        <v>1.3770289502603181E-2</v>
      </c>
      <c r="G30" s="81">
        <f>IF('Income - GAAP'!G30="",0,'Income - GAAP'!G30)/'Income - GAAP'!G$9</f>
        <v>0.11418351267769417</v>
      </c>
      <c r="H30" s="81">
        <f>IF('Income - GAAP'!H30="",0,'Income - GAAP'!H30)/'Income - GAAP'!H$9</f>
        <v>9.5318208883705693E-2</v>
      </c>
      <c r="I30" s="81">
        <f>IF('Income - GAAP'!I30="",0,'Income - GAAP'!I30)/'Income - GAAP'!I$9</f>
        <v>0.12279449829580028</v>
      </c>
      <c r="J30" s="81">
        <f>IF('Income - GAAP'!J30="",0,'Income - GAAP'!J30)/'Income - GAAP'!J$9</f>
        <v>0.15158941615585003</v>
      </c>
      <c r="K30" s="81">
        <f>IF('Income - GAAP'!K30="",0,'Income - GAAP'!K30)/'Income - GAAP'!K$9</f>
        <v>0.12619219403235851</v>
      </c>
      <c r="L30" s="81">
        <f>IF('Income - GAAP'!L30="",0,'Income - GAAP'!L30)/'Income - GAAP'!L$9</f>
        <v>0.13029001963428191</v>
      </c>
      <c r="M30" s="128"/>
      <c r="N30" s="128"/>
      <c r="O30" s="128"/>
      <c r="P30" s="128"/>
      <c r="Q30" s="128"/>
      <c r="R30" s="128"/>
      <c r="S30" s="37"/>
      <c r="T30" s="37"/>
      <c r="U30" s="37"/>
      <c r="V30" s="37"/>
      <c r="W30" s="37"/>
      <c r="X30" s="37"/>
      <c r="Y30" s="37"/>
      <c r="Z30" s="37"/>
      <c r="AA30" s="37"/>
      <c r="AB30" s="37"/>
      <c r="AC30" s="37"/>
      <c r="AD30" s="37"/>
      <c r="AE30" s="37"/>
      <c r="AF30" s="37"/>
      <c r="AG30" s="37"/>
      <c r="AH30" s="37"/>
      <c r="AI30" s="37"/>
      <c r="AJ30" s="37"/>
      <c r="AK30" s="37"/>
    </row>
    <row r="31" spans="1:1010 1027:2036 2053:3062 3079:4088 4105:5114 5131:6140 6157:7166 7183:8192 8209:9200 9217:10226 10243:11252 11269:12278 12295:13304 13321:14330 14347:15356 15373:16382" x14ac:dyDescent="0.35">
      <c r="A31" s="24" t="str">
        <f>'Income - GAAP'!A31</f>
        <v>check</v>
      </c>
      <c r="B31" s="24"/>
      <c r="C31" s="83"/>
      <c r="D31" s="83"/>
      <c r="E31" s="83"/>
      <c r="F31" s="83"/>
      <c r="G31" s="83"/>
      <c r="H31" s="83"/>
      <c r="I31" s="83"/>
      <c r="J31" s="83"/>
      <c r="K31" s="83"/>
      <c r="L31" s="83"/>
      <c r="M31" s="129"/>
      <c r="N31" s="129"/>
      <c r="O31" s="129"/>
      <c r="P31" s="129"/>
      <c r="Q31" s="129"/>
      <c r="R31" s="129"/>
      <c r="S31" s="37"/>
      <c r="T31" s="37"/>
      <c r="U31" s="37"/>
      <c r="V31" s="37"/>
      <c r="W31" s="37"/>
      <c r="X31" s="37"/>
      <c r="Y31" s="37"/>
      <c r="Z31" s="37"/>
      <c r="AA31" s="37"/>
      <c r="AB31" s="37"/>
      <c r="AC31" s="37"/>
      <c r="AD31" s="37"/>
      <c r="AE31" s="37"/>
      <c r="AF31" s="37"/>
      <c r="AG31" s="37"/>
      <c r="AH31" s="37"/>
      <c r="AI31" s="37"/>
      <c r="AJ31" s="37"/>
      <c r="AK31" s="37"/>
    </row>
    <row r="32" spans="1:1010 1027:2036 2053:3062 3079:4088 4105:5114 5131:6140 6157:7166 7183:8192 8209:9200 9217:10226 10243:11252 11269:12278 12295:13304 13321:14330 14347:15356 15373:16382" x14ac:dyDescent="0.35">
      <c r="A32" s="181" t="str">
        <f>'Income - GAAP'!A32</f>
        <v xml:space="preserve">  - Non-Operating (Income) Loss</v>
      </c>
      <c r="B32" s="13" t="str">
        <f>'Income - GAAP'!B32</f>
        <v>NONOP_INCOME_LOSS</v>
      </c>
      <c r="C32" s="77">
        <f>IF('Income - GAAP'!C32="",0,'Income - GAAP'!C32)/'Income - GAAP'!C$9</f>
        <v>9.850680949863579E-3</v>
      </c>
      <c r="D32" s="77">
        <f>IF('Income - GAAP'!D32="",0,'Income - GAAP'!D32)/'Income - GAAP'!D$9</f>
        <v>8.6604824464028875E-3</v>
      </c>
      <c r="E32" s="77">
        <f>IF('Income - GAAP'!E32="",0,'Income - GAAP'!E32)/'Income - GAAP'!E$9</f>
        <v>8.5995198144986802E-3</v>
      </c>
      <c r="F32" s="77">
        <f>IF('Income - GAAP'!F32="",0,'Income - GAAP'!F32)/'Income - GAAP'!F$9</f>
        <v>9.0255634221477598E-3</v>
      </c>
      <c r="G32" s="77">
        <f>IF('Income - GAAP'!G32="",0,'Income - GAAP'!G32)/'Income - GAAP'!G$9</f>
        <v>1.1289425564365947E-2</v>
      </c>
      <c r="H32" s="77">
        <f>IF('Income - GAAP'!H32="",0,'Income - GAAP'!H32)/'Income - GAAP'!H$9</f>
        <v>6.555141760886187E-3</v>
      </c>
      <c r="I32" s="77">
        <f>IF('Income - GAAP'!I32="",0,'Income - GAAP'!I32)/'Income - GAAP'!I$9</f>
        <v>8.790219307862673E-3</v>
      </c>
      <c r="J32" s="77">
        <f>IF('Income - GAAP'!J32="",0,'Income - GAAP'!J32)/'Income - GAAP'!J$9</f>
        <v>2.6836418013185303E-3</v>
      </c>
      <c r="K32" s="77">
        <f>IF('Income - GAAP'!K32="",0,'Income - GAAP'!K32)/'Income - GAAP'!K$9</f>
        <v>-4.022573854258295E-3</v>
      </c>
      <c r="L32" s="77">
        <f>IF('Income - GAAP'!L32="",0,'Income - GAAP'!L32)/'Income - GAAP'!L$9</f>
        <v>-9.5495351642892606E-3</v>
      </c>
      <c r="M32" s="108"/>
      <c r="N32" s="108"/>
      <c r="O32" s="108"/>
      <c r="P32" s="108"/>
      <c r="Q32" s="108"/>
      <c r="R32" s="108"/>
      <c r="S32" s="37"/>
      <c r="T32" s="37"/>
      <c r="U32" s="37"/>
      <c r="V32" s="37"/>
      <c r="W32" s="37"/>
      <c r="X32" s="37"/>
      <c r="Y32" s="37"/>
      <c r="Z32" s="37"/>
      <c r="AA32" s="37"/>
      <c r="AB32" s="37"/>
      <c r="AC32" s="37"/>
      <c r="AD32" s="37"/>
      <c r="AE32" s="37"/>
      <c r="AF32" s="37"/>
      <c r="AG32" s="37"/>
      <c r="AH32" s="37"/>
      <c r="AI32" s="37"/>
      <c r="AJ32" s="37"/>
      <c r="AK32" s="37"/>
    </row>
    <row r="33" spans="1:1010 1027:2036 2053:3062 3079:4088 4105:5114 5131:6140 6157:7166 7183:8192 8209:9200 9217:10226 10243:11252 11269:12278 12295:13304 13321:14330 14347:15356 15373:16382" s="11" customFormat="1" x14ac:dyDescent="0.35">
      <c r="A33" s="183" t="str">
        <f>'Income - GAAP'!A33</f>
        <v xml:space="preserve">    + Interest Expense, Net</v>
      </c>
      <c r="B33" s="75" t="str">
        <f>'Income - GAAP'!B33</f>
        <v>IS_NET_INTEREST_EXPENSE</v>
      </c>
      <c r="C33" s="76">
        <f>IF('Income - GAAP'!C33="",0,'Income - GAAP'!C33)/'Income - GAAP'!C$9</f>
        <v>7.9510312522390117E-3</v>
      </c>
      <c r="D33" s="76">
        <f>IF('Income - GAAP'!D33="",0,'Income - GAAP'!D33)/'Income - GAAP'!D$9</f>
        <v>6.9094664903423843E-3</v>
      </c>
      <c r="E33" s="76">
        <f>IF('Income - GAAP'!E33="",0,'Income - GAAP'!E33)/'Income - GAAP'!E$9</f>
        <v>5.5632137738381065E-3</v>
      </c>
      <c r="F33" s="76">
        <f>IF('Income - GAAP'!F33="",0,'Income - GAAP'!F33)/'Income - GAAP'!F$9</f>
        <v>5.3257129474499638E-3</v>
      </c>
      <c r="G33" s="76">
        <f>IF('Income - GAAP'!G33="",0,'Income - GAAP'!G33)/'Income - GAAP'!G$9</f>
        <v>5.9048814810445504E-3</v>
      </c>
      <c r="H33" s="76">
        <f>IF('Income - GAAP'!H33="",0,'Income - GAAP'!H33)/'Income - GAAP'!H$9</f>
        <v>6.461773711080498E-3</v>
      </c>
      <c r="I33" s="76">
        <f>IF('Income - GAAP'!I33="",0,'Income - GAAP'!I33)/'Income - GAAP'!I$9</f>
        <v>4.7317977587860022E-3</v>
      </c>
      <c r="J33" s="76">
        <f>IF('Income - GAAP'!J33="",0,'Income - GAAP'!J33)/'Income - GAAP'!J$9</f>
        <v>1.4909121118436277E-3</v>
      </c>
      <c r="K33" s="76">
        <f>IF('Income - GAAP'!K33="",0,'Income - GAAP'!K33)/'Income - GAAP'!K$9</f>
        <v>-3.2203652273034263E-3</v>
      </c>
      <c r="L33" s="76">
        <f>IF('Income - GAAP'!L33="",0,'Income - GAAP'!L33)/'Income - GAAP'!L$9</f>
        <v>-8.7008847254748892E-3</v>
      </c>
      <c r="M33" s="108"/>
      <c r="N33" s="108"/>
      <c r="O33" s="108"/>
      <c r="P33" s="108"/>
      <c r="Q33" s="108"/>
      <c r="R33" s="108"/>
      <c r="S33" s="109"/>
      <c r="T33" s="109"/>
      <c r="U33" s="108"/>
      <c r="V33" s="108"/>
      <c r="W33" s="108"/>
      <c r="X33" s="108"/>
      <c r="Y33" s="108"/>
      <c r="Z33" s="108"/>
      <c r="AA33" s="108"/>
      <c r="AB33" s="108"/>
      <c r="AC33" s="108"/>
      <c r="AD33" s="108"/>
      <c r="AE33" s="108"/>
      <c r="AF33" s="108"/>
      <c r="AG33" s="108"/>
      <c r="AH33" s="108"/>
      <c r="AI33" s="108"/>
      <c r="AJ33" s="108"/>
      <c r="AK33" s="109"/>
      <c r="AL33" s="12"/>
      <c r="BC33" s="12"/>
      <c r="BD33" s="12"/>
      <c r="BU33" s="12"/>
      <c r="BV33" s="12"/>
      <c r="CM33" s="12"/>
      <c r="CN33" s="12"/>
      <c r="DE33" s="12"/>
      <c r="DF33" s="12"/>
      <c r="DW33" s="12"/>
      <c r="DX33" s="12"/>
      <c r="EO33" s="12"/>
      <c r="EP33" s="12"/>
      <c r="FG33" s="12"/>
      <c r="FH33" s="12"/>
      <c r="FY33" s="12"/>
      <c r="FZ33" s="12"/>
      <c r="GQ33" s="12"/>
      <c r="GR33" s="12"/>
      <c r="HI33" s="12"/>
      <c r="HJ33" s="12"/>
      <c r="IA33" s="12"/>
      <c r="IB33" s="12"/>
      <c r="IS33" s="12"/>
      <c r="IT33" s="12"/>
      <c r="JK33" s="12"/>
      <c r="JL33" s="12"/>
      <c r="KC33" s="12"/>
      <c r="KD33" s="12"/>
      <c r="KU33" s="12"/>
      <c r="KV33" s="12"/>
      <c r="LM33" s="12"/>
      <c r="LN33" s="12"/>
      <c r="ME33" s="12"/>
      <c r="MF33" s="12"/>
      <c r="MW33" s="12"/>
      <c r="MX33" s="12"/>
      <c r="NO33" s="12"/>
      <c r="NP33" s="12"/>
      <c r="OG33" s="12"/>
      <c r="OH33" s="12"/>
      <c r="OY33" s="12"/>
      <c r="OZ33" s="12"/>
      <c r="PQ33" s="12"/>
      <c r="PR33" s="12"/>
      <c r="QI33" s="12"/>
      <c r="QJ33" s="12"/>
      <c r="RA33" s="12"/>
      <c r="RB33" s="12"/>
      <c r="RS33" s="12"/>
      <c r="RT33" s="12"/>
      <c r="SK33" s="12"/>
      <c r="SL33" s="12"/>
      <c r="TC33" s="12"/>
      <c r="TD33" s="12"/>
      <c r="TU33" s="12"/>
      <c r="TV33" s="12"/>
      <c r="UM33" s="12"/>
      <c r="UN33" s="12"/>
      <c r="VE33" s="12"/>
      <c r="VF33" s="12"/>
      <c r="VW33" s="12"/>
      <c r="VX33" s="12"/>
      <c r="WO33" s="12"/>
      <c r="WP33" s="12"/>
      <c r="XG33" s="12"/>
      <c r="XH33" s="12"/>
      <c r="XY33" s="12"/>
      <c r="XZ33" s="12"/>
      <c r="YQ33" s="12"/>
      <c r="YR33" s="12"/>
      <c r="ZI33" s="12"/>
      <c r="ZJ33" s="12"/>
      <c r="AAA33" s="12"/>
      <c r="AAB33" s="12"/>
      <c r="AAS33" s="12"/>
      <c r="AAT33" s="12"/>
      <c r="ABK33" s="12"/>
      <c r="ABL33" s="12"/>
      <c r="ACC33" s="12"/>
      <c r="ACD33" s="12"/>
      <c r="ACU33" s="12"/>
      <c r="ACV33" s="12"/>
      <c r="ADM33" s="12"/>
      <c r="ADN33" s="12"/>
      <c r="AEE33" s="12"/>
      <c r="AEF33" s="12"/>
      <c r="AEW33" s="12"/>
      <c r="AEX33" s="12"/>
      <c r="AFO33" s="12"/>
      <c r="AFP33" s="12"/>
      <c r="AGG33" s="12"/>
      <c r="AGH33" s="12"/>
      <c r="AGY33" s="12"/>
      <c r="AGZ33" s="12"/>
      <c r="AHQ33" s="12"/>
      <c r="AHR33" s="12"/>
      <c r="AII33" s="12"/>
      <c r="AIJ33" s="12"/>
      <c r="AJA33" s="12"/>
      <c r="AJB33" s="12"/>
      <c r="AJS33" s="12"/>
      <c r="AJT33" s="12"/>
      <c r="AKK33" s="12"/>
      <c r="AKL33" s="12"/>
      <c r="ALC33" s="12"/>
      <c r="ALD33" s="12"/>
      <c r="ALU33" s="12"/>
      <c r="ALV33" s="12"/>
      <c r="AMM33" s="12"/>
      <c r="AMN33" s="12"/>
      <c r="ANE33" s="12"/>
      <c r="ANF33" s="12"/>
      <c r="ANW33" s="12"/>
      <c r="ANX33" s="12"/>
      <c r="AOO33" s="12"/>
      <c r="AOP33" s="12"/>
      <c r="APG33" s="12"/>
      <c r="APH33" s="12"/>
      <c r="APY33" s="12"/>
      <c r="APZ33" s="12"/>
      <c r="AQQ33" s="12"/>
      <c r="AQR33" s="12"/>
      <c r="ARI33" s="12"/>
      <c r="ARJ33" s="12"/>
      <c r="ASA33" s="12"/>
      <c r="ASB33" s="12"/>
      <c r="ASS33" s="12"/>
      <c r="AST33" s="12"/>
      <c r="ATK33" s="12"/>
      <c r="ATL33" s="12"/>
      <c r="AUC33" s="12"/>
      <c r="AUD33" s="12"/>
      <c r="AUU33" s="12"/>
      <c r="AUV33" s="12"/>
      <c r="AVM33" s="12"/>
      <c r="AVN33" s="12"/>
      <c r="AWE33" s="12"/>
      <c r="AWF33" s="12"/>
      <c r="AWW33" s="12"/>
      <c r="AWX33" s="12"/>
      <c r="AXO33" s="12"/>
      <c r="AXP33" s="12"/>
      <c r="AYG33" s="12"/>
      <c r="AYH33" s="12"/>
      <c r="AYY33" s="12"/>
      <c r="AYZ33" s="12"/>
      <c r="AZQ33" s="12"/>
      <c r="AZR33" s="12"/>
      <c r="BAI33" s="12"/>
      <c r="BAJ33" s="12"/>
      <c r="BBA33" s="12"/>
      <c r="BBB33" s="12"/>
      <c r="BBS33" s="12"/>
      <c r="BBT33" s="12"/>
      <c r="BCK33" s="12"/>
      <c r="BCL33" s="12"/>
      <c r="BDC33" s="12"/>
      <c r="BDD33" s="12"/>
      <c r="BDU33" s="12"/>
      <c r="BDV33" s="12"/>
      <c r="BEM33" s="12"/>
      <c r="BEN33" s="12"/>
      <c r="BFE33" s="12"/>
      <c r="BFF33" s="12"/>
      <c r="BFW33" s="12"/>
      <c r="BFX33" s="12"/>
      <c r="BGO33" s="12"/>
      <c r="BGP33" s="12"/>
      <c r="BHG33" s="12"/>
      <c r="BHH33" s="12"/>
      <c r="BHY33" s="12"/>
      <c r="BHZ33" s="12"/>
      <c r="BIQ33" s="12"/>
      <c r="BIR33" s="12"/>
      <c r="BJI33" s="12"/>
      <c r="BJJ33" s="12"/>
      <c r="BKA33" s="12"/>
      <c r="BKB33" s="12"/>
      <c r="BKS33" s="12"/>
      <c r="BKT33" s="12"/>
      <c r="BLK33" s="12"/>
      <c r="BLL33" s="12"/>
      <c r="BMC33" s="12"/>
      <c r="BMD33" s="12"/>
      <c r="BMU33" s="12"/>
      <c r="BMV33" s="12"/>
      <c r="BNM33" s="12"/>
      <c r="BNN33" s="12"/>
      <c r="BOE33" s="12"/>
      <c r="BOF33" s="12"/>
      <c r="BOW33" s="12"/>
      <c r="BOX33" s="12"/>
      <c r="BPO33" s="12"/>
      <c r="BPP33" s="12"/>
      <c r="BQG33" s="12"/>
      <c r="BQH33" s="12"/>
      <c r="BQY33" s="12"/>
      <c r="BQZ33" s="12"/>
      <c r="BRQ33" s="12"/>
      <c r="BRR33" s="12"/>
      <c r="BSI33" s="12"/>
      <c r="BSJ33" s="12"/>
      <c r="BTA33" s="12"/>
      <c r="BTB33" s="12"/>
      <c r="BTS33" s="12"/>
      <c r="BTT33" s="12"/>
      <c r="BUK33" s="12"/>
      <c r="BUL33" s="12"/>
      <c r="BVC33" s="12"/>
      <c r="BVD33" s="12"/>
      <c r="BVU33" s="12"/>
      <c r="BVV33" s="12"/>
      <c r="BWM33" s="12"/>
      <c r="BWN33" s="12"/>
      <c r="BXE33" s="12"/>
      <c r="BXF33" s="12"/>
      <c r="BXW33" s="12"/>
      <c r="BXX33" s="12"/>
      <c r="BYO33" s="12"/>
      <c r="BYP33" s="12"/>
      <c r="BZG33" s="12"/>
      <c r="BZH33" s="12"/>
      <c r="BZY33" s="12"/>
      <c r="BZZ33" s="12"/>
      <c r="CAQ33" s="12"/>
      <c r="CAR33" s="12"/>
      <c r="CBI33" s="12"/>
      <c r="CBJ33" s="12"/>
      <c r="CCA33" s="12"/>
      <c r="CCB33" s="12"/>
      <c r="CCS33" s="12"/>
      <c r="CCT33" s="12"/>
      <c r="CDK33" s="12"/>
      <c r="CDL33" s="12"/>
      <c r="CEC33" s="12"/>
      <c r="CED33" s="12"/>
      <c r="CEU33" s="12"/>
      <c r="CEV33" s="12"/>
      <c r="CFM33" s="12"/>
      <c r="CFN33" s="12"/>
      <c r="CGE33" s="12"/>
      <c r="CGF33" s="12"/>
      <c r="CGW33" s="12"/>
      <c r="CGX33" s="12"/>
      <c r="CHO33" s="12"/>
      <c r="CHP33" s="12"/>
      <c r="CIG33" s="12"/>
      <c r="CIH33" s="12"/>
      <c r="CIY33" s="12"/>
      <c r="CIZ33" s="12"/>
      <c r="CJQ33" s="12"/>
      <c r="CJR33" s="12"/>
      <c r="CKI33" s="12"/>
      <c r="CKJ33" s="12"/>
      <c r="CLA33" s="12"/>
      <c r="CLB33" s="12"/>
      <c r="CLS33" s="12"/>
      <c r="CLT33" s="12"/>
      <c r="CMK33" s="12"/>
      <c r="CML33" s="12"/>
      <c r="CNC33" s="12"/>
      <c r="CND33" s="12"/>
      <c r="CNU33" s="12"/>
      <c r="CNV33" s="12"/>
      <c r="COM33" s="12"/>
      <c r="CON33" s="12"/>
      <c r="CPE33" s="12"/>
      <c r="CPF33" s="12"/>
      <c r="CPW33" s="12"/>
      <c r="CPX33" s="12"/>
      <c r="CQO33" s="12"/>
      <c r="CQP33" s="12"/>
      <c r="CRG33" s="12"/>
      <c r="CRH33" s="12"/>
      <c r="CRY33" s="12"/>
      <c r="CRZ33" s="12"/>
      <c r="CSQ33" s="12"/>
      <c r="CSR33" s="12"/>
      <c r="CTI33" s="12"/>
      <c r="CTJ33" s="12"/>
      <c r="CUA33" s="12"/>
      <c r="CUB33" s="12"/>
      <c r="CUS33" s="12"/>
      <c r="CUT33" s="12"/>
      <c r="CVK33" s="12"/>
      <c r="CVL33" s="12"/>
      <c r="CWC33" s="12"/>
      <c r="CWD33" s="12"/>
      <c r="CWU33" s="12"/>
      <c r="CWV33" s="12"/>
      <c r="CXM33" s="12"/>
      <c r="CXN33" s="12"/>
      <c r="CYE33" s="12"/>
      <c r="CYF33" s="12"/>
      <c r="CYW33" s="12"/>
      <c r="CYX33" s="12"/>
      <c r="CZO33" s="12"/>
      <c r="CZP33" s="12"/>
      <c r="DAG33" s="12"/>
      <c r="DAH33" s="12"/>
      <c r="DAY33" s="12"/>
      <c r="DAZ33" s="12"/>
      <c r="DBQ33" s="12"/>
      <c r="DBR33" s="12"/>
      <c r="DCI33" s="12"/>
      <c r="DCJ33" s="12"/>
      <c r="DDA33" s="12"/>
      <c r="DDB33" s="12"/>
      <c r="DDS33" s="12"/>
      <c r="DDT33" s="12"/>
      <c r="DEK33" s="12"/>
      <c r="DEL33" s="12"/>
      <c r="DFC33" s="12"/>
      <c r="DFD33" s="12"/>
      <c r="DFU33" s="12"/>
      <c r="DFV33" s="12"/>
      <c r="DGM33" s="12"/>
      <c r="DGN33" s="12"/>
      <c r="DHE33" s="12"/>
      <c r="DHF33" s="12"/>
      <c r="DHW33" s="12"/>
      <c r="DHX33" s="12"/>
      <c r="DIO33" s="12"/>
      <c r="DIP33" s="12"/>
      <c r="DJG33" s="12"/>
      <c r="DJH33" s="12"/>
      <c r="DJY33" s="12"/>
      <c r="DJZ33" s="12"/>
      <c r="DKQ33" s="12"/>
      <c r="DKR33" s="12"/>
      <c r="DLI33" s="12"/>
      <c r="DLJ33" s="12"/>
      <c r="DMA33" s="12"/>
      <c r="DMB33" s="12"/>
      <c r="DMS33" s="12"/>
      <c r="DMT33" s="12"/>
      <c r="DNK33" s="12"/>
      <c r="DNL33" s="12"/>
      <c r="DOC33" s="12"/>
      <c r="DOD33" s="12"/>
      <c r="DOU33" s="12"/>
      <c r="DOV33" s="12"/>
      <c r="DPM33" s="12"/>
      <c r="DPN33" s="12"/>
      <c r="DQE33" s="12"/>
      <c r="DQF33" s="12"/>
      <c r="DQW33" s="12"/>
      <c r="DQX33" s="12"/>
      <c r="DRO33" s="12"/>
      <c r="DRP33" s="12"/>
      <c r="DSG33" s="12"/>
      <c r="DSH33" s="12"/>
      <c r="DSY33" s="12"/>
      <c r="DSZ33" s="12"/>
      <c r="DTQ33" s="12"/>
      <c r="DTR33" s="12"/>
      <c r="DUI33" s="12"/>
      <c r="DUJ33" s="12"/>
      <c r="DVA33" s="12"/>
      <c r="DVB33" s="12"/>
      <c r="DVS33" s="12"/>
      <c r="DVT33" s="12"/>
      <c r="DWK33" s="12"/>
      <c r="DWL33" s="12"/>
      <c r="DXC33" s="12"/>
      <c r="DXD33" s="12"/>
      <c r="DXU33" s="12"/>
      <c r="DXV33" s="12"/>
      <c r="DYM33" s="12"/>
      <c r="DYN33" s="12"/>
      <c r="DZE33" s="12"/>
      <c r="DZF33" s="12"/>
      <c r="DZW33" s="12"/>
      <c r="DZX33" s="12"/>
      <c r="EAO33" s="12"/>
      <c r="EAP33" s="12"/>
      <c r="EBG33" s="12"/>
      <c r="EBH33" s="12"/>
      <c r="EBY33" s="12"/>
      <c r="EBZ33" s="12"/>
      <c r="ECQ33" s="12"/>
      <c r="ECR33" s="12"/>
      <c r="EDI33" s="12"/>
      <c r="EDJ33" s="12"/>
      <c r="EEA33" s="12"/>
      <c r="EEB33" s="12"/>
      <c r="EES33" s="12"/>
      <c r="EET33" s="12"/>
      <c r="EFK33" s="12"/>
      <c r="EFL33" s="12"/>
      <c r="EGC33" s="12"/>
      <c r="EGD33" s="12"/>
      <c r="EGU33" s="12"/>
      <c r="EGV33" s="12"/>
      <c r="EHM33" s="12"/>
      <c r="EHN33" s="12"/>
      <c r="EIE33" s="12"/>
      <c r="EIF33" s="12"/>
      <c r="EIW33" s="12"/>
      <c r="EIX33" s="12"/>
      <c r="EJO33" s="12"/>
      <c r="EJP33" s="12"/>
      <c r="EKG33" s="12"/>
      <c r="EKH33" s="12"/>
      <c r="EKY33" s="12"/>
      <c r="EKZ33" s="12"/>
      <c r="ELQ33" s="12"/>
      <c r="ELR33" s="12"/>
      <c r="EMI33" s="12"/>
      <c r="EMJ33" s="12"/>
      <c r="ENA33" s="12"/>
      <c r="ENB33" s="12"/>
      <c r="ENS33" s="12"/>
      <c r="ENT33" s="12"/>
      <c r="EOK33" s="12"/>
      <c r="EOL33" s="12"/>
      <c r="EPC33" s="12"/>
      <c r="EPD33" s="12"/>
      <c r="EPU33" s="12"/>
      <c r="EPV33" s="12"/>
      <c r="EQM33" s="12"/>
      <c r="EQN33" s="12"/>
      <c r="ERE33" s="12"/>
      <c r="ERF33" s="12"/>
      <c r="ERW33" s="12"/>
      <c r="ERX33" s="12"/>
      <c r="ESO33" s="12"/>
      <c r="ESP33" s="12"/>
      <c r="ETG33" s="12"/>
      <c r="ETH33" s="12"/>
      <c r="ETY33" s="12"/>
      <c r="ETZ33" s="12"/>
      <c r="EUQ33" s="12"/>
      <c r="EUR33" s="12"/>
      <c r="EVI33" s="12"/>
      <c r="EVJ33" s="12"/>
      <c r="EWA33" s="12"/>
      <c r="EWB33" s="12"/>
      <c r="EWS33" s="12"/>
      <c r="EWT33" s="12"/>
      <c r="EXK33" s="12"/>
      <c r="EXL33" s="12"/>
      <c r="EYC33" s="12"/>
      <c r="EYD33" s="12"/>
      <c r="EYU33" s="12"/>
      <c r="EYV33" s="12"/>
      <c r="EZM33" s="12"/>
      <c r="EZN33" s="12"/>
      <c r="FAE33" s="12"/>
      <c r="FAF33" s="12"/>
      <c r="FAW33" s="12"/>
      <c r="FAX33" s="12"/>
      <c r="FBO33" s="12"/>
      <c r="FBP33" s="12"/>
      <c r="FCG33" s="12"/>
      <c r="FCH33" s="12"/>
      <c r="FCY33" s="12"/>
      <c r="FCZ33" s="12"/>
      <c r="FDQ33" s="12"/>
      <c r="FDR33" s="12"/>
      <c r="FEI33" s="12"/>
      <c r="FEJ33" s="12"/>
      <c r="FFA33" s="12"/>
      <c r="FFB33" s="12"/>
      <c r="FFS33" s="12"/>
      <c r="FFT33" s="12"/>
      <c r="FGK33" s="12"/>
      <c r="FGL33" s="12"/>
      <c r="FHC33" s="12"/>
      <c r="FHD33" s="12"/>
      <c r="FHU33" s="12"/>
      <c r="FHV33" s="12"/>
      <c r="FIM33" s="12"/>
      <c r="FIN33" s="12"/>
      <c r="FJE33" s="12"/>
      <c r="FJF33" s="12"/>
      <c r="FJW33" s="12"/>
      <c r="FJX33" s="12"/>
      <c r="FKO33" s="12"/>
      <c r="FKP33" s="12"/>
      <c r="FLG33" s="12"/>
      <c r="FLH33" s="12"/>
      <c r="FLY33" s="12"/>
      <c r="FLZ33" s="12"/>
      <c r="FMQ33" s="12"/>
      <c r="FMR33" s="12"/>
      <c r="FNI33" s="12"/>
      <c r="FNJ33" s="12"/>
      <c r="FOA33" s="12"/>
      <c r="FOB33" s="12"/>
      <c r="FOS33" s="12"/>
      <c r="FOT33" s="12"/>
      <c r="FPK33" s="12"/>
      <c r="FPL33" s="12"/>
      <c r="FQC33" s="12"/>
      <c r="FQD33" s="12"/>
      <c r="FQU33" s="12"/>
      <c r="FQV33" s="12"/>
      <c r="FRM33" s="12"/>
      <c r="FRN33" s="12"/>
      <c r="FSE33" s="12"/>
      <c r="FSF33" s="12"/>
      <c r="FSW33" s="12"/>
      <c r="FSX33" s="12"/>
      <c r="FTO33" s="12"/>
      <c r="FTP33" s="12"/>
      <c r="FUG33" s="12"/>
      <c r="FUH33" s="12"/>
      <c r="FUY33" s="12"/>
      <c r="FUZ33" s="12"/>
      <c r="FVQ33" s="12"/>
      <c r="FVR33" s="12"/>
      <c r="FWI33" s="12"/>
      <c r="FWJ33" s="12"/>
      <c r="FXA33" s="12"/>
      <c r="FXB33" s="12"/>
      <c r="FXS33" s="12"/>
      <c r="FXT33" s="12"/>
      <c r="FYK33" s="12"/>
      <c r="FYL33" s="12"/>
      <c r="FZC33" s="12"/>
      <c r="FZD33" s="12"/>
      <c r="FZU33" s="12"/>
      <c r="FZV33" s="12"/>
      <c r="GAM33" s="12"/>
      <c r="GAN33" s="12"/>
      <c r="GBE33" s="12"/>
      <c r="GBF33" s="12"/>
      <c r="GBW33" s="12"/>
      <c r="GBX33" s="12"/>
      <c r="GCO33" s="12"/>
      <c r="GCP33" s="12"/>
      <c r="GDG33" s="12"/>
      <c r="GDH33" s="12"/>
      <c r="GDY33" s="12"/>
      <c r="GDZ33" s="12"/>
      <c r="GEQ33" s="12"/>
      <c r="GER33" s="12"/>
      <c r="GFI33" s="12"/>
      <c r="GFJ33" s="12"/>
      <c r="GGA33" s="12"/>
      <c r="GGB33" s="12"/>
      <c r="GGS33" s="12"/>
      <c r="GGT33" s="12"/>
      <c r="GHK33" s="12"/>
      <c r="GHL33" s="12"/>
      <c r="GIC33" s="12"/>
      <c r="GID33" s="12"/>
      <c r="GIU33" s="12"/>
      <c r="GIV33" s="12"/>
      <c r="GJM33" s="12"/>
      <c r="GJN33" s="12"/>
      <c r="GKE33" s="12"/>
      <c r="GKF33" s="12"/>
      <c r="GKW33" s="12"/>
      <c r="GKX33" s="12"/>
      <c r="GLO33" s="12"/>
      <c r="GLP33" s="12"/>
      <c r="GMG33" s="12"/>
      <c r="GMH33" s="12"/>
      <c r="GMY33" s="12"/>
      <c r="GMZ33" s="12"/>
      <c r="GNQ33" s="12"/>
      <c r="GNR33" s="12"/>
      <c r="GOI33" s="12"/>
      <c r="GOJ33" s="12"/>
      <c r="GPA33" s="12"/>
      <c r="GPB33" s="12"/>
      <c r="GPS33" s="12"/>
      <c r="GPT33" s="12"/>
      <c r="GQK33" s="12"/>
      <c r="GQL33" s="12"/>
      <c r="GRC33" s="12"/>
      <c r="GRD33" s="12"/>
      <c r="GRU33" s="12"/>
      <c r="GRV33" s="12"/>
      <c r="GSM33" s="12"/>
      <c r="GSN33" s="12"/>
      <c r="GTE33" s="12"/>
      <c r="GTF33" s="12"/>
      <c r="GTW33" s="12"/>
      <c r="GTX33" s="12"/>
      <c r="GUO33" s="12"/>
      <c r="GUP33" s="12"/>
      <c r="GVG33" s="12"/>
      <c r="GVH33" s="12"/>
      <c r="GVY33" s="12"/>
      <c r="GVZ33" s="12"/>
      <c r="GWQ33" s="12"/>
      <c r="GWR33" s="12"/>
      <c r="GXI33" s="12"/>
      <c r="GXJ33" s="12"/>
      <c r="GYA33" s="12"/>
      <c r="GYB33" s="12"/>
      <c r="GYS33" s="12"/>
      <c r="GYT33" s="12"/>
      <c r="GZK33" s="12"/>
      <c r="GZL33" s="12"/>
      <c r="HAC33" s="12"/>
      <c r="HAD33" s="12"/>
      <c r="HAU33" s="12"/>
      <c r="HAV33" s="12"/>
      <c r="HBM33" s="12"/>
      <c r="HBN33" s="12"/>
      <c r="HCE33" s="12"/>
      <c r="HCF33" s="12"/>
      <c r="HCW33" s="12"/>
      <c r="HCX33" s="12"/>
      <c r="HDO33" s="12"/>
      <c r="HDP33" s="12"/>
      <c r="HEG33" s="12"/>
      <c r="HEH33" s="12"/>
      <c r="HEY33" s="12"/>
      <c r="HEZ33" s="12"/>
      <c r="HFQ33" s="12"/>
      <c r="HFR33" s="12"/>
      <c r="HGI33" s="12"/>
      <c r="HGJ33" s="12"/>
      <c r="HHA33" s="12"/>
      <c r="HHB33" s="12"/>
      <c r="HHS33" s="12"/>
      <c r="HHT33" s="12"/>
      <c r="HIK33" s="12"/>
      <c r="HIL33" s="12"/>
      <c r="HJC33" s="12"/>
      <c r="HJD33" s="12"/>
      <c r="HJU33" s="12"/>
      <c r="HJV33" s="12"/>
      <c r="HKM33" s="12"/>
      <c r="HKN33" s="12"/>
      <c r="HLE33" s="12"/>
      <c r="HLF33" s="12"/>
      <c r="HLW33" s="12"/>
      <c r="HLX33" s="12"/>
      <c r="HMO33" s="12"/>
      <c r="HMP33" s="12"/>
      <c r="HNG33" s="12"/>
      <c r="HNH33" s="12"/>
      <c r="HNY33" s="12"/>
      <c r="HNZ33" s="12"/>
      <c r="HOQ33" s="12"/>
      <c r="HOR33" s="12"/>
      <c r="HPI33" s="12"/>
      <c r="HPJ33" s="12"/>
      <c r="HQA33" s="12"/>
      <c r="HQB33" s="12"/>
      <c r="HQS33" s="12"/>
      <c r="HQT33" s="12"/>
      <c r="HRK33" s="12"/>
      <c r="HRL33" s="12"/>
      <c r="HSC33" s="12"/>
      <c r="HSD33" s="12"/>
      <c r="HSU33" s="12"/>
      <c r="HSV33" s="12"/>
      <c r="HTM33" s="12"/>
      <c r="HTN33" s="12"/>
      <c r="HUE33" s="12"/>
      <c r="HUF33" s="12"/>
      <c r="HUW33" s="12"/>
      <c r="HUX33" s="12"/>
      <c r="HVO33" s="12"/>
      <c r="HVP33" s="12"/>
      <c r="HWG33" s="12"/>
      <c r="HWH33" s="12"/>
      <c r="HWY33" s="12"/>
      <c r="HWZ33" s="12"/>
      <c r="HXQ33" s="12"/>
      <c r="HXR33" s="12"/>
      <c r="HYI33" s="12"/>
      <c r="HYJ33" s="12"/>
      <c r="HZA33" s="12"/>
      <c r="HZB33" s="12"/>
      <c r="HZS33" s="12"/>
      <c r="HZT33" s="12"/>
      <c r="IAK33" s="12"/>
      <c r="IAL33" s="12"/>
      <c r="IBC33" s="12"/>
      <c r="IBD33" s="12"/>
      <c r="IBU33" s="12"/>
      <c r="IBV33" s="12"/>
      <c r="ICM33" s="12"/>
      <c r="ICN33" s="12"/>
      <c r="IDE33" s="12"/>
      <c r="IDF33" s="12"/>
      <c r="IDW33" s="12"/>
      <c r="IDX33" s="12"/>
      <c r="IEO33" s="12"/>
      <c r="IEP33" s="12"/>
      <c r="IFG33" s="12"/>
      <c r="IFH33" s="12"/>
      <c r="IFY33" s="12"/>
      <c r="IFZ33" s="12"/>
      <c r="IGQ33" s="12"/>
      <c r="IGR33" s="12"/>
      <c r="IHI33" s="12"/>
      <c r="IHJ33" s="12"/>
      <c r="IIA33" s="12"/>
      <c r="IIB33" s="12"/>
      <c r="IIS33" s="12"/>
      <c r="IIT33" s="12"/>
      <c r="IJK33" s="12"/>
      <c r="IJL33" s="12"/>
      <c r="IKC33" s="12"/>
      <c r="IKD33" s="12"/>
      <c r="IKU33" s="12"/>
      <c r="IKV33" s="12"/>
      <c r="ILM33" s="12"/>
      <c r="ILN33" s="12"/>
      <c r="IME33" s="12"/>
      <c r="IMF33" s="12"/>
      <c r="IMW33" s="12"/>
      <c r="IMX33" s="12"/>
      <c r="INO33" s="12"/>
      <c r="INP33" s="12"/>
      <c r="IOG33" s="12"/>
      <c r="IOH33" s="12"/>
      <c r="IOY33" s="12"/>
      <c r="IOZ33" s="12"/>
      <c r="IPQ33" s="12"/>
      <c r="IPR33" s="12"/>
      <c r="IQI33" s="12"/>
      <c r="IQJ33" s="12"/>
      <c r="IRA33" s="12"/>
      <c r="IRB33" s="12"/>
      <c r="IRS33" s="12"/>
      <c r="IRT33" s="12"/>
      <c r="ISK33" s="12"/>
      <c r="ISL33" s="12"/>
      <c r="ITC33" s="12"/>
      <c r="ITD33" s="12"/>
      <c r="ITU33" s="12"/>
      <c r="ITV33" s="12"/>
      <c r="IUM33" s="12"/>
      <c r="IUN33" s="12"/>
      <c r="IVE33" s="12"/>
      <c r="IVF33" s="12"/>
      <c r="IVW33" s="12"/>
      <c r="IVX33" s="12"/>
      <c r="IWO33" s="12"/>
      <c r="IWP33" s="12"/>
      <c r="IXG33" s="12"/>
      <c r="IXH33" s="12"/>
      <c r="IXY33" s="12"/>
      <c r="IXZ33" s="12"/>
      <c r="IYQ33" s="12"/>
      <c r="IYR33" s="12"/>
      <c r="IZI33" s="12"/>
      <c r="IZJ33" s="12"/>
      <c r="JAA33" s="12"/>
      <c r="JAB33" s="12"/>
      <c r="JAS33" s="12"/>
      <c r="JAT33" s="12"/>
      <c r="JBK33" s="12"/>
      <c r="JBL33" s="12"/>
      <c r="JCC33" s="12"/>
      <c r="JCD33" s="12"/>
      <c r="JCU33" s="12"/>
      <c r="JCV33" s="12"/>
      <c r="JDM33" s="12"/>
      <c r="JDN33" s="12"/>
      <c r="JEE33" s="12"/>
      <c r="JEF33" s="12"/>
      <c r="JEW33" s="12"/>
      <c r="JEX33" s="12"/>
      <c r="JFO33" s="12"/>
      <c r="JFP33" s="12"/>
      <c r="JGG33" s="12"/>
      <c r="JGH33" s="12"/>
      <c r="JGY33" s="12"/>
      <c r="JGZ33" s="12"/>
      <c r="JHQ33" s="12"/>
      <c r="JHR33" s="12"/>
      <c r="JII33" s="12"/>
      <c r="JIJ33" s="12"/>
      <c r="JJA33" s="12"/>
      <c r="JJB33" s="12"/>
      <c r="JJS33" s="12"/>
      <c r="JJT33" s="12"/>
      <c r="JKK33" s="12"/>
      <c r="JKL33" s="12"/>
      <c r="JLC33" s="12"/>
      <c r="JLD33" s="12"/>
      <c r="JLU33" s="12"/>
      <c r="JLV33" s="12"/>
      <c r="JMM33" s="12"/>
      <c r="JMN33" s="12"/>
      <c r="JNE33" s="12"/>
      <c r="JNF33" s="12"/>
      <c r="JNW33" s="12"/>
      <c r="JNX33" s="12"/>
      <c r="JOO33" s="12"/>
      <c r="JOP33" s="12"/>
      <c r="JPG33" s="12"/>
      <c r="JPH33" s="12"/>
      <c r="JPY33" s="12"/>
      <c r="JPZ33" s="12"/>
      <c r="JQQ33" s="12"/>
      <c r="JQR33" s="12"/>
      <c r="JRI33" s="12"/>
      <c r="JRJ33" s="12"/>
      <c r="JSA33" s="12"/>
      <c r="JSB33" s="12"/>
      <c r="JSS33" s="12"/>
      <c r="JST33" s="12"/>
      <c r="JTK33" s="12"/>
      <c r="JTL33" s="12"/>
      <c r="JUC33" s="12"/>
      <c r="JUD33" s="12"/>
      <c r="JUU33" s="12"/>
      <c r="JUV33" s="12"/>
      <c r="JVM33" s="12"/>
      <c r="JVN33" s="12"/>
      <c r="JWE33" s="12"/>
      <c r="JWF33" s="12"/>
      <c r="JWW33" s="12"/>
      <c r="JWX33" s="12"/>
      <c r="JXO33" s="12"/>
      <c r="JXP33" s="12"/>
      <c r="JYG33" s="12"/>
      <c r="JYH33" s="12"/>
      <c r="JYY33" s="12"/>
      <c r="JYZ33" s="12"/>
      <c r="JZQ33" s="12"/>
      <c r="JZR33" s="12"/>
      <c r="KAI33" s="12"/>
      <c r="KAJ33" s="12"/>
      <c r="KBA33" s="12"/>
      <c r="KBB33" s="12"/>
      <c r="KBS33" s="12"/>
      <c r="KBT33" s="12"/>
      <c r="KCK33" s="12"/>
      <c r="KCL33" s="12"/>
      <c r="KDC33" s="12"/>
      <c r="KDD33" s="12"/>
      <c r="KDU33" s="12"/>
      <c r="KDV33" s="12"/>
      <c r="KEM33" s="12"/>
      <c r="KEN33" s="12"/>
      <c r="KFE33" s="12"/>
      <c r="KFF33" s="12"/>
      <c r="KFW33" s="12"/>
      <c r="KFX33" s="12"/>
      <c r="KGO33" s="12"/>
      <c r="KGP33" s="12"/>
      <c r="KHG33" s="12"/>
      <c r="KHH33" s="12"/>
      <c r="KHY33" s="12"/>
      <c r="KHZ33" s="12"/>
      <c r="KIQ33" s="12"/>
      <c r="KIR33" s="12"/>
      <c r="KJI33" s="12"/>
      <c r="KJJ33" s="12"/>
      <c r="KKA33" s="12"/>
      <c r="KKB33" s="12"/>
      <c r="KKS33" s="12"/>
      <c r="KKT33" s="12"/>
      <c r="KLK33" s="12"/>
      <c r="KLL33" s="12"/>
      <c r="KMC33" s="12"/>
      <c r="KMD33" s="12"/>
      <c r="KMU33" s="12"/>
      <c r="KMV33" s="12"/>
      <c r="KNM33" s="12"/>
      <c r="KNN33" s="12"/>
      <c r="KOE33" s="12"/>
      <c r="KOF33" s="12"/>
      <c r="KOW33" s="12"/>
      <c r="KOX33" s="12"/>
      <c r="KPO33" s="12"/>
      <c r="KPP33" s="12"/>
      <c r="KQG33" s="12"/>
      <c r="KQH33" s="12"/>
      <c r="KQY33" s="12"/>
      <c r="KQZ33" s="12"/>
      <c r="KRQ33" s="12"/>
      <c r="KRR33" s="12"/>
      <c r="KSI33" s="12"/>
      <c r="KSJ33" s="12"/>
      <c r="KTA33" s="12"/>
      <c r="KTB33" s="12"/>
      <c r="KTS33" s="12"/>
      <c r="KTT33" s="12"/>
      <c r="KUK33" s="12"/>
      <c r="KUL33" s="12"/>
      <c r="KVC33" s="12"/>
      <c r="KVD33" s="12"/>
      <c r="KVU33" s="12"/>
      <c r="KVV33" s="12"/>
      <c r="KWM33" s="12"/>
      <c r="KWN33" s="12"/>
      <c r="KXE33" s="12"/>
      <c r="KXF33" s="12"/>
      <c r="KXW33" s="12"/>
      <c r="KXX33" s="12"/>
      <c r="KYO33" s="12"/>
      <c r="KYP33" s="12"/>
      <c r="KZG33" s="12"/>
      <c r="KZH33" s="12"/>
      <c r="KZY33" s="12"/>
      <c r="KZZ33" s="12"/>
      <c r="LAQ33" s="12"/>
      <c r="LAR33" s="12"/>
      <c r="LBI33" s="12"/>
      <c r="LBJ33" s="12"/>
      <c r="LCA33" s="12"/>
      <c r="LCB33" s="12"/>
      <c r="LCS33" s="12"/>
      <c r="LCT33" s="12"/>
      <c r="LDK33" s="12"/>
      <c r="LDL33" s="12"/>
      <c r="LEC33" s="12"/>
      <c r="LED33" s="12"/>
      <c r="LEU33" s="12"/>
      <c r="LEV33" s="12"/>
      <c r="LFM33" s="12"/>
      <c r="LFN33" s="12"/>
      <c r="LGE33" s="12"/>
      <c r="LGF33" s="12"/>
      <c r="LGW33" s="12"/>
      <c r="LGX33" s="12"/>
      <c r="LHO33" s="12"/>
      <c r="LHP33" s="12"/>
      <c r="LIG33" s="12"/>
      <c r="LIH33" s="12"/>
      <c r="LIY33" s="12"/>
      <c r="LIZ33" s="12"/>
      <c r="LJQ33" s="12"/>
      <c r="LJR33" s="12"/>
      <c r="LKI33" s="12"/>
      <c r="LKJ33" s="12"/>
      <c r="LLA33" s="12"/>
      <c r="LLB33" s="12"/>
      <c r="LLS33" s="12"/>
      <c r="LLT33" s="12"/>
      <c r="LMK33" s="12"/>
      <c r="LML33" s="12"/>
      <c r="LNC33" s="12"/>
      <c r="LND33" s="12"/>
      <c r="LNU33" s="12"/>
      <c r="LNV33" s="12"/>
      <c r="LOM33" s="12"/>
      <c r="LON33" s="12"/>
      <c r="LPE33" s="12"/>
      <c r="LPF33" s="12"/>
      <c r="LPW33" s="12"/>
      <c r="LPX33" s="12"/>
      <c r="LQO33" s="12"/>
      <c r="LQP33" s="12"/>
      <c r="LRG33" s="12"/>
      <c r="LRH33" s="12"/>
      <c r="LRY33" s="12"/>
      <c r="LRZ33" s="12"/>
      <c r="LSQ33" s="12"/>
      <c r="LSR33" s="12"/>
      <c r="LTI33" s="12"/>
      <c r="LTJ33" s="12"/>
      <c r="LUA33" s="12"/>
      <c r="LUB33" s="12"/>
      <c r="LUS33" s="12"/>
      <c r="LUT33" s="12"/>
      <c r="LVK33" s="12"/>
      <c r="LVL33" s="12"/>
      <c r="LWC33" s="12"/>
      <c r="LWD33" s="12"/>
      <c r="LWU33" s="12"/>
      <c r="LWV33" s="12"/>
      <c r="LXM33" s="12"/>
      <c r="LXN33" s="12"/>
      <c r="LYE33" s="12"/>
      <c r="LYF33" s="12"/>
      <c r="LYW33" s="12"/>
      <c r="LYX33" s="12"/>
      <c r="LZO33" s="12"/>
      <c r="LZP33" s="12"/>
      <c r="MAG33" s="12"/>
      <c r="MAH33" s="12"/>
      <c r="MAY33" s="12"/>
      <c r="MAZ33" s="12"/>
      <c r="MBQ33" s="12"/>
      <c r="MBR33" s="12"/>
      <c r="MCI33" s="12"/>
      <c r="MCJ33" s="12"/>
      <c r="MDA33" s="12"/>
      <c r="MDB33" s="12"/>
      <c r="MDS33" s="12"/>
      <c r="MDT33" s="12"/>
      <c r="MEK33" s="12"/>
      <c r="MEL33" s="12"/>
      <c r="MFC33" s="12"/>
      <c r="MFD33" s="12"/>
      <c r="MFU33" s="12"/>
      <c r="MFV33" s="12"/>
      <c r="MGM33" s="12"/>
      <c r="MGN33" s="12"/>
      <c r="MHE33" s="12"/>
      <c r="MHF33" s="12"/>
      <c r="MHW33" s="12"/>
      <c r="MHX33" s="12"/>
      <c r="MIO33" s="12"/>
      <c r="MIP33" s="12"/>
      <c r="MJG33" s="12"/>
      <c r="MJH33" s="12"/>
      <c r="MJY33" s="12"/>
      <c r="MJZ33" s="12"/>
      <c r="MKQ33" s="12"/>
      <c r="MKR33" s="12"/>
      <c r="MLI33" s="12"/>
      <c r="MLJ33" s="12"/>
      <c r="MMA33" s="12"/>
      <c r="MMB33" s="12"/>
      <c r="MMS33" s="12"/>
      <c r="MMT33" s="12"/>
      <c r="MNK33" s="12"/>
      <c r="MNL33" s="12"/>
      <c r="MOC33" s="12"/>
      <c r="MOD33" s="12"/>
      <c r="MOU33" s="12"/>
      <c r="MOV33" s="12"/>
      <c r="MPM33" s="12"/>
      <c r="MPN33" s="12"/>
      <c r="MQE33" s="12"/>
      <c r="MQF33" s="12"/>
      <c r="MQW33" s="12"/>
      <c r="MQX33" s="12"/>
      <c r="MRO33" s="12"/>
      <c r="MRP33" s="12"/>
      <c r="MSG33" s="12"/>
      <c r="MSH33" s="12"/>
      <c r="MSY33" s="12"/>
      <c r="MSZ33" s="12"/>
      <c r="MTQ33" s="12"/>
      <c r="MTR33" s="12"/>
      <c r="MUI33" s="12"/>
      <c r="MUJ33" s="12"/>
      <c r="MVA33" s="12"/>
      <c r="MVB33" s="12"/>
      <c r="MVS33" s="12"/>
      <c r="MVT33" s="12"/>
      <c r="MWK33" s="12"/>
      <c r="MWL33" s="12"/>
      <c r="MXC33" s="12"/>
      <c r="MXD33" s="12"/>
      <c r="MXU33" s="12"/>
      <c r="MXV33" s="12"/>
      <c r="MYM33" s="12"/>
      <c r="MYN33" s="12"/>
      <c r="MZE33" s="12"/>
      <c r="MZF33" s="12"/>
      <c r="MZW33" s="12"/>
      <c r="MZX33" s="12"/>
      <c r="NAO33" s="12"/>
      <c r="NAP33" s="12"/>
      <c r="NBG33" s="12"/>
      <c r="NBH33" s="12"/>
      <c r="NBY33" s="12"/>
      <c r="NBZ33" s="12"/>
      <c r="NCQ33" s="12"/>
      <c r="NCR33" s="12"/>
      <c r="NDI33" s="12"/>
      <c r="NDJ33" s="12"/>
      <c r="NEA33" s="12"/>
      <c r="NEB33" s="12"/>
      <c r="NES33" s="12"/>
      <c r="NET33" s="12"/>
      <c r="NFK33" s="12"/>
      <c r="NFL33" s="12"/>
      <c r="NGC33" s="12"/>
      <c r="NGD33" s="12"/>
      <c r="NGU33" s="12"/>
      <c r="NGV33" s="12"/>
      <c r="NHM33" s="12"/>
      <c r="NHN33" s="12"/>
      <c r="NIE33" s="12"/>
      <c r="NIF33" s="12"/>
      <c r="NIW33" s="12"/>
      <c r="NIX33" s="12"/>
      <c r="NJO33" s="12"/>
      <c r="NJP33" s="12"/>
      <c r="NKG33" s="12"/>
      <c r="NKH33" s="12"/>
      <c r="NKY33" s="12"/>
      <c r="NKZ33" s="12"/>
      <c r="NLQ33" s="12"/>
      <c r="NLR33" s="12"/>
      <c r="NMI33" s="12"/>
      <c r="NMJ33" s="12"/>
      <c r="NNA33" s="12"/>
      <c r="NNB33" s="12"/>
      <c r="NNS33" s="12"/>
      <c r="NNT33" s="12"/>
      <c r="NOK33" s="12"/>
      <c r="NOL33" s="12"/>
      <c r="NPC33" s="12"/>
      <c r="NPD33" s="12"/>
      <c r="NPU33" s="12"/>
      <c r="NPV33" s="12"/>
      <c r="NQM33" s="12"/>
      <c r="NQN33" s="12"/>
      <c r="NRE33" s="12"/>
      <c r="NRF33" s="12"/>
      <c r="NRW33" s="12"/>
      <c r="NRX33" s="12"/>
      <c r="NSO33" s="12"/>
      <c r="NSP33" s="12"/>
      <c r="NTG33" s="12"/>
      <c r="NTH33" s="12"/>
      <c r="NTY33" s="12"/>
      <c r="NTZ33" s="12"/>
      <c r="NUQ33" s="12"/>
      <c r="NUR33" s="12"/>
      <c r="NVI33" s="12"/>
      <c r="NVJ33" s="12"/>
      <c r="NWA33" s="12"/>
      <c r="NWB33" s="12"/>
      <c r="NWS33" s="12"/>
      <c r="NWT33" s="12"/>
      <c r="NXK33" s="12"/>
      <c r="NXL33" s="12"/>
      <c r="NYC33" s="12"/>
      <c r="NYD33" s="12"/>
      <c r="NYU33" s="12"/>
      <c r="NYV33" s="12"/>
      <c r="NZM33" s="12"/>
      <c r="NZN33" s="12"/>
      <c r="OAE33" s="12"/>
      <c r="OAF33" s="12"/>
      <c r="OAW33" s="12"/>
      <c r="OAX33" s="12"/>
      <c r="OBO33" s="12"/>
      <c r="OBP33" s="12"/>
      <c r="OCG33" s="12"/>
      <c r="OCH33" s="12"/>
      <c r="OCY33" s="12"/>
      <c r="OCZ33" s="12"/>
      <c r="ODQ33" s="12"/>
      <c r="ODR33" s="12"/>
      <c r="OEI33" s="12"/>
      <c r="OEJ33" s="12"/>
      <c r="OFA33" s="12"/>
      <c r="OFB33" s="12"/>
      <c r="OFS33" s="12"/>
      <c r="OFT33" s="12"/>
      <c r="OGK33" s="12"/>
      <c r="OGL33" s="12"/>
      <c r="OHC33" s="12"/>
      <c r="OHD33" s="12"/>
      <c r="OHU33" s="12"/>
      <c r="OHV33" s="12"/>
      <c r="OIM33" s="12"/>
      <c r="OIN33" s="12"/>
      <c r="OJE33" s="12"/>
      <c r="OJF33" s="12"/>
      <c r="OJW33" s="12"/>
      <c r="OJX33" s="12"/>
      <c r="OKO33" s="12"/>
      <c r="OKP33" s="12"/>
      <c r="OLG33" s="12"/>
      <c r="OLH33" s="12"/>
      <c r="OLY33" s="12"/>
      <c r="OLZ33" s="12"/>
      <c r="OMQ33" s="12"/>
      <c r="OMR33" s="12"/>
      <c r="ONI33" s="12"/>
      <c r="ONJ33" s="12"/>
      <c r="OOA33" s="12"/>
      <c r="OOB33" s="12"/>
      <c r="OOS33" s="12"/>
      <c r="OOT33" s="12"/>
      <c r="OPK33" s="12"/>
      <c r="OPL33" s="12"/>
      <c r="OQC33" s="12"/>
      <c r="OQD33" s="12"/>
      <c r="OQU33" s="12"/>
      <c r="OQV33" s="12"/>
      <c r="ORM33" s="12"/>
      <c r="ORN33" s="12"/>
      <c r="OSE33" s="12"/>
      <c r="OSF33" s="12"/>
      <c r="OSW33" s="12"/>
      <c r="OSX33" s="12"/>
      <c r="OTO33" s="12"/>
      <c r="OTP33" s="12"/>
      <c r="OUG33" s="12"/>
      <c r="OUH33" s="12"/>
      <c r="OUY33" s="12"/>
      <c r="OUZ33" s="12"/>
      <c r="OVQ33" s="12"/>
      <c r="OVR33" s="12"/>
      <c r="OWI33" s="12"/>
      <c r="OWJ33" s="12"/>
      <c r="OXA33" s="12"/>
      <c r="OXB33" s="12"/>
      <c r="OXS33" s="12"/>
      <c r="OXT33" s="12"/>
      <c r="OYK33" s="12"/>
      <c r="OYL33" s="12"/>
      <c r="OZC33" s="12"/>
      <c r="OZD33" s="12"/>
      <c r="OZU33" s="12"/>
      <c r="OZV33" s="12"/>
      <c r="PAM33" s="12"/>
      <c r="PAN33" s="12"/>
      <c r="PBE33" s="12"/>
      <c r="PBF33" s="12"/>
      <c r="PBW33" s="12"/>
      <c r="PBX33" s="12"/>
      <c r="PCO33" s="12"/>
      <c r="PCP33" s="12"/>
      <c r="PDG33" s="12"/>
      <c r="PDH33" s="12"/>
      <c r="PDY33" s="12"/>
      <c r="PDZ33" s="12"/>
      <c r="PEQ33" s="12"/>
      <c r="PER33" s="12"/>
      <c r="PFI33" s="12"/>
      <c r="PFJ33" s="12"/>
      <c r="PGA33" s="12"/>
      <c r="PGB33" s="12"/>
      <c r="PGS33" s="12"/>
      <c r="PGT33" s="12"/>
      <c r="PHK33" s="12"/>
      <c r="PHL33" s="12"/>
      <c r="PIC33" s="12"/>
      <c r="PID33" s="12"/>
      <c r="PIU33" s="12"/>
      <c r="PIV33" s="12"/>
      <c r="PJM33" s="12"/>
      <c r="PJN33" s="12"/>
      <c r="PKE33" s="12"/>
      <c r="PKF33" s="12"/>
      <c r="PKW33" s="12"/>
      <c r="PKX33" s="12"/>
      <c r="PLO33" s="12"/>
      <c r="PLP33" s="12"/>
      <c r="PMG33" s="12"/>
      <c r="PMH33" s="12"/>
      <c r="PMY33" s="12"/>
      <c r="PMZ33" s="12"/>
      <c r="PNQ33" s="12"/>
      <c r="PNR33" s="12"/>
      <c r="POI33" s="12"/>
      <c r="POJ33" s="12"/>
      <c r="PPA33" s="12"/>
      <c r="PPB33" s="12"/>
      <c r="PPS33" s="12"/>
      <c r="PPT33" s="12"/>
      <c r="PQK33" s="12"/>
      <c r="PQL33" s="12"/>
      <c r="PRC33" s="12"/>
      <c r="PRD33" s="12"/>
      <c r="PRU33" s="12"/>
      <c r="PRV33" s="12"/>
      <c r="PSM33" s="12"/>
      <c r="PSN33" s="12"/>
      <c r="PTE33" s="12"/>
      <c r="PTF33" s="12"/>
      <c r="PTW33" s="12"/>
      <c r="PTX33" s="12"/>
      <c r="PUO33" s="12"/>
      <c r="PUP33" s="12"/>
      <c r="PVG33" s="12"/>
      <c r="PVH33" s="12"/>
      <c r="PVY33" s="12"/>
      <c r="PVZ33" s="12"/>
      <c r="PWQ33" s="12"/>
      <c r="PWR33" s="12"/>
      <c r="PXI33" s="12"/>
      <c r="PXJ33" s="12"/>
      <c r="PYA33" s="12"/>
      <c r="PYB33" s="12"/>
      <c r="PYS33" s="12"/>
      <c r="PYT33" s="12"/>
      <c r="PZK33" s="12"/>
      <c r="PZL33" s="12"/>
      <c r="QAC33" s="12"/>
      <c r="QAD33" s="12"/>
      <c r="QAU33" s="12"/>
      <c r="QAV33" s="12"/>
      <c r="QBM33" s="12"/>
      <c r="QBN33" s="12"/>
      <c r="QCE33" s="12"/>
      <c r="QCF33" s="12"/>
      <c r="QCW33" s="12"/>
      <c r="QCX33" s="12"/>
      <c r="QDO33" s="12"/>
      <c r="QDP33" s="12"/>
      <c r="QEG33" s="12"/>
      <c r="QEH33" s="12"/>
      <c r="QEY33" s="12"/>
      <c r="QEZ33" s="12"/>
      <c r="QFQ33" s="12"/>
      <c r="QFR33" s="12"/>
      <c r="QGI33" s="12"/>
      <c r="QGJ33" s="12"/>
      <c r="QHA33" s="12"/>
      <c r="QHB33" s="12"/>
      <c r="QHS33" s="12"/>
      <c r="QHT33" s="12"/>
      <c r="QIK33" s="12"/>
      <c r="QIL33" s="12"/>
      <c r="QJC33" s="12"/>
      <c r="QJD33" s="12"/>
      <c r="QJU33" s="12"/>
      <c r="QJV33" s="12"/>
      <c r="QKM33" s="12"/>
      <c r="QKN33" s="12"/>
      <c r="QLE33" s="12"/>
      <c r="QLF33" s="12"/>
      <c r="QLW33" s="12"/>
      <c r="QLX33" s="12"/>
      <c r="QMO33" s="12"/>
      <c r="QMP33" s="12"/>
      <c r="QNG33" s="12"/>
      <c r="QNH33" s="12"/>
      <c r="QNY33" s="12"/>
      <c r="QNZ33" s="12"/>
      <c r="QOQ33" s="12"/>
      <c r="QOR33" s="12"/>
      <c r="QPI33" s="12"/>
      <c r="QPJ33" s="12"/>
      <c r="QQA33" s="12"/>
      <c r="QQB33" s="12"/>
      <c r="QQS33" s="12"/>
      <c r="QQT33" s="12"/>
      <c r="QRK33" s="12"/>
      <c r="QRL33" s="12"/>
      <c r="QSC33" s="12"/>
      <c r="QSD33" s="12"/>
      <c r="QSU33" s="12"/>
      <c r="QSV33" s="12"/>
      <c r="QTM33" s="12"/>
      <c r="QTN33" s="12"/>
      <c r="QUE33" s="12"/>
      <c r="QUF33" s="12"/>
      <c r="QUW33" s="12"/>
      <c r="QUX33" s="12"/>
      <c r="QVO33" s="12"/>
      <c r="QVP33" s="12"/>
      <c r="QWG33" s="12"/>
      <c r="QWH33" s="12"/>
      <c r="QWY33" s="12"/>
      <c r="QWZ33" s="12"/>
      <c r="QXQ33" s="12"/>
      <c r="QXR33" s="12"/>
      <c r="QYI33" s="12"/>
      <c r="QYJ33" s="12"/>
      <c r="QZA33" s="12"/>
      <c r="QZB33" s="12"/>
      <c r="QZS33" s="12"/>
      <c r="QZT33" s="12"/>
      <c r="RAK33" s="12"/>
      <c r="RAL33" s="12"/>
      <c r="RBC33" s="12"/>
      <c r="RBD33" s="12"/>
      <c r="RBU33" s="12"/>
      <c r="RBV33" s="12"/>
      <c r="RCM33" s="12"/>
      <c r="RCN33" s="12"/>
      <c r="RDE33" s="12"/>
      <c r="RDF33" s="12"/>
      <c r="RDW33" s="12"/>
      <c r="RDX33" s="12"/>
      <c r="REO33" s="12"/>
      <c r="REP33" s="12"/>
      <c r="RFG33" s="12"/>
      <c r="RFH33" s="12"/>
      <c r="RFY33" s="12"/>
      <c r="RFZ33" s="12"/>
      <c r="RGQ33" s="12"/>
      <c r="RGR33" s="12"/>
      <c r="RHI33" s="12"/>
      <c r="RHJ33" s="12"/>
      <c r="RIA33" s="12"/>
      <c r="RIB33" s="12"/>
      <c r="RIS33" s="12"/>
      <c r="RIT33" s="12"/>
      <c r="RJK33" s="12"/>
      <c r="RJL33" s="12"/>
      <c r="RKC33" s="12"/>
      <c r="RKD33" s="12"/>
      <c r="RKU33" s="12"/>
      <c r="RKV33" s="12"/>
      <c r="RLM33" s="12"/>
      <c r="RLN33" s="12"/>
      <c r="RME33" s="12"/>
      <c r="RMF33" s="12"/>
      <c r="RMW33" s="12"/>
      <c r="RMX33" s="12"/>
      <c r="RNO33" s="12"/>
      <c r="RNP33" s="12"/>
      <c r="ROG33" s="12"/>
      <c r="ROH33" s="12"/>
      <c r="ROY33" s="12"/>
      <c r="ROZ33" s="12"/>
      <c r="RPQ33" s="12"/>
      <c r="RPR33" s="12"/>
      <c r="RQI33" s="12"/>
      <c r="RQJ33" s="12"/>
      <c r="RRA33" s="12"/>
      <c r="RRB33" s="12"/>
      <c r="RRS33" s="12"/>
      <c r="RRT33" s="12"/>
      <c r="RSK33" s="12"/>
      <c r="RSL33" s="12"/>
      <c r="RTC33" s="12"/>
      <c r="RTD33" s="12"/>
      <c r="RTU33" s="12"/>
      <c r="RTV33" s="12"/>
      <c r="RUM33" s="12"/>
      <c r="RUN33" s="12"/>
      <c r="RVE33" s="12"/>
      <c r="RVF33" s="12"/>
      <c r="RVW33" s="12"/>
      <c r="RVX33" s="12"/>
      <c r="RWO33" s="12"/>
      <c r="RWP33" s="12"/>
      <c r="RXG33" s="12"/>
      <c r="RXH33" s="12"/>
      <c r="RXY33" s="12"/>
      <c r="RXZ33" s="12"/>
      <c r="RYQ33" s="12"/>
      <c r="RYR33" s="12"/>
      <c r="RZI33" s="12"/>
      <c r="RZJ33" s="12"/>
      <c r="SAA33" s="12"/>
      <c r="SAB33" s="12"/>
      <c r="SAS33" s="12"/>
      <c r="SAT33" s="12"/>
      <c r="SBK33" s="12"/>
      <c r="SBL33" s="12"/>
      <c r="SCC33" s="12"/>
      <c r="SCD33" s="12"/>
      <c r="SCU33" s="12"/>
      <c r="SCV33" s="12"/>
      <c r="SDM33" s="12"/>
      <c r="SDN33" s="12"/>
      <c r="SEE33" s="12"/>
      <c r="SEF33" s="12"/>
      <c r="SEW33" s="12"/>
      <c r="SEX33" s="12"/>
      <c r="SFO33" s="12"/>
      <c r="SFP33" s="12"/>
      <c r="SGG33" s="12"/>
      <c r="SGH33" s="12"/>
      <c r="SGY33" s="12"/>
      <c r="SGZ33" s="12"/>
      <c r="SHQ33" s="12"/>
      <c r="SHR33" s="12"/>
      <c r="SII33" s="12"/>
      <c r="SIJ33" s="12"/>
      <c r="SJA33" s="12"/>
      <c r="SJB33" s="12"/>
      <c r="SJS33" s="12"/>
      <c r="SJT33" s="12"/>
      <c r="SKK33" s="12"/>
      <c r="SKL33" s="12"/>
      <c r="SLC33" s="12"/>
      <c r="SLD33" s="12"/>
      <c r="SLU33" s="12"/>
      <c r="SLV33" s="12"/>
      <c r="SMM33" s="12"/>
      <c r="SMN33" s="12"/>
      <c r="SNE33" s="12"/>
      <c r="SNF33" s="12"/>
      <c r="SNW33" s="12"/>
      <c r="SNX33" s="12"/>
      <c r="SOO33" s="12"/>
      <c r="SOP33" s="12"/>
      <c r="SPG33" s="12"/>
      <c r="SPH33" s="12"/>
      <c r="SPY33" s="12"/>
      <c r="SPZ33" s="12"/>
      <c r="SQQ33" s="12"/>
      <c r="SQR33" s="12"/>
      <c r="SRI33" s="12"/>
      <c r="SRJ33" s="12"/>
      <c r="SSA33" s="12"/>
      <c r="SSB33" s="12"/>
      <c r="SSS33" s="12"/>
      <c r="SST33" s="12"/>
      <c r="STK33" s="12"/>
      <c r="STL33" s="12"/>
      <c r="SUC33" s="12"/>
      <c r="SUD33" s="12"/>
      <c r="SUU33" s="12"/>
      <c r="SUV33" s="12"/>
      <c r="SVM33" s="12"/>
      <c r="SVN33" s="12"/>
      <c r="SWE33" s="12"/>
      <c r="SWF33" s="12"/>
      <c r="SWW33" s="12"/>
      <c r="SWX33" s="12"/>
      <c r="SXO33" s="12"/>
      <c r="SXP33" s="12"/>
      <c r="SYG33" s="12"/>
      <c r="SYH33" s="12"/>
      <c r="SYY33" s="12"/>
      <c r="SYZ33" s="12"/>
      <c r="SZQ33" s="12"/>
      <c r="SZR33" s="12"/>
      <c r="TAI33" s="12"/>
      <c r="TAJ33" s="12"/>
      <c r="TBA33" s="12"/>
      <c r="TBB33" s="12"/>
      <c r="TBS33" s="12"/>
      <c r="TBT33" s="12"/>
      <c r="TCK33" s="12"/>
      <c r="TCL33" s="12"/>
      <c r="TDC33" s="12"/>
      <c r="TDD33" s="12"/>
      <c r="TDU33" s="12"/>
      <c r="TDV33" s="12"/>
      <c r="TEM33" s="12"/>
      <c r="TEN33" s="12"/>
      <c r="TFE33" s="12"/>
      <c r="TFF33" s="12"/>
      <c r="TFW33" s="12"/>
      <c r="TFX33" s="12"/>
      <c r="TGO33" s="12"/>
      <c r="TGP33" s="12"/>
      <c r="THG33" s="12"/>
      <c r="THH33" s="12"/>
      <c r="THY33" s="12"/>
      <c r="THZ33" s="12"/>
      <c r="TIQ33" s="12"/>
      <c r="TIR33" s="12"/>
      <c r="TJI33" s="12"/>
      <c r="TJJ33" s="12"/>
      <c r="TKA33" s="12"/>
      <c r="TKB33" s="12"/>
      <c r="TKS33" s="12"/>
      <c r="TKT33" s="12"/>
      <c r="TLK33" s="12"/>
      <c r="TLL33" s="12"/>
      <c r="TMC33" s="12"/>
      <c r="TMD33" s="12"/>
      <c r="TMU33" s="12"/>
      <c r="TMV33" s="12"/>
      <c r="TNM33" s="12"/>
      <c r="TNN33" s="12"/>
      <c r="TOE33" s="12"/>
      <c r="TOF33" s="12"/>
      <c r="TOW33" s="12"/>
      <c r="TOX33" s="12"/>
      <c r="TPO33" s="12"/>
      <c r="TPP33" s="12"/>
      <c r="TQG33" s="12"/>
      <c r="TQH33" s="12"/>
      <c r="TQY33" s="12"/>
      <c r="TQZ33" s="12"/>
      <c r="TRQ33" s="12"/>
      <c r="TRR33" s="12"/>
      <c r="TSI33" s="12"/>
      <c r="TSJ33" s="12"/>
      <c r="TTA33" s="12"/>
      <c r="TTB33" s="12"/>
      <c r="TTS33" s="12"/>
      <c r="TTT33" s="12"/>
      <c r="TUK33" s="12"/>
      <c r="TUL33" s="12"/>
      <c r="TVC33" s="12"/>
      <c r="TVD33" s="12"/>
      <c r="TVU33" s="12"/>
      <c r="TVV33" s="12"/>
      <c r="TWM33" s="12"/>
      <c r="TWN33" s="12"/>
      <c r="TXE33" s="12"/>
      <c r="TXF33" s="12"/>
      <c r="TXW33" s="12"/>
      <c r="TXX33" s="12"/>
      <c r="TYO33" s="12"/>
      <c r="TYP33" s="12"/>
      <c r="TZG33" s="12"/>
      <c r="TZH33" s="12"/>
      <c r="TZY33" s="12"/>
      <c r="TZZ33" s="12"/>
      <c r="UAQ33" s="12"/>
      <c r="UAR33" s="12"/>
      <c r="UBI33" s="12"/>
      <c r="UBJ33" s="12"/>
      <c r="UCA33" s="12"/>
      <c r="UCB33" s="12"/>
      <c r="UCS33" s="12"/>
      <c r="UCT33" s="12"/>
      <c r="UDK33" s="12"/>
      <c r="UDL33" s="12"/>
      <c r="UEC33" s="12"/>
      <c r="UED33" s="12"/>
      <c r="UEU33" s="12"/>
      <c r="UEV33" s="12"/>
      <c r="UFM33" s="12"/>
      <c r="UFN33" s="12"/>
      <c r="UGE33" s="12"/>
      <c r="UGF33" s="12"/>
      <c r="UGW33" s="12"/>
      <c r="UGX33" s="12"/>
      <c r="UHO33" s="12"/>
      <c r="UHP33" s="12"/>
      <c r="UIG33" s="12"/>
      <c r="UIH33" s="12"/>
      <c r="UIY33" s="12"/>
      <c r="UIZ33" s="12"/>
      <c r="UJQ33" s="12"/>
      <c r="UJR33" s="12"/>
      <c r="UKI33" s="12"/>
      <c r="UKJ33" s="12"/>
      <c r="ULA33" s="12"/>
      <c r="ULB33" s="12"/>
      <c r="ULS33" s="12"/>
      <c r="ULT33" s="12"/>
      <c r="UMK33" s="12"/>
      <c r="UML33" s="12"/>
      <c r="UNC33" s="12"/>
      <c r="UND33" s="12"/>
      <c r="UNU33" s="12"/>
      <c r="UNV33" s="12"/>
      <c r="UOM33" s="12"/>
      <c r="UON33" s="12"/>
      <c r="UPE33" s="12"/>
      <c r="UPF33" s="12"/>
      <c r="UPW33" s="12"/>
      <c r="UPX33" s="12"/>
      <c r="UQO33" s="12"/>
      <c r="UQP33" s="12"/>
      <c r="URG33" s="12"/>
      <c r="URH33" s="12"/>
      <c r="URY33" s="12"/>
      <c r="URZ33" s="12"/>
      <c r="USQ33" s="12"/>
      <c r="USR33" s="12"/>
      <c r="UTI33" s="12"/>
      <c r="UTJ33" s="12"/>
      <c r="UUA33" s="12"/>
      <c r="UUB33" s="12"/>
      <c r="UUS33" s="12"/>
      <c r="UUT33" s="12"/>
      <c r="UVK33" s="12"/>
      <c r="UVL33" s="12"/>
      <c r="UWC33" s="12"/>
      <c r="UWD33" s="12"/>
      <c r="UWU33" s="12"/>
      <c r="UWV33" s="12"/>
      <c r="UXM33" s="12"/>
      <c r="UXN33" s="12"/>
      <c r="UYE33" s="12"/>
      <c r="UYF33" s="12"/>
      <c r="UYW33" s="12"/>
      <c r="UYX33" s="12"/>
      <c r="UZO33" s="12"/>
      <c r="UZP33" s="12"/>
      <c r="VAG33" s="12"/>
      <c r="VAH33" s="12"/>
      <c r="VAY33" s="12"/>
      <c r="VAZ33" s="12"/>
      <c r="VBQ33" s="12"/>
      <c r="VBR33" s="12"/>
      <c r="VCI33" s="12"/>
      <c r="VCJ33" s="12"/>
      <c r="VDA33" s="12"/>
      <c r="VDB33" s="12"/>
      <c r="VDS33" s="12"/>
      <c r="VDT33" s="12"/>
      <c r="VEK33" s="12"/>
      <c r="VEL33" s="12"/>
      <c r="VFC33" s="12"/>
      <c r="VFD33" s="12"/>
      <c r="VFU33" s="12"/>
      <c r="VFV33" s="12"/>
      <c r="VGM33" s="12"/>
      <c r="VGN33" s="12"/>
      <c r="VHE33" s="12"/>
      <c r="VHF33" s="12"/>
      <c r="VHW33" s="12"/>
      <c r="VHX33" s="12"/>
      <c r="VIO33" s="12"/>
      <c r="VIP33" s="12"/>
      <c r="VJG33" s="12"/>
      <c r="VJH33" s="12"/>
      <c r="VJY33" s="12"/>
      <c r="VJZ33" s="12"/>
      <c r="VKQ33" s="12"/>
      <c r="VKR33" s="12"/>
      <c r="VLI33" s="12"/>
      <c r="VLJ33" s="12"/>
      <c r="VMA33" s="12"/>
      <c r="VMB33" s="12"/>
      <c r="VMS33" s="12"/>
      <c r="VMT33" s="12"/>
      <c r="VNK33" s="12"/>
      <c r="VNL33" s="12"/>
      <c r="VOC33" s="12"/>
      <c r="VOD33" s="12"/>
      <c r="VOU33" s="12"/>
      <c r="VOV33" s="12"/>
      <c r="VPM33" s="12"/>
      <c r="VPN33" s="12"/>
      <c r="VQE33" s="12"/>
      <c r="VQF33" s="12"/>
      <c r="VQW33" s="12"/>
      <c r="VQX33" s="12"/>
      <c r="VRO33" s="12"/>
      <c r="VRP33" s="12"/>
      <c r="VSG33" s="12"/>
      <c r="VSH33" s="12"/>
      <c r="VSY33" s="12"/>
      <c r="VSZ33" s="12"/>
      <c r="VTQ33" s="12"/>
      <c r="VTR33" s="12"/>
      <c r="VUI33" s="12"/>
      <c r="VUJ33" s="12"/>
      <c r="VVA33" s="12"/>
      <c r="VVB33" s="12"/>
      <c r="VVS33" s="12"/>
      <c r="VVT33" s="12"/>
      <c r="VWK33" s="12"/>
      <c r="VWL33" s="12"/>
      <c r="VXC33" s="12"/>
      <c r="VXD33" s="12"/>
      <c r="VXU33" s="12"/>
      <c r="VXV33" s="12"/>
      <c r="VYM33" s="12"/>
      <c r="VYN33" s="12"/>
      <c r="VZE33" s="12"/>
      <c r="VZF33" s="12"/>
      <c r="VZW33" s="12"/>
      <c r="VZX33" s="12"/>
      <c r="WAO33" s="12"/>
      <c r="WAP33" s="12"/>
      <c r="WBG33" s="12"/>
      <c r="WBH33" s="12"/>
      <c r="WBY33" s="12"/>
      <c r="WBZ33" s="12"/>
      <c r="WCQ33" s="12"/>
      <c r="WCR33" s="12"/>
      <c r="WDI33" s="12"/>
      <c r="WDJ33" s="12"/>
      <c r="WEA33" s="12"/>
      <c r="WEB33" s="12"/>
      <c r="WES33" s="12"/>
      <c r="WET33" s="12"/>
      <c r="WFK33" s="12"/>
      <c r="WFL33" s="12"/>
      <c r="WGC33" s="12"/>
      <c r="WGD33" s="12"/>
      <c r="WGU33" s="12"/>
      <c r="WGV33" s="12"/>
      <c r="WHM33" s="12"/>
      <c r="WHN33" s="12"/>
      <c r="WIE33" s="12"/>
      <c r="WIF33" s="12"/>
      <c r="WIW33" s="12"/>
      <c r="WIX33" s="12"/>
      <c r="WJO33" s="12"/>
      <c r="WJP33" s="12"/>
      <c r="WKG33" s="12"/>
      <c r="WKH33" s="12"/>
      <c r="WKY33" s="12"/>
      <c r="WKZ33" s="12"/>
      <c r="WLQ33" s="12"/>
      <c r="WLR33" s="12"/>
      <c r="WMI33" s="12"/>
      <c r="WMJ33" s="12"/>
      <c r="WNA33" s="12"/>
      <c r="WNB33" s="12"/>
      <c r="WNS33" s="12"/>
      <c r="WNT33" s="12"/>
      <c r="WOK33" s="12"/>
      <c r="WOL33" s="12"/>
      <c r="WPC33" s="12"/>
      <c r="WPD33" s="12"/>
      <c r="WPU33" s="12"/>
      <c r="WPV33" s="12"/>
      <c r="WQM33" s="12"/>
      <c r="WQN33" s="12"/>
      <c r="WRE33" s="12"/>
      <c r="WRF33" s="12"/>
      <c r="WRW33" s="12"/>
      <c r="WRX33" s="12"/>
      <c r="WSO33" s="12"/>
      <c r="WSP33" s="12"/>
      <c r="WTG33" s="12"/>
      <c r="WTH33" s="12"/>
      <c r="WTY33" s="12"/>
      <c r="WTZ33" s="12"/>
      <c r="WUQ33" s="12"/>
      <c r="WUR33" s="12"/>
      <c r="WVI33" s="12"/>
      <c r="WVJ33" s="12"/>
      <c r="WWA33" s="12"/>
      <c r="WWB33" s="12"/>
      <c r="WWS33" s="12"/>
      <c r="WWT33" s="12"/>
      <c r="WXK33" s="12"/>
      <c r="WXL33" s="12"/>
      <c r="WYC33" s="12"/>
      <c r="WYD33" s="12"/>
      <c r="WYU33" s="12"/>
      <c r="WYV33" s="12"/>
      <c r="WZM33" s="12"/>
      <c r="WZN33" s="12"/>
      <c r="XAE33" s="12"/>
      <c r="XAF33" s="12"/>
      <c r="XAW33" s="12"/>
      <c r="XAX33" s="12"/>
      <c r="XBO33" s="12"/>
      <c r="XBP33" s="12"/>
      <c r="XCG33" s="12"/>
      <c r="XCH33" s="12"/>
      <c r="XCY33" s="12"/>
      <c r="XCZ33" s="12"/>
      <c r="XDQ33" s="12"/>
      <c r="XDR33" s="12"/>
      <c r="XEI33" s="12"/>
      <c r="XEJ33" s="12"/>
      <c r="XFA33" s="12"/>
      <c r="XFB33" s="12"/>
    </row>
    <row r="34" spans="1:1010 1027:2036 2053:3062 3079:4088 4105:5114 5131:6140 6157:7166 7183:8192 8209:9200 9217:10226 10243:11252 11269:12278 12295:13304 13321:14330 14347:15356 15373:16382" x14ac:dyDescent="0.35">
      <c r="A34" s="181" t="str">
        <f>'Income - GAAP'!A34</f>
        <v xml:space="preserve">       + Interest Expense</v>
      </c>
      <c r="B34" s="476" t="str">
        <f>'Income - GAAP'!B34</f>
        <v>IS_INT_EXPENSE</v>
      </c>
      <c r="C34" s="77">
        <f>IF('Income - GAAP'!C34="",0,'Income - GAAP'!C34)/'Income - GAAP'!C$9</f>
        <v>9.200036405111434E-3</v>
      </c>
      <c r="D34" s="77">
        <f>IF('Income - GAAP'!D34="",0,'Income - GAAP'!D34)/'Income - GAAP'!D$9</f>
        <v>9.1836636196028828E-3</v>
      </c>
      <c r="E34" s="77">
        <f>IF('Income - GAAP'!E34="",0,'Income - GAAP'!E34)/'Income - GAAP'!E$9</f>
        <v>8.5575264056380711E-3</v>
      </c>
      <c r="F34" s="77">
        <f>IF('Income - GAAP'!F34="",0,'Income - GAAP'!F34)/'Income - GAAP'!F$9</f>
        <v>1.0734745716910772E-2</v>
      </c>
      <c r="G34" s="77">
        <f>IF('Income - GAAP'!G34="",0,'Income - GAAP'!G34)/'Income - GAAP'!G$9</f>
        <v>1.0025448080018201E-2</v>
      </c>
      <c r="H34" s="77">
        <f>IF('Income - GAAP'!H34="",0,'Income - GAAP'!H34)/'Income - GAAP'!H$9</f>
        <v>8.3696529174873083E-3</v>
      </c>
      <c r="I34" s="77">
        <f>IF('Income - GAAP'!I34="",0,'Income - GAAP'!I34)/'Income - GAAP'!I$9</f>
        <v>5.5388112509617343E-3</v>
      </c>
      <c r="J34" s="77">
        <f>IF('Income - GAAP'!J34="",0,'Income - GAAP'!J34)/'Income - GAAP'!J$9</f>
        <v>5.6194776912076244E-3</v>
      </c>
      <c r="K34" s="77">
        <f>IF('Income - GAAP'!K34="",0,'Income - GAAP'!K34)/'Income - GAAP'!K$9</f>
        <v>5.3271924015853098E-3</v>
      </c>
      <c r="L34" s="77">
        <f>IF('Income - GAAP'!L34="",0,'Income - GAAP'!L34)/'Income - GAAP'!L$9</f>
        <v>2.7100631608828326E-3</v>
      </c>
      <c r="M34" s="108"/>
      <c r="N34" s="108"/>
      <c r="O34" s="108"/>
      <c r="P34" s="108"/>
      <c r="Q34" s="108"/>
      <c r="R34" s="108"/>
      <c r="S34" s="37"/>
      <c r="T34" s="37"/>
      <c r="U34" s="37"/>
      <c r="V34" s="37"/>
      <c r="W34" s="37"/>
      <c r="X34" s="37"/>
      <c r="Y34" s="37"/>
      <c r="Z34" s="37"/>
      <c r="AA34" s="37"/>
      <c r="AB34" s="37"/>
      <c r="AC34" s="37"/>
      <c r="AD34" s="37"/>
      <c r="AE34" s="37"/>
      <c r="AF34" s="37"/>
      <c r="AG34" s="37"/>
      <c r="AH34" s="37"/>
      <c r="AI34" s="37"/>
      <c r="AJ34" s="37"/>
      <c r="AK34" s="37"/>
    </row>
    <row r="35" spans="1:1010 1027:2036 2053:3062 3079:4088 4105:5114 5131:6140 6157:7166 7183:8192 8209:9200 9217:10226 10243:11252 11269:12278 12295:13304 13321:14330 14347:15356 15373:16382" x14ac:dyDescent="0.35">
      <c r="A35" s="181" t="str">
        <f>'Income - GAAP'!A35</f>
        <v xml:space="preserve">       - Interest Income</v>
      </c>
      <c r="B35" s="476" t="str">
        <f>'Income - GAAP'!B35</f>
        <v>IS_INT_INC</v>
      </c>
      <c r="C35" s="77">
        <f>IF('Income - GAAP'!C35="",0,'Income - GAAP'!C35)/'Income - GAAP'!C$9</f>
        <v>1.2490051528724216E-3</v>
      </c>
      <c r="D35" s="77">
        <f>IF('Income - GAAP'!D35="",0,'Income - GAAP'!D35)/'Income - GAAP'!D$9</f>
        <v>2.2741971292604998E-3</v>
      </c>
      <c r="E35" s="77">
        <f>IF('Income - GAAP'!E35="",0,'Income - GAAP'!E35)/'Income - GAAP'!E$9</f>
        <v>2.9943126317999651E-3</v>
      </c>
      <c r="F35" s="77">
        <f>IF('Income - GAAP'!F35="",0,'Income - GAAP'!F35)/'Income - GAAP'!F$9</f>
        <v>5.4090327694608087E-3</v>
      </c>
      <c r="G35" s="77">
        <f>IF('Income - GAAP'!G35="",0,'Income - GAAP'!G35)/'Income - GAAP'!G$9</f>
        <v>4.1205665989736502E-3</v>
      </c>
      <c r="H35" s="77">
        <f>IF('Income - GAAP'!H35="",0,'Income - GAAP'!H35)/'Income - GAAP'!H$9</f>
        <v>1.90787920640681E-3</v>
      </c>
      <c r="I35" s="77">
        <f>IF('Income - GAAP'!I35="",0,'Income - GAAP'!I35)/'Income - GAAP'!I$9</f>
        <v>8.0701349217573168E-4</v>
      </c>
      <c r="J35" s="77">
        <f>IF('Income - GAAP'!J35="",0,'Income - GAAP'!J35)/'Income - GAAP'!J$9</f>
        <v>4.1285655793639967E-3</v>
      </c>
      <c r="K35" s="77">
        <f>IF('Income - GAAP'!K35="",0,'Income - GAAP'!K35)/'Income - GAAP'!K$9</f>
        <v>8.5475576288887353E-3</v>
      </c>
      <c r="L35" s="77">
        <f>IF('Income - GAAP'!L35="",0,'Income - GAAP'!L35)/'Income - GAAP'!L$9</f>
        <v>1.1410947886357721E-2</v>
      </c>
      <c r="M35" s="108"/>
      <c r="N35" s="108"/>
      <c r="O35" s="108"/>
      <c r="P35" s="108"/>
      <c r="Q35" s="108"/>
      <c r="R35" s="108"/>
      <c r="S35" s="37"/>
      <c r="T35" s="37"/>
      <c r="U35" s="37"/>
      <c r="V35" s="37"/>
      <c r="W35" s="37"/>
      <c r="X35" s="37"/>
      <c r="Y35" s="37"/>
      <c r="Z35" s="37"/>
      <c r="AA35" s="37"/>
      <c r="AB35" s="37"/>
      <c r="AC35" s="37"/>
      <c r="AD35" s="37"/>
      <c r="AE35" s="37"/>
      <c r="AF35" s="37"/>
      <c r="AG35" s="37"/>
      <c r="AH35" s="37"/>
      <c r="AI35" s="37"/>
      <c r="AJ35" s="37"/>
      <c r="AK35" s="37"/>
    </row>
    <row r="36" spans="1:1010 1027:2036 2053:3062 3079:4088 4105:5114 5131:6140 6157:7166 7183:8192 8209:9200 9217:10226 10243:11252 11269:12278 12295:13304 13321:14330 14347:15356 15373:16382" x14ac:dyDescent="0.35">
      <c r="A36" s="27" t="str">
        <f>'Income - GAAP'!A36</f>
        <v>check</v>
      </c>
      <c r="B36" s="26"/>
      <c r="C36" s="262"/>
      <c r="D36" s="262"/>
      <c r="E36" s="262"/>
      <c r="F36" s="262"/>
      <c r="G36" s="262"/>
      <c r="H36" s="262"/>
      <c r="I36" s="262"/>
      <c r="J36" s="262"/>
      <c r="K36" s="262"/>
      <c r="L36" s="262"/>
      <c r="M36" s="133"/>
      <c r="N36" s="133"/>
      <c r="O36" s="133"/>
      <c r="P36" s="133"/>
      <c r="Q36" s="133"/>
      <c r="R36" s="133"/>
      <c r="S36" s="37"/>
      <c r="T36" s="37"/>
      <c r="U36" s="37"/>
      <c r="V36" s="37"/>
      <c r="W36" s="37"/>
      <c r="X36" s="37"/>
      <c r="Y36" s="37"/>
      <c r="Z36" s="37"/>
      <c r="AA36" s="37"/>
      <c r="AB36" s="37"/>
      <c r="AC36" s="37"/>
      <c r="AD36" s="37"/>
      <c r="AE36" s="37"/>
      <c r="AF36" s="37"/>
      <c r="AG36" s="37"/>
      <c r="AH36" s="37"/>
      <c r="AI36" s="37"/>
      <c r="AJ36" s="37"/>
      <c r="AK36" s="37"/>
    </row>
    <row r="37" spans="1:1010 1027:2036 2053:3062 3079:4088 4105:5114 5131:6140 6157:7166 7183:8192 8209:9200 9217:10226 10243:11252 11269:12278 12295:13304 13321:14330 14347:15356 15373:16382" s="11" customFormat="1" x14ac:dyDescent="0.35">
      <c r="A37" s="183" t="str">
        <f>'Income - GAAP'!A37</f>
        <v xml:space="preserve">    + Other Investment (Inc) Loss</v>
      </c>
      <c r="B37" s="75" t="str">
        <f>'Income - GAAP'!B37</f>
        <v>IS_OTHER_INVESTMENT_INCOME_LOSS</v>
      </c>
      <c r="C37" s="76">
        <f>IF('Income - GAAP'!C37="",0,'Income - GAAP'!C37)/'Income - GAAP'!C$9</f>
        <v>0</v>
      </c>
      <c r="D37" s="76">
        <f>IF('Income - GAAP'!D37="",0,'Income - GAAP'!D37)/'Income - GAAP'!D$9</f>
        <v>0</v>
      </c>
      <c r="E37" s="76">
        <f>IF('Income - GAAP'!E37="",0,'Income - GAAP'!E37)/'Income - GAAP'!E$9</f>
        <v>0</v>
      </c>
      <c r="F37" s="76">
        <f>IF('Income - GAAP'!F37="",0,'Income - GAAP'!F37)/'Income - GAAP'!F$9</f>
        <v>0</v>
      </c>
      <c r="G37" s="76">
        <f>IF('Income - GAAP'!G37="",0,'Income - GAAP'!G37)/'Income - GAAP'!G$9</f>
        <v>0</v>
      </c>
      <c r="H37" s="76">
        <f>IF('Income - GAAP'!H37="",0,'Income - GAAP'!H37)/'Income - GAAP'!H$9</f>
        <v>0</v>
      </c>
      <c r="I37" s="76">
        <f>IF('Income - GAAP'!I37="",0,'Income - GAAP'!I37)/'Income - GAAP'!I$9</f>
        <v>0</v>
      </c>
      <c r="J37" s="76">
        <f>IF('Income - GAAP'!J37="",0,'Income - GAAP'!J37)/'Income - GAAP'!J$9</f>
        <v>0</v>
      </c>
      <c r="K37" s="76">
        <f>IF('Income - GAAP'!K37="",0,'Income - GAAP'!K37)/'Income - GAAP'!K$9</f>
        <v>0</v>
      </c>
      <c r="L37" s="76">
        <f>IF('Income - GAAP'!L37="",0,'Income - GAAP'!L37)/'Income - GAAP'!L$9</f>
        <v>0</v>
      </c>
      <c r="M37" s="108"/>
      <c r="N37" s="108"/>
      <c r="O37" s="108"/>
      <c r="P37" s="108"/>
      <c r="Q37" s="108"/>
      <c r="R37" s="108"/>
      <c r="S37" s="109"/>
      <c r="T37" s="109"/>
      <c r="U37" s="108"/>
      <c r="V37" s="108"/>
      <c r="W37" s="108"/>
      <c r="X37" s="108"/>
      <c r="Y37" s="108"/>
      <c r="Z37" s="108"/>
      <c r="AA37" s="108"/>
      <c r="AB37" s="108"/>
      <c r="AC37" s="108"/>
      <c r="AD37" s="108"/>
      <c r="AE37" s="108"/>
      <c r="AF37" s="108"/>
      <c r="AG37" s="108"/>
      <c r="AH37" s="108"/>
      <c r="AI37" s="108"/>
      <c r="AJ37" s="108"/>
      <c r="AK37" s="109"/>
      <c r="AL37" s="12"/>
      <c r="BC37" s="12"/>
      <c r="BD37" s="12"/>
      <c r="BU37" s="12"/>
      <c r="BV37" s="12"/>
      <c r="CM37" s="12"/>
      <c r="CN37" s="12"/>
      <c r="DE37" s="12"/>
      <c r="DF37" s="12"/>
      <c r="DW37" s="12"/>
      <c r="DX37" s="12"/>
      <c r="EO37" s="12"/>
      <c r="EP37" s="12"/>
      <c r="FG37" s="12"/>
      <c r="FH37" s="12"/>
      <c r="FY37" s="12"/>
      <c r="FZ37" s="12"/>
      <c r="GQ37" s="12"/>
      <c r="GR37" s="12"/>
      <c r="HI37" s="12"/>
      <c r="HJ37" s="12"/>
      <c r="IA37" s="12"/>
      <c r="IB37" s="12"/>
      <c r="IS37" s="12"/>
      <c r="IT37" s="12"/>
      <c r="JK37" s="12"/>
      <c r="JL37" s="12"/>
      <c r="KC37" s="12"/>
      <c r="KD37" s="12"/>
      <c r="KU37" s="12"/>
      <c r="KV37" s="12"/>
      <c r="LM37" s="12"/>
      <c r="LN37" s="12"/>
      <c r="ME37" s="12"/>
      <c r="MF37" s="12"/>
      <c r="MW37" s="12"/>
      <c r="MX37" s="12"/>
      <c r="NO37" s="12"/>
      <c r="NP37" s="12"/>
      <c r="OG37" s="12"/>
      <c r="OH37" s="12"/>
      <c r="OY37" s="12"/>
      <c r="OZ37" s="12"/>
      <c r="PQ37" s="12"/>
      <c r="PR37" s="12"/>
      <c r="QI37" s="12"/>
      <c r="QJ37" s="12"/>
      <c r="RA37" s="12"/>
      <c r="RB37" s="12"/>
      <c r="RS37" s="12"/>
      <c r="RT37" s="12"/>
      <c r="SK37" s="12"/>
      <c r="SL37" s="12"/>
      <c r="TC37" s="12"/>
      <c r="TD37" s="12"/>
      <c r="TU37" s="12"/>
      <c r="TV37" s="12"/>
      <c r="UM37" s="12"/>
      <c r="UN37" s="12"/>
      <c r="VE37" s="12"/>
      <c r="VF37" s="12"/>
      <c r="VW37" s="12"/>
      <c r="VX37" s="12"/>
      <c r="WO37" s="12"/>
      <c r="WP37" s="12"/>
      <c r="XG37" s="12"/>
      <c r="XH37" s="12"/>
      <c r="XY37" s="12"/>
      <c r="XZ37" s="12"/>
      <c r="YQ37" s="12"/>
      <c r="YR37" s="12"/>
      <c r="ZI37" s="12"/>
      <c r="ZJ37" s="12"/>
      <c r="AAA37" s="12"/>
      <c r="AAB37" s="12"/>
      <c r="AAS37" s="12"/>
      <c r="AAT37" s="12"/>
      <c r="ABK37" s="12"/>
      <c r="ABL37" s="12"/>
      <c r="ACC37" s="12"/>
      <c r="ACD37" s="12"/>
      <c r="ACU37" s="12"/>
      <c r="ACV37" s="12"/>
      <c r="ADM37" s="12"/>
      <c r="ADN37" s="12"/>
      <c r="AEE37" s="12"/>
      <c r="AEF37" s="12"/>
      <c r="AEW37" s="12"/>
      <c r="AEX37" s="12"/>
      <c r="AFO37" s="12"/>
      <c r="AFP37" s="12"/>
      <c r="AGG37" s="12"/>
      <c r="AGH37" s="12"/>
      <c r="AGY37" s="12"/>
      <c r="AGZ37" s="12"/>
      <c r="AHQ37" s="12"/>
      <c r="AHR37" s="12"/>
      <c r="AII37" s="12"/>
      <c r="AIJ37" s="12"/>
      <c r="AJA37" s="12"/>
      <c r="AJB37" s="12"/>
      <c r="AJS37" s="12"/>
      <c r="AJT37" s="12"/>
      <c r="AKK37" s="12"/>
      <c r="AKL37" s="12"/>
      <c r="ALC37" s="12"/>
      <c r="ALD37" s="12"/>
      <c r="ALU37" s="12"/>
      <c r="ALV37" s="12"/>
      <c r="AMM37" s="12"/>
      <c r="AMN37" s="12"/>
      <c r="ANE37" s="12"/>
      <c r="ANF37" s="12"/>
      <c r="ANW37" s="12"/>
      <c r="ANX37" s="12"/>
      <c r="AOO37" s="12"/>
      <c r="AOP37" s="12"/>
      <c r="APG37" s="12"/>
      <c r="APH37" s="12"/>
      <c r="APY37" s="12"/>
      <c r="APZ37" s="12"/>
      <c r="AQQ37" s="12"/>
      <c r="AQR37" s="12"/>
      <c r="ARI37" s="12"/>
      <c r="ARJ37" s="12"/>
      <c r="ASA37" s="12"/>
      <c r="ASB37" s="12"/>
      <c r="ASS37" s="12"/>
      <c r="AST37" s="12"/>
      <c r="ATK37" s="12"/>
      <c r="ATL37" s="12"/>
      <c r="AUC37" s="12"/>
      <c r="AUD37" s="12"/>
      <c r="AUU37" s="12"/>
      <c r="AUV37" s="12"/>
      <c r="AVM37" s="12"/>
      <c r="AVN37" s="12"/>
      <c r="AWE37" s="12"/>
      <c r="AWF37" s="12"/>
      <c r="AWW37" s="12"/>
      <c r="AWX37" s="12"/>
      <c r="AXO37" s="12"/>
      <c r="AXP37" s="12"/>
      <c r="AYG37" s="12"/>
      <c r="AYH37" s="12"/>
      <c r="AYY37" s="12"/>
      <c r="AYZ37" s="12"/>
      <c r="AZQ37" s="12"/>
      <c r="AZR37" s="12"/>
      <c r="BAI37" s="12"/>
      <c r="BAJ37" s="12"/>
      <c r="BBA37" s="12"/>
      <c r="BBB37" s="12"/>
      <c r="BBS37" s="12"/>
      <c r="BBT37" s="12"/>
      <c r="BCK37" s="12"/>
      <c r="BCL37" s="12"/>
      <c r="BDC37" s="12"/>
      <c r="BDD37" s="12"/>
      <c r="BDU37" s="12"/>
      <c r="BDV37" s="12"/>
      <c r="BEM37" s="12"/>
      <c r="BEN37" s="12"/>
      <c r="BFE37" s="12"/>
      <c r="BFF37" s="12"/>
      <c r="BFW37" s="12"/>
      <c r="BFX37" s="12"/>
      <c r="BGO37" s="12"/>
      <c r="BGP37" s="12"/>
      <c r="BHG37" s="12"/>
      <c r="BHH37" s="12"/>
      <c r="BHY37" s="12"/>
      <c r="BHZ37" s="12"/>
      <c r="BIQ37" s="12"/>
      <c r="BIR37" s="12"/>
      <c r="BJI37" s="12"/>
      <c r="BJJ37" s="12"/>
      <c r="BKA37" s="12"/>
      <c r="BKB37" s="12"/>
      <c r="BKS37" s="12"/>
      <c r="BKT37" s="12"/>
      <c r="BLK37" s="12"/>
      <c r="BLL37" s="12"/>
      <c r="BMC37" s="12"/>
      <c r="BMD37" s="12"/>
      <c r="BMU37" s="12"/>
      <c r="BMV37" s="12"/>
      <c r="BNM37" s="12"/>
      <c r="BNN37" s="12"/>
      <c r="BOE37" s="12"/>
      <c r="BOF37" s="12"/>
      <c r="BOW37" s="12"/>
      <c r="BOX37" s="12"/>
      <c r="BPO37" s="12"/>
      <c r="BPP37" s="12"/>
      <c r="BQG37" s="12"/>
      <c r="BQH37" s="12"/>
      <c r="BQY37" s="12"/>
      <c r="BQZ37" s="12"/>
      <c r="BRQ37" s="12"/>
      <c r="BRR37" s="12"/>
      <c r="BSI37" s="12"/>
      <c r="BSJ37" s="12"/>
      <c r="BTA37" s="12"/>
      <c r="BTB37" s="12"/>
      <c r="BTS37" s="12"/>
      <c r="BTT37" s="12"/>
      <c r="BUK37" s="12"/>
      <c r="BUL37" s="12"/>
      <c r="BVC37" s="12"/>
      <c r="BVD37" s="12"/>
      <c r="BVU37" s="12"/>
      <c r="BVV37" s="12"/>
      <c r="BWM37" s="12"/>
      <c r="BWN37" s="12"/>
      <c r="BXE37" s="12"/>
      <c r="BXF37" s="12"/>
      <c r="BXW37" s="12"/>
      <c r="BXX37" s="12"/>
      <c r="BYO37" s="12"/>
      <c r="BYP37" s="12"/>
      <c r="BZG37" s="12"/>
      <c r="BZH37" s="12"/>
      <c r="BZY37" s="12"/>
      <c r="BZZ37" s="12"/>
      <c r="CAQ37" s="12"/>
      <c r="CAR37" s="12"/>
      <c r="CBI37" s="12"/>
      <c r="CBJ37" s="12"/>
      <c r="CCA37" s="12"/>
      <c r="CCB37" s="12"/>
      <c r="CCS37" s="12"/>
      <c r="CCT37" s="12"/>
      <c r="CDK37" s="12"/>
      <c r="CDL37" s="12"/>
      <c r="CEC37" s="12"/>
      <c r="CED37" s="12"/>
      <c r="CEU37" s="12"/>
      <c r="CEV37" s="12"/>
      <c r="CFM37" s="12"/>
      <c r="CFN37" s="12"/>
      <c r="CGE37" s="12"/>
      <c r="CGF37" s="12"/>
      <c r="CGW37" s="12"/>
      <c r="CGX37" s="12"/>
      <c r="CHO37" s="12"/>
      <c r="CHP37" s="12"/>
      <c r="CIG37" s="12"/>
      <c r="CIH37" s="12"/>
      <c r="CIY37" s="12"/>
      <c r="CIZ37" s="12"/>
      <c r="CJQ37" s="12"/>
      <c r="CJR37" s="12"/>
      <c r="CKI37" s="12"/>
      <c r="CKJ37" s="12"/>
      <c r="CLA37" s="12"/>
      <c r="CLB37" s="12"/>
      <c r="CLS37" s="12"/>
      <c r="CLT37" s="12"/>
      <c r="CMK37" s="12"/>
      <c r="CML37" s="12"/>
      <c r="CNC37" s="12"/>
      <c r="CND37" s="12"/>
      <c r="CNU37" s="12"/>
      <c r="CNV37" s="12"/>
      <c r="COM37" s="12"/>
      <c r="CON37" s="12"/>
      <c r="CPE37" s="12"/>
      <c r="CPF37" s="12"/>
      <c r="CPW37" s="12"/>
      <c r="CPX37" s="12"/>
      <c r="CQO37" s="12"/>
      <c r="CQP37" s="12"/>
      <c r="CRG37" s="12"/>
      <c r="CRH37" s="12"/>
      <c r="CRY37" s="12"/>
      <c r="CRZ37" s="12"/>
      <c r="CSQ37" s="12"/>
      <c r="CSR37" s="12"/>
      <c r="CTI37" s="12"/>
      <c r="CTJ37" s="12"/>
      <c r="CUA37" s="12"/>
      <c r="CUB37" s="12"/>
      <c r="CUS37" s="12"/>
      <c r="CUT37" s="12"/>
      <c r="CVK37" s="12"/>
      <c r="CVL37" s="12"/>
      <c r="CWC37" s="12"/>
      <c r="CWD37" s="12"/>
      <c r="CWU37" s="12"/>
      <c r="CWV37" s="12"/>
      <c r="CXM37" s="12"/>
      <c r="CXN37" s="12"/>
      <c r="CYE37" s="12"/>
      <c r="CYF37" s="12"/>
      <c r="CYW37" s="12"/>
      <c r="CYX37" s="12"/>
      <c r="CZO37" s="12"/>
      <c r="CZP37" s="12"/>
      <c r="DAG37" s="12"/>
      <c r="DAH37" s="12"/>
      <c r="DAY37" s="12"/>
      <c r="DAZ37" s="12"/>
      <c r="DBQ37" s="12"/>
      <c r="DBR37" s="12"/>
      <c r="DCI37" s="12"/>
      <c r="DCJ37" s="12"/>
      <c r="DDA37" s="12"/>
      <c r="DDB37" s="12"/>
      <c r="DDS37" s="12"/>
      <c r="DDT37" s="12"/>
      <c r="DEK37" s="12"/>
      <c r="DEL37" s="12"/>
      <c r="DFC37" s="12"/>
      <c r="DFD37" s="12"/>
      <c r="DFU37" s="12"/>
      <c r="DFV37" s="12"/>
      <c r="DGM37" s="12"/>
      <c r="DGN37" s="12"/>
      <c r="DHE37" s="12"/>
      <c r="DHF37" s="12"/>
      <c r="DHW37" s="12"/>
      <c r="DHX37" s="12"/>
      <c r="DIO37" s="12"/>
      <c r="DIP37" s="12"/>
      <c r="DJG37" s="12"/>
      <c r="DJH37" s="12"/>
      <c r="DJY37" s="12"/>
      <c r="DJZ37" s="12"/>
      <c r="DKQ37" s="12"/>
      <c r="DKR37" s="12"/>
      <c r="DLI37" s="12"/>
      <c r="DLJ37" s="12"/>
      <c r="DMA37" s="12"/>
      <c r="DMB37" s="12"/>
      <c r="DMS37" s="12"/>
      <c r="DMT37" s="12"/>
      <c r="DNK37" s="12"/>
      <c r="DNL37" s="12"/>
      <c r="DOC37" s="12"/>
      <c r="DOD37" s="12"/>
      <c r="DOU37" s="12"/>
      <c r="DOV37" s="12"/>
      <c r="DPM37" s="12"/>
      <c r="DPN37" s="12"/>
      <c r="DQE37" s="12"/>
      <c r="DQF37" s="12"/>
      <c r="DQW37" s="12"/>
      <c r="DQX37" s="12"/>
      <c r="DRO37" s="12"/>
      <c r="DRP37" s="12"/>
      <c r="DSG37" s="12"/>
      <c r="DSH37" s="12"/>
      <c r="DSY37" s="12"/>
      <c r="DSZ37" s="12"/>
      <c r="DTQ37" s="12"/>
      <c r="DTR37" s="12"/>
      <c r="DUI37" s="12"/>
      <c r="DUJ37" s="12"/>
      <c r="DVA37" s="12"/>
      <c r="DVB37" s="12"/>
      <c r="DVS37" s="12"/>
      <c r="DVT37" s="12"/>
      <c r="DWK37" s="12"/>
      <c r="DWL37" s="12"/>
      <c r="DXC37" s="12"/>
      <c r="DXD37" s="12"/>
      <c r="DXU37" s="12"/>
      <c r="DXV37" s="12"/>
      <c r="DYM37" s="12"/>
      <c r="DYN37" s="12"/>
      <c r="DZE37" s="12"/>
      <c r="DZF37" s="12"/>
      <c r="DZW37" s="12"/>
      <c r="DZX37" s="12"/>
      <c r="EAO37" s="12"/>
      <c r="EAP37" s="12"/>
      <c r="EBG37" s="12"/>
      <c r="EBH37" s="12"/>
      <c r="EBY37" s="12"/>
      <c r="EBZ37" s="12"/>
      <c r="ECQ37" s="12"/>
      <c r="ECR37" s="12"/>
      <c r="EDI37" s="12"/>
      <c r="EDJ37" s="12"/>
      <c r="EEA37" s="12"/>
      <c r="EEB37" s="12"/>
      <c r="EES37" s="12"/>
      <c r="EET37" s="12"/>
      <c r="EFK37" s="12"/>
      <c r="EFL37" s="12"/>
      <c r="EGC37" s="12"/>
      <c r="EGD37" s="12"/>
      <c r="EGU37" s="12"/>
      <c r="EGV37" s="12"/>
      <c r="EHM37" s="12"/>
      <c r="EHN37" s="12"/>
      <c r="EIE37" s="12"/>
      <c r="EIF37" s="12"/>
      <c r="EIW37" s="12"/>
      <c r="EIX37" s="12"/>
      <c r="EJO37" s="12"/>
      <c r="EJP37" s="12"/>
      <c r="EKG37" s="12"/>
      <c r="EKH37" s="12"/>
      <c r="EKY37" s="12"/>
      <c r="EKZ37" s="12"/>
      <c r="ELQ37" s="12"/>
      <c r="ELR37" s="12"/>
      <c r="EMI37" s="12"/>
      <c r="EMJ37" s="12"/>
      <c r="ENA37" s="12"/>
      <c r="ENB37" s="12"/>
      <c r="ENS37" s="12"/>
      <c r="ENT37" s="12"/>
      <c r="EOK37" s="12"/>
      <c r="EOL37" s="12"/>
      <c r="EPC37" s="12"/>
      <c r="EPD37" s="12"/>
      <c r="EPU37" s="12"/>
      <c r="EPV37" s="12"/>
      <c r="EQM37" s="12"/>
      <c r="EQN37" s="12"/>
      <c r="ERE37" s="12"/>
      <c r="ERF37" s="12"/>
      <c r="ERW37" s="12"/>
      <c r="ERX37" s="12"/>
      <c r="ESO37" s="12"/>
      <c r="ESP37" s="12"/>
      <c r="ETG37" s="12"/>
      <c r="ETH37" s="12"/>
      <c r="ETY37" s="12"/>
      <c r="ETZ37" s="12"/>
      <c r="EUQ37" s="12"/>
      <c r="EUR37" s="12"/>
      <c r="EVI37" s="12"/>
      <c r="EVJ37" s="12"/>
      <c r="EWA37" s="12"/>
      <c r="EWB37" s="12"/>
      <c r="EWS37" s="12"/>
      <c r="EWT37" s="12"/>
      <c r="EXK37" s="12"/>
      <c r="EXL37" s="12"/>
      <c r="EYC37" s="12"/>
      <c r="EYD37" s="12"/>
      <c r="EYU37" s="12"/>
      <c r="EYV37" s="12"/>
      <c r="EZM37" s="12"/>
      <c r="EZN37" s="12"/>
      <c r="FAE37" s="12"/>
      <c r="FAF37" s="12"/>
      <c r="FAW37" s="12"/>
      <c r="FAX37" s="12"/>
      <c r="FBO37" s="12"/>
      <c r="FBP37" s="12"/>
      <c r="FCG37" s="12"/>
      <c r="FCH37" s="12"/>
      <c r="FCY37" s="12"/>
      <c r="FCZ37" s="12"/>
      <c r="FDQ37" s="12"/>
      <c r="FDR37" s="12"/>
      <c r="FEI37" s="12"/>
      <c r="FEJ37" s="12"/>
      <c r="FFA37" s="12"/>
      <c r="FFB37" s="12"/>
      <c r="FFS37" s="12"/>
      <c r="FFT37" s="12"/>
      <c r="FGK37" s="12"/>
      <c r="FGL37" s="12"/>
      <c r="FHC37" s="12"/>
      <c r="FHD37" s="12"/>
      <c r="FHU37" s="12"/>
      <c r="FHV37" s="12"/>
      <c r="FIM37" s="12"/>
      <c r="FIN37" s="12"/>
      <c r="FJE37" s="12"/>
      <c r="FJF37" s="12"/>
      <c r="FJW37" s="12"/>
      <c r="FJX37" s="12"/>
      <c r="FKO37" s="12"/>
      <c r="FKP37" s="12"/>
      <c r="FLG37" s="12"/>
      <c r="FLH37" s="12"/>
      <c r="FLY37" s="12"/>
      <c r="FLZ37" s="12"/>
      <c r="FMQ37" s="12"/>
      <c r="FMR37" s="12"/>
      <c r="FNI37" s="12"/>
      <c r="FNJ37" s="12"/>
      <c r="FOA37" s="12"/>
      <c r="FOB37" s="12"/>
      <c r="FOS37" s="12"/>
      <c r="FOT37" s="12"/>
      <c r="FPK37" s="12"/>
      <c r="FPL37" s="12"/>
      <c r="FQC37" s="12"/>
      <c r="FQD37" s="12"/>
      <c r="FQU37" s="12"/>
      <c r="FQV37" s="12"/>
      <c r="FRM37" s="12"/>
      <c r="FRN37" s="12"/>
      <c r="FSE37" s="12"/>
      <c r="FSF37" s="12"/>
      <c r="FSW37" s="12"/>
      <c r="FSX37" s="12"/>
      <c r="FTO37" s="12"/>
      <c r="FTP37" s="12"/>
      <c r="FUG37" s="12"/>
      <c r="FUH37" s="12"/>
      <c r="FUY37" s="12"/>
      <c r="FUZ37" s="12"/>
      <c r="FVQ37" s="12"/>
      <c r="FVR37" s="12"/>
      <c r="FWI37" s="12"/>
      <c r="FWJ37" s="12"/>
      <c r="FXA37" s="12"/>
      <c r="FXB37" s="12"/>
      <c r="FXS37" s="12"/>
      <c r="FXT37" s="12"/>
      <c r="FYK37" s="12"/>
      <c r="FYL37" s="12"/>
      <c r="FZC37" s="12"/>
      <c r="FZD37" s="12"/>
      <c r="FZU37" s="12"/>
      <c r="FZV37" s="12"/>
      <c r="GAM37" s="12"/>
      <c r="GAN37" s="12"/>
      <c r="GBE37" s="12"/>
      <c r="GBF37" s="12"/>
      <c r="GBW37" s="12"/>
      <c r="GBX37" s="12"/>
      <c r="GCO37" s="12"/>
      <c r="GCP37" s="12"/>
      <c r="GDG37" s="12"/>
      <c r="GDH37" s="12"/>
      <c r="GDY37" s="12"/>
      <c r="GDZ37" s="12"/>
      <c r="GEQ37" s="12"/>
      <c r="GER37" s="12"/>
      <c r="GFI37" s="12"/>
      <c r="GFJ37" s="12"/>
      <c r="GGA37" s="12"/>
      <c r="GGB37" s="12"/>
      <c r="GGS37" s="12"/>
      <c r="GGT37" s="12"/>
      <c r="GHK37" s="12"/>
      <c r="GHL37" s="12"/>
      <c r="GIC37" s="12"/>
      <c r="GID37" s="12"/>
      <c r="GIU37" s="12"/>
      <c r="GIV37" s="12"/>
      <c r="GJM37" s="12"/>
      <c r="GJN37" s="12"/>
      <c r="GKE37" s="12"/>
      <c r="GKF37" s="12"/>
      <c r="GKW37" s="12"/>
      <c r="GKX37" s="12"/>
      <c r="GLO37" s="12"/>
      <c r="GLP37" s="12"/>
      <c r="GMG37" s="12"/>
      <c r="GMH37" s="12"/>
      <c r="GMY37" s="12"/>
      <c r="GMZ37" s="12"/>
      <c r="GNQ37" s="12"/>
      <c r="GNR37" s="12"/>
      <c r="GOI37" s="12"/>
      <c r="GOJ37" s="12"/>
      <c r="GPA37" s="12"/>
      <c r="GPB37" s="12"/>
      <c r="GPS37" s="12"/>
      <c r="GPT37" s="12"/>
      <c r="GQK37" s="12"/>
      <c r="GQL37" s="12"/>
      <c r="GRC37" s="12"/>
      <c r="GRD37" s="12"/>
      <c r="GRU37" s="12"/>
      <c r="GRV37" s="12"/>
      <c r="GSM37" s="12"/>
      <c r="GSN37" s="12"/>
      <c r="GTE37" s="12"/>
      <c r="GTF37" s="12"/>
      <c r="GTW37" s="12"/>
      <c r="GTX37" s="12"/>
      <c r="GUO37" s="12"/>
      <c r="GUP37" s="12"/>
      <c r="GVG37" s="12"/>
      <c r="GVH37" s="12"/>
      <c r="GVY37" s="12"/>
      <c r="GVZ37" s="12"/>
      <c r="GWQ37" s="12"/>
      <c r="GWR37" s="12"/>
      <c r="GXI37" s="12"/>
      <c r="GXJ37" s="12"/>
      <c r="GYA37" s="12"/>
      <c r="GYB37" s="12"/>
      <c r="GYS37" s="12"/>
      <c r="GYT37" s="12"/>
      <c r="GZK37" s="12"/>
      <c r="GZL37" s="12"/>
      <c r="HAC37" s="12"/>
      <c r="HAD37" s="12"/>
      <c r="HAU37" s="12"/>
      <c r="HAV37" s="12"/>
      <c r="HBM37" s="12"/>
      <c r="HBN37" s="12"/>
      <c r="HCE37" s="12"/>
      <c r="HCF37" s="12"/>
      <c r="HCW37" s="12"/>
      <c r="HCX37" s="12"/>
      <c r="HDO37" s="12"/>
      <c r="HDP37" s="12"/>
      <c r="HEG37" s="12"/>
      <c r="HEH37" s="12"/>
      <c r="HEY37" s="12"/>
      <c r="HEZ37" s="12"/>
      <c r="HFQ37" s="12"/>
      <c r="HFR37" s="12"/>
      <c r="HGI37" s="12"/>
      <c r="HGJ37" s="12"/>
      <c r="HHA37" s="12"/>
      <c r="HHB37" s="12"/>
      <c r="HHS37" s="12"/>
      <c r="HHT37" s="12"/>
      <c r="HIK37" s="12"/>
      <c r="HIL37" s="12"/>
      <c r="HJC37" s="12"/>
      <c r="HJD37" s="12"/>
      <c r="HJU37" s="12"/>
      <c r="HJV37" s="12"/>
      <c r="HKM37" s="12"/>
      <c r="HKN37" s="12"/>
      <c r="HLE37" s="12"/>
      <c r="HLF37" s="12"/>
      <c r="HLW37" s="12"/>
      <c r="HLX37" s="12"/>
      <c r="HMO37" s="12"/>
      <c r="HMP37" s="12"/>
      <c r="HNG37" s="12"/>
      <c r="HNH37" s="12"/>
      <c r="HNY37" s="12"/>
      <c r="HNZ37" s="12"/>
      <c r="HOQ37" s="12"/>
      <c r="HOR37" s="12"/>
      <c r="HPI37" s="12"/>
      <c r="HPJ37" s="12"/>
      <c r="HQA37" s="12"/>
      <c r="HQB37" s="12"/>
      <c r="HQS37" s="12"/>
      <c r="HQT37" s="12"/>
      <c r="HRK37" s="12"/>
      <c r="HRL37" s="12"/>
      <c r="HSC37" s="12"/>
      <c r="HSD37" s="12"/>
      <c r="HSU37" s="12"/>
      <c r="HSV37" s="12"/>
      <c r="HTM37" s="12"/>
      <c r="HTN37" s="12"/>
      <c r="HUE37" s="12"/>
      <c r="HUF37" s="12"/>
      <c r="HUW37" s="12"/>
      <c r="HUX37" s="12"/>
      <c r="HVO37" s="12"/>
      <c r="HVP37" s="12"/>
      <c r="HWG37" s="12"/>
      <c r="HWH37" s="12"/>
      <c r="HWY37" s="12"/>
      <c r="HWZ37" s="12"/>
      <c r="HXQ37" s="12"/>
      <c r="HXR37" s="12"/>
      <c r="HYI37" s="12"/>
      <c r="HYJ37" s="12"/>
      <c r="HZA37" s="12"/>
      <c r="HZB37" s="12"/>
      <c r="HZS37" s="12"/>
      <c r="HZT37" s="12"/>
      <c r="IAK37" s="12"/>
      <c r="IAL37" s="12"/>
      <c r="IBC37" s="12"/>
      <c r="IBD37" s="12"/>
      <c r="IBU37" s="12"/>
      <c r="IBV37" s="12"/>
      <c r="ICM37" s="12"/>
      <c r="ICN37" s="12"/>
      <c r="IDE37" s="12"/>
      <c r="IDF37" s="12"/>
      <c r="IDW37" s="12"/>
      <c r="IDX37" s="12"/>
      <c r="IEO37" s="12"/>
      <c r="IEP37" s="12"/>
      <c r="IFG37" s="12"/>
      <c r="IFH37" s="12"/>
      <c r="IFY37" s="12"/>
      <c r="IFZ37" s="12"/>
      <c r="IGQ37" s="12"/>
      <c r="IGR37" s="12"/>
      <c r="IHI37" s="12"/>
      <c r="IHJ37" s="12"/>
      <c r="IIA37" s="12"/>
      <c r="IIB37" s="12"/>
      <c r="IIS37" s="12"/>
      <c r="IIT37" s="12"/>
      <c r="IJK37" s="12"/>
      <c r="IJL37" s="12"/>
      <c r="IKC37" s="12"/>
      <c r="IKD37" s="12"/>
      <c r="IKU37" s="12"/>
      <c r="IKV37" s="12"/>
      <c r="ILM37" s="12"/>
      <c r="ILN37" s="12"/>
      <c r="IME37" s="12"/>
      <c r="IMF37" s="12"/>
      <c r="IMW37" s="12"/>
      <c r="IMX37" s="12"/>
      <c r="INO37" s="12"/>
      <c r="INP37" s="12"/>
      <c r="IOG37" s="12"/>
      <c r="IOH37" s="12"/>
      <c r="IOY37" s="12"/>
      <c r="IOZ37" s="12"/>
      <c r="IPQ37" s="12"/>
      <c r="IPR37" s="12"/>
      <c r="IQI37" s="12"/>
      <c r="IQJ37" s="12"/>
      <c r="IRA37" s="12"/>
      <c r="IRB37" s="12"/>
      <c r="IRS37" s="12"/>
      <c r="IRT37" s="12"/>
      <c r="ISK37" s="12"/>
      <c r="ISL37" s="12"/>
      <c r="ITC37" s="12"/>
      <c r="ITD37" s="12"/>
      <c r="ITU37" s="12"/>
      <c r="ITV37" s="12"/>
      <c r="IUM37" s="12"/>
      <c r="IUN37" s="12"/>
      <c r="IVE37" s="12"/>
      <c r="IVF37" s="12"/>
      <c r="IVW37" s="12"/>
      <c r="IVX37" s="12"/>
      <c r="IWO37" s="12"/>
      <c r="IWP37" s="12"/>
      <c r="IXG37" s="12"/>
      <c r="IXH37" s="12"/>
      <c r="IXY37" s="12"/>
      <c r="IXZ37" s="12"/>
      <c r="IYQ37" s="12"/>
      <c r="IYR37" s="12"/>
      <c r="IZI37" s="12"/>
      <c r="IZJ37" s="12"/>
      <c r="JAA37" s="12"/>
      <c r="JAB37" s="12"/>
      <c r="JAS37" s="12"/>
      <c r="JAT37" s="12"/>
      <c r="JBK37" s="12"/>
      <c r="JBL37" s="12"/>
      <c r="JCC37" s="12"/>
      <c r="JCD37" s="12"/>
      <c r="JCU37" s="12"/>
      <c r="JCV37" s="12"/>
      <c r="JDM37" s="12"/>
      <c r="JDN37" s="12"/>
      <c r="JEE37" s="12"/>
      <c r="JEF37" s="12"/>
      <c r="JEW37" s="12"/>
      <c r="JEX37" s="12"/>
      <c r="JFO37" s="12"/>
      <c r="JFP37" s="12"/>
      <c r="JGG37" s="12"/>
      <c r="JGH37" s="12"/>
      <c r="JGY37" s="12"/>
      <c r="JGZ37" s="12"/>
      <c r="JHQ37" s="12"/>
      <c r="JHR37" s="12"/>
      <c r="JII37" s="12"/>
      <c r="JIJ37" s="12"/>
      <c r="JJA37" s="12"/>
      <c r="JJB37" s="12"/>
      <c r="JJS37" s="12"/>
      <c r="JJT37" s="12"/>
      <c r="JKK37" s="12"/>
      <c r="JKL37" s="12"/>
      <c r="JLC37" s="12"/>
      <c r="JLD37" s="12"/>
      <c r="JLU37" s="12"/>
      <c r="JLV37" s="12"/>
      <c r="JMM37" s="12"/>
      <c r="JMN37" s="12"/>
      <c r="JNE37" s="12"/>
      <c r="JNF37" s="12"/>
      <c r="JNW37" s="12"/>
      <c r="JNX37" s="12"/>
      <c r="JOO37" s="12"/>
      <c r="JOP37" s="12"/>
      <c r="JPG37" s="12"/>
      <c r="JPH37" s="12"/>
      <c r="JPY37" s="12"/>
      <c r="JPZ37" s="12"/>
      <c r="JQQ37" s="12"/>
      <c r="JQR37" s="12"/>
      <c r="JRI37" s="12"/>
      <c r="JRJ37" s="12"/>
      <c r="JSA37" s="12"/>
      <c r="JSB37" s="12"/>
      <c r="JSS37" s="12"/>
      <c r="JST37" s="12"/>
      <c r="JTK37" s="12"/>
      <c r="JTL37" s="12"/>
      <c r="JUC37" s="12"/>
      <c r="JUD37" s="12"/>
      <c r="JUU37" s="12"/>
      <c r="JUV37" s="12"/>
      <c r="JVM37" s="12"/>
      <c r="JVN37" s="12"/>
      <c r="JWE37" s="12"/>
      <c r="JWF37" s="12"/>
      <c r="JWW37" s="12"/>
      <c r="JWX37" s="12"/>
      <c r="JXO37" s="12"/>
      <c r="JXP37" s="12"/>
      <c r="JYG37" s="12"/>
      <c r="JYH37" s="12"/>
      <c r="JYY37" s="12"/>
      <c r="JYZ37" s="12"/>
      <c r="JZQ37" s="12"/>
      <c r="JZR37" s="12"/>
      <c r="KAI37" s="12"/>
      <c r="KAJ37" s="12"/>
      <c r="KBA37" s="12"/>
      <c r="KBB37" s="12"/>
      <c r="KBS37" s="12"/>
      <c r="KBT37" s="12"/>
      <c r="KCK37" s="12"/>
      <c r="KCL37" s="12"/>
      <c r="KDC37" s="12"/>
      <c r="KDD37" s="12"/>
      <c r="KDU37" s="12"/>
      <c r="KDV37" s="12"/>
      <c r="KEM37" s="12"/>
      <c r="KEN37" s="12"/>
      <c r="KFE37" s="12"/>
      <c r="KFF37" s="12"/>
      <c r="KFW37" s="12"/>
      <c r="KFX37" s="12"/>
      <c r="KGO37" s="12"/>
      <c r="KGP37" s="12"/>
      <c r="KHG37" s="12"/>
      <c r="KHH37" s="12"/>
      <c r="KHY37" s="12"/>
      <c r="KHZ37" s="12"/>
      <c r="KIQ37" s="12"/>
      <c r="KIR37" s="12"/>
      <c r="KJI37" s="12"/>
      <c r="KJJ37" s="12"/>
      <c r="KKA37" s="12"/>
      <c r="KKB37" s="12"/>
      <c r="KKS37" s="12"/>
      <c r="KKT37" s="12"/>
      <c r="KLK37" s="12"/>
      <c r="KLL37" s="12"/>
      <c r="KMC37" s="12"/>
      <c r="KMD37" s="12"/>
      <c r="KMU37" s="12"/>
      <c r="KMV37" s="12"/>
      <c r="KNM37" s="12"/>
      <c r="KNN37" s="12"/>
      <c r="KOE37" s="12"/>
      <c r="KOF37" s="12"/>
      <c r="KOW37" s="12"/>
      <c r="KOX37" s="12"/>
      <c r="KPO37" s="12"/>
      <c r="KPP37" s="12"/>
      <c r="KQG37" s="12"/>
      <c r="KQH37" s="12"/>
      <c r="KQY37" s="12"/>
      <c r="KQZ37" s="12"/>
      <c r="KRQ37" s="12"/>
      <c r="KRR37" s="12"/>
      <c r="KSI37" s="12"/>
      <c r="KSJ37" s="12"/>
      <c r="KTA37" s="12"/>
      <c r="KTB37" s="12"/>
      <c r="KTS37" s="12"/>
      <c r="KTT37" s="12"/>
      <c r="KUK37" s="12"/>
      <c r="KUL37" s="12"/>
      <c r="KVC37" s="12"/>
      <c r="KVD37" s="12"/>
      <c r="KVU37" s="12"/>
      <c r="KVV37" s="12"/>
      <c r="KWM37" s="12"/>
      <c r="KWN37" s="12"/>
      <c r="KXE37" s="12"/>
      <c r="KXF37" s="12"/>
      <c r="KXW37" s="12"/>
      <c r="KXX37" s="12"/>
      <c r="KYO37" s="12"/>
      <c r="KYP37" s="12"/>
      <c r="KZG37" s="12"/>
      <c r="KZH37" s="12"/>
      <c r="KZY37" s="12"/>
      <c r="KZZ37" s="12"/>
      <c r="LAQ37" s="12"/>
      <c r="LAR37" s="12"/>
      <c r="LBI37" s="12"/>
      <c r="LBJ37" s="12"/>
      <c r="LCA37" s="12"/>
      <c r="LCB37" s="12"/>
      <c r="LCS37" s="12"/>
      <c r="LCT37" s="12"/>
      <c r="LDK37" s="12"/>
      <c r="LDL37" s="12"/>
      <c r="LEC37" s="12"/>
      <c r="LED37" s="12"/>
      <c r="LEU37" s="12"/>
      <c r="LEV37" s="12"/>
      <c r="LFM37" s="12"/>
      <c r="LFN37" s="12"/>
      <c r="LGE37" s="12"/>
      <c r="LGF37" s="12"/>
      <c r="LGW37" s="12"/>
      <c r="LGX37" s="12"/>
      <c r="LHO37" s="12"/>
      <c r="LHP37" s="12"/>
      <c r="LIG37" s="12"/>
      <c r="LIH37" s="12"/>
      <c r="LIY37" s="12"/>
      <c r="LIZ37" s="12"/>
      <c r="LJQ37" s="12"/>
      <c r="LJR37" s="12"/>
      <c r="LKI37" s="12"/>
      <c r="LKJ37" s="12"/>
      <c r="LLA37" s="12"/>
      <c r="LLB37" s="12"/>
      <c r="LLS37" s="12"/>
      <c r="LLT37" s="12"/>
      <c r="LMK37" s="12"/>
      <c r="LML37" s="12"/>
      <c r="LNC37" s="12"/>
      <c r="LND37" s="12"/>
      <c r="LNU37" s="12"/>
      <c r="LNV37" s="12"/>
      <c r="LOM37" s="12"/>
      <c r="LON37" s="12"/>
      <c r="LPE37" s="12"/>
      <c r="LPF37" s="12"/>
      <c r="LPW37" s="12"/>
      <c r="LPX37" s="12"/>
      <c r="LQO37" s="12"/>
      <c r="LQP37" s="12"/>
      <c r="LRG37" s="12"/>
      <c r="LRH37" s="12"/>
      <c r="LRY37" s="12"/>
      <c r="LRZ37" s="12"/>
      <c r="LSQ37" s="12"/>
      <c r="LSR37" s="12"/>
      <c r="LTI37" s="12"/>
      <c r="LTJ37" s="12"/>
      <c r="LUA37" s="12"/>
      <c r="LUB37" s="12"/>
      <c r="LUS37" s="12"/>
      <c r="LUT37" s="12"/>
      <c r="LVK37" s="12"/>
      <c r="LVL37" s="12"/>
      <c r="LWC37" s="12"/>
      <c r="LWD37" s="12"/>
      <c r="LWU37" s="12"/>
      <c r="LWV37" s="12"/>
      <c r="LXM37" s="12"/>
      <c r="LXN37" s="12"/>
      <c r="LYE37" s="12"/>
      <c r="LYF37" s="12"/>
      <c r="LYW37" s="12"/>
      <c r="LYX37" s="12"/>
      <c r="LZO37" s="12"/>
      <c r="LZP37" s="12"/>
      <c r="MAG37" s="12"/>
      <c r="MAH37" s="12"/>
      <c r="MAY37" s="12"/>
      <c r="MAZ37" s="12"/>
      <c r="MBQ37" s="12"/>
      <c r="MBR37" s="12"/>
      <c r="MCI37" s="12"/>
      <c r="MCJ37" s="12"/>
      <c r="MDA37" s="12"/>
      <c r="MDB37" s="12"/>
      <c r="MDS37" s="12"/>
      <c r="MDT37" s="12"/>
      <c r="MEK37" s="12"/>
      <c r="MEL37" s="12"/>
      <c r="MFC37" s="12"/>
      <c r="MFD37" s="12"/>
      <c r="MFU37" s="12"/>
      <c r="MFV37" s="12"/>
      <c r="MGM37" s="12"/>
      <c r="MGN37" s="12"/>
      <c r="MHE37" s="12"/>
      <c r="MHF37" s="12"/>
      <c r="MHW37" s="12"/>
      <c r="MHX37" s="12"/>
      <c r="MIO37" s="12"/>
      <c r="MIP37" s="12"/>
      <c r="MJG37" s="12"/>
      <c r="MJH37" s="12"/>
      <c r="MJY37" s="12"/>
      <c r="MJZ37" s="12"/>
      <c r="MKQ37" s="12"/>
      <c r="MKR37" s="12"/>
      <c r="MLI37" s="12"/>
      <c r="MLJ37" s="12"/>
      <c r="MMA37" s="12"/>
      <c r="MMB37" s="12"/>
      <c r="MMS37" s="12"/>
      <c r="MMT37" s="12"/>
      <c r="MNK37" s="12"/>
      <c r="MNL37" s="12"/>
      <c r="MOC37" s="12"/>
      <c r="MOD37" s="12"/>
      <c r="MOU37" s="12"/>
      <c r="MOV37" s="12"/>
      <c r="MPM37" s="12"/>
      <c r="MPN37" s="12"/>
      <c r="MQE37" s="12"/>
      <c r="MQF37" s="12"/>
      <c r="MQW37" s="12"/>
      <c r="MQX37" s="12"/>
      <c r="MRO37" s="12"/>
      <c r="MRP37" s="12"/>
      <c r="MSG37" s="12"/>
      <c r="MSH37" s="12"/>
      <c r="MSY37" s="12"/>
      <c r="MSZ37" s="12"/>
      <c r="MTQ37" s="12"/>
      <c r="MTR37" s="12"/>
      <c r="MUI37" s="12"/>
      <c r="MUJ37" s="12"/>
      <c r="MVA37" s="12"/>
      <c r="MVB37" s="12"/>
      <c r="MVS37" s="12"/>
      <c r="MVT37" s="12"/>
      <c r="MWK37" s="12"/>
      <c r="MWL37" s="12"/>
      <c r="MXC37" s="12"/>
      <c r="MXD37" s="12"/>
      <c r="MXU37" s="12"/>
      <c r="MXV37" s="12"/>
      <c r="MYM37" s="12"/>
      <c r="MYN37" s="12"/>
      <c r="MZE37" s="12"/>
      <c r="MZF37" s="12"/>
      <c r="MZW37" s="12"/>
      <c r="MZX37" s="12"/>
      <c r="NAO37" s="12"/>
      <c r="NAP37" s="12"/>
      <c r="NBG37" s="12"/>
      <c r="NBH37" s="12"/>
      <c r="NBY37" s="12"/>
      <c r="NBZ37" s="12"/>
      <c r="NCQ37" s="12"/>
      <c r="NCR37" s="12"/>
      <c r="NDI37" s="12"/>
      <c r="NDJ37" s="12"/>
      <c r="NEA37" s="12"/>
      <c r="NEB37" s="12"/>
      <c r="NES37" s="12"/>
      <c r="NET37" s="12"/>
      <c r="NFK37" s="12"/>
      <c r="NFL37" s="12"/>
      <c r="NGC37" s="12"/>
      <c r="NGD37" s="12"/>
      <c r="NGU37" s="12"/>
      <c r="NGV37" s="12"/>
      <c r="NHM37" s="12"/>
      <c r="NHN37" s="12"/>
      <c r="NIE37" s="12"/>
      <c r="NIF37" s="12"/>
      <c r="NIW37" s="12"/>
      <c r="NIX37" s="12"/>
      <c r="NJO37" s="12"/>
      <c r="NJP37" s="12"/>
      <c r="NKG37" s="12"/>
      <c r="NKH37" s="12"/>
      <c r="NKY37" s="12"/>
      <c r="NKZ37" s="12"/>
      <c r="NLQ37" s="12"/>
      <c r="NLR37" s="12"/>
      <c r="NMI37" s="12"/>
      <c r="NMJ37" s="12"/>
      <c r="NNA37" s="12"/>
      <c r="NNB37" s="12"/>
      <c r="NNS37" s="12"/>
      <c r="NNT37" s="12"/>
      <c r="NOK37" s="12"/>
      <c r="NOL37" s="12"/>
      <c r="NPC37" s="12"/>
      <c r="NPD37" s="12"/>
      <c r="NPU37" s="12"/>
      <c r="NPV37" s="12"/>
      <c r="NQM37" s="12"/>
      <c r="NQN37" s="12"/>
      <c r="NRE37" s="12"/>
      <c r="NRF37" s="12"/>
      <c r="NRW37" s="12"/>
      <c r="NRX37" s="12"/>
      <c r="NSO37" s="12"/>
      <c r="NSP37" s="12"/>
      <c r="NTG37" s="12"/>
      <c r="NTH37" s="12"/>
      <c r="NTY37" s="12"/>
      <c r="NTZ37" s="12"/>
      <c r="NUQ37" s="12"/>
      <c r="NUR37" s="12"/>
      <c r="NVI37" s="12"/>
      <c r="NVJ37" s="12"/>
      <c r="NWA37" s="12"/>
      <c r="NWB37" s="12"/>
      <c r="NWS37" s="12"/>
      <c r="NWT37" s="12"/>
      <c r="NXK37" s="12"/>
      <c r="NXL37" s="12"/>
      <c r="NYC37" s="12"/>
      <c r="NYD37" s="12"/>
      <c r="NYU37" s="12"/>
      <c r="NYV37" s="12"/>
      <c r="NZM37" s="12"/>
      <c r="NZN37" s="12"/>
      <c r="OAE37" s="12"/>
      <c r="OAF37" s="12"/>
      <c r="OAW37" s="12"/>
      <c r="OAX37" s="12"/>
      <c r="OBO37" s="12"/>
      <c r="OBP37" s="12"/>
      <c r="OCG37" s="12"/>
      <c r="OCH37" s="12"/>
      <c r="OCY37" s="12"/>
      <c r="OCZ37" s="12"/>
      <c r="ODQ37" s="12"/>
      <c r="ODR37" s="12"/>
      <c r="OEI37" s="12"/>
      <c r="OEJ37" s="12"/>
      <c r="OFA37" s="12"/>
      <c r="OFB37" s="12"/>
      <c r="OFS37" s="12"/>
      <c r="OFT37" s="12"/>
      <c r="OGK37" s="12"/>
      <c r="OGL37" s="12"/>
      <c r="OHC37" s="12"/>
      <c r="OHD37" s="12"/>
      <c r="OHU37" s="12"/>
      <c r="OHV37" s="12"/>
      <c r="OIM37" s="12"/>
      <c r="OIN37" s="12"/>
      <c r="OJE37" s="12"/>
      <c r="OJF37" s="12"/>
      <c r="OJW37" s="12"/>
      <c r="OJX37" s="12"/>
      <c r="OKO37" s="12"/>
      <c r="OKP37" s="12"/>
      <c r="OLG37" s="12"/>
      <c r="OLH37" s="12"/>
      <c r="OLY37" s="12"/>
      <c r="OLZ37" s="12"/>
      <c r="OMQ37" s="12"/>
      <c r="OMR37" s="12"/>
      <c r="ONI37" s="12"/>
      <c r="ONJ37" s="12"/>
      <c r="OOA37" s="12"/>
      <c r="OOB37" s="12"/>
      <c r="OOS37" s="12"/>
      <c r="OOT37" s="12"/>
      <c r="OPK37" s="12"/>
      <c r="OPL37" s="12"/>
      <c r="OQC37" s="12"/>
      <c r="OQD37" s="12"/>
      <c r="OQU37" s="12"/>
      <c r="OQV37" s="12"/>
      <c r="ORM37" s="12"/>
      <c r="ORN37" s="12"/>
      <c r="OSE37" s="12"/>
      <c r="OSF37" s="12"/>
      <c r="OSW37" s="12"/>
      <c r="OSX37" s="12"/>
      <c r="OTO37" s="12"/>
      <c r="OTP37" s="12"/>
      <c r="OUG37" s="12"/>
      <c r="OUH37" s="12"/>
      <c r="OUY37" s="12"/>
      <c r="OUZ37" s="12"/>
      <c r="OVQ37" s="12"/>
      <c r="OVR37" s="12"/>
      <c r="OWI37" s="12"/>
      <c r="OWJ37" s="12"/>
      <c r="OXA37" s="12"/>
      <c r="OXB37" s="12"/>
      <c r="OXS37" s="12"/>
      <c r="OXT37" s="12"/>
      <c r="OYK37" s="12"/>
      <c r="OYL37" s="12"/>
      <c r="OZC37" s="12"/>
      <c r="OZD37" s="12"/>
      <c r="OZU37" s="12"/>
      <c r="OZV37" s="12"/>
      <c r="PAM37" s="12"/>
      <c r="PAN37" s="12"/>
      <c r="PBE37" s="12"/>
      <c r="PBF37" s="12"/>
      <c r="PBW37" s="12"/>
      <c r="PBX37" s="12"/>
      <c r="PCO37" s="12"/>
      <c r="PCP37" s="12"/>
      <c r="PDG37" s="12"/>
      <c r="PDH37" s="12"/>
      <c r="PDY37" s="12"/>
      <c r="PDZ37" s="12"/>
      <c r="PEQ37" s="12"/>
      <c r="PER37" s="12"/>
      <c r="PFI37" s="12"/>
      <c r="PFJ37" s="12"/>
      <c r="PGA37" s="12"/>
      <c r="PGB37" s="12"/>
      <c r="PGS37" s="12"/>
      <c r="PGT37" s="12"/>
      <c r="PHK37" s="12"/>
      <c r="PHL37" s="12"/>
      <c r="PIC37" s="12"/>
      <c r="PID37" s="12"/>
      <c r="PIU37" s="12"/>
      <c r="PIV37" s="12"/>
      <c r="PJM37" s="12"/>
      <c r="PJN37" s="12"/>
      <c r="PKE37" s="12"/>
      <c r="PKF37" s="12"/>
      <c r="PKW37" s="12"/>
      <c r="PKX37" s="12"/>
      <c r="PLO37" s="12"/>
      <c r="PLP37" s="12"/>
      <c r="PMG37" s="12"/>
      <c r="PMH37" s="12"/>
      <c r="PMY37" s="12"/>
      <c r="PMZ37" s="12"/>
      <c r="PNQ37" s="12"/>
      <c r="PNR37" s="12"/>
      <c r="POI37" s="12"/>
      <c r="POJ37" s="12"/>
      <c r="PPA37" s="12"/>
      <c r="PPB37" s="12"/>
      <c r="PPS37" s="12"/>
      <c r="PPT37" s="12"/>
      <c r="PQK37" s="12"/>
      <c r="PQL37" s="12"/>
      <c r="PRC37" s="12"/>
      <c r="PRD37" s="12"/>
      <c r="PRU37" s="12"/>
      <c r="PRV37" s="12"/>
      <c r="PSM37" s="12"/>
      <c r="PSN37" s="12"/>
      <c r="PTE37" s="12"/>
      <c r="PTF37" s="12"/>
      <c r="PTW37" s="12"/>
      <c r="PTX37" s="12"/>
      <c r="PUO37" s="12"/>
      <c r="PUP37" s="12"/>
      <c r="PVG37" s="12"/>
      <c r="PVH37" s="12"/>
      <c r="PVY37" s="12"/>
      <c r="PVZ37" s="12"/>
      <c r="PWQ37" s="12"/>
      <c r="PWR37" s="12"/>
      <c r="PXI37" s="12"/>
      <c r="PXJ37" s="12"/>
      <c r="PYA37" s="12"/>
      <c r="PYB37" s="12"/>
      <c r="PYS37" s="12"/>
      <c r="PYT37" s="12"/>
      <c r="PZK37" s="12"/>
      <c r="PZL37" s="12"/>
      <c r="QAC37" s="12"/>
      <c r="QAD37" s="12"/>
      <c r="QAU37" s="12"/>
      <c r="QAV37" s="12"/>
      <c r="QBM37" s="12"/>
      <c r="QBN37" s="12"/>
      <c r="QCE37" s="12"/>
      <c r="QCF37" s="12"/>
      <c r="QCW37" s="12"/>
      <c r="QCX37" s="12"/>
      <c r="QDO37" s="12"/>
      <c r="QDP37" s="12"/>
      <c r="QEG37" s="12"/>
      <c r="QEH37" s="12"/>
      <c r="QEY37" s="12"/>
      <c r="QEZ37" s="12"/>
      <c r="QFQ37" s="12"/>
      <c r="QFR37" s="12"/>
      <c r="QGI37" s="12"/>
      <c r="QGJ37" s="12"/>
      <c r="QHA37" s="12"/>
      <c r="QHB37" s="12"/>
      <c r="QHS37" s="12"/>
      <c r="QHT37" s="12"/>
      <c r="QIK37" s="12"/>
      <c r="QIL37" s="12"/>
      <c r="QJC37" s="12"/>
      <c r="QJD37" s="12"/>
      <c r="QJU37" s="12"/>
      <c r="QJV37" s="12"/>
      <c r="QKM37" s="12"/>
      <c r="QKN37" s="12"/>
      <c r="QLE37" s="12"/>
      <c r="QLF37" s="12"/>
      <c r="QLW37" s="12"/>
      <c r="QLX37" s="12"/>
      <c r="QMO37" s="12"/>
      <c r="QMP37" s="12"/>
      <c r="QNG37" s="12"/>
      <c r="QNH37" s="12"/>
      <c r="QNY37" s="12"/>
      <c r="QNZ37" s="12"/>
      <c r="QOQ37" s="12"/>
      <c r="QOR37" s="12"/>
      <c r="QPI37" s="12"/>
      <c r="QPJ37" s="12"/>
      <c r="QQA37" s="12"/>
      <c r="QQB37" s="12"/>
      <c r="QQS37" s="12"/>
      <c r="QQT37" s="12"/>
      <c r="QRK37" s="12"/>
      <c r="QRL37" s="12"/>
      <c r="QSC37" s="12"/>
      <c r="QSD37" s="12"/>
      <c r="QSU37" s="12"/>
      <c r="QSV37" s="12"/>
      <c r="QTM37" s="12"/>
      <c r="QTN37" s="12"/>
      <c r="QUE37" s="12"/>
      <c r="QUF37" s="12"/>
      <c r="QUW37" s="12"/>
      <c r="QUX37" s="12"/>
      <c r="QVO37" s="12"/>
      <c r="QVP37" s="12"/>
      <c r="QWG37" s="12"/>
      <c r="QWH37" s="12"/>
      <c r="QWY37" s="12"/>
      <c r="QWZ37" s="12"/>
      <c r="QXQ37" s="12"/>
      <c r="QXR37" s="12"/>
      <c r="QYI37" s="12"/>
      <c r="QYJ37" s="12"/>
      <c r="QZA37" s="12"/>
      <c r="QZB37" s="12"/>
      <c r="QZS37" s="12"/>
      <c r="QZT37" s="12"/>
      <c r="RAK37" s="12"/>
      <c r="RAL37" s="12"/>
      <c r="RBC37" s="12"/>
      <c r="RBD37" s="12"/>
      <c r="RBU37" s="12"/>
      <c r="RBV37" s="12"/>
      <c r="RCM37" s="12"/>
      <c r="RCN37" s="12"/>
      <c r="RDE37" s="12"/>
      <c r="RDF37" s="12"/>
      <c r="RDW37" s="12"/>
      <c r="RDX37" s="12"/>
      <c r="REO37" s="12"/>
      <c r="REP37" s="12"/>
      <c r="RFG37" s="12"/>
      <c r="RFH37" s="12"/>
      <c r="RFY37" s="12"/>
      <c r="RFZ37" s="12"/>
      <c r="RGQ37" s="12"/>
      <c r="RGR37" s="12"/>
      <c r="RHI37" s="12"/>
      <c r="RHJ37" s="12"/>
      <c r="RIA37" s="12"/>
      <c r="RIB37" s="12"/>
      <c r="RIS37" s="12"/>
      <c r="RIT37" s="12"/>
      <c r="RJK37" s="12"/>
      <c r="RJL37" s="12"/>
      <c r="RKC37" s="12"/>
      <c r="RKD37" s="12"/>
      <c r="RKU37" s="12"/>
      <c r="RKV37" s="12"/>
      <c r="RLM37" s="12"/>
      <c r="RLN37" s="12"/>
      <c r="RME37" s="12"/>
      <c r="RMF37" s="12"/>
      <c r="RMW37" s="12"/>
      <c r="RMX37" s="12"/>
      <c r="RNO37" s="12"/>
      <c r="RNP37" s="12"/>
      <c r="ROG37" s="12"/>
      <c r="ROH37" s="12"/>
      <c r="ROY37" s="12"/>
      <c r="ROZ37" s="12"/>
      <c r="RPQ37" s="12"/>
      <c r="RPR37" s="12"/>
      <c r="RQI37" s="12"/>
      <c r="RQJ37" s="12"/>
      <c r="RRA37" s="12"/>
      <c r="RRB37" s="12"/>
      <c r="RRS37" s="12"/>
      <c r="RRT37" s="12"/>
      <c r="RSK37" s="12"/>
      <c r="RSL37" s="12"/>
      <c r="RTC37" s="12"/>
      <c r="RTD37" s="12"/>
      <c r="RTU37" s="12"/>
      <c r="RTV37" s="12"/>
      <c r="RUM37" s="12"/>
      <c r="RUN37" s="12"/>
      <c r="RVE37" s="12"/>
      <c r="RVF37" s="12"/>
      <c r="RVW37" s="12"/>
      <c r="RVX37" s="12"/>
      <c r="RWO37" s="12"/>
      <c r="RWP37" s="12"/>
      <c r="RXG37" s="12"/>
      <c r="RXH37" s="12"/>
      <c r="RXY37" s="12"/>
      <c r="RXZ37" s="12"/>
      <c r="RYQ37" s="12"/>
      <c r="RYR37" s="12"/>
      <c r="RZI37" s="12"/>
      <c r="RZJ37" s="12"/>
      <c r="SAA37" s="12"/>
      <c r="SAB37" s="12"/>
      <c r="SAS37" s="12"/>
      <c r="SAT37" s="12"/>
      <c r="SBK37" s="12"/>
      <c r="SBL37" s="12"/>
      <c r="SCC37" s="12"/>
      <c r="SCD37" s="12"/>
      <c r="SCU37" s="12"/>
      <c r="SCV37" s="12"/>
      <c r="SDM37" s="12"/>
      <c r="SDN37" s="12"/>
      <c r="SEE37" s="12"/>
      <c r="SEF37" s="12"/>
      <c r="SEW37" s="12"/>
      <c r="SEX37" s="12"/>
      <c r="SFO37" s="12"/>
      <c r="SFP37" s="12"/>
      <c r="SGG37" s="12"/>
      <c r="SGH37" s="12"/>
      <c r="SGY37" s="12"/>
      <c r="SGZ37" s="12"/>
      <c r="SHQ37" s="12"/>
      <c r="SHR37" s="12"/>
      <c r="SII37" s="12"/>
      <c r="SIJ37" s="12"/>
      <c r="SJA37" s="12"/>
      <c r="SJB37" s="12"/>
      <c r="SJS37" s="12"/>
      <c r="SJT37" s="12"/>
      <c r="SKK37" s="12"/>
      <c r="SKL37" s="12"/>
      <c r="SLC37" s="12"/>
      <c r="SLD37" s="12"/>
      <c r="SLU37" s="12"/>
      <c r="SLV37" s="12"/>
      <c r="SMM37" s="12"/>
      <c r="SMN37" s="12"/>
      <c r="SNE37" s="12"/>
      <c r="SNF37" s="12"/>
      <c r="SNW37" s="12"/>
      <c r="SNX37" s="12"/>
      <c r="SOO37" s="12"/>
      <c r="SOP37" s="12"/>
      <c r="SPG37" s="12"/>
      <c r="SPH37" s="12"/>
      <c r="SPY37" s="12"/>
      <c r="SPZ37" s="12"/>
      <c r="SQQ37" s="12"/>
      <c r="SQR37" s="12"/>
      <c r="SRI37" s="12"/>
      <c r="SRJ37" s="12"/>
      <c r="SSA37" s="12"/>
      <c r="SSB37" s="12"/>
      <c r="SSS37" s="12"/>
      <c r="SST37" s="12"/>
      <c r="STK37" s="12"/>
      <c r="STL37" s="12"/>
      <c r="SUC37" s="12"/>
      <c r="SUD37" s="12"/>
      <c r="SUU37" s="12"/>
      <c r="SUV37" s="12"/>
      <c r="SVM37" s="12"/>
      <c r="SVN37" s="12"/>
      <c r="SWE37" s="12"/>
      <c r="SWF37" s="12"/>
      <c r="SWW37" s="12"/>
      <c r="SWX37" s="12"/>
      <c r="SXO37" s="12"/>
      <c r="SXP37" s="12"/>
      <c r="SYG37" s="12"/>
      <c r="SYH37" s="12"/>
      <c r="SYY37" s="12"/>
      <c r="SYZ37" s="12"/>
      <c r="SZQ37" s="12"/>
      <c r="SZR37" s="12"/>
      <c r="TAI37" s="12"/>
      <c r="TAJ37" s="12"/>
      <c r="TBA37" s="12"/>
      <c r="TBB37" s="12"/>
      <c r="TBS37" s="12"/>
      <c r="TBT37" s="12"/>
      <c r="TCK37" s="12"/>
      <c r="TCL37" s="12"/>
      <c r="TDC37" s="12"/>
      <c r="TDD37" s="12"/>
      <c r="TDU37" s="12"/>
      <c r="TDV37" s="12"/>
      <c r="TEM37" s="12"/>
      <c r="TEN37" s="12"/>
      <c r="TFE37" s="12"/>
      <c r="TFF37" s="12"/>
      <c r="TFW37" s="12"/>
      <c r="TFX37" s="12"/>
      <c r="TGO37" s="12"/>
      <c r="TGP37" s="12"/>
      <c r="THG37" s="12"/>
      <c r="THH37" s="12"/>
      <c r="THY37" s="12"/>
      <c r="THZ37" s="12"/>
      <c r="TIQ37" s="12"/>
      <c r="TIR37" s="12"/>
      <c r="TJI37" s="12"/>
      <c r="TJJ37" s="12"/>
      <c r="TKA37" s="12"/>
      <c r="TKB37" s="12"/>
      <c r="TKS37" s="12"/>
      <c r="TKT37" s="12"/>
      <c r="TLK37" s="12"/>
      <c r="TLL37" s="12"/>
      <c r="TMC37" s="12"/>
      <c r="TMD37" s="12"/>
      <c r="TMU37" s="12"/>
      <c r="TMV37" s="12"/>
      <c r="TNM37" s="12"/>
      <c r="TNN37" s="12"/>
      <c r="TOE37" s="12"/>
      <c r="TOF37" s="12"/>
      <c r="TOW37" s="12"/>
      <c r="TOX37" s="12"/>
      <c r="TPO37" s="12"/>
      <c r="TPP37" s="12"/>
      <c r="TQG37" s="12"/>
      <c r="TQH37" s="12"/>
      <c r="TQY37" s="12"/>
      <c r="TQZ37" s="12"/>
      <c r="TRQ37" s="12"/>
      <c r="TRR37" s="12"/>
      <c r="TSI37" s="12"/>
      <c r="TSJ37" s="12"/>
      <c r="TTA37" s="12"/>
      <c r="TTB37" s="12"/>
      <c r="TTS37" s="12"/>
      <c r="TTT37" s="12"/>
      <c r="TUK37" s="12"/>
      <c r="TUL37" s="12"/>
      <c r="TVC37" s="12"/>
      <c r="TVD37" s="12"/>
      <c r="TVU37" s="12"/>
      <c r="TVV37" s="12"/>
      <c r="TWM37" s="12"/>
      <c r="TWN37" s="12"/>
      <c r="TXE37" s="12"/>
      <c r="TXF37" s="12"/>
      <c r="TXW37" s="12"/>
      <c r="TXX37" s="12"/>
      <c r="TYO37" s="12"/>
      <c r="TYP37" s="12"/>
      <c r="TZG37" s="12"/>
      <c r="TZH37" s="12"/>
      <c r="TZY37" s="12"/>
      <c r="TZZ37" s="12"/>
      <c r="UAQ37" s="12"/>
      <c r="UAR37" s="12"/>
      <c r="UBI37" s="12"/>
      <c r="UBJ37" s="12"/>
      <c r="UCA37" s="12"/>
      <c r="UCB37" s="12"/>
      <c r="UCS37" s="12"/>
      <c r="UCT37" s="12"/>
      <c r="UDK37" s="12"/>
      <c r="UDL37" s="12"/>
      <c r="UEC37" s="12"/>
      <c r="UED37" s="12"/>
      <c r="UEU37" s="12"/>
      <c r="UEV37" s="12"/>
      <c r="UFM37" s="12"/>
      <c r="UFN37" s="12"/>
      <c r="UGE37" s="12"/>
      <c r="UGF37" s="12"/>
      <c r="UGW37" s="12"/>
      <c r="UGX37" s="12"/>
      <c r="UHO37" s="12"/>
      <c r="UHP37" s="12"/>
      <c r="UIG37" s="12"/>
      <c r="UIH37" s="12"/>
      <c r="UIY37" s="12"/>
      <c r="UIZ37" s="12"/>
      <c r="UJQ37" s="12"/>
      <c r="UJR37" s="12"/>
      <c r="UKI37" s="12"/>
      <c r="UKJ37" s="12"/>
      <c r="ULA37" s="12"/>
      <c r="ULB37" s="12"/>
      <c r="ULS37" s="12"/>
      <c r="ULT37" s="12"/>
      <c r="UMK37" s="12"/>
      <c r="UML37" s="12"/>
      <c r="UNC37" s="12"/>
      <c r="UND37" s="12"/>
      <c r="UNU37" s="12"/>
      <c r="UNV37" s="12"/>
      <c r="UOM37" s="12"/>
      <c r="UON37" s="12"/>
      <c r="UPE37" s="12"/>
      <c r="UPF37" s="12"/>
      <c r="UPW37" s="12"/>
      <c r="UPX37" s="12"/>
      <c r="UQO37" s="12"/>
      <c r="UQP37" s="12"/>
      <c r="URG37" s="12"/>
      <c r="URH37" s="12"/>
      <c r="URY37" s="12"/>
      <c r="URZ37" s="12"/>
      <c r="USQ37" s="12"/>
      <c r="USR37" s="12"/>
      <c r="UTI37" s="12"/>
      <c r="UTJ37" s="12"/>
      <c r="UUA37" s="12"/>
      <c r="UUB37" s="12"/>
      <c r="UUS37" s="12"/>
      <c r="UUT37" s="12"/>
      <c r="UVK37" s="12"/>
      <c r="UVL37" s="12"/>
      <c r="UWC37" s="12"/>
      <c r="UWD37" s="12"/>
      <c r="UWU37" s="12"/>
      <c r="UWV37" s="12"/>
      <c r="UXM37" s="12"/>
      <c r="UXN37" s="12"/>
      <c r="UYE37" s="12"/>
      <c r="UYF37" s="12"/>
      <c r="UYW37" s="12"/>
      <c r="UYX37" s="12"/>
      <c r="UZO37" s="12"/>
      <c r="UZP37" s="12"/>
      <c r="VAG37" s="12"/>
      <c r="VAH37" s="12"/>
      <c r="VAY37" s="12"/>
      <c r="VAZ37" s="12"/>
      <c r="VBQ37" s="12"/>
      <c r="VBR37" s="12"/>
      <c r="VCI37" s="12"/>
      <c r="VCJ37" s="12"/>
      <c r="VDA37" s="12"/>
      <c r="VDB37" s="12"/>
      <c r="VDS37" s="12"/>
      <c r="VDT37" s="12"/>
      <c r="VEK37" s="12"/>
      <c r="VEL37" s="12"/>
      <c r="VFC37" s="12"/>
      <c r="VFD37" s="12"/>
      <c r="VFU37" s="12"/>
      <c r="VFV37" s="12"/>
      <c r="VGM37" s="12"/>
      <c r="VGN37" s="12"/>
      <c r="VHE37" s="12"/>
      <c r="VHF37" s="12"/>
      <c r="VHW37" s="12"/>
      <c r="VHX37" s="12"/>
      <c r="VIO37" s="12"/>
      <c r="VIP37" s="12"/>
      <c r="VJG37" s="12"/>
      <c r="VJH37" s="12"/>
      <c r="VJY37" s="12"/>
      <c r="VJZ37" s="12"/>
      <c r="VKQ37" s="12"/>
      <c r="VKR37" s="12"/>
      <c r="VLI37" s="12"/>
      <c r="VLJ37" s="12"/>
      <c r="VMA37" s="12"/>
      <c r="VMB37" s="12"/>
      <c r="VMS37" s="12"/>
      <c r="VMT37" s="12"/>
      <c r="VNK37" s="12"/>
      <c r="VNL37" s="12"/>
      <c r="VOC37" s="12"/>
      <c r="VOD37" s="12"/>
      <c r="VOU37" s="12"/>
      <c r="VOV37" s="12"/>
      <c r="VPM37" s="12"/>
      <c r="VPN37" s="12"/>
      <c r="VQE37" s="12"/>
      <c r="VQF37" s="12"/>
      <c r="VQW37" s="12"/>
      <c r="VQX37" s="12"/>
      <c r="VRO37" s="12"/>
      <c r="VRP37" s="12"/>
      <c r="VSG37" s="12"/>
      <c r="VSH37" s="12"/>
      <c r="VSY37" s="12"/>
      <c r="VSZ37" s="12"/>
      <c r="VTQ37" s="12"/>
      <c r="VTR37" s="12"/>
      <c r="VUI37" s="12"/>
      <c r="VUJ37" s="12"/>
      <c r="VVA37" s="12"/>
      <c r="VVB37" s="12"/>
      <c r="VVS37" s="12"/>
      <c r="VVT37" s="12"/>
      <c r="VWK37" s="12"/>
      <c r="VWL37" s="12"/>
      <c r="VXC37" s="12"/>
      <c r="VXD37" s="12"/>
      <c r="VXU37" s="12"/>
      <c r="VXV37" s="12"/>
      <c r="VYM37" s="12"/>
      <c r="VYN37" s="12"/>
      <c r="VZE37" s="12"/>
      <c r="VZF37" s="12"/>
      <c r="VZW37" s="12"/>
      <c r="VZX37" s="12"/>
      <c r="WAO37" s="12"/>
      <c r="WAP37" s="12"/>
      <c r="WBG37" s="12"/>
      <c r="WBH37" s="12"/>
      <c r="WBY37" s="12"/>
      <c r="WBZ37" s="12"/>
      <c r="WCQ37" s="12"/>
      <c r="WCR37" s="12"/>
      <c r="WDI37" s="12"/>
      <c r="WDJ37" s="12"/>
      <c r="WEA37" s="12"/>
      <c r="WEB37" s="12"/>
      <c r="WES37" s="12"/>
      <c r="WET37" s="12"/>
      <c r="WFK37" s="12"/>
      <c r="WFL37" s="12"/>
      <c r="WGC37" s="12"/>
      <c r="WGD37" s="12"/>
      <c r="WGU37" s="12"/>
      <c r="WGV37" s="12"/>
      <c r="WHM37" s="12"/>
      <c r="WHN37" s="12"/>
      <c r="WIE37" s="12"/>
      <c r="WIF37" s="12"/>
      <c r="WIW37" s="12"/>
      <c r="WIX37" s="12"/>
      <c r="WJO37" s="12"/>
      <c r="WJP37" s="12"/>
      <c r="WKG37" s="12"/>
      <c r="WKH37" s="12"/>
      <c r="WKY37" s="12"/>
      <c r="WKZ37" s="12"/>
      <c r="WLQ37" s="12"/>
      <c r="WLR37" s="12"/>
      <c r="WMI37" s="12"/>
      <c r="WMJ37" s="12"/>
      <c r="WNA37" s="12"/>
      <c r="WNB37" s="12"/>
      <c r="WNS37" s="12"/>
      <c r="WNT37" s="12"/>
      <c r="WOK37" s="12"/>
      <c r="WOL37" s="12"/>
      <c r="WPC37" s="12"/>
      <c r="WPD37" s="12"/>
      <c r="WPU37" s="12"/>
      <c r="WPV37" s="12"/>
      <c r="WQM37" s="12"/>
      <c r="WQN37" s="12"/>
      <c r="WRE37" s="12"/>
      <c r="WRF37" s="12"/>
      <c r="WRW37" s="12"/>
      <c r="WRX37" s="12"/>
      <c r="WSO37" s="12"/>
      <c r="WSP37" s="12"/>
      <c r="WTG37" s="12"/>
      <c r="WTH37" s="12"/>
      <c r="WTY37" s="12"/>
      <c r="WTZ37" s="12"/>
      <c r="WUQ37" s="12"/>
      <c r="WUR37" s="12"/>
      <c r="WVI37" s="12"/>
      <c r="WVJ37" s="12"/>
      <c r="WWA37" s="12"/>
      <c r="WWB37" s="12"/>
      <c r="WWS37" s="12"/>
      <c r="WWT37" s="12"/>
      <c r="WXK37" s="12"/>
      <c r="WXL37" s="12"/>
      <c r="WYC37" s="12"/>
      <c r="WYD37" s="12"/>
      <c r="WYU37" s="12"/>
      <c r="WYV37" s="12"/>
      <c r="WZM37" s="12"/>
      <c r="WZN37" s="12"/>
      <c r="XAE37" s="12"/>
      <c r="XAF37" s="12"/>
      <c r="XAW37" s="12"/>
      <c r="XAX37" s="12"/>
      <c r="XBO37" s="12"/>
      <c r="XBP37" s="12"/>
      <c r="XCG37" s="12"/>
      <c r="XCH37" s="12"/>
      <c r="XCY37" s="12"/>
      <c r="XCZ37" s="12"/>
      <c r="XDQ37" s="12"/>
      <c r="XDR37" s="12"/>
      <c r="XEI37" s="12"/>
      <c r="XEJ37" s="12"/>
      <c r="XFA37" s="12"/>
      <c r="XFB37" s="12"/>
    </row>
    <row r="38" spans="1:1010 1027:2036 2053:3062 3079:4088 4105:5114 5131:6140 6157:7166 7183:8192 8209:9200 9217:10226 10243:11252 11269:12278 12295:13304 13321:14330 14347:15356 15373:16382" s="11" customFormat="1" x14ac:dyDescent="0.35">
      <c r="A38" s="183" t="str">
        <f>'Income - GAAP'!A38</f>
        <v xml:space="preserve">    + Foreign Exch (Gain) Loss</v>
      </c>
      <c r="B38" s="75" t="str">
        <f>'Income - GAAP'!B38</f>
        <v>IS_FOREIGN_EXCH_LOSS</v>
      </c>
      <c r="C38" s="76">
        <f>IF('Income - GAAP'!C38="",0,'Income - GAAP'!C38)/'Income - GAAP'!C$9</f>
        <v>0</v>
      </c>
      <c r="D38" s="76">
        <f>IF('Income - GAAP'!D38="",0,'Income - GAAP'!D38)/'Income - GAAP'!D$9</f>
        <v>0</v>
      </c>
      <c r="E38" s="76">
        <f>IF('Income - GAAP'!E38="",0,'Income - GAAP'!E38)/'Income - GAAP'!E$9</f>
        <v>0</v>
      </c>
      <c r="F38" s="76">
        <f>IF('Income - GAAP'!F38="",0,'Income - GAAP'!F38)/'Income - GAAP'!F$9</f>
        <v>0</v>
      </c>
      <c r="G38" s="76">
        <f>IF('Income - GAAP'!G38="",0,'Income - GAAP'!G38)/'Income - GAAP'!G$9</f>
        <v>0</v>
      </c>
      <c r="H38" s="76">
        <f>IF('Income - GAAP'!H38="",0,'Income - GAAP'!H38)/'Income - GAAP'!H$9</f>
        <v>0</v>
      </c>
      <c r="I38" s="76">
        <f>IF('Income - GAAP'!I38="",0,'Income - GAAP'!I38)/'Income - GAAP'!I$9</f>
        <v>0</v>
      </c>
      <c r="J38" s="76">
        <f>IF('Income - GAAP'!J38="",0,'Income - GAAP'!J38)/'Income - GAAP'!J$9</f>
        <v>0</v>
      </c>
      <c r="K38" s="76">
        <f>IF('Income - GAAP'!K38="",0,'Income - GAAP'!K38)/'Income - GAAP'!K$9</f>
        <v>0</v>
      </c>
      <c r="L38" s="76">
        <f>IF('Income - GAAP'!L38="",0,'Income - GAAP'!L38)/'Income - GAAP'!L$9</f>
        <v>0</v>
      </c>
      <c r="M38" s="108"/>
      <c r="N38" s="108"/>
      <c r="O38" s="108"/>
      <c r="P38" s="108"/>
      <c r="Q38" s="108"/>
      <c r="R38" s="108"/>
      <c r="S38" s="109"/>
      <c r="T38" s="109"/>
      <c r="U38" s="108"/>
      <c r="V38" s="108"/>
      <c r="W38" s="108"/>
      <c r="X38" s="108"/>
      <c r="Y38" s="108"/>
      <c r="Z38" s="108"/>
      <c r="AA38" s="108"/>
      <c r="AB38" s="108"/>
      <c r="AC38" s="108"/>
      <c r="AD38" s="108"/>
      <c r="AE38" s="108"/>
      <c r="AF38" s="108"/>
      <c r="AG38" s="108"/>
      <c r="AH38" s="108"/>
      <c r="AI38" s="108"/>
      <c r="AJ38" s="108"/>
      <c r="AK38" s="109"/>
      <c r="AL38" s="12"/>
      <c r="BC38" s="12"/>
      <c r="BD38" s="12"/>
      <c r="BU38" s="12"/>
      <c r="BV38" s="12"/>
      <c r="CM38" s="12"/>
      <c r="CN38" s="12"/>
      <c r="DE38" s="12"/>
      <c r="DF38" s="12"/>
      <c r="DW38" s="12"/>
      <c r="DX38" s="12"/>
      <c r="EO38" s="12"/>
      <c r="EP38" s="12"/>
      <c r="FG38" s="12"/>
      <c r="FH38" s="12"/>
      <c r="FY38" s="12"/>
      <c r="FZ38" s="12"/>
      <c r="GQ38" s="12"/>
      <c r="GR38" s="12"/>
      <c r="HI38" s="12"/>
      <c r="HJ38" s="12"/>
      <c r="IA38" s="12"/>
      <c r="IB38" s="12"/>
      <c r="IS38" s="12"/>
      <c r="IT38" s="12"/>
      <c r="JK38" s="12"/>
      <c r="JL38" s="12"/>
      <c r="KC38" s="12"/>
      <c r="KD38" s="12"/>
      <c r="KU38" s="12"/>
      <c r="KV38" s="12"/>
      <c r="LM38" s="12"/>
      <c r="LN38" s="12"/>
      <c r="ME38" s="12"/>
      <c r="MF38" s="12"/>
      <c r="MW38" s="12"/>
      <c r="MX38" s="12"/>
      <c r="NO38" s="12"/>
      <c r="NP38" s="12"/>
      <c r="OG38" s="12"/>
      <c r="OH38" s="12"/>
      <c r="OY38" s="12"/>
      <c r="OZ38" s="12"/>
      <c r="PQ38" s="12"/>
      <c r="PR38" s="12"/>
      <c r="QI38" s="12"/>
      <c r="QJ38" s="12"/>
      <c r="RA38" s="12"/>
      <c r="RB38" s="12"/>
      <c r="RS38" s="12"/>
      <c r="RT38" s="12"/>
      <c r="SK38" s="12"/>
      <c r="SL38" s="12"/>
      <c r="TC38" s="12"/>
      <c r="TD38" s="12"/>
      <c r="TU38" s="12"/>
      <c r="TV38" s="12"/>
      <c r="UM38" s="12"/>
      <c r="UN38" s="12"/>
      <c r="VE38" s="12"/>
      <c r="VF38" s="12"/>
      <c r="VW38" s="12"/>
      <c r="VX38" s="12"/>
      <c r="WO38" s="12"/>
      <c r="WP38" s="12"/>
      <c r="XG38" s="12"/>
      <c r="XH38" s="12"/>
      <c r="XY38" s="12"/>
      <c r="XZ38" s="12"/>
      <c r="YQ38" s="12"/>
      <c r="YR38" s="12"/>
      <c r="ZI38" s="12"/>
      <c r="ZJ38" s="12"/>
      <c r="AAA38" s="12"/>
      <c r="AAB38" s="12"/>
      <c r="AAS38" s="12"/>
      <c r="AAT38" s="12"/>
      <c r="ABK38" s="12"/>
      <c r="ABL38" s="12"/>
      <c r="ACC38" s="12"/>
      <c r="ACD38" s="12"/>
      <c r="ACU38" s="12"/>
      <c r="ACV38" s="12"/>
      <c r="ADM38" s="12"/>
      <c r="ADN38" s="12"/>
      <c r="AEE38" s="12"/>
      <c r="AEF38" s="12"/>
      <c r="AEW38" s="12"/>
      <c r="AEX38" s="12"/>
      <c r="AFO38" s="12"/>
      <c r="AFP38" s="12"/>
      <c r="AGG38" s="12"/>
      <c r="AGH38" s="12"/>
      <c r="AGY38" s="12"/>
      <c r="AGZ38" s="12"/>
      <c r="AHQ38" s="12"/>
      <c r="AHR38" s="12"/>
      <c r="AII38" s="12"/>
      <c r="AIJ38" s="12"/>
      <c r="AJA38" s="12"/>
      <c r="AJB38" s="12"/>
      <c r="AJS38" s="12"/>
      <c r="AJT38" s="12"/>
      <c r="AKK38" s="12"/>
      <c r="AKL38" s="12"/>
      <c r="ALC38" s="12"/>
      <c r="ALD38" s="12"/>
      <c r="ALU38" s="12"/>
      <c r="ALV38" s="12"/>
      <c r="AMM38" s="12"/>
      <c r="AMN38" s="12"/>
      <c r="ANE38" s="12"/>
      <c r="ANF38" s="12"/>
      <c r="ANW38" s="12"/>
      <c r="ANX38" s="12"/>
      <c r="AOO38" s="12"/>
      <c r="AOP38" s="12"/>
      <c r="APG38" s="12"/>
      <c r="APH38" s="12"/>
      <c r="APY38" s="12"/>
      <c r="APZ38" s="12"/>
      <c r="AQQ38" s="12"/>
      <c r="AQR38" s="12"/>
      <c r="ARI38" s="12"/>
      <c r="ARJ38" s="12"/>
      <c r="ASA38" s="12"/>
      <c r="ASB38" s="12"/>
      <c r="ASS38" s="12"/>
      <c r="AST38" s="12"/>
      <c r="ATK38" s="12"/>
      <c r="ATL38" s="12"/>
      <c r="AUC38" s="12"/>
      <c r="AUD38" s="12"/>
      <c r="AUU38" s="12"/>
      <c r="AUV38" s="12"/>
      <c r="AVM38" s="12"/>
      <c r="AVN38" s="12"/>
      <c r="AWE38" s="12"/>
      <c r="AWF38" s="12"/>
      <c r="AWW38" s="12"/>
      <c r="AWX38" s="12"/>
      <c r="AXO38" s="12"/>
      <c r="AXP38" s="12"/>
      <c r="AYG38" s="12"/>
      <c r="AYH38" s="12"/>
      <c r="AYY38" s="12"/>
      <c r="AYZ38" s="12"/>
      <c r="AZQ38" s="12"/>
      <c r="AZR38" s="12"/>
      <c r="BAI38" s="12"/>
      <c r="BAJ38" s="12"/>
      <c r="BBA38" s="12"/>
      <c r="BBB38" s="12"/>
      <c r="BBS38" s="12"/>
      <c r="BBT38" s="12"/>
      <c r="BCK38" s="12"/>
      <c r="BCL38" s="12"/>
      <c r="BDC38" s="12"/>
      <c r="BDD38" s="12"/>
      <c r="BDU38" s="12"/>
      <c r="BDV38" s="12"/>
      <c r="BEM38" s="12"/>
      <c r="BEN38" s="12"/>
      <c r="BFE38" s="12"/>
      <c r="BFF38" s="12"/>
      <c r="BFW38" s="12"/>
      <c r="BFX38" s="12"/>
      <c r="BGO38" s="12"/>
      <c r="BGP38" s="12"/>
      <c r="BHG38" s="12"/>
      <c r="BHH38" s="12"/>
      <c r="BHY38" s="12"/>
      <c r="BHZ38" s="12"/>
      <c r="BIQ38" s="12"/>
      <c r="BIR38" s="12"/>
      <c r="BJI38" s="12"/>
      <c r="BJJ38" s="12"/>
      <c r="BKA38" s="12"/>
      <c r="BKB38" s="12"/>
      <c r="BKS38" s="12"/>
      <c r="BKT38" s="12"/>
      <c r="BLK38" s="12"/>
      <c r="BLL38" s="12"/>
      <c r="BMC38" s="12"/>
      <c r="BMD38" s="12"/>
      <c r="BMU38" s="12"/>
      <c r="BMV38" s="12"/>
      <c r="BNM38" s="12"/>
      <c r="BNN38" s="12"/>
      <c r="BOE38" s="12"/>
      <c r="BOF38" s="12"/>
      <c r="BOW38" s="12"/>
      <c r="BOX38" s="12"/>
      <c r="BPO38" s="12"/>
      <c r="BPP38" s="12"/>
      <c r="BQG38" s="12"/>
      <c r="BQH38" s="12"/>
      <c r="BQY38" s="12"/>
      <c r="BQZ38" s="12"/>
      <c r="BRQ38" s="12"/>
      <c r="BRR38" s="12"/>
      <c r="BSI38" s="12"/>
      <c r="BSJ38" s="12"/>
      <c r="BTA38" s="12"/>
      <c r="BTB38" s="12"/>
      <c r="BTS38" s="12"/>
      <c r="BTT38" s="12"/>
      <c r="BUK38" s="12"/>
      <c r="BUL38" s="12"/>
      <c r="BVC38" s="12"/>
      <c r="BVD38" s="12"/>
      <c r="BVU38" s="12"/>
      <c r="BVV38" s="12"/>
      <c r="BWM38" s="12"/>
      <c r="BWN38" s="12"/>
      <c r="BXE38" s="12"/>
      <c r="BXF38" s="12"/>
      <c r="BXW38" s="12"/>
      <c r="BXX38" s="12"/>
      <c r="BYO38" s="12"/>
      <c r="BYP38" s="12"/>
      <c r="BZG38" s="12"/>
      <c r="BZH38" s="12"/>
      <c r="BZY38" s="12"/>
      <c r="BZZ38" s="12"/>
      <c r="CAQ38" s="12"/>
      <c r="CAR38" s="12"/>
      <c r="CBI38" s="12"/>
      <c r="CBJ38" s="12"/>
      <c r="CCA38" s="12"/>
      <c r="CCB38" s="12"/>
      <c r="CCS38" s="12"/>
      <c r="CCT38" s="12"/>
      <c r="CDK38" s="12"/>
      <c r="CDL38" s="12"/>
      <c r="CEC38" s="12"/>
      <c r="CED38" s="12"/>
      <c r="CEU38" s="12"/>
      <c r="CEV38" s="12"/>
      <c r="CFM38" s="12"/>
      <c r="CFN38" s="12"/>
      <c r="CGE38" s="12"/>
      <c r="CGF38" s="12"/>
      <c r="CGW38" s="12"/>
      <c r="CGX38" s="12"/>
      <c r="CHO38" s="12"/>
      <c r="CHP38" s="12"/>
      <c r="CIG38" s="12"/>
      <c r="CIH38" s="12"/>
      <c r="CIY38" s="12"/>
      <c r="CIZ38" s="12"/>
      <c r="CJQ38" s="12"/>
      <c r="CJR38" s="12"/>
      <c r="CKI38" s="12"/>
      <c r="CKJ38" s="12"/>
      <c r="CLA38" s="12"/>
      <c r="CLB38" s="12"/>
      <c r="CLS38" s="12"/>
      <c r="CLT38" s="12"/>
      <c r="CMK38" s="12"/>
      <c r="CML38" s="12"/>
      <c r="CNC38" s="12"/>
      <c r="CND38" s="12"/>
      <c r="CNU38" s="12"/>
      <c r="CNV38" s="12"/>
      <c r="COM38" s="12"/>
      <c r="CON38" s="12"/>
      <c r="CPE38" s="12"/>
      <c r="CPF38" s="12"/>
      <c r="CPW38" s="12"/>
      <c r="CPX38" s="12"/>
      <c r="CQO38" s="12"/>
      <c r="CQP38" s="12"/>
      <c r="CRG38" s="12"/>
      <c r="CRH38" s="12"/>
      <c r="CRY38" s="12"/>
      <c r="CRZ38" s="12"/>
      <c r="CSQ38" s="12"/>
      <c r="CSR38" s="12"/>
      <c r="CTI38" s="12"/>
      <c r="CTJ38" s="12"/>
      <c r="CUA38" s="12"/>
      <c r="CUB38" s="12"/>
      <c r="CUS38" s="12"/>
      <c r="CUT38" s="12"/>
      <c r="CVK38" s="12"/>
      <c r="CVL38" s="12"/>
      <c r="CWC38" s="12"/>
      <c r="CWD38" s="12"/>
      <c r="CWU38" s="12"/>
      <c r="CWV38" s="12"/>
      <c r="CXM38" s="12"/>
      <c r="CXN38" s="12"/>
      <c r="CYE38" s="12"/>
      <c r="CYF38" s="12"/>
      <c r="CYW38" s="12"/>
      <c r="CYX38" s="12"/>
      <c r="CZO38" s="12"/>
      <c r="CZP38" s="12"/>
      <c r="DAG38" s="12"/>
      <c r="DAH38" s="12"/>
      <c r="DAY38" s="12"/>
      <c r="DAZ38" s="12"/>
      <c r="DBQ38" s="12"/>
      <c r="DBR38" s="12"/>
      <c r="DCI38" s="12"/>
      <c r="DCJ38" s="12"/>
      <c r="DDA38" s="12"/>
      <c r="DDB38" s="12"/>
      <c r="DDS38" s="12"/>
      <c r="DDT38" s="12"/>
      <c r="DEK38" s="12"/>
      <c r="DEL38" s="12"/>
      <c r="DFC38" s="12"/>
      <c r="DFD38" s="12"/>
      <c r="DFU38" s="12"/>
      <c r="DFV38" s="12"/>
      <c r="DGM38" s="12"/>
      <c r="DGN38" s="12"/>
      <c r="DHE38" s="12"/>
      <c r="DHF38" s="12"/>
      <c r="DHW38" s="12"/>
      <c r="DHX38" s="12"/>
      <c r="DIO38" s="12"/>
      <c r="DIP38" s="12"/>
      <c r="DJG38" s="12"/>
      <c r="DJH38" s="12"/>
      <c r="DJY38" s="12"/>
      <c r="DJZ38" s="12"/>
      <c r="DKQ38" s="12"/>
      <c r="DKR38" s="12"/>
      <c r="DLI38" s="12"/>
      <c r="DLJ38" s="12"/>
      <c r="DMA38" s="12"/>
      <c r="DMB38" s="12"/>
      <c r="DMS38" s="12"/>
      <c r="DMT38" s="12"/>
      <c r="DNK38" s="12"/>
      <c r="DNL38" s="12"/>
      <c r="DOC38" s="12"/>
      <c r="DOD38" s="12"/>
      <c r="DOU38" s="12"/>
      <c r="DOV38" s="12"/>
      <c r="DPM38" s="12"/>
      <c r="DPN38" s="12"/>
      <c r="DQE38" s="12"/>
      <c r="DQF38" s="12"/>
      <c r="DQW38" s="12"/>
      <c r="DQX38" s="12"/>
      <c r="DRO38" s="12"/>
      <c r="DRP38" s="12"/>
      <c r="DSG38" s="12"/>
      <c r="DSH38" s="12"/>
      <c r="DSY38" s="12"/>
      <c r="DSZ38" s="12"/>
      <c r="DTQ38" s="12"/>
      <c r="DTR38" s="12"/>
      <c r="DUI38" s="12"/>
      <c r="DUJ38" s="12"/>
      <c r="DVA38" s="12"/>
      <c r="DVB38" s="12"/>
      <c r="DVS38" s="12"/>
      <c r="DVT38" s="12"/>
      <c r="DWK38" s="12"/>
      <c r="DWL38" s="12"/>
      <c r="DXC38" s="12"/>
      <c r="DXD38" s="12"/>
      <c r="DXU38" s="12"/>
      <c r="DXV38" s="12"/>
      <c r="DYM38" s="12"/>
      <c r="DYN38" s="12"/>
      <c r="DZE38" s="12"/>
      <c r="DZF38" s="12"/>
      <c r="DZW38" s="12"/>
      <c r="DZX38" s="12"/>
      <c r="EAO38" s="12"/>
      <c r="EAP38" s="12"/>
      <c r="EBG38" s="12"/>
      <c r="EBH38" s="12"/>
      <c r="EBY38" s="12"/>
      <c r="EBZ38" s="12"/>
      <c r="ECQ38" s="12"/>
      <c r="ECR38" s="12"/>
      <c r="EDI38" s="12"/>
      <c r="EDJ38" s="12"/>
      <c r="EEA38" s="12"/>
      <c r="EEB38" s="12"/>
      <c r="EES38" s="12"/>
      <c r="EET38" s="12"/>
      <c r="EFK38" s="12"/>
      <c r="EFL38" s="12"/>
      <c r="EGC38" s="12"/>
      <c r="EGD38" s="12"/>
      <c r="EGU38" s="12"/>
      <c r="EGV38" s="12"/>
      <c r="EHM38" s="12"/>
      <c r="EHN38" s="12"/>
      <c r="EIE38" s="12"/>
      <c r="EIF38" s="12"/>
      <c r="EIW38" s="12"/>
      <c r="EIX38" s="12"/>
      <c r="EJO38" s="12"/>
      <c r="EJP38" s="12"/>
      <c r="EKG38" s="12"/>
      <c r="EKH38" s="12"/>
      <c r="EKY38" s="12"/>
      <c r="EKZ38" s="12"/>
      <c r="ELQ38" s="12"/>
      <c r="ELR38" s="12"/>
      <c r="EMI38" s="12"/>
      <c r="EMJ38" s="12"/>
      <c r="ENA38" s="12"/>
      <c r="ENB38" s="12"/>
      <c r="ENS38" s="12"/>
      <c r="ENT38" s="12"/>
      <c r="EOK38" s="12"/>
      <c r="EOL38" s="12"/>
      <c r="EPC38" s="12"/>
      <c r="EPD38" s="12"/>
      <c r="EPU38" s="12"/>
      <c r="EPV38" s="12"/>
      <c r="EQM38" s="12"/>
      <c r="EQN38" s="12"/>
      <c r="ERE38" s="12"/>
      <c r="ERF38" s="12"/>
      <c r="ERW38" s="12"/>
      <c r="ERX38" s="12"/>
      <c r="ESO38" s="12"/>
      <c r="ESP38" s="12"/>
      <c r="ETG38" s="12"/>
      <c r="ETH38" s="12"/>
      <c r="ETY38" s="12"/>
      <c r="ETZ38" s="12"/>
      <c r="EUQ38" s="12"/>
      <c r="EUR38" s="12"/>
      <c r="EVI38" s="12"/>
      <c r="EVJ38" s="12"/>
      <c r="EWA38" s="12"/>
      <c r="EWB38" s="12"/>
      <c r="EWS38" s="12"/>
      <c r="EWT38" s="12"/>
      <c r="EXK38" s="12"/>
      <c r="EXL38" s="12"/>
      <c r="EYC38" s="12"/>
      <c r="EYD38" s="12"/>
      <c r="EYU38" s="12"/>
      <c r="EYV38" s="12"/>
      <c r="EZM38" s="12"/>
      <c r="EZN38" s="12"/>
      <c r="FAE38" s="12"/>
      <c r="FAF38" s="12"/>
      <c r="FAW38" s="12"/>
      <c r="FAX38" s="12"/>
      <c r="FBO38" s="12"/>
      <c r="FBP38" s="12"/>
      <c r="FCG38" s="12"/>
      <c r="FCH38" s="12"/>
      <c r="FCY38" s="12"/>
      <c r="FCZ38" s="12"/>
      <c r="FDQ38" s="12"/>
      <c r="FDR38" s="12"/>
      <c r="FEI38" s="12"/>
      <c r="FEJ38" s="12"/>
      <c r="FFA38" s="12"/>
      <c r="FFB38" s="12"/>
      <c r="FFS38" s="12"/>
      <c r="FFT38" s="12"/>
      <c r="FGK38" s="12"/>
      <c r="FGL38" s="12"/>
      <c r="FHC38" s="12"/>
      <c r="FHD38" s="12"/>
      <c r="FHU38" s="12"/>
      <c r="FHV38" s="12"/>
      <c r="FIM38" s="12"/>
      <c r="FIN38" s="12"/>
      <c r="FJE38" s="12"/>
      <c r="FJF38" s="12"/>
      <c r="FJW38" s="12"/>
      <c r="FJX38" s="12"/>
      <c r="FKO38" s="12"/>
      <c r="FKP38" s="12"/>
      <c r="FLG38" s="12"/>
      <c r="FLH38" s="12"/>
      <c r="FLY38" s="12"/>
      <c r="FLZ38" s="12"/>
      <c r="FMQ38" s="12"/>
      <c r="FMR38" s="12"/>
      <c r="FNI38" s="12"/>
      <c r="FNJ38" s="12"/>
      <c r="FOA38" s="12"/>
      <c r="FOB38" s="12"/>
      <c r="FOS38" s="12"/>
      <c r="FOT38" s="12"/>
      <c r="FPK38" s="12"/>
      <c r="FPL38" s="12"/>
      <c r="FQC38" s="12"/>
      <c r="FQD38" s="12"/>
      <c r="FQU38" s="12"/>
      <c r="FQV38" s="12"/>
      <c r="FRM38" s="12"/>
      <c r="FRN38" s="12"/>
      <c r="FSE38" s="12"/>
      <c r="FSF38" s="12"/>
      <c r="FSW38" s="12"/>
      <c r="FSX38" s="12"/>
      <c r="FTO38" s="12"/>
      <c r="FTP38" s="12"/>
      <c r="FUG38" s="12"/>
      <c r="FUH38" s="12"/>
      <c r="FUY38" s="12"/>
      <c r="FUZ38" s="12"/>
      <c r="FVQ38" s="12"/>
      <c r="FVR38" s="12"/>
      <c r="FWI38" s="12"/>
      <c r="FWJ38" s="12"/>
      <c r="FXA38" s="12"/>
      <c r="FXB38" s="12"/>
      <c r="FXS38" s="12"/>
      <c r="FXT38" s="12"/>
      <c r="FYK38" s="12"/>
      <c r="FYL38" s="12"/>
      <c r="FZC38" s="12"/>
      <c r="FZD38" s="12"/>
      <c r="FZU38" s="12"/>
      <c r="FZV38" s="12"/>
      <c r="GAM38" s="12"/>
      <c r="GAN38" s="12"/>
      <c r="GBE38" s="12"/>
      <c r="GBF38" s="12"/>
      <c r="GBW38" s="12"/>
      <c r="GBX38" s="12"/>
      <c r="GCO38" s="12"/>
      <c r="GCP38" s="12"/>
      <c r="GDG38" s="12"/>
      <c r="GDH38" s="12"/>
      <c r="GDY38" s="12"/>
      <c r="GDZ38" s="12"/>
      <c r="GEQ38" s="12"/>
      <c r="GER38" s="12"/>
      <c r="GFI38" s="12"/>
      <c r="GFJ38" s="12"/>
      <c r="GGA38" s="12"/>
      <c r="GGB38" s="12"/>
      <c r="GGS38" s="12"/>
      <c r="GGT38" s="12"/>
      <c r="GHK38" s="12"/>
      <c r="GHL38" s="12"/>
      <c r="GIC38" s="12"/>
      <c r="GID38" s="12"/>
      <c r="GIU38" s="12"/>
      <c r="GIV38" s="12"/>
      <c r="GJM38" s="12"/>
      <c r="GJN38" s="12"/>
      <c r="GKE38" s="12"/>
      <c r="GKF38" s="12"/>
      <c r="GKW38" s="12"/>
      <c r="GKX38" s="12"/>
      <c r="GLO38" s="12"/>
      <c r="GLP38" s="12"/>
      <c r="GMG38" s="12"/>
      <c r="GMH38" s="12"/>
      <c r="GMY38" s="12"/>
      <c r="GMZ38" s="12"/>
      <c r="GNQ38" s="12"/>
      <c r="GNR38" s="12"/>
      <c r="GOI38" s="12"/>
      <c r="GOJ38" s="12"/>
      <c r="GPA38" s="12"/>
      <c r="GPB38" s="12"/>
      <c r="GPS38" s="12"/>
      <c r="GPT38" s="12"/>
      <c r="GQK38" s="12"/>
      <c r="GQL38" s="12"/>
      <c r="GRC38" s="12"/>
      <c r="GRD38" s="12"/>
      <c r="GRU38" s="12"/>
      <c r="GRV38" s="12"/>
      <c r="GSM38" s="12"/>
      <c r="GSN38" s="12"/>
      <c r="GTE38" s="12"/>
      <c r="GTF38" s="12"/>
      <c r="GTW38" s="12"/>
      <c r="GTX38" s="12"/>
      <c r="GUO38" s="12"/>
      <c r="GUP38" s="12"/>
      <c r="GVG38" s="12"/>
      <c r="GVH38" s="12"/>
      <c r="GVY38" s="12"/>
      <c r="GVZ38" s="12"/>
      <c r="GWQ38" s="12"/>
      <c r="GWR38" s="12"/>
      <c r="GXI38" s="12"/>
      <c r="GXJ38" s="12"/>
      <c r="GYA38" s="12"/>
      <c r="GYB38" s="12"/>
      <c r="GYS38" s="12"/>
      <c r="GYT38" s="12"/>
      <c r="GZK38" s="12"/>
      <c r="GZL38" s="12"/>
      <c r="HAC38" s="12"/>
      <c r="HAD38" s="12"/>
      <c r="HAU38" s="12"/>
      <c r="HAV38" s="12"/>
      <c r="HBM38" s="12"/>
      <c r="HBN38" s="12"/>
      <c r="HCE38" s="12"/>
      <c r="HCF38" s="12"/>
      <c r="HCW38" s="12"/>
      <c r="HCX38" s="12"/>
      <c r="HDO38" s="12"/>
      <c r="HDP38" s="12"/>
      <c r="HEG38" s="12"/>
      <c r="HEH38" s="12"/>
      <c r="HEY38" s="12"/>
      <c r="HEZ38" s="12"/>
      <c r="HFQ38" s="12"/>
      <c r="HFR38" s="12"/>
      <c r="HGI38" s="12"/>
      <c r="HGJ38" s="12"/>
      <c r="HHA38" s="12"/>
      <c r="HHB38" s="12"/>
      <c r="HHS38" s="12"/>
      <c r="HHT38" s="12"/>
      <c r="HIK38" s="12"/>
      <c r="HIL38" s="12"/>
      <c r="HJC38" s="12"/>
      <c r="HJD38" s="12"/>
      <c r="HJU38" s="12"/>
      <c r="HJV38" s="12"/>
      <c r="HKM38" s="12"/>
      <c r="HKN38" s="12"/>
      <c r="HLE38" s="12"/>
      <c r="HLF38" s="12"/>
      <c r="HLW38" s="12"/>
      <c r="HLX38" s="12"/>
      <c r="HMO38" s="12"/>
      <c r="HMP38" s="12"/>
      <c r="HNG38" s="12"/>
      <c r="HNH38" s="12"/>
      <c r="HNY38" s="12"/>
      <c r="HNZ38" s="12"/>
      <c r="HOQ38" s="12"/>
      <c r="HOR38" s="12"/>
      <c r="HPI38" s="12"/>
      <c r="HPJ38" s="12"/>
      <c r="HQA38" s="12"/>
      <c r="HQB38" s="12"/>
      <c r="HQS38" s="12"/>
      <c r="HQT38" s="12"/>
      <c r="HRK38" s="12"/>
      <c r="HRL38" s="12"/>
      <c r="HSC38" s="12"/>
      <c r="HSD38" s="12"/>
      <c r="HSU38" s="12"/>
      <c r="HSV38" s="12"/>
      <c r="HTM38" s="12"/>
      <c r="HTN38" s="12"/>
      <c r="HUE38" s="12"/>
      <c r="HUF38" s="12"/>
      <c r="HUW38" s="12"/>
      <c r="HUX38" s="12"/>
      <c r="HVO38" s="12"/>
      <c r="HVP38" s="12"/>
      <c r="HWG38" s="12"/>
      <c r="HWH38" s="12"/>
      <c r="HWY38" s="12"/>
      <c r="HWZ38" s="12"/>
      <c r="HXQ38" s="12"/>
      <c r="HXR38" s="12"/>
      <c r="HYI38" s="12"/>
      <c r="HYJ38" s="12"/>
      <c r="HZA38" s="12"/>
      <c r="HZB38" s="12"/>
      <c r="HZS38" s="12"/>
      <c r="HZT38" s="12"/>
      <c r="IAK38" s="12"/>
      <c r="IAL38" s="12"/>
      <c r="IBC38" s="12"/>
      <c r="IBD38" s="12"/>
      <c r="IBU38" s="12"/>
      <c r="IBV38" s="12"/>
      <c r="ICM38" s="12"/>
      <c r="ICN38" s="12"/>
      <c r="IDE38" s="12"/>
      <c r="IDF38" s="12"/>
      <c r="IDW38" s="12"/>
      <c r="IDX38" s="12"/>
      <c r="IEO38" s="12"/>
      <c r="IEP38" s="12"/>
      <c r="IFG38" s="12"/>
      <c r="IFH38" s="12"/>
      <c r="IFY38" s="12"/>
      <c r="IFZ38" s="12"/>
      <c r="IGQ38" s="12"/>
      <c r="IGR38" s="12"/>
      <c r="IHI38" s="12"/>
      <c r="IHJ38" s="12"/>
      <c r="IIA38" s="12"/>
      <c r="IIB38" s="12"/>
      <c r="IIS38" s="12"/>
      <c r="IIT38" s="12"/>
      <c r="IJK38" s="12"/>
      <c r="IJL38" s="12"/>
      <c r="IKC38" s="12"/>
      <c r="IKD38" s="12"/>
      <c r="IKU38" s="12"/>
      <c r="IKV38" s="12"/>
      <c r="ILM38" s="12"/>
      <c r="ILN38" s="12"/>
      <c r="IME38" s="12"/>
      <c r="IMF38" s="12"/>
      <c r="IMW38" s="12"/>
      <c r="IMX38" s="12"/>
      <c r="INO38" s="12"/>
      <c r="INP38" s="12"/>
      <c r="IOG38" s="12"/>
      <c r="IOH38" s="12"/>
      <c r="IOY38" s="12"/>
      <c r="IOZ38" s="12"/>
      <c r="IPQ38" s="12"/>
      <c r="IPR38" s="12"/>
      <c r="IQI38" s="12"/>
      <c r="IQJ38" s="12"/>
      <c r="IRA38" s="12"/>
      <c r="IRB38" s="12"/>
      <c r="IRS38" s="12"/>
      <c r="IRT38" s="12"/>
      <c r="ISK38" s="12"/>
      <c r="ISL38" s="12"/>
      <c r="ITC38" s="12"/>
      <c r="ITD38" s="12"/>
      <c r="ITU38" s="12"/>
      <c r="ITV38" s="12"/>
      <c r="IUM38" s="12"/>
      <c r="IUN38" s="12"/>
      <c r="IVE38" s="12"/>
      <c r="IVF38" s="12"/>
      <c r="IVW38" s="12"/>
      <c r="IVX38" s="12"/>
      <c r="IWO38" s="12"/>
      <c r="IWP38" s="12"/>
      <c r="IXG38" s="12"/>
      <c r="IXH38" s="12"/>
      <c r="IXY38" s="12"/>
      <c r="IXZ38" s="12"/>
      <c r="IYQ38" s="12"/>
      <c r="IYR38" s="12"/>
      <c r="IZI38" s="12"/>
      <c r="IZJ38" s="12"/>
      <c r="JAA38" s="12"/>
      <c r="JAB38" s="12"/>
      <c r="JAS38" s="12"/>
      <c r="JAT38" s="12"/>
      <c r="JBK38" s="12"/>
      <c r="JBL38" s="12"/>
      <c r="JCC38" s="12"/>
      <c r="JCD38" s="12"/>
      <c r="JCU38" s="12"/>
      <c r="JCV38" s="12"/>
      <c r="JDM38" s="12"/>
      <c r="JDN38" s="12"/>
      <c r="JEE38" s="12"/>
      <c r="JEF38" s="12"/>
      <c r="JEW38" s="12"/>
      <c r="JEX38" s="12"/>
      <c r="JFO38" s="12"/>
      <c r="JFP38" s="12"/>
      <c r="JGG38" s="12"/>
      <c r="JGH38" s="12"/>
      <c r="JGY38" s="12"/>
      <c r="JGZ38" s="12"/>
      <c r="JHQ38" s="12"/>
      <c r="JHR38" s="12"/>
      <c r="JII38" s="12"/>
      <c r="JIJ38" s="12"/>
      <c r="JJA38" s="12"/>
      <c r="JJB38" s="12"/>
      <c r="JJS38" s="12"/>
      <c r="JJT38" s="12"/>
      <c r="JKK38" s="12"/>
      <c r="JKL38" s="12"/>
      <c r="JLC38" s="12"/>
      <c r="JLD38" s="12"/>
      <c r="JLU38" s="12"/>
      <c r="JLV38" s="12"/>
      <c r="JMM38" s="12"/>
      <c r="JMN38" s="12"/>
      <c r="JNE38" s="12"/>
      <c r="JNF38" s="12"/>
      <c r="JNW38" s="12"/>
      <c r="JNX38" s="12"/>
      <c r="JOO38" s="12"/>
      <c r="JOP38" s="12"/>
      <c r="JPG38" s="12"/>
      <c r="JPH38" s="12"/>
      <c r="JPY38" s="12"/>
      <c r="JPZ38" s="12"/>
      <c r="JQQ38" s="12"/>
      <c r="JQR38" s="12"/>
      <c r="JRI38" s="12"/>
      <c r="JRJ38" s="12"/>
      <c r="JSA38" s="12"/>
      <c r="JSB38" s="12"/>
      <c r="JSS38" s="12"/>
      <c r="JST38" s="12"/>
      <c r="JTK38" s="12"/>
      <c r="JTL38" s="12"/>
      <c r="JUC38" s="12"/>
      <c r="JUD38" s="12"/>
      <c r="JUU38" s="12"/>
      <c r="JUV38" s="12"/>
      <c r="JVM38" s="12"/>
      <c r="JVN38" s="12"/>
      <c r="JWE38" s="12"/>
      <c r="JWF38" s="12"/>
      <c r="JWW38" s="12"/>
      <c r="JWX38" s="12"/>
      <c r="JXO38" s="12"/>
      <c r="JXP38" s="12"/>
      <c r="JYG38" s="12"/>
      <c r="JYH38" s="12"/>
      <c r="JYY38" s="12"/>
      <c r="JYZ38" s="12"/>
      <c r="JZQ38" s="12"/>
      <c r="JZR38" s="12"/>
      <c r="KAI38" s="12"/>
      <c r="KAJ38" s="12"/>
      <c r="KBA38" s="12"/>
      <c r="KBB38" s="12"/>
      <c r="KBS38" s="12"/>
      <c r="KBT38" s="12"/>
      <c r="KCK38" s="12"/>
      <c r="KCL38" s="12"/>
      <c r="KDC38" s="12"/>
      <c r="KDD38" s="12"/>
      <c r="KDU38" s="12"/>
      <c r="KDV38" s="12"/>
      <c r="KEM38" s="12"/>
      <c r="KEN38" s="12"/>
      <c r="KFE38" s="12"/>
      <c r="KFF38" s="12"/>
      <c r="KFW38" s="12"/>
      <c r="KFX38" s="12"/>
      <c r="KGO38" s="12"/>
      <c r="KGP38" s="12"/>
      <c r="KHG38" s="12"/>
      <c r="KHH38" s="12"/>
      <c r="KHY38" s="12"/>
      <c r="KHZ38" s="12"/>
      <c r="KIQ38" s="12"/>
      <c r="KIR38" s="12"/>
      <c r="KJI38" s="12"/>
      <c r="KJJ38" s="12"/>
      <c r="KKA38" s="12"/>
      <c r="KKB38" s="12"/>
      <c r="KKS38" s="12"/>
      <c r="KKT38" s="12"/>
      <c r="KLK38" s="12"/>
      <c r="KLL38" s="12"/>
      <c r="KMC38" s="12"/>
      <c r="KMD38" s="12"/>
      <c r="KMU38" s="12"/>
      <c r="KMV38" s="12"/>
      <c r="KNM38" s="12"/>
      <c r="KNN38" s="12"/>
      <c r="KOE38" s="12"/>
      <c r="KOF38" s="12"/>
      <c r="KOW38" s="12"/>
      <c r="KOX38" s="12"/>
      <c r="KPO38" s="12"/>
      <c r="KPP38" s="12"/>
      <c r="KQG38" s="12"/>
      <c r="KQH38" s="12"/>
      <c r="KQY38" s="12"/>
      <c r="KQZ38" s="12"/>
      <c r="KRQ38" s="12"/>
      <c r="KRR38" s="12"/>
      <c r="KSI38" s="12"/>
      <c r="KSJ38" s="12"/>
      <c r="KTA38" s="12"/>
      <c r="KTB38" s="12"/>
      <c r="KTS38" s="12"/>
      <c r="KTT38" s="12"/>
      <c r="KUK38" s="12"/>
      <c r="KUL38" s="12"/>
      <c r="KVC38" s="12"/>
      <c r="KVD38" s="12"/>
      <c r="KVU38" s="12"/>
      <c r="KVV38" s="12"/>
      <c r="KWM38" s="12"/>
      <c r="KWN38" s="12"/>
      <c r="KXE38" s="12"/>
      <c r="KXF38" s="12"/>
      <c r="KXW38" s="12"/>
      <c r="KXX38" s="12"/>
      <c r="KYO38" s="12"/>
      <c r="KYP38" s="12"/>
      <c r="KZG38" s="12"/>
      <c r="KZH38" s="12"/>
      <c r="KZY38" s="12"/>
      <c r="KZZ38" s="12"/>
      <c r="LAQ38" s="12"/>
      <c r="LAR38" s="12"/>
      <c r="LBI38" s="12"/>
      <c r="LBJ38" s="12"/>
      <c r="LCA38" s="12"/>
      <c r="LCB38" s="12"/>
      <c r="LCS38" s="12"/>
      <c r="LCT38" s="12"/>
      <c r="LDK38" s="12"/>
      <c r="LDL38" s="12"/>
      <c r="LEC38" s="12"/>
      <c r="LED38" s="12"/>
      <c r="LEU38" s="12"/>
      <c r="LEV38" s="12"/>
      <c r="LFM38" s="12"/>
      <c r="LFN38" s="12"/>
      <c r="LGE38" s="12"/>
      <c r="LGF38" s="12"/>
      <c r="LGW38" s="12"/>
      <c r="LGX38" s="12"/>
      <c r="LHO38" s="12"/>
      <c r="LHP38" s="12"/>
      <c r="LIG38" s="12"/>
      <c r="LIH38" s="12"/>
      <c r="LIY38" s="12"/>
      <c r="LIZ38" s="12"/>
      <c r="LJQ38" s="12"/>
      <c r="LJR38" s="12"/>
      <c r="LKI38" s="12"/>
      <c r="LKJ38" s="12"/>
      <c r="LLA38" s="12"/>
      <c r="LLB38" s="12"/>
      <c r="LLS38" s="12"/>
      <c r="LLT38" s="12"/>
      <c r="LMK38" s="12"/>
      <c r="LML38" s="12"/>
      <c r="LNC38" s="12"/>
      <c r="LND38" s="12"/>
      <c r="LNU38" s="12"/>
      <c r="LNV38" s="12"/>
      <c r="LOM38" s="12"/>
      <c r="LON38" s="12"/>
      <c r="LPE38" s="12"/>
      <c r="LPF38" s="12"/>
      <c r="LPW38" s="12"/>
      <c r="LPX38" s="12"/>
      <c r="LQO38" s="12"/>
      <c r="LQP38" s="12"/>
      <c r="LRG38" s="12"/>
      <c r="LRH38" s="12"/>
      <c r="LRY38" s="12"/>
      <c r="LRZ38" s="12"/>
      <c r="LSQ38" s="12"/>
      <c r="LSR38" s="12"/>
      <c r="LTI38" s="12"/>
      <c r="LTJ38" s="12"/>
      <c r="LUA38" s="12"/>
      <c r="LUB38" s="12"/>
      <c r="LUS38" s="12"/>
      <c r="LUT38" s="12"/>
      <c r="LVK38" s="12"/>
      <c r="LVL38" s="12"/>
      <c r="LWC38" s="12"/>
      <c r="LWD38" s="12"/>
      <c r="LWU38" s="12"/>
      <c r="LWV38" s="12"/>
      <c r="LXM38" s="12"/>
      <c r="LXN38" s="12"/>
      <c r="LYE38" s="12"/>
      <c r="LYF38" s="12"/>
      <c r="LYW38" s="12"/>
      <c r="LYX38" s="12"/>
      <c r="LZO38" s="12"/>
      <c r="LZP38" s="12"/>
      <c r="MAG38" s="12"/>
      <c r="MAH38" s="12"/>
      <c r="MAY38" s="12"/>
      <c r="MAZ38" s="12"/>
      <c r="MBQ38" s="12"/>
      <c r="MBR38" s="12"/>
      <c r="MCI38" s="12"/>
      <c r="MCJ38" s="12"/>
      <c r="MDA38" s="12"/>
      <c r="MDB38" s="12"/>
      <c r="MDS38" s="12"/>
      <c r="MDT38" s="12"/>
      <c r="MEK38" s="12"/>
      <c r="MEL38" s="12"/>
      <c r="MFC38" s="12"/>
      <c r="MFD38" s="12"/>
      <c r="MFU38" s="12"/>
      <c r="MFV38" s="12"/>
      <c r="MGM38" s="12"/>
      <c r="MGN38" s="12"/>
      <c r="MHE38" s="12"/>
      <c r="MHF38" s="12"/>
      <c r="MHW38" s="12"/>
      <c r="MHX38" s="12"/>
      <c r="MIO38" s="12"/>
      <c r="MIP38" s="12"/>
      <c r="MJG38" s="12"/>
      <c r="MJH38" s="12"/>
      <c r="MJY38" s="12"/>
      <c r="MJZ38" s="12"/>
      <c r="MKQ38" s="12"/>
      <c r="MKR38" s="12"/>
      <c r="MLI38" s="12"/>
      <c r="MLJ38" s="12"/>
      <c r="MMA38" s="12"/>
      <c r="MMB38" s="12"/>
      <c r="MMS38" s="12"/>
      <c r="MMT38" s="12"/>
      <c r="MNK38" s="12"/>
      <c r="MNL38" s="12"/>
      <c r="MOC38" s="12"/>
      <c r="MOD38" s="12"/>
      <c r="MOU38" s="12"/>
      <c r="MOV38" s="12"/>
      <c r="MPM38" s="12"/>
      <c r="MPN38" s="12"/>
      <c r="MQE38" s="12"/>
      <c r="MQF38" s="12"/>
      <c r="MQW38" s="12"/>
      <c r="MQX38" s="12"/>
      <c r="MRO38" s="12"/>
      <c r="MRP38" s="12"/>
      <c r="MSG38" s="12"/>
      <c r="MSH38" s="12"/>
      <c r="MSY38" s="12"/>
      <c r="MSZ38" s="12"/>
      <c r="MTQ38" s="12"/>
      <c r="MTR38" s="12"/>
      <c r="MUI38" s="12"/>
      <c r="MUJ38" s="12"/>
      <c r="MVA38" s="12"/>
      <c r="MVB38" s="12"/>
      <c r="MVS38" s="12"/>
      <c r="MVT38" s="12"/>
      <c r="MWK38" s="12"/>
      <c r="MWL38" s="12"/>
      <c r="MXC38" s="12"/>
      <c r="MXD38" s="12"/>
      <c r="MXU38" s="12"/>
      <c r="MXV38" s="12"/>
      <c r="MYM38" s="12"/>
      <c r="MYN38" s="12"/>
      <c r="MZE38" s="12"/>
      <c r="MZF38" s="12"/>
      <c r="MZW38" s="12"/>
      <c r="MZX38" s="12"/>
      <c r="NAO38" s="12"/>
      <c r="NAP38" s="12"/>
      <c r="NBG38" s="12"/>
      <c r="NBH38" s="12"/>
      <c r="NBY38" s="12"/>
      <c r="NBZ38" s="12"/>
      <c r="NCQ38" s="12"/>
      <c r="NCR38" s="12"/>
      <c r="NDI38" s="12"/>
      <c r="NDJ38" s="12"/>
      <c r="NEA38" s="12"/>
      <c r="NEB38" s="12"/>
      <c r="NES38" s="12"/>
      <c r="NET38" s="12"/>
      <c r="NFK38" s="12"/>
      <c r="NFL38" s="12"/>
      <c r="NGC38" s="12"/>
      <c r="NGD38" s="12"/>
      <c r="NGU38" s="12"/>
      <c r="NGV38" s="12"/>
      <c r="NHM38" s="12"/>
      <c r="NHN38" s="12"/>
      <c r="NIE38" s="12"/>
      <c r="NIF38" s="12"/>
      <c r="NIW38" s="12"/>
      <c r="NIX38" s="12"/>
      <c r="NJO38" s="12"/>
      <c r="NJP38" s="12"/>
      <c r="NKG38" s="12"/>
      <c r="NKH38" s="12"/>
      <c r="NKY38" s="12"/>
      <c r="NKZ38" s="12"/>
      <c r="NLQ38" s="12"/>
      <c r="NLR38" s="12"/>
      <c r="NMI38" s="12"/>
      <c r="NMJ38" s="12"/>
      <c r="NNA38" s="12"/>
      <c r="NNB38" s="12"/>
      <c r="NNS38" s="12"/>
      <c r="NNT38" s="12"/>
      <c r="NOK38" s="12"/>
      <c r="NOL38" s="12"/>
      <c r="NPC38" s="12"/>
      <c r="NPD38" s="12"/>
      <c r="NPU38" s="12"/>
      <c r="NPV38" s="12"/>
      <c r="NQM38" s="12"/>
      <c r="NQN38" s="12"/>
      <c r="NRE38" s="12"/>
      <c r="NRF38" s="12"/>
      <c r="NRW38" s="12"/>
      <c r="NRX38" s="12"/>
      <c r="NSO38" s="12"/>
      <c r="NSP38" s="12"/>
      <c r="NTG38" s="12"/>
      <c r="NTH38" s="12"/>
      <c r="NTY38" s="12"/>
      <c r="NTZ38" s="12"/>
      <c r="NUQ38" s="12"/>
      <c r="NUR38" s="12"/>
      <c r="NVI38" s="12"/>
      <c r="NVJ38" s="12"/>
      <c r="NWA38" s="12"/>
      <c r="NWB38" s="12"/>
      <c r="NWS38" s="12"/>
      <c r="NWT38" s="12"/>
      <c r="NXK38" s="12"/>
      <c r="NXL38" s="12"/>
      <c r="NYC38" s="12"/>
      <c r="NYD38" s="12"/>
      <c r="NYU38" s="12"/>
      <c r="NYV38" s="12"/>
      <c r="NZM38" s="12"/>
      <c r="NZN38" s="12"/>
      <c r="OAE38" s="12"/>
      <c r="OAF38" s="12"/>
      <c r="OAW38" s="12"/>
      <c r="OAX38" s="12"/>
      <c r="OBO38" s="12"/>
      <c r="OBP38" s="12"/>
      <c r="OCG38" s="12"/>
      <c r="OCH38" s="12"/>
      <c r="OCY38" s="12"/>
      <c r="OCZ38" s="12"/>
      <c r="ODQ38" s="12"/>
      <c r="ODR38" s="12"/>
      <c r="OEI38" s="12"/>
      <c r="OEJ38" s="12"/>
      <c r="OFA38" s="12"/>
      <c r="OFB38" s="12"/>
      <c r="OFS38" s="12"/>
      <c r="OFT38" s="12"/>
      <c r="OGK38" s="12"/>
      <c r="OGL38" s="12"/>
      <c r="OHC38" s="12"/>
      <c r="OHD38" s="12"/>
      <c r="OHU38" s="12"/>
      <c r="OHV38" s="12"/>
      <c r="OIM38" s="12"/>
      <c r="OIN38" s="12"/>
      <c r="OJE38" s="12"/>
      <c r="OJF38" s="12"/>
      <c r="OJW38" s="12"/>
      <c r="OJX38" s="12"/>
      <c r="OKO38" s="12"/>
      <c r="OKP38" s="12"/>
      <c r="OLG38" s="12"/>
      <c r="OLH38" s="12"/>
      <c r="OLY38" s="12"/>
      <c r="OLZ38" s="12"/>
      <c r="OMQ38" s="12"/>
      <c r="OMR38" s="12"/>
      <c r="ONI38" s="12"/>
      <c r="ONJ38" s="12"/>
      <c r="OOA38" s="12"/>
      <c r="OOB38" s="12"/>
      <c r="OOS38" s="12"/>
      <c r="OOT38" s="12"/>
      <c r="OPK38" s="12"/>
      <c r="OPL38" s="12"/>
      <c r="OQC38" s="12"/>
      <c r="OQD38" s="12"/>
      <c r="OQU38" s="12"/>
      <c r="OQV38" s="12"/>
      <c r="ORM38" s="12"/>
      <c r="ORN38" s="12"/>
      <c r="OSE38" s="12"/>
      <c r="OSF38" s="12"/>
      <c r="OSW38" s="12"/>
      <c r="OSX38" s="12"/>
      <c r="OTO38" s="12"/>
      <c r="OTP38" s="12"/>
      <c r="OUG38" s="12"/>
      <c r="OUH38" s="12"/>
      <c r="OUY38" s="12"/>
      <c r="OUZ38" s="12"/>
      <c r="OVQ38" s="12"/>
      <c r="OVR38" s="12"/>
      <c r="OWI38" s="12"/>
      <c r="OWJ38" s="12"/>
      <c r="OXA38" s="12"/>
      <c r="OXB38" s="12"/>
      <c r="OXS38" s="12"/>
      <c r="OXT38" s="12"/>
      <c r="OYK38" s="12"/>
      <c r="OYL38" s="12"/>
      <c r="OZC38" s="12"/>
      <c r="OZD38" s="12"/>
      <c r="OZU38" s="12"/>
      <c r="OZV38" s="12"/>
      <c r="PAM38" s="12"/>
      <c r="PAN38" s="12"/>
      <c r="PBE38" s="12"/>
      <c r="PBF38" s="12"/>
      <c r="PBW38" s="12"/>
      <c r="PBX38" s="12"/>
      <c r="PCO38" s="12"/>
      <c r="PCP38" s="12"/>
      <c r="PDG38" s="12"/>
      <c r="PDH38" s="12"/>
      <c r="PDY38" s="12"/>
      <c r="PDZ38" s="12"/>
      <c r="PEQ38" s="12"/>
      <c r="PER38" s="12"/>
      <c r="PFI38" s="12"/>
      <c r="PFJ38" s="12"/>
      <c r="PGA38" s="12"/>
      <c r="PGB38" s="12"/>
      <c r="PGS38" s="12"/>
      <c r="PGT38" s="12"/>
      <c r="PHK38" s="12"/>
      <c r="PHL38" s="12"/>
      <c r="PIC38" s="12"/>
      <c r="PID38" s="12"/>
      <c r="PIU38" s="12"/>
      <c r="PIV38" s="12"/>
      <c r="PJM38" s="12"/>
      <c r="PJN38" s="12"/>
      <c r="PKE38" s="12"/>
      <c r="PKF38" s="12"/>
      <c r="PKW38" s="12"/>
      <c r="PKX38" s="12"/>
      <c r="PLO38" s="12"/>
      <c r="PLP38" s="12"/>
      <c r="PMG38" s="12"/>
      <c r="PMH38" s="12"/>
      <c r="PMY38" s="12"/>
      <c r="PMZ38" s="12"/>
      <c r="PNQ38" s="12"/>
      <c r="PNR38" s="12"/>
      <c r="POI38" s="12"/>
      <c r="POJ38" s="12"/>
      <c r="PPA38" s="12"/>
      <c r="PPB38" s="12"/>
      <c r="PPS38" s="12"/>
      <c r="PPT38" s="12"/>
      <c r="PQK38" s="12"/>
      <c r="PQL38" s="12"/>
      <c r="PRC38" s="12"/>
      <c r="PRD38" s="12"/>
      <c r="PRU38" s="12"/>
      <c r="PRV38" s="12"/>
      <c r="PSM38" s="12"/>
      <c r="PSN38" s="12"/>
      <c r="PTE38" s="12"/>
      <c r="PTF38" s="12"/>
      <c r="PTW38" s="12"/>
      <c r="PTX38" s="12"/>
      <c r="PUO38" s="12"/>
      <c r="PUP38" s="12"/>
      <c r="PVG38" s="12"/>
      <c r="PVH38" s="12"/>
      <c r="PVY38" s="12"/>
      <c r="PVZ38" s="12"/>
      <c r="PWQ38" s="12"/>
      <c r="PWR38" s="12"/>
      <c r="PXI38" s="12"/>
      <c r="PXJ38" s="12"/>
      <c r="PYA38" s="12"/>
      <c r="PYB38" s="12"/>
      <c r="PYS38" s="12"/>
      <c r="PYT38" s="12"/>
      <c r="PZK38" s="12"/>
      <c r="PZL38" s="12"/>
      <c r="QAC38" s="12"/>
      <c r="QAD38" s="12"/>
      <c r="QAU38" s="12"/>
      <c r="QAV38" s="12"/>
      <c r="QBM38" s="12"/>
      <c r="QBN38" s="12"/>
      <c r="QCE38" s="12"/>
      <c r="QCF38" s="12"/>
      <c r="QCW38" s="12"/>
      <c r="QCX38" s="12"/>
      <c r="QDO38" s="12"/>
      <c r="QDP38" s="12"/>
      <c r="QEG38" s="12"/>
      <c r="QEH38" s="12"/>
      <c r="QEY38" s="12"/>
      <c r="QEZ38" s="12"/>
      <c r="QFQ38" s="12"/>
      <c r="QFR38" s="12"/>
      <c r="QGI38" s="12"/>
      <c r="QGJ38" s="12"/>
      <c r="QHA38" s="12"/>
      <c r="QHB38" s="12"/>
      <c r="QHS38" s="12"/>
      <c r="QHT38" s="12"/>
      <c r="QIK38" s="12"/>
      <c r="QIL38" s="12"/>
      <c r="QJC38" s="12"/>
      <c r="QJD38" s="12"/>
      <c r="QJU38" s="12"/>
      <c r="QJV38" s="12"/>
      <c r="QKM38" s="12"/>
      <c r="QKN38" s="12"/>
      <c r="QLE38" s="12"/>
      <c r="QLF38" s="12"/>
      <c r="QLW38" s="12"/>
      <c r="QLX38" s="12"/>
      <c r="QMO38" s="12"/>
      <c r="QMP38" s="12"/>
      <c r="QNG38" s="12"/>
      <c r="QNH38" s="12"/>
      <c r="QNY38" s="12"/>
      <c r="QNZ38" s="12"/>
      <c r="QOQ38" s="12"/>
      <c r="QOR38" s="12"/>
      <c r="QPI38" s="12"/>
      <c r="QPJ38" s="12"/>
      <c r="QQA38" s="12"/>
      <c r="QQB38" s="12"/>
      <c r="QQS38" s="12"/>
      <c r="QQT38" s="12"/>
      <c r="QRK38" s="12"/>
      <c r="QRL38" s="12"/>
      <c r="QSC38" s="12"/>
      <c r="QSD38" s="12"/>
      <c r="QSU38" s="12"/>
      <c r="QSV38" s="12"/>
      <c r="QTM38" s="12"/>
      <c r="QTN38" s="12"/>
      <c r="QUE38" s="12"/>
      <c r="QUF38" s="12"/>
      <c r="QUW38" s="12"/>
      <c r="QUX38" s="12"/>
      <c r="QVO38" s="12"/>
      <c r="QVP38" s="12"/>
      <c r="QWG38" s="12"/>
      <c r="QWH38" s="12"/>
      <c r="QWY38" s="12"/>
      <c r="QWZ38" s="12"/>
      <c r="QXQ38" s="12"/>
      <c r="QXR38" s="12"/>
      <c r="QYI38" s="12"/>
      <c r="QYJ38" s="12"/>
      <c r="QZA38" s="12"/>
      <c r="QZB38" s="12"/>
      <c r="QZS38" s="12"/>
      <c r="QZT38" s="12"/>
      <c r="RAK38" s="12"/>
      <c r="RAL38" s="12"/>
      <c r="RBC38" s="12"/>
      <c r="RBD38" s="12"/>
      <c r="RBU38" s="12"/>
      <c r="RBV38" s="12"/>
      <c r="RCM38" s="12"/>
      <c r="RCN38" s="12"/>
      <c r="RDE38" s="12"/>
      <c r="RDF38" s="12"/>
      <c r="RDW38" s="12"/>
      <c r="RDX38" s="12"/>
      <c r="REO38" s="12"/>
      <c r="REP38" s="12"/>
      <c r="RFG38" s="12"/>
      <c r="RFH38" s="12"/>
      <c r="RFY38" s="12"/>
      <c r="RFZ38" s="12"/>
      <c r="RGQ38" s="12"/>
      <c r="RGR38" s="12"/>
      <c r="RHI38" s="12"/>
      <c r="RHJ38" s="12"/>
      <c r="RIA38" s="12"/>
      <c r="RIB38" s="12"/>
      <c r="RIS38" s="12"/>
      <c r="RIT38" s="12"/>
      <c r="RJK38" s="12"/>
      <c r="RJL38" s="12"/>
      <c r="RKC38" s="12"/>
      <c r="RKD38" s="12"/>
      <c r="RKU38" s="12"/>
      <c r="RKV38" s="12"/>
      <c r="RLM38" s="12"/>
      <c r="RLN38" s="12"/>
      <c r="RME38" s="12"/>
      <c r="RMF38" s="12"/>
      <c r="RMW38" s="12"/>
      <c r="RMX38" s="12"/>
      <c r="RNO38" s="12"/>
      <c r="RNP38" s="12"/>
      <c r="ROG38" s="12"/>
      <c r="ROH38" s="12"/>
      <c r="ROY38" s="12"/>
      <c r="ROZ38" s="12"/>
      <c r="RPQ38" s="12"/>
      <c r="RPR38" s="12"/>
      <c r="RQI38" s="12"/>
      <c r="RQJ38" s="12"/>
      <c r="RRA38" s="12"/>
      <c r="RRB38" s="12"/>
      <c r="RRS38" s="12"/>
      <c r="RRT38" s="12"/>
      <c r="RSK38" s="12"/>
      <c r="RSL38" s="12"/>
      <c r="RTC38" s="12"/>
      <c r="RTD38" s="12"/>
      <c r="RTU38" s="12"/>
      <c r="RTV38" s="12"/>
      <c r="RUM38" s="12"/>
      <c r="RUN38" s="12"/>
      <c r="RVE38" s="12"/>
      <c r="RVF38" s="12"/>
      <c r="RVW38" s="12"/>
      <c r="RVX38" s="12"/>
      <c r="RWO38" s="12"/>
      <c r="RWP38" s="12"/>
      <c r="RXG38" s="12"/>
      <c r="RXH38" s="12"/>
      <c r="RXY38" s="12"/>
      <c r="RXZ38" s="12"/>
      <c r="RYQ38" s="12"/>
      <c r="RYR38" s="12"/>
      <c r="RZI38" s="12"/>
      <c r="RZJ38" s="12"/>
      <c r="SAA38" s="12"/>
      <c r="SAB38" s="12"/>
      <c r="SAS38" s="12"/>
      <c r="SAT38" s="12"/>
      <c r="SBK38" s="12"/>
      <c r="SBL38" s="12"/>
      <c r="SCC38" s="12"/>
      <c r="SCD38" s="12"/>
      <c r="SCU38" s="12"/>
      <c r="SCV38" s="12"/>
      <c r="SDM38" s="12"/>
      <c r="SDN38" s="12"/>
      <c r="SEE38" s="12"/>
      <c r="SEF38" s="12"/>
      <c r="SEW38" s="12"/>
      <c r="SEX38" s="12"/>
      <c r="SFO38" s="12"/>
      <c r="SFP38" s="12"/>
      <c r="SGG38" s="12"/>
      <c r="SGH38" s="12"/>
      <c r="SGY38" s="12"/>
      <c r="SGZ38" s="12"/>
      <c r="SHQ38" s="12"/>
      <c r="SHR38" s="12"/>
      <c r="SII38" s="12"/>
      <c r="SIJ38" s="12"/>
      <c r="SJA38" s="12"/>
      <c r="SJB38" s="12"/>
      <c r="SJS38" s="12"/>
      <c r="SJT38" s="12"/>
      <c r="SKK38" s="12"/>
      <c r="SKL38" s="12"/>
      <c r="SLC38" s="12"/>
      <c r="SLD38" s="12"/>
      <c r="SLU38" s="12"/>
      <c r="SLV38" s="12"/>
      <c r="SMM38" s="12"/>
      <c r="SMN38" s="12"/>
      <c r="SNE38" s="12"/>
      <c r="SNF38" s="12"/>
      <c r="SNW38" s="12"/>
      <c r="SNX38" s="12"/>
      <c r="SOO38" s="12"/>
      <c r="SOP38" s="12"/>
      <c r="SPG38" s="12"/>
      <c r="SPH38" s="12"/>
      <c r="SPY38" s="12"/>
      <c r="SPZ38" s="12"/>
      <c r="SQQ38" s="12"/>
      <c r="SQR38" s="12"/>
      <c r="SRI38" s="12"/>
      <c r="SRJ38" s="12"/>
      <c r="SSA38" s="12"/>
      <c r="SSB38" s="12"/>
      <c r="SSS38" s="12"/>
      <c r="SST38" s="12"/>
      <c r="STK38" s="12"/>
      <c r="STL38" s="12"/>
      <c r="SUC38" s="12"/>
      <c r="SUD38" s="12"/>
      <c r="SUU38" s="12"/>
      <c r="SUV38" s="12"/>
      <c r="SVM38" s="12"/>
      <c r="SVN38" s="12"/>
      <c r="SWE38" s="12"/>
      <c r="SWF38" s="12"/>
      <c r="SWW38" s="12"/>
      <c r="SWX38" s="12"/>
      <c r="SXO38" s="12"/>
      <c r="SXP38" s="12"/>
      <c r="SYG38" s="12"/>
      <c r="SYH38" s="12"/>
      <c r="SYY38" s="12"/>
      <c r="SYZ38" s="12"/>
      <c r="SZQ38" s="12"/>
      <c r="SZR38" s="12"/>
      <c r="TAI38" s="12"/>
      <c r="TAJ38" s="12"/>
      <c r="TBA38" s="12"/>
      <c r="TBB38" s="12"/>
      <c r="TBS38" s="12"/>
      <c r="TBT38" s="12"/>
      <c r="TCK38" s="12"/>
      <c r="TCL38" s="12"/>
      <c r="TDC38" s="12"/>
      <c r="TDD38" s="12"/>
      <c r="TDU38" s="12"/>
      <c r="TDV38" s="12"/>
      <c r="TEM38" s="12"/>
      <c r="TEN38" s="12"/>
      <c r="TFE38" s="12"/>
      <c r="TFF38" s="12"/>
      <c r="TFW38" s="12"/>
      <c r="TFX38" s="12"/>
      <c r="TGO38" s="12"/>
      <c r="TGP38" s="12"/>
      <c r="THG38" s="12"/>
      <c r="THH38" s="12"/>
      <c r="THY38" s="12"/>
      <c r="THZ38" s="12"/>
      <c r="TIQ38" s="12"/>
      <c r="TIR38" s="12"/>
      <c r="TJI38" s="12"/>
      <c r="TJJ38" s="12"/>
      <c r="TKA38" s="12"/>
      <c r="TKB38" s="12"/>
      <c r="TKS38" s="12"/>
      <c r="TKT38" s="12"/>
      <c r="TLK38" s="12"/>
      <c r="TLL38" s="12"/>
      <c r="TMC38" s="12"/>
      <c r="TMD38" s="12"/>
      <c r="TMU38" s="12"/>
      <c r="TMV38" s="12"/>
      <c r="TNM38" s="12"/>
      <c r="TNN38" s="12"/>
      <c r="TOE38" s="12"/>
      <c r="TOF38" s="12"/>
      <c r="TOW38" s="12"/>
      <c r="TOX38" s="12"/>
      <c r="TPO38" s="12"/>
      <c r="TPP38" s="12"/>
      <c r="TQG38" s="12"/>
      <c r="TQH38" s="12"/>
      <c r="TQY38" s="12"/>
      <c r="TQZ38" s="12"/>
      <c r="TRQ38" s="12"/>
      <c r="TRR38" s="12"/>
      <c r="TSI38" s="12"/>
      <c r="TSJ38" s="12"/>
      <c r="TTA38" s="12"/>
      <c r="TTB38" s="12"/>
      <c r="TTS38" s="12"/>
      <c r="TTT38" s="12"/>
      <c r="TUK38" s="12"/>
      <c r="TUL38" s="12"/>
      <c r="TVC38" s="12"/>
      <c r="TVD38" s="12"/>
      <c r="TVU38" s="12"/>
      <c r="TVV38" s="12"/>
      <c r="TWM38" s="12"/>
      <c r="TWN38" s="12"/>
      <c r="TXE38" s="12"/>
      <c r="TXF38" s="12"/>
      <c r="TXW38" s="12"/>
      <c r="TXX38" s="12"/>
      <c r="TYO38" s="12"/>
      <c r="TYP38" s="12"/>
      <c r="TZG38" s="12"/>
      <c r="TZH38" s="12"/>
      <c r="TZY38" s="12"/>
      <c r="TZZ38" s="12"/>
      <c r="UAQ38" s="12"/>
      <c r="UAR38" s="12"/>
      <c r="UBI38" s="12"/>
      <c r="UBJ38" s="12"/>
      <c r="UCA38" s="12"/>
      <c r="UCB38" s="12"/>
      <c r="UCS38" s="12"/>
      <c r="UCT38" s="12"/>
      <c r="UDK38" s="12"/>
      <c r="UDL38" s="12"/>
      <c r="UEC38" s="12"/>
      <c r="UED38" s="12"/>
      <c r="UEU38" s="12"/>
      <c r="UEV38" s="12"/>
      <c r="UFM38" s="12"/>
      <c r="UFN38" s="12"/>
      <c r="UGE38" s="12"/>
      <c r="UGF38" s="12"/>
      <c r="UGW38" s="12"/>
      <c r="UGX38" s="12"/>
      <c r="UHO38" s="12"/>
      <c r="UHP38" s="12"/>
      <c r="UIG38" s="12"/>
      <c r="UIH38" s="12"/>
      <c r="UIY38" s="12"/>
      <c r="UIZ38" s="12"/>
      <c r="UJQ38" s="12"/>
      <c r="UJR38" s="12"/>
      <c r="UKI38" s="12"/>
      <c r="UKJ38" s="12"/>
      <c r="ULA38" s="12"/>
      <c r="ULB38" s="12"/>
      <c r="ULS38" s="12"/>
      <c r="ULT38" s="12"/>
      <c r="UMK38" s="12"/>
      <c r="UML38" s="12"/>
      <c r="UNC38" s="12"/>
      <c r="UND38" s="12"/>
      <c r="UNU38" s="12"/>
      <c r="UNV38" s="12"/>
      <c r="UOM38" s="12"/>
      <c r="UON38" s="12"/>
      <c r="UPE38" s="12"/>
      <c r="UPF38" s="12"/>
      <c r="UPW38" s="12"/>
      <c r="UPX38" s="12"/>
      <c r="UQO38" s="12"/>
      <c r="UQP38" s="12"/>
      <c r="URG38" s="12"/>
      <c r="URH38" s="12"/>
      <c r="URY38" s="12"/>
      <c r="URZ38" s="12"/>
      <c r="USQ38" s="12"/>
      <c r="USR38" s="12"/>
      <c r="UTI38" s="12"/>
      <c r="UTJ38" s="12"/>
      <c r="UUA38" s="12"/>
      <c r="UUB38" s="12"/>
      <c r="UUS38" s="12"/>
      <c r="UUT38" s="12"/>
      <c r="UVK38" s="12"/>
      <c r="UVL38" s="12"/>
      <c r="UWC38" s="12"/>
      <c r="UWD38" s="12"/>
      <c r="UWU38" s="12"/>
      <c r="UWV38" s="12"/>
      <c r="UXM38" s="12"/>
      <c r="UXN38" s="12"/>
      <c r="UYE38" s="12"/>
      <c r="UYF38" s="12"/>
      <c r="UYW38" s="12"/>
      <c r="UYX38" s="12"/>
      <c r="UZO38" s="12"/>
      <c r="UZP38" s="12"/>
      <c r="VAG38" s="12"/>
      <c r="VAH38" s="12"/>
      <c r="VAY38" s="12"/>
      <c r="VAZ38" s="12"/>
      <c r="VBQ38" s="12"/>
      <c r="VBR38" s="12"/>
      <c r="VCI38" s="12"/>
      <c r="VCJ38" s="12"/>
      <c r="VDA38" s="12"/>
      <c r="VDB38" s="12"/>
      <c r="VDS38" s="12"/>
      <c r="VDT38" s="12"/>
      <c r="VEK38" s="12"/>
      <c r="VEL38" s="12"/>
      <c r="VFC38" s="12"/>
      <c r="VFD38" s="12"/>
      <c r="VFU38" s="12"/>
      <c r="VFV38" s="12"/>
      <c r="VGM38" s="12"/>
      <c r="VGN38" s="12"/>
      <c r="VHE38" s="12"/>
      <c r="VHF38" s="12"/>
      <c r="VHW38" s="12"/>
      <c r="VHX38" s="12"/>
      <c r="VIO38" s="12"/>
      <c r="VIP38" s="12"/>
      <c r="VJG38" s="12"/>
      <c r="VJH38" s="12"/>
      <c r="VJY38" s="12"/>
      <c r="VJZ38" s="12"/>
      <c r="VKQ38" s="12"/>
      <c r="VKR38" s="12"/>
      <c r="VLI38" s="12"/>
      <c r="VLJ38" s="12"/>
      <c r="VMA38" s="12"/>
      <c r="VMB38" s="12"/>
      <c r="VMS38" s="12"/>
      <c r="VMT38" s="12"/>
      <c r="VNK38" s="12"/>
      <c r="VNL38" s="12"/>
      <c r="VOC38" s="12"/>
      <c r="VOD38" s="12"/>
      <c r="VOU38" s="12"/>
      <c r="VOV38" s="12"/>
      <c r="VPM38" s="12"/>
      <c r="VPN38" s="12"/>
      <c r="VQE38" s="12"/>
      <c r="VQF38" s="12"/>
      <c r="VQW38" s="12"/>
      <c r="VQX38" s="12"/>
      <c r="VRO38" s="12"/>
      <c r="VRP38" s="12"/>
      <c r="VSG38" s="12"/>
      <c r="VSH38" s="12"/>
      <c r="VSY38" s="12"/>
      <c r="VSZ38" s="12"/>
      <c r="VTQ38" s="12"/>
      <c r="VTR38" s="12"/>
      <c r="VUI38" s="12"/>
      <c r="VUJ38" s="12"/>
      <c r="VVA38" s="12"/>
      <c r="VVB38" s="12"/>
      <c r="VVS38" s="12"/>
      <c r="VVT38" s="12"/>
      <c r="VWK38" s="12"/>
      <c r="VWL38" s="12"/>
      <c r="VXC38" s="12"/>
      <c r="VXD38" s="12"/>
      <c r="VXU38" s="12"/>
      <c r="VXV38" s="12"/>
      <c r="VYM38" s="12"/>
      <c r="VYN38" s="12"/>
      <c r="VZE38" s="12"/>
      <c r="VZF38" s="12"/>
      <c r="VZW38" s="12"/>
      <c r="VZX38" s="12"/>
      <c r="WAO38" s="12"/>
      <c r="WAP38" s="12"/>
      <c r="WBG38" s="12"/>
      <c r="WBH38" s="12"/>
      <c r="WBY38" s="12"/>
      <c r="WBZ38" s="12"/>
      <c r="WCQ38" s="12"/>
      <c r="WCR38" s="12"/>
      <c r="WDI38" s="12"/>
      <c r="WDJ38" s="12"/>
      <c r="WEA38" s="12"/>
      <c r="WEB38" s="12"/>
      <c r="WES38" s="12"/>
      <c r="WET38" s="12"/>
      <c r="WFK38" s="12"/>
      <c r="WFL38" s="12"/>
      <c r="WGC38" s="12"/>
      <c r="WGD38" s="12"/>
      <c r="WGU38" s="12"/>
      <c r="WGV38" s="12"/>
      <c r="WHM38" s="12"/>
      <c r="WHN38" s="12"/>
      <c r="WIE38" s="12"/>
      <c r="WIF38" s="12"/>
      <c r="WIW38" s="12"/>
      <c r="WIX38" s="12"/>
      <c r="WJO38" s="12"/>
      <c r="WJP38" s="12"/>
      <c r="WKG38" s="12"/>
      <c r="WKH38" s="12"/>
      <c r="WKY38" s="12"/>
      <c r="WKZ38" s="12"/>
      <c r="WLQ38" s="12"/>
      <c r="WLR38" s="12"/>
      <c r="WMI38" s="12"/>
      <c r="WMJ38" s="12"/>
      <c r="WNA38" s="12"/>
      <c r="WNB38" s="12"/>
      <c r="WNS38" s="12"/>
      <c r="WNT38" s="12"/>
      <c r="WOK38" s="12"/>
      <c r="WOL38" s="12"/>
      <c r="WPC38" s="12"/>
      <c r="WPD38" s="12"/>
      <c r="WPU38" s="12"/>
      <c r="WPV38" s="12"/>
      <c r="WQM38" s="12"/>
      <c r="WQN38" s="12"/>
      <c r="WRE38" s="12"/>
      <c r="WRF38" s="12"/>
      <c r="WRW38" s="12"/>
      <c r="WRX38" s="12"/>
      <c r="WSO38" s="12"/>
      <c r="WSP38" s="12"/>
      <c r="WTG38" s="12"/>
      <c r="WTH38" s="12"/>
      <c r="WTY38" s="12"/>
      <c r="WTZ38" s="12"/>
      <c r="WUQ38" s="12"/>
      <c r="WUR38" s="12"/>
      <c r="WVI38" s="12"/>
      <c r="WVJ38" s="12"/>
      <c r="WWA38" s="12"/>
      <c r="WWB38" s="12"/>
      <c r="WWS38" s="12"/>
      <c r="WWT38" s="12"/>
      <c r="WXK38" s="12"/>
      <c r="WXL38" s="12"/>
      <c r="WYC38" s="12"/>
      <c r="WYD38" s="12"/>
      <c r="WYU38" s="12"/>
      <c r="WYV38" s="12"/>
      <c r="WZM38" s="12"/>
      <c r="WZN38" s="12"/>
      <c r="XAE38" s="12"/>
      <c r="XAF38" s="12"/>
      <c r="XAW38" s="12"/>
      <c r="XAX38" s="12"/>
      <c r="XBO38" s="12"/>
      <c r="XBP38" s="12"/>
      <c r="XCG38" s="12"/>
      <c r="XCH38" s="12"/>
      <c r="XCY38" s="12"/>
      <c r="XCZ38" s="12"/>
      <c r="XDQ38" s="12"/>
      <c r="XDR38" s="12"/>
      <c r="XEI38" s="12"/>
      <c r="XEJ38" s="12"/>
      <c r="XFA38" s="12"/>
      <c r="XFB38" s="12"/>
    </row>
    <row r="39" spans="1:1010 1027:2036 2053:3062 3079:4088 4105:5114 5131:6140 6157:7166 7183:8192 8209:9200 9217:10226 10243:11252 11269:12278 12295:13304 13321:14330 14347:15356 15373:16382" s="11" customFormat="1" x14ac:dyDescent="0.35">
      <c r="A39" s="183" t="str">
        <f>'Income - GAAP'!A39</f>
        <v xml:space="preserve">    + (Income) Loss from Affiliates</v>
      </c>
      <c r="B39" s="75" t="str">
        <f>'Income - GAAP'!B39</f>
        <v>INCOME_LOSS_FROM_AFFILIATES</v>
      </c>
      <c r="C39" s="76">
        <f>IF('Income - GAAP'!C39="",0,'Income - GAAP'!C39)/'Income - GAAP'!C$9</f>
        <v>0</v>
      </c>
      <c r="D39" s="76">
        <f>IF('Income - GAAP'!D39="",0,'Income - GAAP'!D39)/'Income - GAAP'!D$9</f>
        <v>0</v>
      </c>
      <c r="E39" s="76">
        <f>IF('Income - GAAP'!E39="",0,'Income - GAAP'!E39)/'Income - GAAP'!E$9</f>
        <v>0</v>
      </c>
      <c r="F39" s="76">
        <f>IF('Income - GAAP'!F39="",0,'Income - GAAP'!F39)/'Income - GAAP'!F$9</f>
        <v>0</v>
      </c>
      <c r="G39" s="76">
        <f>IF('Income - GAAP'!G39="",0,'Income - GAAP'!G39)/'Income - GAAP'!G$9</f>
        <v>0</v>
      </c>
      <c r="H39" s="76">
        <f>IF('Income - GAAP'!H39="",0,'Income - GAAP'!H39)/'Income - GAAP'!H$9</f>
        <v>0</v>
      </c>
      <c r="I39" s="76">
        <f>IF('Income - GAAP'!I39="",0,'Income - GAAP'!I39)/'Income - GAAP'!I$9</f>
        <v>0</v>
      </c>
      <c r="J39" s="76">
        <f>IF('Income - GAAP'!J39="",0,'Income - GAAP'!J39)/'Income - GAAP'!J$9</f>
        <v>0</v>
      </c>
      <c r="K39" s="76">
        <f>IF('Income - GAAP'!K39="",0,'Income - GAAP'!K39)/'Income - GAAP'!K$9</f>
        <v>0</v>
      </c>
      <c r="L39" s="76">
        <f>IF('Income - GAAP'!L39="",0,'Income - GAAP'!L39)/'Income - GAAP'!L$9</f>
        <v>0</v>
      </c>
      <c r="M39" s="108"/>
      <c r="N39" s="108"/>
      <c r="O39" s="108"/>
      <c r="P39" s="108"/>
      <c r="Q39" s="108"/>
      <c r="R39" s="108"/>
      <c r="S39" s="109"/>
      <c r="T39" s="109"/>
      <c r="U39" s="108"/>
      <c r="V39" s="108"/>
      <c r="W39" s="108"/>
      <c r="X39" s="108"/>
      <c r="Y39" s="108"/>
      <c r="Z39" s="108"/>
      <c r="AA39" s="108"/>
      <c r="AB39" s="108"/>
      <c r="AC39" s="108"/>
      <c r="AD39" s="108"/>
      <c r="AE39" s="108"/>
      <c r="AF39" s="108"/>
      <c r="AG39" s="108"/>
      <c r="AH39" s="108"/>
      <c r="AI39" s="108"/>
      <c r="AJ39" s="108"/>
      <c r="AK39" s="109"/>
      <c r="AL39" s="12"/>
      <c r="BC39" s="12"/>
      <c r="BD39" s="12"/>
      <c r="BU39" s="12"/>
      <c r="BV39" s="12"/>
      <c r="CM39" s="12"/>
      <c r="CN39" s="12"/>
      <c r="DE39" s="12"/>
      <c r="DF39" s="12"/>
      <c r="DW39" s="12"/>
      <c r="DX39" s="12"/>
      <c r="EO39" s="12"/>
      <c r="EP39" s="12"/>
      <c r="FG39" s="12"/>
      <c r="FH39" s="12"/>
      <c r="FY39" s="12"/>
      <c r="FZ39" s="12"/>
      <c r="GQ39" s="12"/>
      <c r="GR39" s="12"/>
      <c r="HI39" s="12"/>
      <c r="HJ39" s="12"/>
      <c r="IA39" s="12"/>
      <c r="IB39" s="12"/>
      <c r="IS39" s="12"/>
      <c r="IT39" s="12"/>
      <c r="JK39" s="12"/>
      <c r="JL39" s="12"/>
      <c r="KC39" s="12"/>
      <c r="KD39" s="12"/>
      <c r="KU39" s="12"/>
      <c r="KV39" s="12"/>
      <c r="LM39" s="12"/>
      <c r="LN39" s="12"/>
      <c r="ME39" s="12"/>
      <c r="MF39" s="12"/>
      <c r="MW39" s="12"/>
      <c r="MX39" s="12"/>
      <c r="NO39" s="12"/>
      <c r="NP39" s="12"/>
      <c r="OG39" s="12"/>
      <c r="OH39" s="12"/>
      <c r="OY39" s="12"/>
      <c r="OZ39" s="12"/>
      <c r="PQ39" s="12"/>
      <c r="PR39" s="12"/>
      <c r="QI39" s="12"/>
      <c r="QJ39" s="12"/>
      <c r="RA39" s="12"/>
      <c r="RB39" s="12"/>
      <c r="RS39" s="12"/>
      <c r="RT39" s="12"/>
      <c r="SK39" s="12"/>
      <c r="SL39" s="12"/>
      <c r="TC39" s="12"/>
      <c r="TD39" s="12"/>
      <c r="TU39" s="12"/>
      <c r="TV39" s="12"/>
      <c r="UM39" s="12"/>
      <c r="UN39" s="12"/>
      <c r="VE39" s="12"/>
      <c r="VF39" s="12"/>
      <c r="VW39" s="12"/>
      <c r="VX39" s="12"/>
      <c r="WO39" s="12"/>
      <c r="WP39" s="12"/>
      <c r="XG39" s="12"/>
      <c r="XH39" s="12"/>
      <c r="XY39" s="12"/>
      <c r="XZ39" s="12"/>
      <c r="YQ39" s="12"/>
      <c r="YR39" s="12"/>
      <c r="ZI39" s="12"/>
      <c r="ZJ39" s="12"/>
      <c r="AAA39" s="12"/>
      <c r="AAB39" s="12"/>
      <c r="AAS39" s="12"/>
      <c r="AAT39" s="12"/>
      <c r="ABK39" s="12"/>
      <c r="ABL39" s="12"/>
      <c r="ACC39" s="12"/>
      <c r="ACD39" s="12"/>
      <c r="ACU39" s="12"/>
      <c r="ACV39" s="12"/>
      <c r="ADM39" s="12"/>
      <c r="ADN39" s="12"/>
      <c r="AEE39" s="12"/>
      <c r="AEF39" s="12"/>
      <c r="AEW39" s="12"/>
      <c r="AEX39" s="12"/>
      <c r="AFO39" s="12"/>
      <c r="AFP39" s="12"/>
      <c r="AGG39" s="12"/>
      <c r="AGH39" s="12"/>
      <c r="AGY39" s="12"/>
      <c r="AGZ39" s="12"/>
      <c r="AHQ39" s="12"/>
      <c r="AHR39" s="12"/>
      <c r="AII39" s="12"/>
      <c r="AIJ39" s="12"/>
      <c r="AJA39" s="12"/>
      <c r="AJB39" s="12"/>
      <c r="AJS39" s="12"/>
      <c r="AJT39" s="12"/>
      <c r="AKK39" s="12"/>
      <c r="AKL39" s="12"/>
      <c r="ALC39" s="12"/>
      <c r="ALD39" s="12"/>
      <c r="ALU39" s="12"/>
      <c r="ALV39" s="12"/>
      <c r="AMM39" s="12"/>
      <c r="AMN39" s="12"/>
      <c r="ANE39" s="12"/>
      <c r="ANF39" s="12"/>
      <c r="ANW39" s="12"/>
      <c r="ANX39" s="12"/>
      <c r="AOO39" s="12"/>
      <c r="AOP39" s="12"/>
      <c r="APG39" s="12"/>
      <c r="APH39" s="12"/>
      <c r="APY39" s="12"/>
      <c r="APZ39" s="12"/>
      <c r="AQQ39" s="12"/>
      <c r="AQR39" s="12"/>
      <c r="ARI39" s="12"/>
      <c r="ARJ39" s="12"/>
      <c r="ASA39" s="12"/>
      <c r="ASB39" s="12"/>
      <c r="ASS39" s="12"/>
      <c r="AST39" s="12"/>
      <c r="ATK39" s="12"/>
      <c r="ATL39" s="12"/>
      <c r="AUC39" s="12"/>
      <c r="AUD39" s="12"/>
      <c r="AUU39" s="12"/>
      <c r="AUV39" s="12"/>
      <c r="AVM39" s="12"/>
      <c r="AVN39" s="12"/>
      <c r="AWE39" s="12"/>
      <c r="AWF39" s="12"/>
      <c r="AWW39" s="12"/>
      <c r="AWX39" s="12"/>
      <c r="AXO39" s="12"/>
      <c r="AXP39" s="12"/>
      <c r="AYG39" s="12"/>
      <c r="AYH39" s="12"/>
      <c r="AYY39" s="12"/>
      <c r="AYZ39" s="12"/>
      <c r="AZQ39" s="12"/>
      <c r="AZR39" s="12"/>
      <c r="BAI39" s="12"/>
      <c r="BAJ39" s="12"/>
      <c r="BBA39" s="12"/>
      <c r="BBB39" s="12"/>
      <c r="BBS39" s="12"/>
      <c r="BBT39" s="12"/>
      <c r="BCK39" s="12"/>
      <c r="BCL39" s="12"/>
      <c r="BDC39" s="12"/>
      <c r="BDD39" s="12"/>
      <c r="BDU39" s="12"/>
      <c r="BDV39" s="12"/>
      <c r="BEM39" s="12"/>
      <c r="BEN39" s="12"/>
      <c r="BFE39" s="12"/>
      <c r="BFF39" s="12"/>
      <c r="BFW39" s="12"/>
      <c r="BFX39" s="12"/>
      <c r="BGO39" s="12"/>
      <c r="BGP39" s="12"/>
      <c r="BHG39" s="12"/>
      <c r="BHH39" s="12"/>
      <c r="BHY39" s="12"/>
      <c r="BHZ39" s="12"/>
      <c r="BIQ39" s="12"/>
      <c r="BIR39" s="12"/>
      <c r="BJI39" s="12"/>
      <c r="BJJ39" s="12"/>
      <c r="BKA39" s="12"/>
      <c r="BKB39" s="12"/>
      <c r="BKS39" s="12"/>
      <c r="BKT39" s="12"/>
      <c r="BLK39" s="12"/>
      <c r="BLL39" s="12"/>
      <c r="BMC39" s="12"/>
      <c r="BMD39" s="12"/>
      <c r="BMU39" s="12"/>
      <c r="BMV39" s="12"/>
      <c r="BNM39" s="12"/>
      <c r="BNN39" s="12"/>
      <c r="BOE39" s="12"/>
      <c r="BOF39" s="12"/>
      <c r="BOW39" s="12"/>
      <c r="BOX39" s="12"/>
      <c r="BPO39" s="12"/>
      <c r="BPP39" s="12"/>
      <c r="BQG39" s="12"/>
      <c r="BQH39" s="12"/>
      <c r="BQY39" s="12"/>
      <c r="BQZ39" s="12"/>
      <c r="BRQ39" s="12"/>
      <c r="BRR39" s="12"/>
      <c r="BSI39" s="12"/>
      <c r="BSJ39" s="12"/>
      <c r="BTA39" s="12"/>
      <c r="BTB39" s="12"/>
      <c r="BTS39" s="12"/>
      <c r="BTT39" s="12"/>
      <c r="BUK39" s="12"/>
      <c r="BUL39" s="12"/>
      <c r="BVC39" s="12"/>
      <c r="BVD39" s="12"/>
      <c r="BVU39" s="12"/>
      <c r="BVV39" s="12"/>
      <c r="BWM39" s="12"/>
      <c r="BWN39" s="12"/>
      <c r="BXE39" s="12"/>
      <c r="BXF39" s="12"/>
      <c r="BXW39" s="12"/>
      <c r="BXX39" s="12"/>
      <c r="BYO39" s="12"/>
      <c r="BYP39" s="12"/>
      <c r="BZG39" s="12"/>
      <c r="BZH39" s="12"/>
      <c r="BZY39" s="12"/>
      <c r="BZZ39" s="12"/>
      <c r="CAQ39" s="12"/>
      <c r="CAR39" s="12"/>
      <c r="CBI39" s="12"/>
      <c r="CBJ39" s="12"/>
      <c r="CCA39" s="12"/>
      <c r="CCB39" s="12"/>
      <c r="CCS39" s="12"/>
      <c r="CCT39" s="12"/>
      <c r="CDK39" s="12"/>
      <c r="CDL39" s="12"/>
      <c r="CEC39" s="12"/>
      <c r="CED39" s="12"/>
      <c r="CEU39" s="12"/>
      <c r="CEV39" s="12"/>
      <c r="CFM39" s="12"/>
      <c r="CFN39" s="12"/>
      <c r="CGE39" s="12"/>
      <c r="CGF39" s="12"/>
      <c r="CGW39" s="12"/>
      <c r="CGX39" s="12"/>
      <c r="CHO39" s="12"/>
      <c r="CHP39" s="12"/>
      <c r="CIG39" s="12"/>
      <c r="CIH39" s="12"/>
      <c r="CIY39" s="12"/>
      <c r="CIZ39" s="12"/>
      <c r="CJQ39" s="12"/>
      <c r="CJR39" s="12"/>
      <c r="CKI39" s="12"/>
      <c r="CKJ39" s="12"/>
      <c r="CLA39" s="12"/>
      <c r="CLB39" s="12"/>
      <c r="CLS39" s="12"/>
      <c r="CLT39" s="12"/>
      <c r="CMK39" s="12"/>
      <c r="CML39" s="12"/>
      <c r="CNC39" s="12"/>
      <c r="CND39" s="12"/>
      <c r="CNU39" s="12"/>
      <c r="CNV39" s="12"/>
      <c r="COM39" s="12"/>
      <c r="CON39" s="12"/>
      <c r="CPE39" s="12"/>
      <c r="CPF39" s="12"/>
      <c r="CPW39" s="12"/>
      <c r="CPX39" s="12"/>
      <c r="CQO39" s="12"/>
      <c r="CQP39" s="12"/>
      <c r="CRG39" s="12"/>
      <c r="CRH39" s="12"/>
      <c r="CRY39" s="12"/>
      <c r="CRZ39" s="12"/>
      <c r="CSQ39" s="12"/>
      <c r="CSR39" s="12"/>
      <c r="CTI39" s="12"/>
      <c r="CTJ39" s="12"/>
      <c r="CUA39" s="12"/>
      <c r="CUB39" s="12"/>
      <c r="CUS39" s="12"/>
      <c r="CUT39" s="12"/>
      <c r="CVK39" s="12"/>
      <c r="CVL39" s="12"/>
      <c r="CWC39" s="12"/>
      <c r="CWD39" s="12"/>
      <c r="CWU39" s="12"/>
      <c r="CWV39" s="12"/>
      <c r="CXM39" s="12"/>
      <c r="CXN39" s="12"/>
      <c r="CYE39" s="12"/>
      <c r="CYF39" s="12"/>
      <c r="CYW39" s="12"/>
      <c r="CYX39" s="12"/>
      <c r="CZO39" s="12"/>
      <c r="CZP39" s="12"/>
      <c r="DAG39" s="12"/>
      <c r="DAH39" s="12"/>
      <c r="DAY39" s="12"/>
      <c r="DAZ39" s="12"/>
      <c r="DBQ39" s="12"/>
      <c r="DBR39" s="12"/>
      <c r="DCI39" s="12"/>
      <c r="DCJ39" s="12"/>
      <c r="DDA39" s="12"/>
      <c r="DDB39" s="12"/>
      <c r="DDS39" s="12"/>
      <c r="DDT39" s="12"/>
      <c r="DEK39" s="12"/>
      <c r="DEL39" s="12"/>
      <c r="DFC39" s="12"/>
      <c r="DFD39" s="12"/>
      <c r="DFU39" s="12"/>
      <c r="DFV39" s="12"/>
      <c r="DGM39" s="12"/>
      <c r="DGN39" s="12"/>
      <c r="DHE39" s="12"/>
      <c r="DHF39" s="12"/>
      <c r="DHW39" s="12"/>
      <c r="DHX39" s="12"/>
      <c r="DIO39" s="12"/>
      <c r="DIP39" s="12"/>
      <c r="DJG39" s="12"/>
      <c r="DJH39" s="12"/>
      <c r="DJY39" s="12"/>
      <c r="DJZ39" s="12"/>
      <c r="DKQ39" s="12"/>
      <c r="DKR39" s="12"/>
      <c r="DLI39" s="12"/>
      <c r="DLJ39" s="12"/>
      <c r="DMA39" s="12"/>
      <c r="DMB39" s="12"/>
      <c r="DMS39" s="12"/>
      <c r="DMT39" s="12"/>
      <c r="DNK39" s="12"/>
      <c r="DNL39" s="12"/>
      <c r="DOC39" s="12"/>
      <c r="DOD39" s="12"/>
      <c r="DOU39" s="12"/>
      <c r="DOV39" s="12"/>
      <c r="DPM39" s="12"/>
      <c r="DPN39" s="12"/>
      <c r="DQE39" s="12"/>
      <c r="DQF39" s="12"/>
      <c r="DQW39" s="12"/>
      <c r="DQX39" s="12"/>
      <c r="DRO39" s="12"/>
      <c r="DRP39" s="12"/>
      <c r="DSG39" s="12"/>
      <c r="DSH39" s="12"/>
      <c r="DSY39" s="12"/>
      <c r="DSZ39" s="12"/>
      <c r="DTQ39" s="12"/>
      <c r="DTR39" s="12"/>
      <c r="DUI39" s="12"/>
      <c r="DUJ39" s="12"/>
      <c r="DVA39" s="12"/>
      <c r="DVB39" s="12"/>
      <c r="DVS39" s="12"/>
      <c r="DVT39" s="12"/>
      <c r="DWK39" s="12"/>
      <c r="DWL39" s="12"/>
      <c r="DXC39" s="12"/>
      <c r="DXD39" s="12"/>
      <c r="DXU39" s="12"/>
      <c r="DXV39" s="12"/>
      <c r="DYM39" s="12"/>
      <c r="DYN39" s="12"/>
      <c r="DZE39" s="12"/>
      <c r="DZF39" s="12"/>
      <c r="DZW39" s="12"/>
      <c r="DZX39" s="12"/>
      <c r="EAO39" s="12"/>
      <c r="EAP39" s="12"/>
      <c r="EBG39" s="12"/>
      <c r="EBH39" s="12"/>
      <c r="EBY39" s="12"/>
      <c r="EBZ39" s="12"/>
      <c r="ECQ39" s="12"/>
      <c r="ECR39" s="12"/>
      <c r="EDI39" s="12"/>
      <c r="EDJ39" s="12"/>
      <c r="EEA39" s="12"/>
      <c r="EEB39" s="12"/>
      <c r="EES39" s="12"/>
      <c r="EET39" s="12"/>
      <c r="EFK39" s="12"/>
      <c r="EFL39" s="12"/>
      <c r="EGC39" s="12"/>
      <c r="EGD39" s="12"/>
      <c r="EGU39" s="12"/>
      <c r="EGV39" s="12"/>
      <c r="EHM39" s="12"/>
      <c r="EHN39" s="12"/>
      <c r="EIE39" s="12"/>
      <c r="EIF39" s="12"/>
      <c r="EIW39" s="12"/>
      <c r="EIX39" s="12"/>
      <c r="EJO39" s="12"/>
      <c r="EJP39" s="12"/>
      <c r="EKG39" s="12"/>
      <c r="EKH39" s="12"/>
      <c r="EKY39" s="12"/>
      <c r="EKZ39" s="12"/>
      <c r="ELQ39" s="12"/>
      <c r="ELR39" s="12"/>
      <c r="EMI39" s="12"/>
      <c r="EMJ39" s="12"/>
      <c r="ENA39" s="12"/>
      <c r="ENB39" s="12"/>
      <c r="ENS39" s="12"/>
      <c r="ENT39" s="12"/>
      <c r="EOK39" s="12"/>
      <c r="EOL39" s="12"/>
      <c r="EPC39" s="12"/>
      <c r="EPD39" s="12"/>
      <c r="EPU39" s="12"/>
      <c r="EPV39" s="12"/>
      <c r="EQM39" s="12"/>
      <c r="EQN39" s="12"/>
      <c r="ERE39" s="12"/>
      <c r="ERF39" s="12"/>
      <c r="ERW39" s="12"/>
      <c r="ERX39" s="12"/>
      <c r="ESO39" s="12"/>
      <c r="ESP39" s="12"/>
      <c r="ETG39" s="12"/>
      <c r="ETH39" s="12"/>
      <c r="ETY39" s="12"/>
      <c r="ETZ39" s="12"/>
      <c r="EUQ39" s="12"/>
      <c r="EUR39" s="12"/>
      <c r="EVI39" s="12"/>
      <c r="EVJ39" s="12"/>
      <c r="EWA39" s="12"/>
      <c r="EWB39" s="12"/>
      <c r="EWS39" s="12"/>
      <c r="EWT39" s="12"/>
      <c r="EXK39" s="12"/>
      <c r="EXL39" s="12"/>
      <c r="EYC39" s="12"/>
      <c r="EYD39" s="12"/>
      <c r="EYU39" s="12"/>
      <c r="EYV39" s="12"/>
      <c r="EZM39" s="12"/>
      <c r="EZN39" s="12"/>
      <c r="FAE39" s="12"/>
      <c r="FAF39" s="12"/>
      <c r="FAW39" s="12"/>
      <c r="FAX39" s="12"/>
      <c r="FBO39" s="12"/>
      <c r="FBP39" s="12"/>
      <c r="FCG39" s="12"/>
      <c r="FCH39" s="12"/>
      <c r="FCY39" s="12"/>
      <c r="FCZ39" s="12"/>
      <c r="FDQ39" s="12"/>
      <c r="FDR39" s="12"/>
      <c r="FEI39" s="12"/>
      <c r="FEJ39" s="12"/>
      <c r="FFA39" s="12"/>
      <c r="FFB39" s="12"/>
      <c r="FFS39" s="12"/>
      <c r="FFT39" s="12"/>
      <c r="FGK39" s="12"/>
      <c r="FGL39" s="12"/>
      <c r="FHC39" s="12"/>
      <c r="FHD39" s="12"/>
      <c r="FHU39" s="12"/>
      <c r="FHV39" s="12"/>
      <c r="FIM39" s="12"/>
      <c r="FIN39" s="12"/>
      <c r="FJE39" s="12"/>
      <c r="FJF39" s="12"/>
      <c r="FJW39" s="12"/>
      <c r="FJX39" s="12"/>
      <c r="FKO39" s="12"/>
      <c r="FKP39" s="12"/>
      <c r="FLG39" s="12"/>
      <c r="FLH39" s="12"/>
      <c r="FLY39" s="12"/>
      <c r="FLZ39" s="12"/>
      <c r="FMQ39" s="12"/>
      <c r="FMR39" s="12"/>
      <c r="FNI39" s="12"/>
      <c r="FNJ39" s="12"/>
      <c r="FOA39" s="12"/>
      <c r="FOB39" s="12"/>
      <c r="FOS39" s="12"/>
      <c r="FOT39" s="12"/>
      <c r="FPK39" s="12"/>
      <c r="FPL39" s="12"/>
      <c r="FQC39" s="12"/>
      <c r="FQD39" s="12"/>
      <c r="FQU39" s="12"/>
      <c r="FQV39" s="12"/>
      <c r="FRM39" s="12"/>
      <c r="FRN39" s="12"/>
      <c r="FSE39" s="12"/>
      <c r="FSF39" s="12"/>
      <c r="FSW39" s="12"/>
      <c r="FSX39" s="12"/>
      <c r="FTO39" s="12"/>
      <c r="FTP39" s="12"/>
      <c r="FUG39" s="12"/>
      <c r="FUH39" s="12"/>
      <c r="FUY39" s="12"/>
      <c r="FUZ39" s="12"/>
      <c r="FVQ39" s="12"/>
      <c r="FVR39" s="12"/>
      <c r="FWI39" s="12"/>
      <c r="FWJ39" s="12"/>
      <c r="FXA39" s="12"/>
      <c r="FXB39" s="12"/>
      <c r="FXS39" s="12"/>
      <c r="FXT39" s="12"/>
      <c r="FYK39" s="12"/>
      <c r="FYL39" s="12"/>
      <c r="FZC39" s="12"/>
      <c r="FZD39" s="12"/>
      <c r="FZU39" s="12"/>
      <c r="FZV39" s="12"/>
      <c r="GAM39" s="12"/>
      <c r="GAN39" s="12"/>
      <c r="GBE39" s="12"/>
      <c r="GBF39" s="12"/>
      <c r="GBW39" s="12"/>
      <c r="GBX39" s="12"/>
      <c r="GCO39" s="12"/>
      <c r="GCP39" s="12"/>
      <c r="GDG39" s="12"/>
      <c r="GDH39" s="12"/>
      <c r="GDY39" s="12"/>
      <c r="GDZ39" s="12"/>
      <c r="GEQ39" s="12"/>
      <c r="GER39" s="12"/>
      <c r="GFI39" s="12"/>
      <c r="GFJ39" s="12"/>
      <c r="GGA39" s="12"/>
      <c r="GGB39" s="12"/>
      <c r="GGS39" s="12"/>
      <c r="GGT39" s="12"/>
      <c r="GHK39" s="12"/>
      <c r="GHL39" s="12"/>
      <c r="GIC39" s="12"/>
      <c r="GID39" s="12"/>
      <c r="GIU39" s="12"/>
      <c r="GIV39" s="12"/>
      <c r="GJM39" s="12"/>
      <c r="GJN39" s="12"/>
      <c r="GKE39" s="12"/>
      <c r="GKF39" s="12"/>
      <c r="GKW39" s="12"/>
      <c r="GKX39" s="12"/>
      <c r="GLO39" s="12"/>
      <c r="GLP39" s="12"/>
      <c r="GMG39" s="12"/>
      <c r="GMH39" s="12"/>
      <c r="GMY39" s="12"/>
      <c r="GMZ39" s="12"/>
      <c r="GNQ39" s="12"/>
      <c r="GNR39" s="12"/>
      <c r="GOI39" s="12"/>
      <c r="GOJ39" s="12"/>
      <c r="GPA39" s="12"/>
      <c r="GPB39" s="12"/>
      <c r="GPS39" s="12"/>
      <c r="GPT39" s="12"/>
      <c r="GQK39" s="12"/>
      <c r="GQL39" s="12"/>
      <c r="GRC39" s="12"/>
      <c r="GRD39" s="12"/>
      <c r="GRU39" s="12"/>
      <c r="GRV39" s="12"/>
      <c r="GSM39" s="12"/>
      <c r="GSN39" s="12"/>
      <c r="GTE39" s="12"/>
      <c r="GTF39" s="12"/>
      <c r="GTW39" s="12"/>
      <c r="GTX39" s="12"/>
      <c r="GUO39" s="12"/>
      <c r="GUP39" s="12"/>
      <c r="GVG39" s="12"/>
      <c r="GVH39" s="12"/>
      <c r="GVY39" s="12"/>
      <c r="GVZ39" s="12"/>
      <c r="GWQ39" s="12"/>
      <c r="GWR39" s="12"/>
      <c r="GXI39" s="12"/>
      <c r="GXJ39" s="12"/>
      <c r="GYA39" s="12"/>
      <c r="GYB39" s="12"/>
      <c r="GYS39" s="12"/>
      <c r="GYT39" s="12"/>
      <c r="GZK39" s="12"/>
      <c r="GZL39" s="12"/>
      <c r="HAC39" s="12"/>
      <c r="HAD39" s="12"/>
      <c r="HAU39" s="12"/>
      <c r="HAV39" s="12"/>
      <c r="HBM39" s="12"/>
      <c r="HBN39" s="12"/>
      <c r="HCE39" s="12"/>
      <c r="HCF39" s="12"/>
      <c r="HCW39" s="12"/>
      <c r="HCX39" s="12"/>
      <c r="HDO39" s="12"/>
      <c r="HDP39" s="12"/>
      <c r="HEG39" s="12"/>
      <c r="HEH39" s="12"/>
      <c r="HEY39" s="12"/>
      <c r="HEZ39" s="12"/>
      <c r="HFQ39" s="12"/>
      <c r="HFR39" s="12"/>
      <c r="HGI39" s="12"/>
      <c r="HGJ39" s="12"/>
      <c r="HHA39" s="12"/>
      <c r="HHB39" s="12"/>
      <c r="HHS39" s="12"/>
      <c r="HHT39" s="12"/>
      <c r="HIK39" s="12"/>
      <c r="HIL39" s="12"/>
      <c r="HJC39" s="12"/>
      <c r="HJD39" s="12"/>
      <c r="HJU39" s="12"/>
      <c r="HJV39" s="12"/>
      <c r="HKM39" s="12"/>
      <c r="HKN39" s="12"/>
      <c r="HLE39" s="12"/>
      <c r="HLF39" s="12"/>
      <c r="HLW39" s="12"/>
      <c r="HLX39" s="12"/>
      <c r="HMO39" s="12"/>
      <c r="HMP39" s="12"/>
      <c r="HNG39" s="12"/>
      <c r="HNH39" s="12"/>
      <c r="HNY39" s="12"/>
      <c r="HNZ39" s="12"/>
      <c r="HOQ39" s="12"/>
      <c r="HOR39" s="12"/>
      <c r="HPI39" s="12"/>
      <c r="HPJ39" s="12"/>
      <c r="HQA39" s="12"/>
      <c r="HQB39" s="12"/>
      <c r="HQS39" s="12"/>
      <c r="HQT39" s="12"/>
      <c r="HRK39" s="12"/>
      <c r="HRL39" s="12"/>
      <c r="HSC39" s="12"/>
      <c r="HSD39" s="12"/>
      <c r="HSU39" s="12"/>
      <c r="HSV39" s="12"/>
      <c r="HTM39" s="12"/>
      <c r="HTN39" s="12"/>
      <c r="HUE39" s="12"/>
      <c r="HUF39" s="12"/>
      <c r="HUW39" s="12"/>
      <c r="HUX39" s="12"/>
      <c r="HVO39" s="12"/>
      <c r="HVP39" s="12"/>
      <c r="HWG39" s="12"/>
      <c r="HWH39" s="12"/>
      <c r="HWY39" s="12"/>
      <c r="HWZ39" s="12"/>
      <c r="HXQ39" s="12"/>
      <c r="HXR39" s="12"/>
      <c r="HYI39" s="12"/>
      <c r="HYJ39" s="12"/>
      <c r="HZA39" s="12"/>
      <c r="HZB39" s="12"/>
      <c r="HZS39" s="12"/>
      <c r="HZT39" s="12"/>
      <c r="IAK39" s="12"/>
      <c r="IAL39" s="12"/>
      <c r="IBC39" s="12"/>
      <c r="IBD39" s="12"/>
      <c r="IBU39" s="12"/>
      <c r="IBV39" s="12"/>
      <c r="ICM39" s="12"/>
      <c r="ICN39" s="12"/>
      <c r="IDE39" s="12"/>
      <c r="IDF39" s="12"/>
      <c r="IDW39" s="12"/>
      <c r="IDX39" s="12"/>
      <c r="IEO39" s="12"/>
      <c r="IEP39" s="12"/>
      <c r="IFG39" s="12"/>
      <c r="IFH39" s="12"/>
      <c r="IFY39" s="12"/>
      <c r="IFZ39" s="12"/>
      <c r="IGQ39" s="12"/>
      <c r="IGR39" s="12"/>
      <c r="IHI39" s="12"/>
      <c r="IHJ39" s="12"/>
      <c r="IIA39" s="12"/>
      <c r="IIB39" s="12"/>
      <c r="IIS39" s="12"/>
      <c r="IIT39" s="12"/>
      <c r="IJK39" s="12"/>
      <c r="IJL39" s="12"/>
      <c r="IKC39" s="12"/>
      <c r="IKD39" s="12"/>
      <c r="IKU39" s="12"/>
      <c r="IKV39" s="12"/>
      <c r="ILM39" s="12"/>
      <c r="ILN39" s="12"/>
      <c r="IME39" s="12"/>
      <c r="IMF39" s="12"/>
      <c r="IMW39" s="12"/>
      <c r="IMX39" s="12"/>
      <c r="INO39" s="12"/>
      <c r="INP39" s="12"/>
      <c r="IOG39" s="12"/>
      <c r="IOH39" s="12"/>
      <c r="IOY39" s="12"/>
      <c r="IOZ39" s="12"/>
      <c r="IPQ39" s="12"/>
      <c r="IPR39" s="12"/>
      <c r="IQI39" s="12"/>
      <c r="IQJ39" s="12"/>
      <c r="IRA39" s="12"/>
      <c r="IRB39" s="12"/>
      <c r="IRS39" s="12"/>
      <c r="IRT39" s="12"/>
      <c r="ISK39" s="12"/>
      <c r="ISL39" s="12"/>
      <c r="ITC39" s="12"/>
      <c r="ITD39" s="12"/>
      <c r="ITU39" s="12"/>
      <c r="ITV39" s="12"/>
      <c r="IUM39" s="12"/>
      <c r="IUN39" s="12"/>
      <c r="IVE39" s="12"/>
      <c r="IVF39" s="12"/>
      <c r="IVW39" s="12"/>
      <c r="IVX39" s="12"/>
      <c r="IWO39" s="12"/>
      <c r="IWP39" s="12"/>
      <c r="IXG39" s="12"/>
      <c r="IXH39" s="12"/>
      <c r="IXY39" s="12"/>
      <c r="IXZ39" s="12"/>
      <c r="IYQ39" s="12"/>
      <c r="IYR39" s="12"/>
      <c r="IZI39" s="12"/>
      <c r="IZJ39" s="12"/>
      <c r="JAA39" s="12"/>
      <c r="JAB39" s="12"/>
      <c r="JAS39" s="12"/>
      <c r="JAT39" s="12"/>
      <c r="JBK39" s="12"/>
      <c r="JBL39" s="12"/>
      <c r="JCC39" s="12"/>
      <c r="JCD39" s="12"/>
      <c r="JCU39" s="12"/>
      <c r="JCV39" s="12"/>
      <c r="JDM39" s="12"/>
      <c r="JDN39" s="12"/>
      <c r="JEE39" s="12"/>
      <c r="JEF39" s="12"/>
      <c r="JEW39" s="12"/>
      <c r="JEX39" s="12"/>
      <c r="JFO39" s="12"/>
      <c r="JFP39" s="12"/>
      <c r="JGG39" s="12"/>
      <c r="JGH39" s="12"/>
      <c r="JGY39" s="12"/>
      <c r="JGZ39" s="12"/>
      <c r="JHQ39" s="12"/>
      <c r="JHR39" s="12"/>
      <c r="JII39" s="12"/>
      <c r="JIJ39" s="12"/>
      <c r="JJA39" s="12"/>
      <c r="JJB39" s="12"/>
      <c r="JJS39" s="12"/>
      <c r="JJT39" s="12"/>
      <c r="JKK39" s="12"/>
      <c r="JKL39" s="12"/>
      <c r="JLC39" s="12"/>
      <c r="JLD39" s="12"/>
      <c r="JLU39" s="12"/>
      <c r="JLV39" s="12"/>
      <c r="JMM39" s="12"/>
      <c r="JMN39" s="12"/>
      <c r="JNE39" s="12"/>
      <c r="JNF39" s="12"/>
      <c r="JNW39" s="12"/>
      <c r="JNX39" s="12"/>
      <c r="JOO39" s="12"/>
      <c r="JOP39" s="12"/>
      <c r="JPG39" s="12"/>
      <c r="JPH39" s="12"/>
      <c r="JPY39" s="12"/>
      <c r="JPZ39" s="12"/>
      <c r="JQQ39" s="12"/>
      <c r="JQR39" s="12"/>
      <c r="JRI39" s="12"/>
      <c r="JRJ39" s="12"/>
      <c r="JSA39" s="12"/>
      <c r="JSB39" s="12"/>
      <c r="JSS39" s="12"/>
      <c r="JST39" s="12"/>
      <c r="JTK39" s="12"/>
      <c r="JTL39" s="12"/>
      <c r="JUC39" s="12"/>
      <c r="JUD39" s="12"/>
      <c r="JUU39" s="12"/>
      <c r="JUV39" s="12"/>
      <c r="JVM39" s="12"/>
      <c r="JVN39" s="12"/>
      <c r="JWE39" s="12"/>
      <c r="JWF39" s="12"/>
      <c r="JWW39" s="12"/>
      <c r="JWX39" s="12"/>
      <c r="JXO39" s="12"/>
      <c r="JXP39" s="12"/>
      <c r="JYG39" s="12"/>
      <c r="JYH39" s="12"/>
      <c r="JYY39" s="12"/>
      <c r="JYZ39" s="12"/>
      <c r="JZQ39" s="12"/>
      <c r="JZR39" s="12"/>
      <c r="KAI39" s="12"/>
      <c r="KAJ39" s="12"/>
      <c r="KBA39" s="12"/>
      <c r="KBB39" s="12"/>
      <c r="KBS39" s="12"/>
      <c r="KBT39" s="12"/>
      <c r="KCK39" s="12"/>
      <c r="KCL39" s="12"/>
      <c r="KDC39" s="12"/>
      <c r="KDD39" s="12"/>
      <c r="KDU39" s="12"/>
      <c r="KDV39" s="12"/>
      <c r="KEM39" s="12"/>
      <c r="KEN39" s="12"/>
      <c r="KFE39" s="12"/>
      <c r="KFF39" s="12"/>
      <c r="KFW39" s="12"/>
      <c r="KFX39" s="12"/>
      <c r="KGO39" s="12"/>
      <c r="KGP39" s="12"/>
      <c r="KHG39" s="12"/>
      <c r="KHH39" s="12"/>
      <c r="KHY39" s="12"/>
      <c r="KHZ39" s="12"/>
      <c r="KIQ39" s="12"/>
      <c r="KIR39" s="12"/>
      <c r="KJI39" s="12"/>
      <c r="KJJ39" s="12"/>
      <c r="KKA39" s="12"/>
      <c r="KKB39" s="12"/>
      <c r="KKS39" s="12"/>
      <c r="KKT39" s="12"/>
      <c r="KLK39" s="12"/>
      <c r="KLL39" s="12"/>
      <c r="KMC39" s="12"/>
      <c r="KMD39" s="12"/>
      <c r="KMU39" s="12"/>
      <c r="KMV39" s="12"/>
      <c r="KNM39" s="12"/>
      <c r="KNN39" s="12"/>
      <c r="KOE39" s="12"/>
      <c r="KOF39" s="12"/>
      <c r="KOW39" s="12"/>
      <c r="KOX39" s="12"/>
      <c r="KPO39" s="12"/>
      <c r="KPP39" s="12"/>
      <c r="KQG39" s="12"/>
      <c r="KQH39" s="12"/>
      <c r="KQY39" s="12"/>
      <c r="KQZ39" s="12"/>
      <c r="KRQ39" s="12"/>
      <c r="KRR39" s="12"/>
      <c r="KSI39" s="12"/>
      <c r="KSJ39" s="12"/>
      <c r="KTA39" s="12"/>
      <c r="KTB39" s="12"/>
      <c r="KTS39" s="12"/>
      <c r="KTT39" s="12"/>
      <c r="KUK39" s="12"/>
      <c r="KUL39" s="12"/>
      <c r="KVC39" s="12"/>
      <c r="KVD39" s="12"/>
      <c r="KVU39" s="12"/>
      <c r="KVV39" s="12"/>
      <c r="KWM39" s="12"/>
      <c r="KWN39" s="12"/>
      <c r="KXE39" s="12"/>
      <c r="KXF39" s="12"/>
      <c r="KXW39" s="12"/>
      <c r="KXX39" s="12"/>
      <c r="KYO39" s="12"/>
      <c r="KYP39" s="12"/>
      <c r="KZG39" s="12"/>
      <c r="KZH39" s="12"/>
      <c r="KZY39" s="12"/>
      <c r="KZZ39" s="12"/>
      <c r="LAQ39" s="12"/>
      <c r="LAR39" s="12"/>
      <c r="LBI39" s="12"/>
      <c r="LBJ39" s="12"/>
      <c r="LCA39" s="12"/>
      <c r="LCB39" s="12"/>
      <c r="LCS39" s="12"/>
      <c r="LCT39" s="12"/>
      <c r="LDK39" s="12"/>
      <c r="LDL39" s="12"/>
      <c r="LEC39" s="12"/>
      <c r="LED39" s="12"/>
      <c r="LEU39" s="12"/>
      <c r="LEV39" s="12"/>
      <c r="LFM39" s="12"/>
      <c r="LFN39" s="12"/>
      <c r="LGE39" s="12"/>
      <c r="LGF39" s="12"/>
      <c r="LGW39" s="12"/>
      <c r="LGX39" s="12"/>
      <c r="LHO39" s="12"/>
      <c r="LHP39" s="12"/>
      <c r="LIG39" s="12"/>
      <c r="LIH39" s="12"/>
      <c r="LIY39" s="12"/>
      <c r="LIZ39" s="12"/>
      <c r="LJQ39" s="12"/>
      <c r="LJR39" s="12"/>
      <c r="LKI39" s="12"/>
      <c r="LKJ39" s="12"/>
      <c r="LLA39" s="12"/>
      <c r="LLB39" s="12"/>
      <c r="LLS39" s="12"/>
      <c r="LLT39" s="12"/>
      <c r="LMK39" s="12"/>
      <c r="LML39" s="12"/>
      <c r="LNC39" s="12"/>
      <c r="LND39" s="12"/>
      <c r="LNU39" s="12"/>
      <c r="LNV39" s="12"/>
      <c r="LOM39" s="12"/>
      <c r="LON39" s="12"/>
      <c r="LPE39" s="12"/>
      <c r="LPF39" s="12"/>
      <c r="LPW39" s="12"/>
      <c r="LPX39" s="12"/>
      <c r="LQO39" s="12"/>
      <c r="LQP39" s="12"/>
      <c r="LRG39" s="12"/>
      <c r="LRH39" s="12"/>
      <c r="LRY39" s="12"/>
      <c r="LRZ39" s="12"/>
      <c r="LSQ39" s="12"/>
      <c r="LSR39" s="12"/>
      <c r="LTI39" s="12"/>
      <c r="LTJ39" s="12"/>
      <c r="LUA39" s="12"/>
      <c r="LUB39" s="12"/>
      <c r="LUS39" s="12"/>
      <c r="LUT39" s="12"/>
      <c r="LVK39" s="12"/>
      <c r="LVL39" s="12"/>
      <c r="LWC39" s="12"/>
      <c r="LWD39" s="12"/>
      <c r="LWU39" s="12"/>
      <c r="LWV39" s="12"/>
      <c r="LXM39" s="12"/>
      <c r="LXN39" s="12"/>
      <c r="LYE39" s="12"/>
      <c r="LYF39" s="12"/>
      <c r="LYW39" s="12"/>
      <c r="LYX39" s="12"/>
      <c r="LZO39" s="12"/>
      <c r="LZP39" s="12"/>
      <c r="MAG39" s="12"/>
      <c r="MAH39" s="12"/>
      <c r="MAY39" s="12"/>
      <c r="MAZ39" s="12"/>
      <c r="MBQ39" s="12"/>
      <c r="MBR39" s="12"/>
      <c r="MCI39" s="12"/>
      <c r="MCJ39" s="12"/>
      <c r="MDA39" s="12"/>
      <c r="MDB39" s="12"/>
      <c r="MDS39" s="12"/>
      <c r="MDT39" s="12"/>
      <c r="MEK39" s="12"/>
      <c r="MEL39" s="12"/>
      <c r="MFC39" s="12"/>
      <c r="MFD39" s="12"/>
      <c r="MFU39" s="12"/>
      <c r="MFV39" s="12"/>
      <c r="MGM39" s="12"/>
      <c r="MGN39" s="12"/>
      <c r="MHE39" s="12"/>
      <c r="MHF39" s="12"/>
      <c r="MHW39" s="12"/>
      <c r="MHX39" s="12"/>
      <c r="MIO39" s="12"/>
      <c r="MIP39" s="12"/>
      <c r="MJG39" s="12"/>
      <c r="MJH39" s="12"/>
      <c r="MJY39" s="12"/>
      <c r="MJZ39" s="12"/>
      <c r="MKQ39" s="12"/>
      <c r="MKR39" s="12"/>
      <c r="MLI39" s="12"/>
      <c r="MLJ39" s="12"/>
      <c r="MMA39" s="12"/>
      <c r="MMB39" s="12"/>
      <c r="MMS39" s="12"/>
      <c r="MMT39" s="12"/>
      <c r="MNK39" s="12"/>
      <c r="MNL39" s="12"/>
      <c r="MOC39" s="12"/>
      <c r="MOD39" s="12"/>
      <c r="MOU39" s="12"/>
      <c r="MOV39" s="12"/>
      <c r="MPM39" s="12"/>
      <c r="MPN39" s="12"/>
      <c r="MQE39" s="12"/>
      <c r="MQF39" s="12"/>
      <c r="MQW39" s="12"/>
      <c r="MQX39" s="12"/>
      <c r="MRO39" s="12"/>
      <c r="MRP39" s="12"/>
      <c r="MSG39" s="12"/>
      <c r="MSH39" s="12"/>
      <c r="MSY39" s="12"/>
      <c r="MSZ39" s="12"/>
      <c r="MTQ39" s="12"/>
      <c r="MTR39" s="12"/>
      <c r="MUI39" s="12"/>
      <c r="MUJ39" s="12"/>
      <c r="MVA39" s="12"/>
      <c r="MVB39" s="12"/>
      <c r="MVS39" s="12"/>
      <c r="MVT39" s="12"/>
      <c r="MWK39" s="12"/>
      <c r="MWL39" s="12"/>
      <c r="MXC39" s="12"/>
      <c r="MXD39" s="12"/>
      <c r="MXU39" s="12"/>
      <c r="MXV39" s="12"/>
      <c r="MYM39" s="12"/>
      <c r="MYN39" s="12"/>
      <c r="MZE39" s="12"/>
      <c r="MZF39" s="12"/>
      <c r="MZW39" s="12"/>
      <c r="MZX39" s="12"/>
      <c r="NAO39" s="12"/>
      <c r="NAP39" s="12"/>
      <c r="NBG39" s="12"/>
      <c r="NBH39" s="12"/>
      <c r="NBY39" s="12"/>
      <c r="NBZ39" s="12"/>
      <c r="NCQ39" s="12"/>
      <c r="NCR39" s="12"/>
      <c r="NDI39" s="12"/>
      <c r="NDJ39" s="12"/>
      <c r="NEA39" s="12"/>
      <c r="NEB39" s="12"/>
      <c r="NES39" s="12"/>
      <c r="NET39" s="12"/>
      <c r="NFK39" s="12"/>
      <c r="NFL39" s="12"/>
      <c r="NGC39" s="12"/>
      <c r="NGD39" s="12"/>
      <c r="NGU39" s="12"/>
      <c r="NGV39" s="12"/>
      <c r="NHM39" s="12"/>
      <c r="NHN39" s="12"/>
      <c r="NIE39" s="12"/>
      <c r="NIF39" s="12"/>
      <c r="NIW39" s="12"/>
      <c r="NIX39" s="12"/>
      <c r="NJO39" s="12"/>
      <c r="NJP39" s="12"/>
      <c r="NKG39" s="12"/>
      <c r="NKH39" s="12"/>
      <c r="NKY39" s="12"/>
      <c r="NKZ39" s="12"/>
      <c r="NLQ39" s="12"/>
      <c r="NLR39" s="12"/>
      <c r="NMI39" s="12"/>
      <c r="NMJ39" s="12"/>
      <c r="NNA39" s="12"/>
      <c r="NNB39" s="12"/>
      <c r="NNS39" s="12"/>
      <c r="NNT39" s="12"/>
      <c r="NOK39" s="12"/>
      <c r="NOL39" s="12"/>
      <c r="NPC39" s="12"/>
      <c r="NPD39" s="12"/>
      <c r="NPU39" s="12"/>
      <c r="NPV39" s="12"/>
      <c r="NQM39" s="12"/>
      <c r="NQN39" s="12"/>
      <c r="NRE39" s="12"/>
      <c r="NRF39" s="12"/>
      <c r="NRW39" s="12"/>
      <c r="NRX39" s="12"/>
      <c r="NSO39" s="12"/>
      <c r="NSP39" s="12"/>
      <c r="NTG39" s="12"/>
      <c r="NTH39" s="12"/>
      <c r="NTY39" s="12"/>
      <c r="NTZ39" s="12"/>
      <c r="NUQ39" s="12"/>
      <c r="NUR39" s="12"/>
      <c r="NVI39" s="12"/>
      <c r="NVJ39" s="12"/>
      <c r="NWA39" s="12"/>
      <c r="NWB39" s="12"/>
      <c r="NWS39" s="12"/>
      <c r="NWT39" s="12"/>
      <c r="NXK39" s="12"/>
      <c r="NXL39" s="12"/>
      <c r="NYC39" s="12"/>
      <c r="NYD39" s="12"/>
      <c r="NYU39" s="12"/>
      <c r="NYV39" s="12"/>
      <c r="NZM39" s="12"/>
      <c r="NZN39" s="12"/>
      <c r="OAE39" s="12"/>
      <c r="OAF39" s="12"/>
      <c r="OAW39" s="12"/>
      <c r="OAX39" s="12"/>
      <c r="OBO39" s="12"/>
      <c r="OBP39" s="12"/>
      <c r="OCG39" s="12"/>
      <c r="OCH39" s="12"/>
      <c r="OCY39" s="12"/>
      <c r="OCZ39" s="12"/>
      <c r="ODQ39" s="12"/>
      <c r="ODR39" s="12"/>
      <c r="OEI39" s="12"/>
      <c r="OEJ39" s="12"/>
      <c r="OFA39" s="12"/>
      <c r="OFB39" s="12"/>
      <c r="OFS39" s="12"/>
      <c r="OFT39" s="12"/>
      <c r="OGK39" s="12"/>
      <c r="OGL39" s="12"/>
      <c r="OHC39" s="12"/>
      <c r="OHD39" s="12"/>
      <c r="OHU39" s="12"/>
      <c r="OHV39" s="12"/>
      <c r="OIM39" s="12"/>
      <c r="OIN39" s="12"/>
      <c r="OJE39" s="12"/>
      <c r="OJF39" s="12"/>
      <c r="OJW39" s="12"/>
      <c r="OJX39" s="12"/>
      <c r="OKO39" s="12"/>
      <c r="OKP39" s="12"/>
      <c r="OLG39" s="12"/>
      <c r="OLH39" s="12"/>
      <c r="OLY39" s="12"/>
      <c r="OLZ39" s="12"/>
      <c r="OMQ39" s="12"/>
      <c r="OMR39" s="12"/>
      <c r="ONI39" s="12"/>
      <c r="ONJ39" s="12"/>
      <c r="OOA39" s="12"/>
      <c r="OOB39" s="12"/>
      <c r="OOS39" s="12"/>
      <c r="OOT39" s="12"/>
      <c r="OPK39" s="12"/>
      <c r="OPL39" s="12"/>
      <c r="OQC39" s="12"/>
      <c r="OQD39" s="12"/>
      <c r="OQU39" s="12"/>
      <c r="OQV39" s="12"/>
      <c r="ORM39" s="12"/>
      <c r="ORN39" s="12"/>
      <c r="OSE39" s="12"/>
      <c r="OSF39" s="12"/>
      <c r="OSW39" s="12"/>
      <c r="OSX39" s="12"/>
      <c r="OTO39" s="12"/>
      <c r="OTP39" s="12"/>
      <c r="OUG39" s="12"/>
      <c r="OUH39" s="12"/>
      <c r="OUY39" s="12"/>
      <c r="OUZ39" s="12"/>
      <c r="OVQ39" s="12"/>
      <c r="OVR39" s="12"/>
      <c r="OWI39" s="12"/>
      <c r="OWJ39" s="12"/>
      <c r="OXA39" s="12"/>
      <c r="OXB39" s="12"/>
      <c r="OXS39" s="12"/>
      <c r="OXT39" s="12"/>
      <c r="OYK39" s="12"/>
      <c r="OYL39" s="12"/>
      <c r="OZC39" s="12"/>
      <c r="OZD39" s="12"/>
      <c r="OZU39" s="12"/>
      <c r="OZV39" s="12"/>
      <c r="PAM39" s="12"/>
      <c r="PAN39" s="12"/>
      <c r="PBE39" s="12"/>
      <c r="PBF39" s="12"/>
      <c r="PBW39" s="12"/>
      <c r="PBX39" s="12"/>
      <c r="PCO39" s="12"/>
      <c r="PCP39" s="12"/>
      <c r="PDG39" s="12"/>
      <c r="PDH39" s="12"/>
      <c r="PDY39" s="12"/>
      <c r="PDZ39" s="12"/>
      <c r="PEQ39" s="12"/>
      <c r="PER39" s="12"/>
      <c r="PFI39" s="12"/>
      <c r="PFJ39" s="12"/>
      <c r="PGA39" s="12"/>
      <c r="PGB39" s="12"/>
      <c r="PGS39" s="12"/>
      <c r="PGT39" s="12"/>
      <c r="PHK39" s="12"/>
      <c r="PHL39" s="12"/>
      <c r="PIC39" s="12"/>
      <c r="PID39" s="12"/>
      <c r="PIU39" s="12"/>
      <c r="PIV39" s="12"/>
      <c r="PJM39" s="12"/>
      <c r="PJN39" s="12"/>
      <c r="PKE39" s="12"/>
      <c r="PKF39" s="12"/>
      <c r="PKW39" s="12"/>
      <c r="PKX39" s="12"/>
      <c r="PLO39" s="12"/>
      <c r="PLP39" s="12"/>
      <c r="PMG39" s="12"/>
      <c r="PMH39" s="12"/>
      <c r="PMY39" s="12"/>
      <c r="PMZ39" s="12"/>
      <c r="PNQ39" s="12"/>
      <c r="PNR39" s="12"/>
      <c r="POI39" s="12"/>
      <c r="POJ39" s="12"/>
      <c r="PPA39" s="12"/>
      <c r="PPB39" s="12"/>
      <c r="PPS39" s="12"/>
      <c r="PPT39" s="12"/>
      <c r="PQK39" s="12"/>
      <c r="PQL39" s="12"/>
      <c r="PRC39" s="12"/>
      <c r="PRD39" s="12"/>
      <c r="PRU39" s="12"/>
      <c r="PRV39" s="12"/>
      <c r="PSM39" s="12"/>
      <c r="PSN39" s="12"/>
      <c r="PTE39" s="12"/>
      <c r="PTF39" s="12"/>
      <c r="PTW39" s="12"/>
      <c r="PTX39" s="12"/>
      <c r="PUO39" s="12"/>
      <c r="PUP39" s="12"/>
      <c r="PVG39" s="12"/>
      <c r="PVH39" s="12"/>
      <c r="PVY39" s="12"/>
      <c r="PVZ39" s="12"/>
      <c r="PWQ39" s="12"/>
      <c r="PWR39" s="12"/>
      <c r="PXI39" s="12"/>
      <c r="PXJ39" s="12"/>
      <c r="PYA39" s="12"/>
      <c r="PYB39" s="12"/>
      <c r="PYS39" s="12"/>
      <c r="PYT39" s="12"/>
      <c r="PZK39" s="12"/>
      <c r="PZL39" s="12"/>
      <c r="QAC39" s="12"/>
      <c r="QAD39" s="12"/>
      <c r="QAU39" s="12"/>
      <c r="QAV39" s="12"/>
      <c r="QBM39" s="12"/>
      <c r="QBN39" s="12"/>
      <c r="QCE39" s="12"/>
      <c r="QCF39" s="12"/>
      <c r="QCW39" s="12"/>
      <c r="QCX39" s="12"/>
      <c r="QDO39" s="12"/>
      <c r="QDP39" s="12"/>
      <c r="QEG39" s="12"/>
      <c r="QEH39" s="12"/>
      <c r="QEY39" s="12"/>
      <c r="QEZ39" s="12"/>
      <c r="QFQ39" s="12"/>
      <c r="QFR39" s="12"/>
      <c r="QGI39" s="12"/>
      <c r="QGJ39" s="12"/>
      <c r="QHA39" s="12"/>
      <c r="QHB39" s="12"/>
      <c r="QHS39" s="12"/>
      <c r="QHT39" s="12"/>
      <c r="QIK39" s="12"/>
      <c r="QIL39" s="12"/>
      <c r="QJC39" s="12"/>
      <c r="QJD39" s="12"/>
      <c r="QJU39" s="12"/>
      <c r="QJV39" s="12"/>
      <c r="QKM39" s="12"/>
      <c r="QKN39" s="12"/>
      <c r="QLE39" s="12"/>
      <c r="QLF39" s="12"/>
      <c r="QLW39" s="12"/>
      <c r="QLX39" s="12"/>
      <c r="QMO39" s="12"/>
      <c r="QMP39" s="12"/>
      <c r="QNG39" s="12"/>
      <c r="QNH39" s="12"/>
      <c r="QNY39" s="12"/>
      <c r="QNZ39" s="12"/>
      <c r="QOQ39" s="12"/>
      <c r="QOR39" s="12"/>
      <c r="QPI39" s="12"/>
      <c r="QPJ39" s="12"/>
      <c r="QQA39" s="12"/>
      <c r="QQB39" s="12"/>
      <c r="QQS39" s="12"/>
      <c r="QQT39" s="12"/>
      <c r="QRK39" s="12"/>
      <c r="QRL39" s="12"/>
      <c r="QSC39" s="12"/>
      <c r="QSD39" s="12"/>
      <c r="QSU39" s="12"/>
      <c r="QSV39" s="12"/>
      <c r="QTM39" s="12"/>
      <c r="QTN39" s="12"/>
      <c r="QUE39" s="12"/>
      <c r="QUF39" s="12"/>
      <c r="QUW39" s="12"/>
      <c r="QUX39" s="12"/>
      <c r="QVO39" s="12"/>
      <c r="QVP39" s="12"/>
      <c r="QWG39" s="12"/>
      <c r="QWH39" s="12"/>
      <c r="QWY39" s="12"/>
      <c r="QWZ39" s="12"/>
      <c r="QXQ39" s="12"/>
      <c r="QXR39" s="12"/>
      <c r="QYI39" s="12"/>
      <c r="QYJ39" s="12"/>
      <c r="QZA39" s="12"/>
      <c r="QZB39" s="12"/>
      <c r="QZS39" s="12"/>
      <c r="QZT39" s="12"/>
      <c r="RAK39" s="12"/>
      <c r="RAL39" s="12"/>
      <c r="RBC39" s="12"/>
      <c r="RBD39" s="12"/>
      <c r="RBU39" s="12"/>
      <c r="RBV39" s="12"/>
      <c r="RCM39" s="12"/>
      <c r="RCN39" s="12"/>
      <c r="RDE39" s="12"/>
      <c r="RDF39" s="12"/>
      <c r="RDW39" s="12"/>
      <c r="RDX39" s="12"/>
      <c r="REO39" s="12"/>
      <c r="REP39" s="12"/>
      <c r="RFG39" s="12"/>
      <c r="RFH39" s="12"/>
      <c r="RFY39" s="12"/>
      <c r="RFZ39" s="12"/>
      <c r="RGQ39" s="12"/>
      <c r="RGR39" s="12"/>
      <c r="RHI39" s="12"/>
      <c r="RHJ39" s="12"/>
      <c r="RIA39" s="12"/>
      <c r="RIB39" s="12"/>
      <c r="RIS39" s="12"/>
      <c r="RIT39" s="12"/>
      <c r="RJK39" s="12"/>
      <c r="RJL39" s="12"/>
      <c r="RKC39" s="12"/>
      <c r="RKD39" s="12"/>
      <c r="RKU39" s="12"/>
      <c r="RKV39" s="12"/>
      <c r="RLM39" s="12"/>
      <c r="RLN39" s="12"/>
      <c r="RME39" s="12"/>
      <c r="RMF39" s="12"/>
      <c r="RMW39" s="12"/>
      <c r="RMX39" s="12"/>
      <c r="RNO39" s="12"/>
      <c r="RNP39" s="12"/>
      <c r="ROG39" s="12"/>
      <c r="ROH39" s="12"/>
      <c r="ROY39" s="12"/>
      <c r="ROZ39" s="12"/>
      <c r="RPQ39" s="12"/>
      <c r="RPR39" s="12"/>
      <c r="RQI39" s="12"/>
      <c r="RQJ39" s="12"/>
      <c r="RRA39" s="12"/>
      <c r="RRB39" s="12"/>
      <c r="RRS39" s="12"/>
      <c r="RRT39" s="12"/>
      <c r="RSK39" s="12"/>
      <c r="RSL39" s="12"/>
      <c r="RTC39" s="12"/>
      <c r="RTD39" s="12"/>
      <c r="RTU39" s="12"/>
      <c r="RTV39" s="12"/>
      <c r="RUM39" s="12"/>
      <c r="RUN39" s="12"/>
      <c r="RVE39" s="12"/>
      <c r="RVF39" s="12"/>
      <c r="RVW39" s="12"/>
      <c r="RVX39" s="12"/>
      <c r="RWO39" s="12"/>
      <c r="RWP39" s="12"/>
      <c r="RXG39" s="12"/>
      <c r="RXH39" s="12"/>
      <c r="RXY39" s="12"/>
      <c r="RXZ39" s="12"/>
      <c r="RYQ39" s="12"/>
      <c r="RYR39" s="12"/>
      <c r="RZI39" s="12"/>
      <c r="RZJ39" s="12"/>
      <c r="SAA39" s="12"/>
      <c r="SAB39" s="12"/>
      <c r="SAS39" s="12"/>
      <c r="SAT39" s="12"/>
      <c r="SBK39" s="12"/>
      <c r="SBL39" s="12"/>
      <c r="SCC39" s="12"/>
      <c r="SCD39" s="12"/>
      <c r="SCU39" s="12"/>
      <c r="SCV39" s="12"/>
      <c r="SDM39" s="12"/>
      <c r="SDN39" s="12"/>
      <c r="SEE39" s="12"/>
      <c r="SEF39" s="12"/>
      <c r="SEW39" s="12"/>
      <c r="SEX39" s="12"/>
      <c r="SFO39" s="12"/>
      <c r="SFP39" s="12"/>
      <c r="SGG39" s="12"/>
      <c r="SGH39" s="12"/>
      <c r="SGY39" s="12"/>
      <c r="SGZ39" s="12"/>
      <c r="SHQ39" s="12"/>
      <c r="SHR39" s="12"/>
      <c r="SII39" s="12"/>
      <c r="SIJ39" s="12"/>
      <c r="SJA39" s="12"/>
      <c r="SJB39" s="12"/>
      <c r="SJS39" s="12"/>
      <c r="SJT39" s="12"/>
      <c r="SKK39" s="12"/>
      <c r="SKL39" s="12"/>
      <c r="SLC39" s="12"/>
      <c r="SLD39" s="12"/>
      <c r="SLU39" s="12"/>
      <c r="SLV39" s="12"/>
      <c r="SMM39" s="12"/>
      <c r="SMN39" s="12"/>
      <c r="SNE39" s="12"/>
      <c r="SNF39" s="12"/>
      <c r="SNW39" s="12"/>
      <c r="SNX39" s="12"/>
      <c r="SOO39" s="12"/>
      <c r="SOP39" s="12"/>
      <c r="SPG39" s="12"/>
      <c r="SPH39" s="12"/>
      <c r="SPY39" s="12"/>
      <c r="SPZ39" s="12"/>
      <c r="SQQ39" s="12"/>
      <c r="SQR39" s="12"/>
      <c r="SRI39" s="12"/>
      <c r="SRJ39" s="12"/>
      <c r="SSA39" s="12"/>
      <c r="SSB39" s="12"/>
      <c r="SSS39" s="12"/>
      <c r="SST39" s="12"/>
      <c r="STK39" s="12"/>
      <c r="STL39" s="12"/>
      <c r="SUC39" s="12"/>
      <c r="SUD39" s="12"/>
      <c r="SUU39" s="12"/>
      <c r="SUV39" s="12"/>
      <c r="SVM39" s="12"/>
      <c r="SVN39" s="12"/>
      <c r="SWE39" s="12"/>
      <c r="SWF39" s="12"/>
      <c r="SWW39" s="12"/>
      <c r="SWX39" s="12"/>
      <c r="SXO39" s="12"/>
      <c r="SXP39" s="12"/>
      <c r="SYG39" s="12"/>
      <c r="SYH39" s="12"/>
      <c r="SYY39" s="12"/>
      <c r="SYZ39" s="12"/>
      <c r="SZQ39" s="12"/>
      <c r="SZR39" s="12"/>
      <c r="TAI39" s="12"/>
      <c r="TAJ39" s="12"/>
      <c r="TBA39" s="12"/>
      <c r="TBB39" s="12"/>
      <c r="TBS39" s="12"/>
      <c r="TBT39" s="12"/>
      <c r="TCK39" s="12"/>
      <c r="TCL39" s="12"/>
      <c r="TDC39" s="12"/>
      <c r="TDD39" s="12"/>
      <c r="TDU39" s="12"/>
      <c r="TDV39" s="12"/>
      <c r="TEM39" s="12"/>
      <c r="TEN39" s="12"/>
      <c r="TFE39" s="12"/>
      <c r="TFF39" s="12"/>
      <c r="TFW39" s="12"/>
      <c r="TFX39" s="12"/>
      <c r="TGO39" s="12"/>
      <c r="TGP39" s="12"/>
      <c r="THG39" s="12"/>
      <c r="THH39" s="12"/>
      <c r="THY39" s="12"/>
      <c r="THZ39" s="12"/>
      <c r="TIQ39" s="12"/>
      <c r="TIR39" s="12"/>
      <c r="TJI39" s="12"/>
      <c r="TJJ39" s="12"/>
      <c r="TKA39" s="12"/>
      <c r="TKB39" s="12"/>
      <c r="TKS39" s="12"/>
      <c r="TKT39" s="12"/>
      <c r="TLK39" s="12"/>
      <c r="TLL39" s="12"/>
      <c r="TMC39" s="12"/>
      <c r="TMD39" s="12"/>
      <c r="TMU39" s="12"/>
      <c r="TMV39" s="12"/>
      <c r="TNM39" s="12"/>
      <c r="TNN39" s="12"/>
      <c r="TOE39" s="12"/>
      <c r="TOF39" s="12"/>
      <c r="TOW39" s="12"/>
      <c r="TOX39" s="12"/>
      <c r="TPO39" s="12"/>
      <c r="TPP39" s="12"/>
      <c r="TQG39" s="12"/>
      <c r="TQH39" s="12"/>
      <c r="TQY39" s="12"/>
      <c r="TQZ39" s="12"/>
      <c r="TRQ39" s="12"/>
      <c r="TRR39" s="12"/>
      <c r="TSI39" s="12"/>
      <c r="TSJ39" s="12"/>
      <c r="TTA39" s="12"/>
      <c r="TTB39" s="12"/>
      <c r="TTS39" s="12"/>
      <c r="TTT39" s="12"/>
      <c r="TUK39" s="12"/>
      <c r="TUL39" s="12"/>
      <c r="TVC39" s="12"/>
      <c r="TVD39" s="12"/>
      <c r="TVU39" s="12"/>
      <c r="TVV39" s="12"/>
      <c r="TWM39" s="12"/>
      <c r="TWN39" s="12"/>
      <c r="TXE39" s="12"/>
      <c r="TXF39" s="12"/>
      <c r="TXW39" s="12"/>
      <c r="TXX39" s="12"/>
      <c r="TYO39" s="12"/>
      <c r="TYP39" s="12"/>
      <c r="TZG39" s="12"/>
      <c r="TZH39" s="12"/>
      <c r="TZY39" s="12"/>
      <c r="TZZ39" s="12"/>
      <c r="UAQ39" s="12"/>
      <c r="UAR39" s="12"/>
      <c r="UBI39" s="12"/>
      <c r="UBJ39" s="12"/>
      <c r="UCA39" s="12"/>
      <c r="UCB39" s="12"/>
      <c r="UCS39" s="12"/>
      <c r="UCT39" s="12"/>
      <c r="UDK39" s="12"/>
      <c r="UDL39" s="12"/>
      <c r="UEC39" s="12"/>
      <c r="UED39" s="12"/>
      <c r="UEU39" s="12"/>
      <c r="UEV39" s="12"/>
      <c r="UFM39" s="12"/>
      <c r="UFN39" s="12"/>
      <c r="UGE39" s="12"/>
      <c r="UGF39" s="12"/>
      <c r="UGW39" s="12"/>
      <c r="UGX39" s="12"/>
      <c r="UHO39" s="12"/>
      <c r="UHP39" s="12"/>
      <c r="UIG39" s="12"/>
      <c r="UIH39" s="12"/>
      <c r="UIY39" s="12"/>
      <c r="UIZ39" s="12"/>
      <c r="UJQ39" s="12"/>
      <c r="UJR39" s="12"/>
      <c r="UKI39" s="12"/>
      <c r="UKJ39" s="12"/>
      <c r="ULA39" s="12"/>
      <c r="ULB39" s="12"/>
      <c r="ULS39" s="12"/>
      <c r="ULT39" s="12"/>
      <c r="UMK39" s="12"/>
      <c r="UML39" s="12"/>
      <c r="UNC39" s="12"/>
      <c r="UND39" s="12"/>
      <c r="UNU39" s="12"/>
      <c r="UNV39" s="12"/>
      <c r="UOM39" s="12"/>
      <c r="UON39" s="12"/>
      <c r="UPE39" s="12"/>
      <c r="UPF39" s="12"/>
      <c r="UPW39" s="12"/>
      <c r="UPX39" s="12"/>
      <c r="UQO39" s="12"/>
      <c r="UQP39" s="12"/>
      <c r="URG39" s="12"/>
      <c r="URH39" s="12"/>
      <c r="URY39" s="12"/>
      <c r="URZ39" s="12"/>
      <c r="USQ39" s="12"/>
      <c r="USR39" s="12"/>
      <c r="UTI39" s="12"/>
      <c r="UTJ39" s="12"/>
      <c r="UUA39" s="12"/>
      <c r="UUB39" s="12"/>
      <c r="UUS39" s="12"/>
      <c r="UUT39" s="12"/>
      <c r="UVK39" s="12"/>
      <c r="UVL39" s="12"/>
      <c r="UWC39" s="12"/>
      <c r="UWD39" s="12"/>
      <c r="UWU39" s="12"/>
      <c r="UWV39" s="12"/>
      <c r="UXM39" s="12"/>
      <c r="UXN39" s="12"/>
      <c r="UYE39" s="12"/>
      <c r="UYF39" s="12"/>
      <c r="UYW39" s="12"/>
      <c r="UYX39" s="12"/>
      <c r="UZO39" s="12"/>
      <c r="UZP39" s="12"/>
      <c r="VAG39" s="12"/>
      <c r="VAH39" s="12"/>
      <c r="VAY39" s="12"/>
      <c r="VAZ39" s="12"/>
      <c r="VBQ39" s="12"/>
      <c r="VBR39" s="12"/>
      <c r="VCI39" s="12"/>
      <c r="VCJ39" s="12"/>
      <c r="VDA39" s="12"/>
      <c r="VDB39" s="12"/>
      <c r="VDS39" s="12"/>
      <c r="VDT39" s="12"/>
      <c r="VEK39" s="12"/>
      <c r="VEL39" s="12"/>
      <c r="VFC39" s="12"/>
      <c r="VFD39" s="12"/>
      <c r="VFU39" s="12"/>
      <c r="VFV39" s="12"/>
      <c r="VGM39" s="12"/>
      <c r="VGN39" s="12"/>
      <c r="VHE39" s="12"/>
      <c r="VHF39" s="12"/>
      <c r="VHW39" s="12"/>
      <c r="VHX39" s="12"/>
      <c r="VIO39" s="12"/>
      <c r="VIP39" s="12"/>
      <c r="VJG39" s="12"/>
      <c r="VJH39" s="12"/>
      <c r="VJY39" s="12"/>
      <c r="VJZ39" s="12"/>
      <c r="VKQ39" s="12"/>
      <c r="VKR39" s="12"/>
      <c r="VLI39" s="12"/>
      <c r="VLJ39" s="12"/>
      <c r="VMA39" s="12"/>
      <c r="VMB39" s="12"/>
      <c r="VMS39" s="12"/>
      <c r="VMT39" s="12"/>
      <c r="VNK39" s="12"/>
      <c r="VNL39" s="12"/>
      <c r="VOC39" s="12"/>
      <c r="VOD39" s="12"/>
      <c r="VOU39" s="12"/>
      <c r="VOV39" s="12"/>
      <c r="VPM39" s="12"/>
      <c r="VPN39" s="12"/>
      <c r="VQE39" s="12"/>
      <c r="VQF39" s="12"/>
      <c r="VQW39" s="12"/>
      <c r="VQX39" s="12"/>
      <c r="VRO39" s="12"/>
      <c r="VRP39" s="12"/>
      <c r="VSG39" s="12"/>
      <c r="VSH39" s="12"/>
      <c r="VSY39" s="12"/>
      <c r="VSZ39" s="12"/>
      <c r="VTQ39" s="12"/>
      <c r="VTR39" s="12"/>
      <c r="VUI39" s="12"/>
      <c r="VUJ39" s="12"/>
      <c r="VVA39" s="12"/>
      <c r="VVB39" s="12"/>
      <c r="VVS39" s="12"/>
      <c r="VVT39" s="12"/>
      <c r="VWK39" s="12"/>
      <c r="VWL39" s="12"/>
      <c r="VXC39" s="12"/>
      <c r="VXD39" s="12"/>
      <c r="VXU39" s="12"/>
      <c r="VXV39" s="12"/>
      <c r="VYM39" s="12"/>
      <c r="VYN39" s="12"/>
      <c r="VZE39" s="12"/>
      <c r="VZF39" s="12"/>
      <c r="VZW39" s="12"/>
      <c r="VZX39" s="12"/>
      <c r="WAO39" s="12"/>
      <c r="WAP39" s="12"/>
      <c r="WBG39" s="12"/>
      <c r="WBH39" s="12"/>
      <c r="WBY39" s="12"/>
      <c r="WBZ39" s="12"/>
      <c r="WCQ39" s="12"/>
      <c r="WCR39" s="12"/>
      <c r="WDI39" s="12"/>
      <c r="WDJ39" s="12"/>
      <c r="WEA39" s="12"/>
      <c r="WEB39" s="12"/>
      <c r="WES39" s="12"/>
      <c r="WET39" s="12"/>
      <c r="WFK39" s="12"/>
      <c r="WFL39" s="12"/>
      <c r="WGC39" s="12"/>
      <c r="WGD39" s="12"/>
      <c r="WGU39" s="12"/>
      <c r="WGV39" s="12"/>
      <c r="WHM39" s="12"/>
      <c r="WHN39" s="12"/>
      <c r="WIE39" s="12"/>
      <c r="WIF39" s="12"/>
      <c r="WIW39" s="12"/>
      <c r="WIX39" s="12"/>
      <c r="WJO39" s="12"/>
      <c r="WJP39" s="12"/>
      <c r="WKG39" s="12"/>
      <c r="WKH39" s="12"/>
      <c r="WKY39" s="12"/>
      <c r="WKZ39" s="12"/>
      <c r="WLQ39" s="12"/>
      <c r="WLR39" s="12"/>
      <c r="WMI39" s="12"/>
      <c r="WMJ39" s="12"/>
      <c r="WNA39" s="12"/>
      <c r="WNB39" s="12"/>
      <c r="WNS39" s="12"/>
      <c r="WNT39" s="12"/>
      <c r="WOK39" s="12"/>
      <c r="WOL39" s="12"/>
      <c r="WPC39" s="12"/>
      <c r="WPD39" s="12"/>
      <c r="WPU39" s="12"/>
      <c r="WPV39" s="12"/>
      <c r="WQM39" s="12"/>
      <c r="WQN39" s="12"/>
      <c r="WRE39" s="12"/>
      <c r="WRF39" s="12"/>
      <c r="WRW39" s="12"/>
      <c r="WRX39" s="12"/>
      <c r="WSO39" s="12"/>
      <c r="WSP39" s="12"/>
      <c r="WTG39" s="12"/>
      <c r="WTH39" s="12"/>
      <c r="WTY39" s="12"/>
      <c r="WTZ39" s="12"/>
      <c r="WUQ39" s="12"/>
      <c r="WUR39" s="12"/>
      <c r="WVI39" s="12"/>
      <c r="WVJ39" s="12"/>
      <c r="WWA39" s="12"/>
      <c r="WWB39" s="12"/>
      <c r="WWS39" s="12"/>
      <c r="WWT39" s="12"/>
      <c r="WXK39" s="12"/>
      <c r="WXL39" s="12"/>
      <c r="WYC39" s="12"/>
      <c r="WYD39" s="12"/>
      <c r="WYU39" s="12"/>
      <c r="WYV39" s="12"/>
      <c r="WZM39" s="12"/>
      <c r="WZN39" s="12"/>
      <c r="XAE39" s="12"/>
      <c r="XAF39" s="12"/>
      <c r="XAW39" s="12"/>
      <c r="XAX39" s="12"/>
      <c r="XBO39" s="12"/>
      <c r="XBP39" s="12"/>
      <c r="XCG39" s="12"/>
      <c r="XCH39" s="12"/>
      <c r="XCY39" s="12"/>
      <c r="XCZ39" s="12"/>
      <c r="XDQ39" s="12"/>
      <c r="XDR39" s="12"/>
      <c r="XEI39" s="12"/>
      <c r="XEJ39" s="12"/>
      <c r="XFA39" s="12"/>
      <c r="XFB39" s="12"/>
    </row>
    <row r="40" spans="1:1010 1027:2036 2053:3062 3079:4088 4105:5114 5131:6140 6157:7166 7183:8192 8209:9200 9217:10226 10243:11252 11269:12278 12295:13304 13321:14330 14347:15356 15373:16382" s="11" customFormat="1" x14ac:dyDescent="0.35">
      <c r="A40" s="183" t="str">
        <f>'Income - GAAP'!A40</f>
        <v xml:space="preserve">    + Other Non-Op (Income) Loss</v>
      </c>
      <c r="B40" s="75" t="str">
        <f>'Income - GAAP'!B40</f>
        <v>OTHER_NONOP_INCOME_LOSS</v>
      </c>
      <c r="C40" s="76">
        <f>IF('Income - GAAP'!C40="",0,'Income - GAAP'!C40)/'Income - GAAP'!C$9</f>
        <v>1.8996496976245666E-3</v>
      </c>
      <c r="D40" s="76">
        <f>IF('Income - GAAP'!D40="",0,'Income - GAAP'!D40)/'Income - GAAP'!D$9</f>
        <v>1.7510159560605036E-3</v>
      </c>
      <c r="E40" s="76">
        <f>IF('Income - GAAP'!E40="",0,'Income - GAAP'!E40)/'Income - GAAP'!E$9</f>
        <v>3.0363060406605742E-3</v>
      </c>
      <c r="F40" s="76">
        <f>IF('Income - GAAP'!F40="",0,'Income - GAAP'!F40)/'Income - GAAP'!F$9</f>
        <v>3.6998504746977969E-3</v>
      </c>
      <c r="G40" s="76">
        <f>IF('Income - GAAP'!G40="",0,'Income - GAAP'!G40)/'Income - GAAP'!G$9</f>
        <v>5.3845440833213956E-3</v>
      </c>
      <c r="H40" s="76">
        <f>IF('Income - GAAP'!H40="",0,'Income - GAAP'!H40)/'Income - GAAP'!H$9</f>
        <v>9.3368049805688766E-5</v>
      </c>
      <c r="I40" s="76">
        <f>IF('Income - GAAP'!I40="",0,'Income - GAAP'!I40)/'Income - GAAP'!I$9</f>
        <v>4.05842154907667E-3</v>
      </c>
      <c r="J40" s="76">
        <f>IF('Income - GAAP'!J40="",0,'Income - GAAP'!J40)/'Income - GAAP'!J$9</f>
        <v>1.1927296894749023E-3</v>
      </c>
      <c r="K40" s="76">
        <f>IF('Income - GAAP'!K40="",0,'Income - GAAP'!K40)/'Income - GAAP'!K$9</f>
        <v>-8.0220862695486877E-4</v>
      </c>
      <c r="L40" s="76">
        <f>IF('Income - GAAP'!L40="",0,'Income - GAAP'!L40)/'Income - GAAP'!L$9</f>
        <v>-8.4865043881437313E-4</v>
      </c>
      <c r="M40" s="108"/>
      <c r="N40" s="108"/>
      <c r="O40" s="108"/>
      <c r="P40" s="108"/>
      <c r="Q40" s="108"/>
      <c r="R40" s="108"/>
      <c r="S40" s="109"/>
      <c r="T40" s="109"/>
      <c r="U40" s="108"/>
      <c r="V40" s="108"/>
      <c r="W40" s="108"/>
      <c r="X40" s="108"/>
      <c r="Y40" s="108"/>
      <c r="Z40" s="108"/>
      <c r="AA40" s="108"/>
      <c r="AB40" s="108"/>
      <c r="AC40" s="108"/>
      <c r="AD40" s="108"/>
      <c r="AE40" s="108"/>
      <c r="AF40" s="108"/>
      <c r="AG40" s="108"/>
      <c r="AH40" s="108"/>
      <c r="AI40" s="108"/>
      <c r="AJ40" s="108"/>
      <c r="AK40" s="109"/>
      <c r="AL40" s="12"/>
      <c r="BC40" s="12"/>
      <c r="BD40" s="12"/>
      <c r="BU40" s="12"/>
      <c r="BV40" s="12"/>
      <c r="CM40" s="12"/>
      <c r="CN40" s="12"/>
      <c r="DE40" s="12"/>
      <c r="DF40" s="12"/>
      <c r="DW40" s="12"/>
      <c r="DX40" s="12"/>
      <c r="EO40" s="12"/>
      <c r="EP40" s="12"/>
      <c r="FG40" s="12"/>
      <c r="FH40" s="12"/>
      <c r="FY40" s="12"/>
      <c r="FZ40" s="12"/>
      <c r="GQ40" s="12"/>
      <c r="GR40" s="12"/>
      <c r="HI40" s="12"/>
      <c r="HJ40" s="12"/>
      <c r="IA40" s="12"/>
      <c r="IB40" s="12"/>
      <c r="IS40" s="12"/>
      <c r="IT40" s="12"/>
      <c r="JK40" s="12"/>
      <c r="JL40" s="12"/>
      <c r="KC40" s="12"/>
      <c r="KD40" s="12"/>
      <c r="KU40" s="12"/>
      <c r="KV40" s="12"/>
      <c r="LM40" s="12"/>
      <c r="LN40" s="12"/>
      <c r="ME40" s="12"/>
      <c r="MF40" s="12"/>
      <c r="MW40" s="12"/>
      <c r="MX40" s="12"/>
      <c r="NO40" s="12"/>
      <c r="NP40" s="12"/>
      <c r="OG40" s="12"/>
      <c r="OH40" s="12"/>
      <c r="OY40" s="12"/>
      <c r="OZ40" s="12"/>
      <c r="PQ40" s="12"/>
      <c r="PR40" s="12"/>
      <c r="QI40" s="12"/>
      <c r="QJ40" s="12"/>
      <c r="RA40" s="12"/>
      <c r="RB40" s="12"/>
      <c r="RS40" s="12"/>
      <c r="RT40" s="12"/>
      <c r="SK40" s="12"/>
      <c r="SL40" s="12"/>
      <c r="TC40" s="12"/>
      <c r="TD40" s="12"/>
      <c r="TU40" s="12"/>
      <c r="TV40" s="12"/>
      <c r="UM40" s="12"/>
      <c r="UN40" s="12"/>
      <c r="VE40" s="12"/>
      <c r="VF40" s="12"/>
      <c r="VW40" s="12"/>
      <c r="VX40" s="12"/>
      <c r="WO40" s="12"/>
      <c r="WP40" s="12"/>
      <c r="XG40" s="12"/>
      <c r="XH40" s="12"/>
      <c r="XY40" s="12"/>
      <c r="XZ40" s="12"/>
      <c r="YQ40" s="12"/>
      <c r="YR40" s="12"/>
      <c r="ZI40" s="12"/>
      <c r="ZJ40" s="12"/>
      <c r="AAA40" s="12"/>
      <c r="AAB40" s="12"/>
      <c r="AAS40" s="12"/>
      <c r="AAT40" s="12"/>
      <c r="ABK40" s="12"/>
      <c r="ABL40" s="12"/>
      <c r="ACC40" s="12"/>
      <c r="ACD40" s="12"/>
      <c r="ACU40" s="12"/>
      <c r="ACV40" s="12"/>
      <c r="ADM40" s="12"/>
      <c r="ADN40" s="12"/>
      <c r="AEE40" s="12"/>
      <c r="AEF40" s="12"/>
      <c r="AEW40" s="12"/>
      <c r="AEX40" s="12"/>
      <c r="AFO40" s="12"/>
      <c r="AFP40" s="12"/>
      <c r="AGG40" s="12"/>
      <c r="AGH40" s="12"/>
      <c r="AGY40" s="12"/>
      <c r="AGZ40" s="12"/>
      <c r="AHQ40" s="12"/>
      <c r="AHR40" s="12"/>
      <c r="AII40" s="12"/>
      <c r="AIJ40" s="12"/>
      <c r="AJA40" s="12"/>
      <c r="AJB40" s="12"/>
      <c r="AJS40" s="12"/>
      <c r="AJT40" s="12"/>
      <c r="AKK40" s="12"/>
      <c r="AKL40" s="12"/>
      <c r="ALC40" s="12"/>
      <c r="ALD40" s="12"/>
      <c r="ALU40" s="12"/>
      <c r="ALV40" s="12"/>
      <c r="AMM40" s="12"/>
      <c r="AMN40" s="12"/>
      <c r="ANE40" s="12"/>
      <c r="ANF40" s="12"/>
      <c r="ANW40" s="12"/>
      <c r="ANX40" s="12"/>
      <c r="AOO40" s="12"/>
      <c r="AOP40" s="12"/>
      <c r="APG40" s="12"/>
      <c r="APH40" s="12"/>
      <c r="APY40" s="12"/>
      <c r="APZ40" s="12"/>
      <c r="AQQ40" s="12"/>
      <c r="AQR40" s="12"/>
      <c r="ARI40" s="12"/>
      <c r="ARJ40" s="12"/>
      <c r="ASA40" s="12"/>
      <c r="ASB40" s="12"/>
      <c r="ASS40" s="12"/>
      <c r="AST40" s="12"/>
      <c r="ATK40" s="12"/>
      <c r="ATL40" s="12"/>
      <c r="AUC40" s="12"/>
      <c r="AUD40" s="12"/>
      <c r="AUU40" s="12"/>
      <c r="AUV40" s="12"/>
      <c r="AVM40" s="12"/>
      <c r="AVN40" s="12"/>
      <c r="AWE40" s="12"/>
      <c r="AWF40" s="12"/>
      <c r="AWW40" s="12"/>
      <c r="AWX40" s="12"/>
      <c r="AXO40" s="12"/>
      <c r="AXP40" s="12"/>
      <c r="AYG40" s="12"/>
      <c r="AYH40" s="12"/>
      <c r="AYY40" s="12"/>
      <c r="AYZ40" s="12"/>
      <c r="AZQ40" s="12"/>
      <c r="AZR40" s="12"/>
      <c r="BAI40" s="12"/>
      <c r="BAJ40" s="12"/>
      <c r="BBA40" s="12"/>
      <c r="BBB40" s="12"/>
      <c r="BBS40" s="12"/>
      <c r="BBT40" s="12"/>
      <c r="BCK40" s="12"/>
      <c r="BCL40" s="12"/>
      <c r="BDC40" s="12"/>
      <c r="BDD40" s="12"/>
      <c r="BDU40" s="12"/>
      <c r="BDV40" s="12"/>
      <c r="BEM40" s="12"/>
      <c r="BEN40" s="12"/>
      <c r="BFE40" s="12"/>
      <c r="BFF40" s="12"/>
      <c r="BFW40" s="12"/>
      <c r="BFX40" s="12"/>
      <c r="BGO40" s="12"/>
      <c r="BGP40" s="12"/>
      <c r="BHG40" s="12"/>
      <c r="BHH40" s="12"/>
      <c r="BHY40" s="12"/>
      <c r="BHZ40" s="12"/>
      <c r="BIQ40" s="12"/>
      <c r="BIR40" s="12"/>
      <c r="BJI40" s="12"/>
      <c r="BJJ40" s="12"/>
      <c r="BKA40" s="12"/>
      <c r="BKB40" s="12"/>
      <c r="BKS40" s="12"/>
      <c r="BKT40" s="12"/>
      <c r="BLK40" s="12"/>
      <c r="BLL40" s="12"/>
      <c r="BMC40" s="12"/>
      <c r="BMD40" s="12"/>
      <c r="BMU40" s="12"/>
      <c r="BMV40" s="12"/>
      <c r="BNM40" s="12"/>
      <c r="BNN40" s="12"/>
      <c r="BOE40" s="12"/>
      <c r="BOF40" s="12"/>
      <c r="BOW40" s="12"/>
      <c r="BOX40" s="12"/>
      <c r="BPO40" s="12"/>
      <c r="BPP40" s="12"/>
      <c r="BQG40" s="12"/>
      <c r="BQH40" s="12"/>
      <c r="BQY40" s="12"/>
      <c r="BQZ40" s="12"/>
      <c r="BRQ40" s="12"/>
      <c r="BRR40" s="12"/>
      <c r="BSI40" s="12"/>
      <c r="BSJ40" s="12"/>
      <c r="BTA40" s="12"/>
      <c r="BTB40" s="12"/>
      <c r="BTS40" s="12"/>
      <c r="BTT40" s="12"/>
      <c r="BUK40" s="12"/>
      <c r="BUL40" s="12"/>
      <c r="BVC40" s="12"/>
      <c r="BVD40" s="12"/>
      <c r="BVU40" s="12"/>
      <c r="BVV40" s="12"/>
      <c r="BWM40" s="12"/>
      <c r="BWN40" s="12"/>
      <c r="BXE40" s="12"/>
      <c r="BXF40" s="12"/>
      <c r="BXW40" s="12"/>
      <c r="BXX40" s="12"/>
      <c r="BYO40" s="12"/>
      <c r="BYP40" s="12"/>
      <c r="BZG40" s="12"/>
      <c r="BZH40" s="12"/>
      <c r="BZY40" s="12"/>
      <c r="BZZ40" s="12"/>
      <c r="CAQ40" s="12"/>
      <c r="CAR40" s="12"/>
      <c r="CBI40" s="12"/>
      <c r="CBJ40" s="12"/>
      <c r="CCA40" s="12"/>
      <c r="CCB40" s="12"/>
      <c r="CCS40" s="12"/>
      <c r="CCT40" s="12"/>
      <c r="CDK40" s="12"/>
      <c r="CDL40" s="12"/>
      <c r="CEC40" s="12"/>
      <c r="CED40" s="12"/>
      <c r="CEU40" s="12"/>
      <c r="CEV40" s="12"/>
      <c r="CFM40" s="12"/>
      <c r="CFN40" s="12"/>
      <c r="CGE40" s="12"/>
      <c r="CGF40" s="12"/>
      <c r="CGW40" s="12"/>
      <c r="CGX40" s="12"/>
      <c r="CHO40" s="12"/>
      <c r="CHP40" s="12"/>
      <c r="CIG40" s="12"/>
      <c r="CIH40" s="12"/>
      <c r="CIY40" s="12"/>
      <c r="CIZ40" s="12"/>
      <c r="CJQ40" s="12"/>
      <c r="CJR40" s="12"/>
      <c r="CKI40" s="12"/>
      <c r="CKJ40" s="12"/>
      <c r="CLA40" s="12"/>
      <c r="CLB40" s="12"/>
      <c r="CLS40" s="12"/>
      <c r="CLT40" s="12"/>
      <c r="CMK40" s="12"/>
      <c r="CML40" s="12"/>
      <c r="CNC40" s="12"/>
      <c r="CND40" s="12"/>
      <c r="CNU40" s="12"/>
      <c r="CNV40" s="12"/>
      <c r="COM40" s="12"/>
      <c r="CON40" s="12"/>
      <c r="CPE40" s="12"/>
      <c r="CPF40" s="12"/>
      <c r="CPW40" s="12"/>
      <c r="CPX40" s="12"/>
      <c r="CQO40" s="12"/>
      <c r="CQP40" s="12"/>
      <c r="CRG40" s="12"/>
      <c r="CRH40" s="12"/>
      <c r="CRY40" s="12"/>
      <c r="CRZ40" s="12"/>
      <c r="CSQ40" s="12"/>
      <c r="CSR40" s="12"/>
      <c r="CTI40" s="12"/>
      <c r="CTJ40" s="12"/>
      <c r="CUA40" s="12"/>
      <c r="CUB40" s="12"/>
      <c r="CUS40" s="12"/>
      <c r="CUT40" s="12"/>
      <c r="CVK40" s="12"/>
      <c r="CVL40" s="12"/>
      <c r="CWC40" s="12"/>
      <c r="CWD40" s="12"/>
      <c r="CWU40" s="12"/>
      <c r="CWV40" s="12"/>
      <c r="CXM40" s="12"/>
      <c r="CXN40" s="12"/>
      <c r="CYE40" s="12"/>
      <c r="CYF40" s="12"/>
      <c r="CYW40" s="12"/>
      <c r="CYX40" s="12"/>
      <c r="CZO40" s="12"/>
      <c r="CZP40" s="12"/>
      <c r="DAG40" s="12"/>
      <c r="DAH40" s="12"/>
      <c r="DAY40" s="12"/>
      <c r="DAZ40" s="12"/>
      <c r="DBQ40" s="12"/>
      <c r="DBR40" s="12"/>
      <c r="DCI40" s="12"/>
      <c r="DCJ40" s="12"/>
      <c r="DDA40" s="12"/>
      <c r="DDB40" s="12"/>
      <c r="DDS40" s="12"/>
      <c r="DDT40" s="12"/>
      <c r="DEK40" s="12"/>
      <c r="DEL40" s="12"/>
      <c r="DFC40" s="12"/>
      <c r="DFD40" s="12"/>
      <c r="DFU40" s="12"/>
      <c r="DFV40" s="12"/>
      <c r="DGM40" s="12"/>
      <c r="DGN40" s="12"/>
      <c r="DHE40" s="12"/>
      <c r="DHF40" s="12"/>
      <c r="DHW40" s="12"/>
      <c r="DHX40" s="12"/>
      <c r="DIO40" s="12"/>
      <c r="DIP40" s="12"/>
      <c r="DJG40" s="12"/>
      <c r="DJH40" s="12"/>
      <c r="DJY40" s="12"/>
      <c r="DJZ40" s="12"/>
      <c r="DKQ40" s="12"/>
      <c r="DKR40" s="12"/>
      <c r="DLI40" s="12"/>
      <c r="DLJ40" s="12"/>
      <c r="DMA40" s="12"/>
      <c r="DMB40" s="12"/>
      <c r="DMS40" s="12"/>
      <c r="DMT40" s="12"/>
      <c r="DNK40" s="12"/>
      <c r="DNL40" s="12"/>
      <c r="DOC40" s="12"/>
      <c r="DOD40" s="12"/>
      <c r="DOU40" s="12"/>
      <c r="DOV40" s="12"/>
      <c r="DPM40" s="12"/>
      <c r="DPN40" s="12"/>
      <c r="DQE40" s="12"/>
      <c r="DQF40" s="12"/>
      <c r="DQW40" s="12"/>
      <c r="DQX40" s="12"/>
      <c r="DRO40" s="12"/>
      <c r="DRP40" s="12"/>
      <c r="DSG40" s="12"/>
      <c r="DSH40" s="12"/>
      <c r="DSY40" s="12"/>
      <c r="DSZ40" s="12"/>
      <c r="DTQ40" s="12"/>
      <c r="DTR40" s="12"/>
      <c r="DUI40" s="12"/>
      <c r="DUJ40" s="12"/>
      <c r="DVA40" s="12"/>
      <c r="DVB40" s="12"/>
      <c r="DVS40" s="12"/>
      <c r="DVT40" s="12"/>
      <c r="DWK40" s="12"/>
      <c r="DWL40" s="12"/>
      <c r="DXC40" s="12"/>
      <c r="DXD40" s="12"/>
      <c r="DXU40" s="12"/>
      <c r="DXV40" s="12"/>
      <c r="DYM40" s="12"/>
      <c r="DYN40" s="12"/>
      <c r="DZE40" s="12"/>
      <c r="DZF40" s="12"/>
      <c r="DZW40" s="12"/>
      <c r="DZX40" s="12"/>
      <c r="EAO40" s="12"/>
      <c r="EAP40" s="12"/>
      <c r="EBG40" s="12"/>
      <c r="EBH40" s="12"/>
      <c r="EBY40" s="12"/>
      <c r="EBZ40" s="12"/>
      <c r="ECQ40" s="12"/>
      <c r="ECR40" s="12"/>
      <c r="EDI40" s="12"/>
      <c r="EDJ40" s="12"/>
      <c r="EEA40" s="12"/>
      <c r="EEB40" s="12"/>
      <c r="EES40" s="12"/>
      <c r="EET40" s="12"/>
      <c r="EFK40" s="12"/>
      <c r="EFL40" s="12"/>
      <c r="EGC40" s="12"/>
      <c r="EGD40" s="12"/>
      <c r="EGU40" s="12"/>
      <c r="EGV40" s="12"/>
      <c r="EHM40" s="12"/>
      <c r="EHN40" s="12"/>
      <c r="EIE40" s="12"/>
      <c r="EIF40" s="12"/>
      <c r="EIW40" s="12"/>
      <c r="EIX40" s="12"/>
      <c r="EJO40" s="12"/>
      <c r="EJP40" s="12"/>
      <c r="EKG40" s="12"/>
      <c r="EKH40" s="12"/>
      <c r="EKY40" s="12"/>
      <c r="EKZ40" s="12"/>
      <c r="ELQ40" s="12"/>
      <c r="ELR40" s="12"/>
      <c r="EMI40" s="12"/>
      <c r="EMJ40" s="12"/>
      <c r="ENA40" s="12"/>
      <c r="ENB40" s="12"/>
      <c r="ENS40" s="12"/>
      <c r="ENT40" s="12"/>
      <c r="EOK40" s="12"/>
      <c r="EOL40" s="12"/>
      <c r="EPC40" s="12"/>
      <c r="EPD40" s="12"/>
      <c r="EPU40" s="12"/>
      <c r="EPV40" s="12"/>
      <c r="EQM40" s="12"/>
      <c r="EQN40" s="12"/>
      <c r="ERE40" s="12"/>
      <c r="ERF40" s="12"/>
      <c r="ERW40" s="12"/>
      <c r="ERX40" s="12"/>
      <c r="ESO40" s="12"/>
      <c r="ESP40" s="12"/>
      <c r="ETG40" s="12"/>
      <c r="ETH40" s="12"/>
      <c r="ETY40" s="12"/>
      <c r="ETZ40" s="12"/>
      <c r="EUQ40" s="12"/>
      <c r="EUR40" s="12"/>
      <c r="EVI40" s="12"/>
      <c r="EVJ40" s="12"/>
      <c r="EWA40" s="12"/>
      <c r="EWB40" s="12"/>
      <c r="EWS40" s="12"/>
      <c r="EWT40" s="12"/>
      <c r="EXK40" s="12"/>
      <c r="EXL40" s="12"/>
      <c r="EYC40" s="12"/>
      <c r="EYD40" s="12"/>
      <c r="EYU40" s="12"/>
      <c r="EYV40" s="12"/>
      <c r="EZM40" s="12"/>
      <c r="EZN40" s="12"/>
      <c r="FAE40" s="12"/>
      <c r="FAF40" s="12"/>
      <c r="FAW40" s="12"/>
      <c r="FAX40" s="12"/>
      <c r="FBO40" s="12"/>
      <c r="FBP40" s="12"/>
      <c r="FCG40" s="12"/>
      <c r="FCH40" s="12"/>
      <c r="FCY40" s="12"/>
      <c r="FCZ40" s="12"/>
      <c r="FDQ40" s="12"/>
      <c r="FDR40" s="12"/>
      <c r="FEI40" s="12"/>
      <c r="FEJ40" s="12"/>
      <c r="FFA40" s="12"/>
      <c r="FFB40" s="12"/>
      <c r="FFS40" s="12"/>
      <c r="FFT40" s="12"/>
      <c r="FGK40" s="12"/>
      <c r="FGL40" s="12"/>
      <c r="FHC40" s="12"/>
      <c r="FHD40" s="12"/>
      <c r="FHU40" s="12"/>
      <c r="FHV40" s="12"/>
      <c r="FIM40" s="12"/>
      <c r="FIN40" s="12"/>
      <c r="FJE40" s="12"/>
      <c r="FJF40" s="12"/>
      <c r="FJW40" s="12"/>
      <c r="FJX40" s="12"/>
      <c r="FKO40" s="12"/>
      <c r="FKP40" s="12"/>
      <c r="FLG40" s="12"/>
      <c r="FLH40" s="12"/>
      <c r="FLY40" s="12"/>
      <c r="FLZ40" s="12"/>
      <c r="FMQ40" s="12"/>
      <c r="FMR40" s="12"/>
      <c r="FNI40" s="12"/>
      <c r="FNJ40" s="12"/>
      <c r="FOA40" s="12"/>
      <c r="FOB40" s="12"/>
      <c r="FOS40" s="12"/>
      <c r="FOT40" s="12"/>
      <c r="FPK40" s="12"/>
      <c r="FPL40" s="12"/>
      <c r="FQC40" s="12"/>
      <c r="FQD40" s="12"/>
      <c r="FQU40" s="12"/>
      <c r="FQV40" s="12"/>
      <c r="FRM40" s="12"/>
      <c r="FRN40" s="12"/>
      <c r="FSE40" s="12"/>
      <c r="FSF40" s="12"/>
      <c r="FSW40" s="12"/>
      <c r="FSX40" s="12"/>
      <c r="FTO40" s="12"/>
      <c r="FTP40" s="12"/>
      <c r="FUG40" s="12"/>
      <c r="FUH40" s="12"/>
      <c r="FUY40" s="12"/>
      <c r="FUZ40" s="12"/>
      <c r="FVQ40" s="12"/>
      <c r="FVR40" s="12"/>
      <c r="FWI40" s="12"/>
      <c r="FWJ40" s="12"/>
      <c r="FXA40" s="12"/>
      <c r="FXB40" s="12"/>
      <c r="FXS40" s="12"/>
      <c r="FXT40" s="12"/>
      <c r="FYK40" s="12"/>
      <c r="FYL40" s="12"/>
      <c r="FZC40" s="12"/>
      <c r="FZD40" s="12"/>
      <c r="FZU40" s="12"/>
      <c r="FZV40" s="12"/>
      <c r="GAM40" s="12"/>
      <c r="GAN40" s="12"/>
      <c r="GBE40" s="12"/>
      <c r="GBF40" s="12"/>
      <c r="GBW40" s="12"/>
      <c r="GBX40" s="12"/>
      <c r="GCO40" s="12"/>
      <c r="GCP40" s="12"/>
      <c r="GDG40" s="12"/>
      <c r="GDH40" s="12"/>
      <c r="GDY40" s="12"/>
      <c r="GDZ40" s="12"/>
      <c r="GEQ40" s="12"/>
      <c r="GER40" s="12"/>
      <c r="GFI40" s="12"/>
      <c r="GFJ40" s="12"/>
      <c r="GGA40" s="12"/>
      <c r="GGB40" s="12"/>
      <c r="GGS40" s="12"/>
      <c r="GGT40" s="12"/>
      <c r="GHK40" s="12"/>
      <c r="GHL40" s="12"/>
      <c r="GIC40" s="12"/>
      <c r="GID40" s="12"/>
      <c r="GIU40" s="12"/>
      <c r="GIV40" s="12"/>
      <c r="GJM40" s="12"/>
      <c r="GJN40" s="12"/>
      <c r="GKE40" s="12"/>
      <c r="GKF40" s="12"/>
      <c r="GKW40" s="12"/>
      <c r="GKX40" s="12"/>
      <c r="GLO40" s="12"/>
      <c r="GLP40" s="12"/>
      <c r="GMG40" s="12"/>
      <c r="GMH40" s="12"/>
      <c r="GMY40" s="12"/>
      <c r="GMZ40" s="12"/>
      <c r="GNQ40" s="12"/>
      <c r="GNR40" s="12"/>
      <c r="GOI40" s="12"/>
      <c r="GOJ40" s="12"/>
      <c r="GPA40" s="12"/>
      <c r="GPB40" s="12"/>
      <c r="GPS40" s="12"/>
      <c r="GPT40" s="12"/>
      <c r="GQK40" s="12"/>
      <c r="GQL40" s="12"/>
      <c r="GRC40" s="12"/>
      <c r="GRD40" s="12"/>
      <c r="GRU40" s="12"/>
      <c r="GRV40" s="12"/>
      <c r="GSM40" s="12"/>
      <c r="GSN40" s="12"/>
      <c r="GTE40" s="12"/>
      <c r="GTF40" s="12"/>
      <c r="GTW40" s="12"/>
      <c r="GTX40" s="12"/>
      <c r="GUO40" s="12"/>
      <c r="GUP40" s="12"/>
      <c r="GVG40" s="12"/>
      <c r="GVH40" s="12"/>
      <c r="GVY40" s="12"/>
      <c r="GVZ40" s="12"/>
      <c r="GWQ40" s="12"/>
      <c r="GWR40" s="12"/>
      <c r="GXI40" s="12"/>
      <c r="GXJ40" s="12"/>
      <c r="GYA40" s="12"/>
      <c r="GYB40" s="12"/>
      <c r="GYS40" s="12"/>
      <c r="GYT40" s="12"/>
      <c r="GZK40" s="12"/>
      <c r="GZL40" s="12"/>
      <c r="HAC40" s="12"/>
      <c r="HAD40" s="12"/>
      <c r="HAU40" s="12"/>
      <c r="HAV40" s="12"/>
      <c r="HBM40" s="12"/>
      <c r="HBN40" s="12"/>
      <c r="HCE40" s="12"/>
      <c r="HCF40" s="12"/>
      <c r="HCW40" s="12"/>
      <c r="HCX40" s="12"/>
      <c r="HDO40" s="12"/>
      <c r="HDP40" s="12"/>
      <c r="HEG40" s="12"/>
      <c r="HEH40" s="12"/>
      <c r="HEY40" s="12"/>
      <c r="HEZ40" s="12"/>
      <c r="HFQ40" s="12"/>
      <c r="HFR40" s="12"/>
      <c r="HGI40" s="12"/>
      <c r="HGJ40" s="12"/>
      <c r="HHA40" s="12"/>
      <c r="HHB40" s="12"/>
      <c r="HHS40" s="12"/>
      <c r="HHT40" s="12"/>
      <c r="HIK40" s="12"/>
      <c r="HIL40" s="12"/>
      <c r="HJC40" s="12"/>
      <c r="HJD40" s="12"/>
      <c r="HJU40" s="12"/>
      <c r="HJV40" s="12"/>
      <c r="HKM40" s="12"/>
      <c r="HKN40" s="12"/>
      <c r="HLE40" s="12"/>
      <c r="HLF40" s="12"/>
      <c r="HLW40" s="12"/>
      <c r="HLX40" s="12"/>
      <c r="HMO40" s="12"/>
      <c r="HMP40" s="12"/>
      <c r="HNG40" s="12"/>
      <c r="HNH40" s="12"/>
      <c r="HNY40" s="12"/>
      <c r="HNZ40" s="12"/>
      <c r="HOQ40" s="12"/>
      <c r="HOR40" s="12"/>
      <c r="HPI40" s="12"/>
      <c r="HPJ40" s="12"/>
      <c r="HQA40" s="12"/>
      <c r="HQB40" s="12"/>
      <c r="HQS40" s="12"/>
      <c r="HQT40" s="12"/>
      <c r="HRK40" s="12"/>
      <c r="HRL40" s="12"/>
      <c r="HSC40" s="12"/>
      <c r="HSD40" s="12"/>
      <c r="HSU40" s="12"/>
      <c r="HSV40" s="12"/>
      <c r="HTM40" s="12"/>
      <c r="HTN40" s="12"/>
      <c r="HUE40" s="12"/>
      <c r="HUF40" s="12"/>
      <c r="HUW40" s="12"/>
      <c r="HUX40" s="12"/>
      <c r="HVO40" s="12"/>
      <c r="HVP40" s="12"/>
      <c r="HWG40" s="12"/>
      <c r="HWH40" s="12"/>
      <c r="HWY40" s="12"/>
      <c r="HWZ40" s="12"/>
      <c r="HXQ40" s="12"/>
      <c r="HXR40" s="12"/>
      <c r="HYI40" s="12"/>
      <c r="HYJ40" s="12"/>
      <c r="HZA40" s="12"/>
      <c r="HZB40" s="12"/>
      <c r="HZS40" s="12"/>
      <c r="HZT40" s="12"/>
      <c r="IAK40" s="12"/>
      <c r="IAL40" s="12"/>
      <c r="IBC40" s="12"/>
      <c r="IBD40" s="12"/>
      <c r="IBU40" s="12"/>
      <c r="IBV40" s="12"/>
      <c r="ICM40" s="12"/>
      <c r="ICN40" s="12"/>
      <c r="IDE40" s="12"/>
      <c r="IDF40" s="12"/>
      <c r="IDW40" s="12"/>
      <c r="IDX40" s="12"/>
      <c r="IEO40" s="12"/>
      <c r="IEP40" s="12"/>
      <c r="IFG40" s="12"/>
      <c r="IFH40" s="12"/>
      <c r="IFY40" s="12"/>
      <c r="IFZ40" s="12"/>
      <c r="IGQ40" s="12"/>
      <c r="IGR40" s="12"/>
      <c r="IHI40" s="12"/>
      <c r="IHJ40" s="12"/>
      <c r="IIA40" s="12"/>
      <c r="IIB40" s="12"/>
      <c r="IIS40" s="12"/>
      <c r="IIT40" s="12"/>
      <c r="IJK40" s="12"/>
      <c r="IJL40" s="12"/>
      <c r="IKC40" s="12"/>
      <c r="IKD40" s="12"/>
      <c r="IKU40" s="12"/>
      <c r="IKV40" s="12"/>
      <c r="ILM40" s="12"/>
      <c r="ILN40" s="12"/>
      <c r="IME40" s="12"/>
      <c r="IMF40" s="12"/>
      <c r="IMW40" s="12"/>
      <c r="IMX40" s="12"/>
      <c r="INO40" s="12"/>
      <c r="INP40" s="12"/>
      <c r="IOG40" s="12"/>
      <c r="IOH40" s="12"/>
      <c r="IOY40" s="12"/>
      <c r="IOZ40" s="12"/>
      <c r="IPQ40" s="12"/>
      <c r="IPR40" s="12"/>
      <c r="IQI40" s="12"/>
      <c r="IQJ40" s="12"/>
      <c r="IRA40" s="12"/>
      <c r="IRB40" s="12"/>
      <c r="IRS40" s="12"/>
      <c r="IRT40" s="12"/>
      <c r="ISK40" s="12"/>
      <c r="ISL40" s="12"/>
      <c r="ITC40" s="12"/>
      <c r="ITD40" s="12"/>
      <c r="ITU40" s="12"/>
      <c r="ITV40" s="12"/>
      <c r="IUM40" s="12"/>
      <c r="IUN40" s="12"/>
      <c r="IVE40" s="12"/>
      <c r="IVF40" s="12"/>
      <c r="IVW40" s="12"/>
      <c r="IVX40" s="12"/>
      <c r="IWO40" s="12"/>
      <c r="IWP40" s="12"/>
      <c r="IXG40" s="12"/>
      <c r="IXH40" s="12"/>
      <c r="IXY40" s="12"/>
      <c r="IXZ40" s="12"/>
      <c r="IYQ40" s="12"/>
      <c r="IYR40" s="12"/>
      <c r="IZI40" s="12"/>
      <c r="IZJ40" s="12"/>
      <c r="JAA40" s="12"/>
      <c r="JAB40" s="12"/>
      <c r="JAS40" s="12"/>
      <c r="JAT40" s="12"/>
      <c r="JBK40" s="12"/>
      <c r="JBL40" s="12"/>
      <c r="JCC40" s="12"/>
      <c r="JCD40" s="12"/>
      <c r="JCU40" s="12"/>
      <c r="JCV40" s="12"/>
      <c r="JDM40" s="12"/>
      <c r="JDN40" s="12"/>
      <c r="JEE40" s="12"/>
      <c r="JEF40" s="12"/>
      <c r="JEW40" s="12"/>
      <c r="JEX40" s="12"/>
      <c r="JFO40" s="12"/>
      <c r="JFP40" s="12"/>
      <c r="JGG40" s="12"/>
      <c r="JGH40" s="12"/>
      <c r="JGY40" s="12"/>
      <c r="JGZ40" s="12"/>
      <c r="JHQ40" s="12"/>
      <c r="JHR40" s="12"/>
      <c r="JII40" s="12"/>
      <c r="JIJ40" s="12"/>
      <c r="JJA40" s="12"/>
      <c r="JJB40" s="12"/>
      <c r="JJS40" s="12"/>
      <c r="JJT40" s="12"/>
      <c r="JKK40" s="12"/>
      <c r="JKL40" s="12"/>
      <c r="JLC40" s="12"/>
      <c r="JLD40" s="12"/>
      <c r="JLU40" s="12"/>
      <c r="JLV40" s="12"/>
      <c r="JMM40" s="12"/>
      <c r="JMN40" s="12"/>
      <c r="JNE40" s="12"/>
      <c r="JNF40" s="12"/>
      <c r="JNW40" s="12"/>
      <c r="JNX40" s="12"/>
      <c r="JOO40" s="12"/>
      <c r="JOP40" s="12"/>
      <c r="JPG40" s="12"/>
      <c r="JPH40" s="12"/>
      <c r="JPY40" s="12"/>
      <c r="JPZ40" s="12"/>
      <c r="JQQ40" s="12"/>
      <c r="JQR40" s="12"/>
      <c r="JRI40" s="12"/>
      <c r="JRJ40" s="12"/>
      <c r="JSA40" s="12"/>
      <c r="JSB40" s="12"/>
      <c r="JSS40" s="12"/>
      <c r="JST40" s="12"/>
      <c r="JTK40" s="12"/>
      <c r="JTL40" s="12"/>
      <c r="JUC40" s="12"/>
      <c r="JUD40" s="12"/>
      <c r="JUU40" s="12"/>
      <c r="JUV40" s="12"/>
      <c r="JVM40" s="12"/>
      <c r="JVN40" s="12"/>
      <c r="JWE40" s="12"/>
      <c r="JWF40" s="12"/>
      <c r="JWW40" s="12"/>
      <c r="JWX40" s="12"/>
      <c r="JXO40" s="12"/>
      <c r="JXP40" s="12"/>
      <c r="JYG40" s="12"/>
      <c r="JYH40" s="12"/>
      <c r="JYY40" s="12"/>
      <c r="JYZ40" s="12"/>
      <c r="JZQ40" s="12"/>
      <c r="JZR40" s="12"/>
      <c r="KAI40" s="12"/>
      <c r="KAJ40" s="12"/>
      <c r="KBA40" s="12"/>
      <c r="KBB40" s="12"/>
      <c r="KBS40" s="12"/>
      <c r="KBT40" s="12"/>
      <c r="KCK40" s="12"/>
      <c r="KCL40" s="12"/>
      <c r="KDC40" s="12"/>
      <c r="KDD40" s="12"/>
      <c r="KDU40" s="12"/>
      <c r="KDV40" s="12"/>
      <c r="KEM40" s="12"/>
      <c r="KEN40" s="12"/>
      <c r="KFE40" s="12"/>
      <c r="KFF40" s="12"/>
      <c r="KFW40" s="12"/>
      <c r="KFX40" s="12"/>
      <c r="KGO40" s="12"/>
      <c r="KGP40" s="12"/>
      <c r="KHG40" s="12"/>
      <c r="KHH40" s="12"/>
      <c r="KHY40" s="12"/>
      <c r="KHZ40" s="12"/>
      <c r="KIQ40" s="12"/>
      <c r="KIR40" s="12"/>
      <c r="KJI40" s="12"/>
      <c r="KJJ40" s="12"/>
      <c r="KKA40" s="12"/>
      <c r="KKB40" s="12"/>
      <c r="KKS40" s="12"/>
      <c r="KKT40" s="12"/>
      <c r="KLK40" s="12"/>
      <c r="KLL40" s="12"/>
      <c r="KMC40" s="12"/>
      <c r="KMD40" s="12"/>
      <c r="KMU40" s="12"/>
      <c r="KMV40" s="12"/>
      <c r="KNM40" s="12"/>
      <c r="KNN40" s="12"/>
      <c r="KOE40" s="12"/>
      <c r="KOF40" s="12"/>
      <c r="KOW40" s="12"/>
      <c r="KOX40" s="12"/>
      <c r="KPO40" s="12"/>
      <c r="KPP40" s="12"/>
      <c r="KQG40" s="12"/>
      <c r="KQH40" s="12"/>
      <c r="KQY40" s="12"/>
      <c r="KQZ40" s="12"/>
      <c r="KRQ40" s="12"/>
      <c r="KRR40" s="12"/>
      <c r="KSI40" s="12"/>
      <c r="KSJ40" s="12"/>
      <c r="KTA40" s="12"/>
      <c r="KTB40" s="12"/>
      <c r="KTS40" s="12"/>
      <c r="KTT40" s="12"/>
      <c r="KUK40" s="12"/>
      <c r="KUL40" s="12"/>
      <c r="KVC40" s="12"/>
      <c r="KVD40" s="12"/>
      <c r="KVU40" s="12"/>
      <c r="KVV40" s="12"/>
      <c r="KWM40" s="12"/>
      <c r="KWN40" s="12"/>
      <c r="KXE40" s="12"/>
      <c r="KXF40" s="12"/>
      <c r="KXW40" s="12"/>
      <c r="KXX40" s="12"/>
      <c r="KYO40" s="12"/>
      <c r="KYP40" s="12"/>
      <c r="KZG40" s="12"/>
      <c r="KZH40" s="12"/>
      <c r="KZY40" s="12"/>
      <c r="KZZ40" s="12"/>
      <c r="LAQ40" s="12"/>
      <c r="LAR40" s="12"/>
      <c r="LBI40" s="12"/>
      <c r="LBJ40" s="12"/>
      <c r="LCA40" s="12"/>
      <c r="LCB40" s="12"/>
      <c r="LCS40" s="12"/>
      <c r="LCT40" s="12"/>
      <c r="LDK40" s="12"/>
      <c r="LDL40" s="12"/>
      <c r="LEC40" s="12"/>
      <c r="LED40" s="12"/>
      <c r="LEU40" s="12"/>
      <c r="LEV40" s="12"/>
      <c r="LFM40" s="12"/>
      <c r="LFN40" s="12"/>
      <c r="LGE40" s="12"/>
      <c r="LGF40" s="12"/>
      <c r="LGW40" s="12"/>
      <c r="LGX40" s="12"/>
      <c r="LHO40" s="12"/>
      <c r="LHP40" s="12"/>
      <c r="LIG40" s="12"/>
      <c r="LIH40" s="12"/>
      <c r="LIY40" s="12"/>
      <c r="LIZ40" s="12"/>
      <c r="LJQ40" s="12"/>
      <c r="LJR40" s="12"/>
      <c r="LKI40" s="12"/>
      <c r="LKJ40" s="12"/>
      <c r="LLA40" s="12"/>
      <c r="LLB40" s="12"/>
      <c r="LLS40" s="12"/>
      <c r="LLT40" s="12"/>
      <c r="LMK40" s="12"/>
      <c r="LML40" s="12"/>
      <c r="LNC40" s="12"/>
      <c r="LND40" s="12"/>
      <c r="LNU40" s="12"/>
      <c r="LNV40" s="12"/>
      <c r="LOM40" s="12"/>
      <c r="LON40" s="12"/>
      <c r="LPE40" s="12"/>
      <c r="LPF40" s="12"/>
      <c r="LPW40" s="12"/>
      <c r="LPX40" s="12"/>
      <c r="LQO40" s="12"/>
      <c r="LQP40" s="12"/>
      <c r="LRG40" s="12"/>
      <c r="LRH40" s="12"/>
      <c r="LRY40" s="12"/>
      <c r="LRZ40" s="12"/>
      <c r="LSQ40" s="12"/>
      <c r="LSR40" s="12"/>
      <c r="LTI40" s="12"/>
      <c r="LTJ40" s="12"/>
      <c r="LUA40" s="12"/>
      <c r="LUB40" s="12"/>
      <c r="LUS40" s="12"/>
      <c r="LUT40" s="12"/>
      <c r="LVK40" s="12"/>
      <c r="LVL40" s="12"/>
      <c r="LWC40" s="12"/>
      <c r="LWD40" s="12"/>
      <c r="LWU40" s="12"/>
      <c r="LWV40" s="12"/>
      <c r="LXM40" s="12"/>
      <c r="LXN40" s="12"/>
      <c r="LYE40" s="12"/>
      <c r="LYF40" s="12"/>
      <c r="LYW40" s="12"/>
      <c r="LYX40" s="12"/>
      <c r="LZO40" s="12"/>
      <c r="LZP40" s="12"/>
      <c r="MAG40" s="12"/>
      <c r="MAH40" s="12"/>
      <c r="MAY40" s="12"/>
      <c r="MAZ40" s="12"/>
      <c r="MBQ40" s="12"/>
      <c r="MBR40" s="12"/>
      <c r="MCI40" s="12"/>
      <c r="MCJ40" s="12"/>
      <c r="MDA40" s="12"/>
      <c r="MDB40" s="12"/>
      <c r="MDS40" s="12"/>
      <c r="MDT40" s="12"/>
      <c r="MEK40" s="12"/>
      <c r="MEL40" s="12"/>
      <c r="MFC40" s="12"/>
      <c r="MFD40" s="12"/>
      <c r="MFU40" s="12"/>
      <c r="MFV40" s="12"/>
      <c r="MGM40" s="12"/>
      <c r="MGN40" s="12"/>
      <c r="MHE40" s="12"/>
      <c r="MHF40" s="12"/>
      <c r="MHW40" s="12"/>
      <c r="MHX40" s="12"/>
      <c r="MIO40" s="12"/>
      <c r="MIP40" s="12"/>
      <c r="MJG40" s="12"/>
      <c r="MJH40" s="12"/>
      <c r="MJY40" s="12"/>
      <c r="MJZ40" s="12"/>
      <c r="MKQ40" s="12"/>
      <c r="MKR40" s="12"/>
      <c r="MLI40" s="12"/>
      <c r="MLJ40" s="12"/>
      <c r="MMA40" s="12"/>
      <c r="MMB40" s="12"/>
      <c r="MMS40" s="12"/>
      <c r="MMT40" s="12"/>
      <c r="MNK40" s="12"/>
      <c r="MNL40" s="12"/>
      <c r="MOC40" s="12"/>
      <c r="MOD40" s="12"/>
      <c r="MOU40" s="12"/>
      <c r="MOV40" s="12"/>
      <c r="MPM40" s="12"/>
      <c r="MPN40" s="12"/>
      <c r="MQE40" s="12"/>
      <c r="MQF40" s="12"/>
      <c r="MQW40" s="12"/>
      <c r="MQX40" s="12"/>
      <c r="MRO40" s="12"/>
      <c r="MRP40" s="12"/>
      <c r="MSG40" s="12"/>
      <c r="MSH40" s="12"/>
      <c r="MSY40" s="12"/>
      <c r="MSZ40" s="12"/>
      <c r="MTQ40" s="12"/>
      <c r="MTR40" s="12"/>
      <c r="MUI40" s="12"/>
      <c r="MUJ40" s="12"/>
      <c r="MVA40" s="12"/>
      <c r="MVB40" s="12"/>
      <c r="MVS40" s="12"/>
      <c r="MVT40" s="12"/>
      <c r="MWK40" s="12"/>
      <c r="MWL40" s="12"/>
      <c r="MXC40" s="12"/>
      <c r="MXD40" s="12"/>
      <c r="MXU40" s="12"/>
      <c r="MXV40" s="12"/>
      <c r="MYM40" s="12"/>
      <c r="MYN40" s="12"/>
      <c r="MZE40" s="12"/>
      <c r="MZF40" s="12"/>
      <c r="MZW40" s="12"/>
      <c r="MZX40" s="12"/>
      <c r="NAO40" s="12"/>
      <c r="NAP40" s="12"/>
      <c r="NBG40" s="12"/>
      <c r="NBH40" s="12"/>
      <c r="NBY40" s="12"/>
      <c r="NBZ40" s="12"/>
      <c r="NCQ40" s="12"/>
      <c r="NCR40" s="12"/>
      <c r="NDI40" s="12"/>
      <c r="NDJ40" s="12"/>
      <c r="NEA40" s="12"/>
      <c r="NEB40" s="12"/>
      <c r="NES40" s="12"/>
      <c r="NET40" s="12"/>
      <c r="NFK40" s="12"/>
      <c r="NFL40" s="12"/>
      <c r="NGC40" s="12"/>
      <c r="NGD40" s="12"/>
      <c r="NGU40" s="12"/>
      <c r="NGV40" s="12"/>
      <c r="NHM40" s="12"/>
      <c r="NHN40" s="12"/>
      <c r="NIE40" s="12"/>
      <c r="NIF40" s="12"/>
      <c r="NIW40" s="12"/>
      <c r="NIX40" s="12"/>
      <c r="NJO40" s="12"/>
      <c r="NJP40" s="12"/>
      <c r="NKG40" s="12"/>
      <c r="NKH40" s="12"/>
      <c r="NKY40" s="12"/>
      <c r="NKZ40" s="12"/>
      <c r="NLQ40" s="12"/>
      <c r="NLR40" s="12"/>
      <c r="NMI40" s="12"/>
      <c r="NMJ40" s="12"/>
      <c r="NNA40" s="12"/>
      <c r="NNB40" s="12"/>
      <c r="NNS40" s="12"/>
      <c r="NNT40" s="12"/>
      <c r="NOK40" s="12"/>
      <c r="NOL40" s="12"/>
      <c r="NPC40" s="12"/>
      <c r="NPD40" s="12"/>
      <c r="NPU40" s="12"/>
      <c r="NPV40" s="12"/>
      <c r="NQM40" s="12"/>
      <c r="NQN40" s="12"/>
      <c r="NRE40" s="12"/>
      <c r="NRF40" s="12"/>
      <c r="NRW40" s="12"/>
      <c r="NRX40" s="12"/>
      <c r="NSO40" s="12"/>
      <c r="NSP40" s="12"/>
      <c r="NTG40" s="12"/>
      <c r="NTH40" s="12"/>
      <c r="NTY40" s="12"/>
      <c r="NTZ40" s="12"/>
      <c r="NUQ40" s="12"/>
      <c r="NUR40" s="12"/>
      <c r="NVI40" s="12"/>
      <c r="NVJ40" s="12"/>
      <c r="NWA40" s="12"/>
      <c r="NWB40" s="12"/>
      <c r="NWS40" s="12"/>
      <c r="NWT40" s="12"/>
      <c r="NXK40" s="12"/>
      <c r="NXL40" s="12"/>
      <c r="NYC40" s="12"/>
      <c r="NYD40" s="12"/>
      <c r="NYU40" s="12"/>
      <c r="NYV40" s="12"/>
      <c r="NZM40" s="12"/>
      <c r="NZN40" s="12"/>
      <c r="OAE40" s="12"/>
      <c r="OAF40" s="12"/>
      <c r="OAW40" s="12"/>
      <c r="OAX40" s="12"/>
      <c r="OBO40" s="12"/>
      <c r="OBP40" s="12"/>
      <c r="OCG40" s="12"/>
      <c r="OCH40" s="12"/>
      <c r="OCY40" s="12"/>
      <c r="OCZ40" s="12"/>
      <c r="ODQ40" s="12"/>
      <c r="ODR40" s="12"/>
      <c r="OEI40" s="12"/>
      <c r="OEJ40" s="12"/>
      <c r="OFA40" s="12"/>
      <c r="OFB40" s="12"/>
      <c r="OFS40" s="12"/>
      <c r="OFT40" s="12"/>
      <c r="OGK40" s="12"/>
      <c r="OGL40" s="12"/>
      <c r="OHC40" s="12"/>
      <c r="OHD40" s="12"/>
      <c r="OHU40" s="12"/>
      <c r="OHV40" s="12"/>
      <c r="OIM40" s="12"/>
      <c r="OIN40" s="12"/>
      <c r="OJE40" s="12"/>
      <c r="OJF40" s="12"/>
      <c r="OJW40" s="12"/>
      <c r="OJX40" s="12"/>
      <c r="OKO40" s="12"/>
      <c r="OKP40" s="12"/>
      <c r="OLG40" s="12"/>
      <c r="OLH40" s="12"/>
      <c r="OLY40" s="12"/>
      <c r="OLZ40" s="12"/>
      <c r="OMQ40" s="12"/>
      <c r="OMR40" s="12"/>
      <c r="ONI40" s="12"/>
      <c r="ONJ40" s="12"/>
      <c r="OOA40" s="12"/>
      <c r="OOB40" s="12"/>
      <c r="OOS40" s="12"/>
      <c r="OOT40" s="12"/>
      <c r="OPK40" s="12"/>
      <c r="OPL40" s="12"/>
      <c r="OQC40" s="12"/>
      <c r="OQD40" s="12"/>
      <c r="OQU40" s="12"/>
      <c r="OQV40" s="12"/>
      <c r="ORM40" s="12"/>
      <c r="ORN40" s="12"/>
      <c r="OSE40" s="12"/>
      <c r="OSF40" s="12"/>
      <c r="OSW40" s="12"/>
      <c r="OSX40" s="12"/>
      <c r="OTO40" s="12"/>
      <c r="OTP40" s="12"/>
      <c r="OUG40" s="12"/>
      <c r="OUH40" s="12"/>
      <c r="OUY40" s="12"/>
      <c r="OUZ40" s="12"/>
      <c r="OVQ40" s="12"/>
      <c r="OVR40" s="12"/>
      <c r="OWI40" s="12"/>
      <c r="OWJ40" s="12"/>
      <c r="OXA40" s="12"/>
      <c r="OXB40" s="12"/>
      <c r="OXS40" s="12"/>
      <c r="OXT40" s="12"/>
      <c r="OYK40" s="12"/>
      <c r="OYL40" s="12"/>
      <c r="OZC40" s="12"/>
      <c r="OZD40" s="12"/>
      <c r="OZU40" s="12"/>
      <c r="OZV40" s="12"/>
      <c r="PAM40" s="12"/>
      <c r="PAN40" s="12"/>
      <c r="PBE40" s="12"/>
      <c r="PBF40" s="12"/>
      <c r="PBW40" s="12"/>
      <c r="PBX40" s="12"/>
      <c r="PCO40" s="12"/>
      <c r="PCP40" s="12"/>
      <c r="PDG40" s="12"/>
      <c r="PDH40" s="12"/>
      <c r="PDY40" s="12"/>
      <c r="PDZ40" s="12"/>
      <c r="PEQ40" s="12"/>
      <c r="PER40" s="12"/>
      <c r="PFI40" s="12"/>
      <c r="PFJ40" s="12"/>
      <c r="PGA40" s="12"/>
      <c r="PGB40" s="12"/>
      <c r="PGS40" s="12"/>
      <c r="PGT40" s="12"/>
      <c r="PHK40" s="12"/>
      <c r="PHL40" s="12"/>
      <c r="PIC40" s="12"/>
      <c r="PID40" s="12"/>
      <c r="PIU40" s="12"/>
      <c r="PIV40" s="12"/>
      <c r="PJM40" s="12"/>
      <c r="PJN40" s="12"/>
      <c r="PKE40" s="12"/>
      <c r="PKF40" s="12"/>
      <c r="PKW40" s="12"/>
      <c r="PKX40" s="12"/>
      <c r="PLO40" s="12"/>
      <c r="PLP40" s="12"/>
      <c r="PMG40" s="12"/>
      <c r="PMH40" s="12"/>
      <c r="PMY40" s="12"/>
      <c r="PMZ40" s="12"/>
      <c r="PNQ40" s="12"/>
      <c r="PNR40" s="12"/>
      <c r="POI40" s="12"/>
      <c r="POJ40" s="12"/>
      <c r="PPA40" s="12"/>
      <c r="PPB40" s="12"/>
      <c r="PPS40" s="12"/>
      <c r="PPT40" s="12"/>
      <c r="PQK40" s="12"/>
      <c r="PQL40" s="12"/>
      <c r="PRC40" s="12"/>
      <c r="PRD40" s="12"/>
      <c r="PRU40" s="12"/>
      <c r="PRV40" s="12"/>
      <c r="PSM40" s="12"/>
      <c r="PSN40" s="12"/>
      <c r="PTE40" s="12"/>
      <c r="PTF40" s="12"/>
      <c r="PTW40" s="12"/>
      <c r="PTX40" s="12"/>
      <c r="PUO40" s="12"/>
      <c r="PUP40" s="12"/>
      <c r="PVG40" s="12"/>
      <c r="PVH40" s="12"/>
      <c r="PVY40" s="12"/>
      <c r="PVZ40" s="12"/>
      <c r="PWQ40" s="12"/>
      <c r="PWR40" s="12"/>
      <c r="PXI40" s="12"/>
      <c r="PXJ40" s="12"/>
      <c r="PYA40" s="12"/>
      <c r="PYB40" s="12"/>
      <c r="PYS40" s="12"/>
      <c r="PYT40" s="12"/>
      <c r="PZK40" s="12"/>
      <c r="PZL40" s="12"/>
      <c r="QAC40" s="12"/>
      <c r="QAD40" s="12"/>
      <c r="QAU40" s="12"/>
      <c r="QAV40" s="12"/>
      <c r="QBM40" s="12"/>
      <c r="QBN40" s="12"/>
      <c r="QCE40" s="12"/>
      <c r="QCF40" s="12"/>
      <c r="QCW40" s="12"/>
      <c r="QCX40" s="12"/>
      <c r="QDO40" s="12"/>
      <c r="QDP40" s="12"/>
      <c r="QEG40" s="12"/>
      <c r="QEH40" s="12"/>
      <c r="QEY40" s="12"/>
      <c r="QEZ40" s="12"/>
      <c r="QFQ40" s="12"/>
      <c r="QFR40" s="12"/>
      <c r="QGI40" s="12"/>
      <c r="QGJ40" s="12"/>
      <c r="QHA40" s="12"/>
      <c r="QHB40" s="12"/>
      <c r="QHS40" s="12"/>
      <c r="QHT40" s="12"/>
      <c r="QIK40" s="12"/>
      <c r="QIL40" s="12"/>
      <c r="QJC40" s="12"/>
      <c r="QJD40" s="12"/>
      <c r="QJU40" s="12"/>
      <c r="QJV40" s="12"/>
      <c r="QKM40" s="12"/>
      <c r="QKN40" s="12"/>
      <c r="QLE40" s="12"/>
      <c r="QLF40" s="12"/>
      <c r="QLW40" s="12"/>
      <c r="QLX40" s="12"/>
      <c r="QMO40" s="12"/>
      <c r="QMP40" s="12"/>
      <c r="QNG40" s="12"/>
      <c r="QNH40" s="12"/>
      <c r="QNY40" s="12"/>
      <c r="QNZ40" s="12"/>
      <c r="QOQ40" s="12"/>
      <c r="QOR40" s="12"/>
      <c r="QPI40" s="12"/>
      <c r="QPJ40" s="12"/>
      <c r="QQA40" s="12"/>
      <c r="QQB40" s="12"/>
      <c r="QQS40" s="12"/>
      <c r="QQT40" s="12"/>
      <c r="QRK40" s="12"/>
      <c r="QRL40" s="12"/>
      <c r="QSC40" s="12"/>
      <c r="QSD40" s="12"/>
      <c r="QSU40" s="12"/>
      <c r="QSV40" s="12"/>
      <c r="QTM40" s="12"/>
      <c r="QTN40" s="12"/>
      <c r="QUE40" s="12"/>
      <c r="QUF40" s="12"/>
      <c r="QUW40" s="12"/>
      <c r="QUX40" s="12"/>
      <c r="QVO40" s="12"/>
      <c r="QVP40" s="12"/>
      <c r="QWG40" s="12"/>
      <c r="QWH40" s="12"/>
      <c r="QWY40" s="12"/>
      <c r="QWZ40" s="12"/>
      <c r="QXQ40" s="12"/>
      <c r="QXR40" s="12"/>
      <c r="QYI40" s="12"/>
      <c r="QYJ40" s="12"/>
      <c r="QZA40" s="12"/>
      <c r="QZB40" s="12"/>
      <c r="QZS40" s="12"/>
      <c r="QZT40" s="12"/>
      <c r="RAK40" s="12"/>
      <c r="RAL40" s="12"/>
      <c r="RBC40" s="12"/>
      <c r="RBD40" s="12"/>
      <c r="RBU40" s="12"/>
      <c r="RBV40" s="12"/>
      <c r="RCM40" s="12"/>
      <c r="RCN40" s="12"/>
      <c r="RDE40" s="12"/>
      <c r="RDF40" s="12"/>
      <c r="RDW40" s="12"/>
      <c r="RDX40" s="12"/>
      <c r="REO40" s="12"/>
      <c r="REP40" s="12"/>
      <c r="RFG40" s="12"/>
      <c r="RFH40" s="12"/>
      <c r="RFY40" s="12"/>
      <c r="RFZ40" s="12"/>
      <c r="RGQ40" s="12"/>
      <c r="RGR40" s="12"/>
      <c r="RHI40" s="12"/>
      <c r="RHJ40" s="12"/>
      <c r="RIA40" s="12"/>
      <c r="RIB40" s="12"/>
      <c r="RIS40" s="12"/>
      <c r="RIT40" s="12"/>
      <c r="RJK40" s="12"/>
      <c r="RJL40" s="12"/>
      <c r="RKC40" s="12"/>
      <c r="RKD40" s="12"/>
      <c r="RKU40" s="12"/>
      <c r="RKV40" s="12"/>
      <c r="RLM40" s="12"/>
      <c r="RLN40" s="12"/>
      <c r="RME40" s="12"/>
      <c r="RMF40" s="12"/>
      <c r="RMW40" s="12"/>
      <c r="RMX40" s="12"/>
      <c r="RNO40" s="12"/>
      <c r="RNP40" s="12"/>
      <c r="ROG40" s="12"/>
      <c r="ROH40" s="12"/>
      <c r="ROY40" s="12"/>
      <c r="ROZ40" s="12"/>
      <c r="RPQ40" s="12"/>
      <c r="RPR40" s="12"/>
      <c r="RQI40" s="12"/>
      <c r="RQJ40" s="12"/>
      <c r="RRA40" s="12"/>
      <c r="RRB40" s="12"/>
      <c r="RRS40" s="12"/>
      <c r="RRT40" s="12"/>
      <c r="RSK40" s="12"/>
      <c r="RSL40" s="12"/>
      <c r="RTC40" s="12"/>
      <c r="RTD40" s="12"/>
      <c r="RTU40" s="12"/>
      <c r="RTV40" s="12"/>
      <c r="RUM40" s="12"/>
      <c r="RUN40" s="12"/>
      <c r="RVE40" s="12"/>
      <c r="RVF40" s="12"/>
      <c r="RVW40" s="12"/>
      <c r="RVX40" s="12"/>
      <c r="RWO40" s="12"/>
      <c r="RWP40" s="12"/>
      <c r="RXG40" s="12"/>
      <c r="RXH40" s="12"/>
      <c r="RXY40" s="12"/>
      <c r="RXZ40" s="12"/>
      <c r="RYQ40" s="12"/>
      <c r="RYR40" s="12"/>
      <c r="RZI40" s="12"/>
      <c r="RZJ40" s="12"/>
      <c r="SAA40" s="12"/>
      <c r="SAB40" s="12"/>
      <c r="SAS40" s="12"/>
      <c r="SAT40" s="12"/>
      <c r="SBK40" s="12"/>
      <c r="SBL40" s="12"/>
      <c r="SCC40" s="12"/>
      <c r="SCD40" s="12"/>
      <c r="SCU40" s="12"/>
      <c r="SCV40" s="12"/>
      <c r="SDM40" s="12"/>
      <c r="SDN40" s="12"/>
      <c r="SEE40" s="12"/>
      <c r="SEF40" s="12"/>
      <c r="SEW40" s="12"/>
      <c r="SEX40" s="12"/>
      <c r="SFO40" s="12"/>
      <c r="SFP40" s="12"/>
      <c r="SGG40" s="12"/>
      <c r="SGH40" s="12"/>
      <c r="SGY40" s="12"/>
      <c r="SGZ40" s="12"/>
      <c r="SHQ40" s="12"/>
      <c r="SHR40" s="12"/>
      <c r="SII40" s="12"/>
      <c r="SIJ40" s="12"/>
      <c r="SJA40" s="12"/>
      <c r="SJB40" s="12"/>
      <c r="SJS40" s="12"/>
      <c r="SJT40" s="12"/>
      <c r="SKK40" s="12"/>
      <c r="SKL40" s="12"/>
      <c r="SLC40" s="12"/>
      <c r="SLD40" s="12"/>
      <c r="SLU40" s="12"/>
      <c r="SLV40" s="12"/>
      <c r="SMM40" s="12"/>
      <c r="SMN40" s="12"/>
      <c r="SNE40" s="12"/>
      <c r="SNF40" s="12"/>
      <c r="SNW40" s="12"/>
      <c r="SNX40" s="12"/>
      <c r="SOO40" s="12"/>
      <c r="SOP40" s="12"/>
      <c r="SPG40" s="12"/>
      <c r="SPH40" s="12"/>
      <c r="SPY40" s="12"/>
      <c r="SPZ40" s="12"/>
      <c r="SQQ40" s="12"/>
      <c r="SQR40" s="12"/>
      <c r="SRI40" s="12"/>
      <c r="SRJ40" s="12"/>
      <c r="SSA40" s="12"/>
      <c r="SSB40" s="12"/>
      <c r="SSS40" s="12"/>
      <c r="SST40" s="12"/>
      <c r="STK40" s="12"/>
      <c r="STL40" s="12"/>
      <c r="SUC40" s="12"/>
      <c r="SUD40" s="12"/>
      <c r="SUU40" s="12"/>
      <c r="SUV40" s="12"/>
      <c r="SVM40" s="12"/>
      <c r="SVN40" s="12"/>
      <c r="SWE40" s="12"/>
      <c r="SWF40" s="12"/>
      <c r="SWW40" s="12"/>
      <c r="SWX40" s="12"/>
      <c r="SXO40" s="12"/>
      <c r="SXP40" s="12"/>
      <c r="SYG40" s="12"/>
      <c r="SYH40" s="12"/>
      <c r="SYY40" s="12"/>
      <c r="SYZ40" s="12"/>
      <c r="SZQ40" s="12"/>
      <c r="SZR40" s="12"/>
      <c r="TAI40" s="12"/>
      <c r="TAJ40" s="12"/>
      <c r="TBA40" s="12"/>
      <c r="TBB40" s="12"/>
      <c r="TBS40" s="12"/>
      <c r="TBT40" s="12"/>
      <c r="TCK40" s="12"/>
      <c r="TCL40" s="12"/>
      <c r="TDC40" s="12"/>
      <c r="TDD40" s="12"/>
      <c r="TDU40" s="12"/>
      <c r="TDV40" s="12"/>
      <c r="TEM40" s="12"/>
      <c r="TEN40" s="12"/>
      <c r="TFE40" s="12"/>
      <c r="TFF40" s="12"/>
      <c r="TFW40" s="12"/>
      <c r="TFX40" s="12"/>
      <c r="TGO40" s="12"/>
      <c r="TGP40" s="12"/>
      <c r="THG40" s="12"/>
      <c r="THH40" s="12"/>
      <c r="THY40" s="12"/>
      <c r="THZ40" s="12"/>
      <c r="TIQ40" s="12"/>
      <c r="TIR40" s="12"/>
      <c r="TJI40" s="12"/>
      <c r="TJJ40" s="12"/>
      <c r="TKA40" s="12"/>
      <c r="TKB40" s="12"/>
      <c r="TKS40" s="12"/>
      <c r="TKT40" s="12"/>
      <c r="TLK40" s="12"/>
      <c r="TLL40" s="12"/>
      <c r="TMC40" s="12"/>
      <c r="TMD40" s="12"/>
      <c r="TMU40" s="12"/>
      <c r="TMV40" s="12"/>
      <c r="TNM40" s="12"/>
      <c r="TNN40" s="12"/>
      <c r="TOE40" s="12"/>
      <c r="TOF40" s="12"/>
      <c r="TOW40" s="12"/>
      <c r="TOX40" s="12"/>
      <c r="TPO40" s="12"/>
      <c r="TPP40" s="12"/>
      <c r="TQG40" s="12"/>
      <c r="TQH40" s="12"/>
      <c r="TQY40" s="12"/>
      <c r="TQZ40" s="12"/>
      <c r="TRQ40" s="12"/>
      <c r="TRR40" s="12"/>
      <c r="TSI40" s="12"/>
      <c r="TSJ40" s="12"/>
      <c r="TTA40" s="12"/>
      <c r="TTB40" s="12"/>
      <c r="TTS40" s="12"/>
      <c r="TTT40" s="12"/>
      <c r="TUK40" s="12"/>
      <c r="TUL40" s="12"/>
      <c r="TVC40" s="12"/>
      <c r="TVD40" s="12"/>
      <c r="TVU40" s="12"/>
      <c r="TVV40" s="12"/>
      <c r="TWM40" s="12"/>
      <c r="TWN40" s="12"/>
      <c r="TXE40" s="12"/>
      <c r="TXF40" s="12"/>
      <c r="TXW40" s="12"/>
      <c r="TXX40" s="12"/>
      <c r="TYO40" s="12"/>
      <c r="TYP40" s="12"/>
      <c r="TZG40" s="12"/>
      <c r="TZH40" s="12"/>
      <c r="TZY40" s="12"/>
      <c r="TZZ40" s="12"/>
      <c r="UAQ40" s="12"/>
      <c r="UAR40" s="12"/>
      <c r="UBI40" s="12"/>
      <c r="UBJ40" s="12"/>
      <c r="UCA40" s="12"/>
      <c r="UCB40" s="12"/>
      <c r="UCS40" s="12"/>
      <c r="UCT40" s="12"/>
      <c r="UDK40" s="12"/>
      <c r="UDL40" s="12"/>
      <c r="UEC40" s="12"/>
      <c r="UED40" s="12"/>
      <c r="UEU40" s="12"/>
      <c r="UEV40" s="12"/>
      <c r="UFM40" s="12"/>
      <c r="UFN40" s="12"/>
      <c r="UGE40" s="12"/>
      <c r="UGF40" s="12"/>
      <c r="UGW40" s="12"/>
      <c r="UGX40" s="12"/>
      <c r="UHO40" s="12"/>
      <c r="UHP40" s="12"/>
      <c r="UIG40" s="12"/>
      <c r="UIH40" s="12"/>
      <c r="UIY40" s="12"/>
      <c r="UIZ40" s="12"/>
      <c r="UJQ40" s="12"/>
      <c r="UJR40" s="12"/>
      <c r="UKI40" s="12"/>
      <c r="UKJ40" s="12"/>
      <c r="ULA40" s="12"/>
      <c r="ULB40" s="12"/>
      <c r="ULS40" s="12"/>
      <c r="ULT40" s="12"/>
      <c r="UMK40" s="12"/>
      <c r="UML40" s="12"/>
      <c r="UNC40" s="12"/>
      <c r="UND40" s="12"/>
      <c r="UNU40" s="12"/>
      <c r="UNV40" s="12"/>
      <c r="UOM40" s="12"/>
      <c r="UON40" s="12"/>
      <c r="UPE40" s="12"/>
      <c r="UPF40" s="12"/>
      <c r="UPW40" s="12"/>
      <c r="UPX40" s="12"/>
      <c r="UQO40" s="12"/>
      <c r="UQP40" s="12"/>
      <c r="URG40" s="12"/>
      <c r="URH40" s="12"/>
      <c r="URY40" s="12"/>
      <c r="URZ40" s="12"/>
      <c r="USQ40" s="12"/>
      <c r="USR40" s="12"/>
      <c r="UTI40" s="12"/>
      <c r="UTJ40" s="12"/>
      <c r="UUA40" s="12"/>
      <c r="UUB40" s="12"/>
      <c r="UUS40" s="12"/>
      <c r="UUT40" s="12"/>
      <c r="UVK40" s="12"/>
      <c r="UVL40" s="12"/>
      <c r="UWC40" s="12"/>
      <c r="UWD40" s="12"/>
      <c r="UWU40" s="12"/>
      <c r="UWV40" s="12"/>
      <c r="UXM40" s="12"/>
      <c r="UXN40" s="12"/>
      <c r="UYE40" s="12"/>
      <c r="UYF40" s="12"/>
      <c r="UYW40" s="12"/>
      <c r="UYX40" s="12"/>
      <c r="UZO40" s="12"/>
      <c r="UZP40" s="12"/>
      <c r="VAG40" s="12"/>
      <c r="VAH40" s="12"/>
      <c r="VAY40" s="12"/>
      <c r="VAZ40" s="12"/>
      <c r="VBQ40" s="12"/>
      <c r="VBR40" s="12"/>
      <c r="VCI40" s="12"/>
      <c r="VCJ40" s="12"/>
      <c r="VDA40" s="12"/>
      <c r="VDB40" s="12"/>
      <c r="VDS40" s="12"/>
      <c r="VDT40" s="12"/>
      <c r="VEK40" s="12"/>
      <c r="VEL40" s="12"/>
      <c r="VFC40" s="12"/>
      <c r="VFD40" s="12"/>
      <c r="VFU40" s="12"/>
      <c r="VFV40" s="12"/>
      <c r="VGM40" s="12"/>
      <c r="VGN40" s="12"/>
      <c r="VHE40" s="12"/>
      <c r="VHF40" s="12"/>
      <c r="VHW40" s="12"/>
      <c r="VHX40" s="12"/>
      <c r="VIO40" s="12"/>
      <c r="VIP40" s="12"/>
      <c r="VJG40" s="12"/>
      <c r="VJH40" s="12"/>
      <c r="VJY40" s="12"/>
      <c r="VJZ40" s="12"/>
      <c r="VKQ40" s="12"/>
      <c r="VKR40" s="12"/>
      <c r="VLI40" s="12"/>
      <c r="VLJ40" s="12"/>
      <c r="VMA40" s="12"/>
      <c r="VMB40" s="12"/>
      <c r="VMS40" s="12"/>
      <c r="VMT40" s="12"/>
      <c r="VNK40" s="12"/>
      <c r="VNL40" s="12"/>
      <c r="VOC40" s="12"/>
      <c r="VOD40" s="12"/>
      <c r="VOU40" s="12"/>
      <c r="VOV40" s="12"/>
      <c r="VPM40" s="12"/>
      <c r="VPN40" s="12"/>
      <c r="VQE40" s="12"/>
      <c r="VQF40" s="12"/>
      <c r="VQW40" s="12"/>
      <c r="VQX40" s="12"/>
      <c r="VRO40" s="12"/>
      <c r="VRP40" s="12"/>
      <c r="VSG40" s="12"/>
      <c r="VSH40" s="12"/>
      <c r="VSY40" s="12"/>
      <c r="VSZ40" s="12"/>
      <c r="VTQ40" s="12"/>
      <c r="VTR40" s="12"/>
      <c r="VUI40" s="12"/>
      <c r="VUJ40" s="12"/>
      <c r="VVA40" s="12"/>
      <c r="VVB40" s="12"/>
      <c r="VVS40" s="12"/>
      <c r="VVT40" s="12"/>
      <c r="VWK40" s="12"/>
      <c r="VWL40" s="12"/>
      <c r="VXC40" s="12"/>
      <c r="VXD40" s="12"/>
      <c r="VXU40" s="12"/>
      <c r="VXV40" s="12"/>
      <c r="VYM40" s="12"/>
      <c r="VYN40" s="12"/>
      <c r="VZE40" s="12"/>
      <c r="VZF40" s="12"/>
      <c r="VZW40" s="12"/>
      <c r="VZX40" s="12"/>
      <c r="WAO40" s="12"/>
      <c r="WAP40" s="12"/>
      <c r="WBG40" s="12"/>
      <c r="WBH40" s="12"/>
      <c r="WBY40" s="12"/>
      <c r="WBZ40" s="12"/>
      <c r="WCQ40" s="12"/>
      <c r="WCR40" s="12"/>
      <c r="WDI40" s="12"/>
      <c r="WDJ40" s="12"/>
      <c r="WEA40" s="12"/>
      <c r="WEB40" s="12"/>
      <c r="WES40" s="12"/>
      <c r="WET40" s="12"/>
      <c r="WFK40" s="12"/>
      <c r="WFL40" s="12"/>
      <c r="WGC40" s="12"/>
      <c r="WGD40" s="12"/>
      <c r="WGU40" s="12"/>
      <c r="WGV40" s="12"/>
      <c r="WHM40" s="12"/>
      <c r="WHN40" s="12"/>
      <c r="WIE40" s="12"/>
      <c r="WIF40" s="12"/>
      <c r="WIW40" s="12"/>
      <c r="WIX40" s="12"/>
      <c r="WJO40" s="12"/>
      <c r="WJP40" s="12"/>
      <c r="WKG40" s="12"/>
      <c r="WKH40" s="12"/>
      <c r="WKY40" s="12"/>
      <c r="WKZ40" s="12"/>
      <c r="WLQ40" s="12"/>
      <c r="WLR40" s="12"/>
      <c r="WMI40" s="12"/>
      <c r="WMJ40" s="12"/>
      <c r="WNA40" s="12"/>
      <c r="WNB40" s="12"/>
      <c r="WNS40" s="12"/>
      <c r="WNT40" s="12"/>
      <c r="WOK40" s="12"/>
      <c r="WOL40" s="12"/>
      <c r="WPC40" s="12"/>
      <c r="WPD40" s="12"/>
      <c r="WPU40" s="12"/>
      <c r="WPV40" s="12"/>
      <c r="WQM40" s="12"/>
      <c r="WQN40" s="12"/>
      <c r="WRE40" s="12"/>
      <c r="WRF40" s="12"/>
      <c r="WRW40" s="12"/>
      <c r="WRX40" s="12"/>
      <c r="WSO40" s="12"/>
      <c r="WSP40" s="12"/>
      <c r="WTG40" s="12"/>
      <c r="WTH40" s="12"/>
      <c r="WTY40" s="12"/>
      <c r="WTZ40" s="12"/>
      <c r="WUQ40" s="12"/>
      <c r="WUR40" s="12"/>
      <c r="WVI40" s="12"/>
      <c r="WVJ40" s="12"/>
      <c r="WWA40" s="12"/>
      <c r="WWB40" s="12"/>
      <c r="WWS40" s="12"/>
      <c r="WWT40" s="12"/>
      <c r="WXK40" s="12"/>
      <c r="WXL40" s="12"/>
      <c r="WYC40" s="12"/>
      <c r="WYD40" s="12"/>
      <c r="WYU40" s="12"/>
      <c r="WYV40" s="12"/>
      <c r="WZM40" s="12"/>
      <c r="WZN40" s="12"/>
      <c r="XAE40" s="12"/>
      <c r="XAF40" s="12"/>
      <c r="XAW40" s="12"/>
      <c r="XAX40" s="12"/>
      <c r="XBO40" s="12"/>
      <c r="XBP40" s="12"/>
      <c r="XCG40" s="12"/>
      <c r="XCH40" s="12"/>
      <c r="XCY40" s="12"/>
      <c r="XCZ40" s="12"/>
      <c r="XDQ40" s="12"/>
      <c r="XDR40" s="12"/>
      <c r="XEI40" s="12"/>
      <c r="XEJ40" s="12"/>
      <c r="XFA40" s="12"/>
      <c r="XFB40" s="12"/>
    </row>
    <row r="41" spans="1:1010 1027:2036 2053:3062 3079:4088 4105:5114 5131:6140 6157:7166 7183:8192 8209:9200 9217:10226 10243:11252 11269:12278 12295:13304 13321:14330 14347:15356 15373:16382" x14ac:dyDescent="0.35">
      <c r="A41" s="23" t="str">
        <f>'Income - GAAP'!A41</f>
        <v>check</v>
      </c>
      <c r="B41" s="23"/>
      <c r="C41" s="79"/>
      <c r="D41" s="79"/>
      <c r="E41" s="79"/>
      <c r="F41" s="79"/>
      <c r="G41" s="79"/>
      <c r="H41" s="79"/>
      <c r="I41" s="79"/>
      <c r="J41" s="79"/>
      <c r="K41" s="79"/>
      <c r="L41" s="79"/>
      <c r="M41" s="127"/>
      <c r="N41" s="127"/>
      <c r="O41" s="127"/>
      <c r="P41" s="127"/>
      <c r="Q41" s="127"/>
      <c r="R41" s="127"/>
      <c r="S41" s="37"/>
      <c r="T41" s="37"/>
      <c r="U41" s="37"/>
      <c r="V41" s="37"/>
      <c r="W41" s="37"/>
      <c r="X41" s="37"/>
      <c r="Y41" s="37"/>
      <c r="Z41" s="37"/>
      <c r="AA41" s="37"/>
      <c r="AB41" s="37"/>
      <c r="AC41" s="37"/>
      <c r="AD41" s="37"/>
      <c r="AE41" s="37"/>
      <c r="AF41" s="37"/>
      <c r="AG41" s="37"/>
      <c r="AH41" s="37"/>
      <c r="AI41" s="37"/>
      <c r="AJ41" s="37"/>
      <c r="AK41" s="37"/>
    </row>
    <row r="42" spans="1:1010 1027:2036 2053:3062 3079:4088 4105:5114 5131:6140 6157:7166 7183:8192 8209:9200 9217:10226 10243:11252 11269:12278 12295:13304 13321:14330 14347:15356 15373:16382" x14ac:dyDescent="0.35">
      <c r="A42" s="51" t="str">
        <f>'Income - GAAP'!A42</f>
        <v>Pretax Income</v>
      </c>
      <c r="B42" s="51" t="str">
        <f>'Income - GAAP'!B42</f>
        <v>PRETAX_INC</v>
      </c>
      <c r="C42" s="81">
        <f>IF('Income - GAAP'!C42="",0,'Income - GAAP'!C42)/'Income - GAAP'!C$9</f>
        <v>5.6714516150895324E-2</v>
      </c>
      <c r="D42" s="81">
        <f>IF('Income - GAAP'!D42="",0,'Income - GAAP'!D42)/'Income - GAAP'!D$9</f>
        <v>6.894987306582237E-2</v>
      </c>
      <c r="E42" s="81">
        <f>IF('Income - GAAP'!E42="",0,'Income - GAAP'!E42)/'Income - GAAP'!E$9</f>
        <v>6.1808820441661111E-2</v>
      </c>
      <c r="F42" s="81">
        <f>IF('Income - GAAP'!F42="",0,'Income - GAAP'!F42)/'Income - GAAP'!F$9</f>
        <v>4.7447260804554222E-3</v>
      </c>
      <c r="G42" s="81">
        <f>IF('Income - GAAP'!G42="",0,'Income - GAAP'!G42)/'Income - GAAP'!G$9</f>
        <v>0.10289408711332823</v>
      </c>
      <c r="H42" s="81">
        <f>IF('Income - GAAP'!H42="",0,'Income - GAAP'!H42)/'Income - GAAP'!H$9</f>
        <v>8.8763067122819519E-2</v>
      </c>
      <c r="I42" s="81">
        <f>IF('Income - GAAP'!I42="",0,'Income - GAAP'!I42)/'Income - GAAP'!I$9</f>
        <v>0.11400427898793759</v>
      </c>
      <c r="J42" s="81">
        <f>IF('Income - GAAP'!J42="",0,'Income - GAAP'!J42)/'Income - GAAP'!J$9</f>
        <v>0.14890577435453151</v>
      </c>
      <c r="K42" s="81">
        <f>IF('Income - GAAP'!K42="",0,'Income - GAAP'!K42)/'Income - GAAP'!K$9</f>
        <v>0.13021476788661679</v>
      </c>
      <c r="L42" s="81">
        <f>IF('Income - GAAP'!L42="",0,'Income - GAAP'!L42)/'Income - GAAP'!L$9</f>
        <v>0.13983955479857119</v>
      </c>
      <c r="M42" s="128"/>
      <c r="N42" s="128"/>
      <c r="O42" s="128"/>
      <c r="P42" s="128"/>
      <c r="Q42" s="128"/>
      <c r="R42" s="128"/>
      <c r="S42" s="37"/>
      <c r="T42" s="37"/>
      <c r="U42" s="37"/>
      <c r="V42" s="37"/>
      <c r="W42" s="37"/>
      <c r="X42" s="37"/>
      <c r="Y42" s="37"/>
      <c r="Z42" s="37"/>
      <c r="AA42" s="37"/>
      <c r="AB42" s="37"/>
      <c r="AC42" s="37"/>
      <c r="AD42" s="37"/>
      <c r="AE42" s="37"/>
      <c r="AF42" s="37"/>
      <c r="AG42" s="37"/>
      <c r="AH42" s="37"/>
      <c r="AI42" s="37"/>
      <c r="AJ42" s="37"/>
      <c r="AK42" s="37"/>
    </row>
    <row r="43" spans="1:1010 1027:2036 2053:3062 3079:4088 4105:5114 5131:6140 6157:7166 7183:8192 8209:9200 9217:10226 10243:11252 11269:12278 12295:13304 13321:14330 14347:15356 15373:16382" x14ac:dyDescent="0.35">
      <c r="A43" s="24" t="str">
        <f>'Income - GAAP'!A43</f>
        <v>check</v>
      </c>
      <c r="B43" s="24"/>
      <c r="C43" s="83"/>
      <c r="D43" s="83"/>
      <c r="E43" s="83"/>
      <c r="F43" s="83"/>
      <c r="G43" s="83"/>
      <c r="H43" s="83"/>
      <c r="I43" s="83"/>
      <c r="J43" s="83"/>
      <c r="K43" s="83"/>
      <c r="L43" s="83"/>
      <c r="M43" s="129"/>
      <c r="N43" s="129"/>
      <c r="O43" s="129"/>
      <c r="P43" s="129"/>
      <c r="Q43" s="129"/>
      <c r="R43" s="129"/>
      <c r="S43" s="37"/>
      <c r="T43" s="37"/>
      <c r="U43" s="37"/>
      <c r="V43" s="37"/>
      <c r="W43" s="37"/>
      <c r="X43" s="37"/>
      <c r="Y43" s="37"/>
      <c r="Z43" s="37"/>
      <c r="AA43" s="37"/>
      <c r="AB43" s="37"/>
      <c r="AC43" s="37"/>
      <c r="AD43" s="37"/>
      <c r="AE43" s="37"/>
      <c r="AF43" s="37"/>
      <c r="AG43" s="37"/>
      <c r="AH43" s="37"/>
      <c r="AI43" s="37"/>
      <c r="AJ43" s="37"/>
      <c r="AK43" s="37"/>
    </row>
    <row r="44" spans="1:1010 1027:2036 2053:3062 3079:4088 4105:5114 5131:6140 6157:7166 7183:8192 8209:9200 9217:10226 10243:11252 11269:12278 12295:13304 13321:14330 14347:15356 15373:16382" s="11" customFormat="1" x14ac:dyDescent="0.35">
      <c r="A44" s="183" t="str">
        <f>'Income - GAAP'!A44</f>
        <v xml:space="preserve">  - Income Tax Expense (Benefit)</v>
      </c>
      <c r="B44" s="75" t="str">
        <f>'Income - GAAP'!B44</f>
        <v>IS_INC_TAX_EXP</v>
      </c>
      <c r="C44" s="76">
        <f>IF('Income - GAAP'!C44="",0,'Income - GAAP'!C44)/'Income - GAAP'!C$9</f>
        <v>1.7468644161336613E-2</v>
      </c>
      <c r="D44" s="76">
        <f>IF('Income - GAAP'!D44="",0,'Income - GAAP'!D44)/'Income - GAAP'!D$9</f>
        <v>2.4201473015627865E-2</v>
      </c>
      <c r="E44" s="76">
        <f>IF('Income - GAAP'!E44="",0,'Income - GAAP'!E44)/'Income - GAAP'!E$9</f>
        <v>2.4787066030070932E-2</v>
      </c>
      <c r="F44" s="76">
        <f>IF('Income - GAAP'!F44="",0,'Income - GAAP'!F44)/'Income - GAAP'!F$9</f>
        <v>-1.4637266028932246E-4</v>
      </c>
      <c r="G44" s="76">
        <f>IF('Income - GAAP'!G44="",0,'Income - GAAP'!G44)/'Income - GAAP'!G$9</f>
        <v>2.1517110041879787E-2</v>
      </c>
      <c r="H44" s="76">
        <f>IF('Income - GAAP'!H44="",0,'Income - GAAP'!H44)/'Income - GAAP'!H$9</f>
        <v>1.3765621531729283E-2</v>
      </c>
      <c r="I44" s="76">
        <f>IF('Income - GAAP'!I44="",0,'Income - GAAP'!I44)/'Income - GAAP'!I$9</f>
        <v>2.9061567863736679E-2</v>
      </c>
      <c r="J44" s="76">
        <f>IF('Income - GAAP'!J44="",0,'Income - GAAP'!J44)/'Income - GAAP'!J$9</f>
        <v>4.1531915903655924E-2</v>
      </c>
      <c r="K44" s="76">
        <f>IF('Income - GAAP'!K44="",0,'Income - GAAP'!K44)/'Income - GAAP'!K$9</f>
        <v>2.1073213479740525E-2</v>
      </c>
      <c r="L44" s="76">
        <f>IF('Income - GAAP'!L44="",0,'Income - GAAP'!L44)/'Income - GAAP'!L$9</f>
        <v>3.0354777281006787E-2</v>
      </c>
      <c r="M44" s="108"/>
      <c r="N44" s="108"/>
      <c r="O44" s="108"/>
      <c r="P44" s="108"/>
      <c r="Q44" s="108"/>
      <c r="R44" s="108"/>
      <c r="S44" s="109"/>
      <c r="T44" s="109"/>
      <c r="U44" s="108"/>
      <c r="V44" s="108"/>
      <c r="W44" s="108"/>
      <c r="X44" s="108"/>
      <c r="Y44" s="108"/>
      <c r="Z44" s="108"/>
      <c r="AA44" s="108"/>
      <c r="AB44" s="108"/>
      <c r="AC44" s="108"/>
      <c r="AD44" s="108"/>
      <c r="AE44" s="108"/>
      <c r="AF44" s="108"/>
      <c r="AG44" s="108"/>
      <c r="AH44" s="108"/>
      <c r="AI44" s="108"/>
      <c r="AJ44" s="108"/>
      <c r="AK44" s="109"/>
      <c r="AL44" s="12"/>
      <c r="BC44" s="12"/>
      <c r="BD44" s="12"/>
      <c r="BU44" s="12"/>
      <c r="BV44" s="12"/>
      <c r="CM44" s="12"/>
      <c r="CN44" s="12"/>
      <c r="DE44" s="12"/>
      <c r="DF44" s="12"/>
      <c r="DW44" s="12"/>
      <c r="DX44" s="12"/>
      <c r="EO44" s="12"/>
      <c r="EP44" s="12"/>
      <c r="FG44" s="12"/>
      <c r="FH44" s="12"/>
      <c r="FY44" s="12"/>
      <c r="FZ44" s="12"/>
      <c r="GQ44" s="12"/>
      <c r="GR44" s="12"/>
      <c r="HI44" s="12"/>
      <c r="HJ44" s="12"/>
      <c r="IA44" s="12"/>
      <c r="IB44" s="12"/>
      <c r="IS44" s="12"/>
      <c r="IT44" s="12"/>
      <c r="JK44" s="12"/>
      <c r="JL44" s="12"/>
      <c r="KC44" s="12"/>
      <c r="KD44" s="12"/>
      <c r="KU44" s="12"/>
      <c r="KV44" s="12"/>
      <c r="LM44" s="12"/>
      <c r="LN44" s="12"/>
      <c r="ME44" s="12"/>
      <c r="MF44" s="12"/>
      <c r="MW44" s="12"/>
      <c r="MX44" s="12"/>
      <c r="NO44" s="12"/>
      <c r="NP44" s="12"/>
      <c r="OG44" s="12"/>
      <c r="OH44" s="12"/>
      <c r="OY44" s="12"/>
      <c r="OZ44" s="12"/>
      <c r="PQ44" s="12"/>
      <c r="PR44" s="12"/>
      <c r="QI44" s="12"/>
      <c r="QJ44" s="12"/>
      <c r="RA44" s="12"/>
      <c r="RB44" s="12"/>
      <c r="RS44" s="12"/>
      <c r="RT44" s="12"/>
      <c r="SK44" s="12"/>
      <c r="SL44" s="12"/>
      <c r="TC44" s="12"/>
      <c r="TD44" s="12"/>
      <c r="TU44" s="12"/>
      <c r="TV44" s="12"/>
      <c r="UM44" s="12"/>
      <c r="UN44" s="12"/>
      <c r="VE44" s="12"/>
      <c r="VF44" s="12"/>
      <c r="VW44" s="12"/>
      <c r="VX44" s="12"/>
      <c r="WO44" s="12"/>
      <c r="WP44" s="12"/>
      <c r="XG44" s="12"/>
      <c r="XH44" s="12"/>
      <c r="XY44" s="12"/>
      <c r="XZ44" s="12"/>
      <c r="YQ44" s="12"/>
      <c r="YR44" s="12"/>
      <c r="ZI44" s="12"/>
      <c r="ZJ44" s="12"/>
      <c r="AAA44" s="12"/>
      <c r="AAB44" s="12"/>
      <c r="AAS44" s="12"/>
      <c r="AAT44" s="12"/>
      <c r="ABK44" s="12"/>
      <c r="ABL44" s="12"/>
      <c r="ACC44" s="12"/>
      <c r="ACD44" s="12"/>
      <c r="ACU44" s="12"/>
      <c r="ACV44" s="12"/>
      <c r="ADM44" s="12"/>
      <c r="ADN44" s="12"/>
      <c r="AEE44" s="12"/>
      <c r="AEF44" s="12"/>
      <c r="AEW44" s="12"/>
      <c r="AEX44" s="12"/>
      <c r="AFO44" s="12"/>
      <c r="AFP44" s="12"/>
      <c r="AGG44" s="12"/>
      <c r="AGH44" s="12"/>
      <c r="AGY44" s="12"/>
      <c r="AGZ44" s="12"/>
      <c r="AHQ44" s="12"/>
      <c r="AHR44" s="12"/>
      <c r="AII44" s="12"/>
      <c r="AIJ44" s="12"/>
      <c r="AJA44" s="12"/>
      <c r="AJB44" s="12"/>
      <c r="AJS44" s="12"/>
      <c r="AJT44" s="12"/>
      <c r="AKK44" s="12"/>
      <c r="AKL44" s="12"/>
      <c r="ALC44" s="12"/>
      <c r="ALD44" s="12"/>
      <c r="ALU44" s="12"/>
      <c r="ALV44" s="12"/>
      <c r="AMM44" s="12"/>
      <c r="AMN44" s="12"/>
      <c r="ANE44" s="12"/>
      <c r="ANF44" s="12"/>
      <c r="ANW44" s="12"/>
      <c r="ANX44" s="12"/>
      <c r="AOO44" s="12"/>
      <c r="AOP44" s="12"/>
      <c r="APG44" s="12"/>
      <c r="APH44" s="12"/>
      <c r="APY44" s="12"/>
      <c r="APZ44" s="12"/>
      <c r="AQQ44" s="12"/>
      <c r="AQR44" s="12"/>
      <c r="ARI44" s="12"/>
      <c r="ARJ44" s="12"/>
      <c r="ASA44" s="12"/>
      <c r="ASB44" s="12"/>
      <c r="ASS44" s="12"/>
      <c r="AST44" s="12"/>
      <c r="ATK44" s="12"/>
      <c r="ATL44" s="12"/>
      <c r="AUC44" s="12"/>
      <c r="AUD44" s="12"/>
      <c r="AUU44" s="12"/>
      <c r="AUV44" s="12"/>
      <c r="AVM44" s="12"/>
      <c r="AVN44" s="12"/>
      <c r="AWE44" s="12"/>
      <c r="AWF44" s="12"/>
      <c r="AWW44" s="12"/>
      <c r="AWX44" s="12"/>
      <c r="AXO44" s="12"/>
      <c r="AXP44" s="12"/>
      <c r="AYG44" s="12"/>
      <c r="AYH44" s="12"/>
      <c r="AYY44" s="12"/>
      <c r="AYZ44" s="12"/>
      <c r="AZQ44" s="12"/>
      <c r="AZR44" s="12"/>
      <c r="BAI44" s="12"/>
      <c r="BAJ44" s="12"/>
      <c r="BBA44" s="12"/>
      <c r="BBB44" s="12"/>
      <c r="BBS44" s="12"/>
      <c r="BBT44" s="12"/>
      <c r="BCK44" s="12"/>
      <c r="BCL44" s="12"/>
      <c r="BDC44" s="12"/>
      <c r="BDD44" s="12"/>
      <c r="BDU44" s="12"/>
      <c r="BDV44" s="12"/>
      <c r="BEM44" s="12"/>
      <c r="BEN44" s="12"/>
      <c r="BFE44" s="12"/>
      <c r="BFF44" s="12"/>
      <c r="BFW44" s="12"/>
      <c r="BFX44" s="12"/>
      <c r="BGO44" s="12"/>
      <c r="BGP44" s="12"/>
      <c r="BHG44" s="12"/>
      <c r="BHH44" s="12"/>
      <c r="BHY44" s="12"/>
      <c r="BHZ44" s="12"/>
      <c r="BIQ44" s="12"/>
      <c r="BIR44" s="12"/>
      <c r="BJI44" s="12"/>
      <c r="BJJ44" s="12"/>
      <c r="BKA44" s="12"/>
      <c r="BKB44" s="12"/>
      <c r="BKS44" s="12"/>
      <c r="BKT44" s="12"/>
      <c r="BLK44" s="12"/>
      <c r="BLL44" s="12"/>
      <c r="BMC44" s="12"/>
      <c r="BMD44" s="12"/>
      <c r="BMU44" s="12"/>
      <c r="BMV44" s="12"/>
      <c r="BNM44" s="12"/>
      <c r="BNN44" s="12"/>
      <c r="BOE44" s="12"/>
      <c r="BOF44" s="12"/>
      <c r="BOW44" s="12"/>
      <c r="BOX44" s="12"/>
      <c r="BPO44" s="12"/>
      <c r="BPP44" s="12"/>
      <c r="BQG44" s="12"/>
      <c r="BQH44" s="12"/>
      <c r="BQY44" s="12"/>
      <c r="BQZ44" s="12"/>
      <c r="BRQ44" s="12"/>
      <c r="BRR44" s="12"/>
      <c r="BSI44" s="12"/>
      <c r="BSJ44" s="12"/>
      <c r="BTA44" s="12"/>
      <c r="BTB44" s="12"/>
      <c r="BTS44" s="12"/>
      <c r="BTT44" s="12"/>
      <c r="BUK44" s="12"/>
      <c r="BUL44" s="12"/>
      <c r="BVC44" s="12"/>
      <c r="BVD44" s="12"/>
      <c r="BVU44" s="12"/>
      <c r="BVV44" s="12"/>
      <c r="BWM44" s="12"/>
      <c r="BWN44" s="12"/>
      <c r="BXE44" s="12"/>
      <c r="BXF44" s="12"/>
      <c r="BXW44" s="12"/>
      <c r="BXX44" s="12"/>
      <c r="BYO44" s="12"/>
      <c r="BYP44" s="12"/>
      <c r="BZG44" s="12"/>
      <c r="BZH44" s="12"/>
      <c r="BZY44" s="12"/>
      <c r="BZZ44" s="12"/>
      <c r="CAQ44" s="12"/>
      <c r="CAR44" s="12"/>
      <c r="CBI44" s="12"/>
      <c r="CBJ44" s="12"/>
      <c r="CCA44" s="12"/>
      <c r="CCB44" s="12"/>
      <c r="CCS44" s="12"/>
      <c r="CCT44" s="12"/>
      <c r="CDK44" s="12"/>
      <c r="CDL44" s="12"/>
      <c r="CEC44" s="12"/>
      <c r="CED44" s="12"/>
      <c r="CEU44" s="12"/>
      <c r="CEV44" s="12"/>
      <c r="CFM44" s="12"/>
      <c r="CFN44" s="12"/>
      <c r="CGE44" s="12"/>
      <c r="CGF44" s="12"/>
      <c r="CGW44" s="12"/>
      <c r="CGX44" s="12"/>
      <c r="CHO44" s="12"/>
      <c r="CHP44" s="12"/>
      <c r="CIG44" s="12"/>
      <c r="CIH44" s="12"/>
      <c r="CIY44" s="12"/>
      <c r="CIZ44" s="12"/>
      <c r="CJQ44" s="12"/>
      <c r="CJR44" s="12"/>
      <c r="CKI44" s="12"/>
      <c r="CKJ44" s="12"/>
      <c r="CLA44" s="12"/>
      <c r="CLB44" s="12"/>
      <c r="CLS44" s="12"/>
      <c r="CLT44" s="12"/>
      <c r="CMK44" s="12"/>
      <c r="CML44" s="12"/>
      <c r="CNC44" s="12"/>
      <c r="CND44" s="12"/>
      <c r="CNU44" s="12"/>
      <c r="CNV44" s="12"/>
      <c r="COM44" s="12"/>
      <c r="CON44" s="12"/>
      <c r="CPE44" s="12"/>
      <c r="CPF44" s="12"/>
      <c r="CPW44" s="12"/>
      <c r="CPX44" s="12"/>
      <c r="CQO44" s="12"/>
      <c r="CQP44" s="12"/>
      <c r="CRG44" s="12"/>
      <c r="CRH44" s="12"/>
      <c r="CRY44" s="12"/>
      <c r="CRZ44" s="12"/>
      <c r="CSQ44" s="12"/>
      <c r="CSR44" s="12"/>
      <c r="CTI44" s="12"/>
      <c r="CTJ44" s="12"/>
      <c r="CUA44" s="12"/>
      <c r="CUB44" s="12"/>
      <c r="CUS44" s="12"/>
      <c r="CUT44" s="12"/>
      <c r="CVK44" s="12"/>
      <c r="CVL44" s="12"/>
      <c r="CWC44" s="12"/>
      <c r="CWD44" s="12"/>
      <c r="CWU44" s="12"/>
      <c r="CWV44" s="12"/>
      <c r="CXM44" s="12"/>
      <c r="CXN44" s="12"/>
      <c r="CYE44" s="12"/>
      <c r="CYF44" s="12"/>
      <c r="CYW44" s="12"/>
      <c r="CYX44" s="12"/>
      <c r="CZO44" s="12"/>
      <c r="CZP44" s="12"/>
      <c r="DAG44" s="12"/>
      <c r="DAH44" s="12"/>
      <c r="DAY44" s="12"/>
      <c r="DAZ44" s="12"/>
      <c r="DBQ44" s="12"/>
      <c r="DBR44" s="12"/>
      <c r="DCI44" s="12"/>
      <c r="DCJ44" s="12"/>
      <c r="DDA44" s="12"/>
      <c r="DDB44" s="12"/>
      <c r="DDS44" s="12"/>
      <c r="DDT44" s="12"/>
      <c r="DEK44" s="12"/>
      <c r="DEL44" s="12"/>
      <c r="DFC44" s="12"/>
      <c r="DFD44" s="12"/>
      <c r="DFU44" s="12"/>
      <c r="DFV44" s="12"/>
      <c r="DGM44" s="12"/>
      <c r="DGN44" s="12"/>
      <c r="DHE44" s="12"/>
      <c r="DHF44" s="12"/>
      <c r="DHW44" s="12"/>
      <c r="DHX44" s="12"/>
      <c r="DIO44" s="12"/>
      <c r="DIP44" s="12"/>
      <c r="DJG44" s="12"/>
      <c r="DJH44" s="12"/>
      <c r="DJY44" s="12"/>
      <c r="DJZ44" s="12"/>
      <c r="DKQ44" s="12"/>
      <c r="DKR44" s="12"/>
      <c r="DLI44" s="12"/>
      <c r="DLJ44" s="12"/>
      <c r="DMA44" s="12"/>
      <c r="DMB44" s="12"/>
      <c r="DMS44" s="12"/>
      <c r="DMT44" s="12"/>
      <c r="DNK44" s="12"/>
      <c r="DNL44" s="12"/>
      <c r="DOC44" s="12"/>
      <c r="DOD44" s="12"/>
      <c r="DOU44" s="12"/>
      <c r="DOV44" s="12"/>
      <c r="DPM44" s="12"/>
      <c r="DPN44" s="12"/>
      <c r="DQE44" s="12"/>
      <c r="DQF44" s="12"/>
      <c r="DQW44" s="12"/>
      <c r="DQX44" s="12"/>
      <c r="DRO44" s="12"/>
      <c r="DRP44" s="12"/>
      <c r="DSG44" s="12"/>
      <c r="DSH44" s="12"/>
      <c r="DSY44" s="12"/>
      <c r="DSZ44" s="12"/>
      <c r="DTQ44" s="12"/>
      <c r="DTR44" s="12"/>
      <c r="DUI44" s="12"/>
      <c r="DUJ44" s="12"/>
      <c r="DVA44" s="12"/>
      <c r="DVB44" s="12"/>
      <c r="DVS44" s="12"/>
      <c r="DVT44" s="12"/>
      <c r="DWK44" s="12"/>
      <c r="DWL44" s="12"/>
      <c r="DXC44" s="12"/>
      <c r="DXD44" s="12"/>
      <c r="DXU44" s="12"/>
      <c r="DXV44" s="12"/>
      <c r="DYM44" s="12"/>
      <c r="DYN44" s="12"/>
      <c r="DZE44" s="12"/>
      <c r="DZF44" s="12"/>
      <c r="DZW44" s="12"/>
      <c r="DZX44" s="12"/>
      <c r="EAO44" s="12"/>
      <c r="EAP44" s="12"/>
      <c r="EBG44" s="12"/>
      <c r="EBH44" s="12"/>
      <c r="EBY44" s="12"/>
      <c r="EBZ44" s="12"/>
      <c r="ECQ44" s="12"/>
      <c r="ECR44" s="12"/>
      <c r="EDI44" s="12"/>
      <c r="EDJ44" s="12"/>
      <c r="EEA44" s="12"/>
      <c r="EEB44" s="12"/>
      <c r="EES44" s="12"/>
      <c r="EET44" s="12"/>
      <c r="EFK44" s="12"/>
      <c r="EFL44" s="12"/>
      <c r="EGC44" s="12"/>
      <c r="EGD44" s="12"/>
      <c r="EGU44" s="12"/>
      <c r="EGV44" s="12"/>
      <c r="EHM44" s="12"/>
      <c r="EHN44" s="12"/>
      <c r="EIE44" s="12"/>
      <c r="EIF44" s="12"/>
      <c r="EIW44" s="12"/>
      <c r="EIX44" s="12"/>
      <c r="EJO44" s="12"/>
      <c r="EJP44" s="12"/>
      <c r="EKG44" s="12"/>
      <c r="EKH44" s="12"/>
      <c r="EKY44" s="12"/>
      <c r="EKZ44" s="12"/>
      <c r="ELQ44" s="12"/>
      <c r="ELR44" s="12"/>
      <c r="EMI44" s="12"/>
      <c r="EMJ44" s="12"/>
      <c r="ENA44" s="12"/>
      <c r="ENB44" s="12"/>
      <c r="ENS44" s="12"/>
      <c r="ENT44" s="12"/>
      <c r="EOK44" s="12"/>
      <c r="EOL44" s="12"/>
      <c r="EPC44" s="12"/>
      <c r="EPD44" s="12"/>
      <c r="EPU44" s="12"/>
      <c r="EPV44" s="12"/>
      <c r="EQM44" s="12"/>
      <c r="EQN44" s="12"/>
      <c r="ERE44" s="12"/>
      <c r="ERF44" s="12"/>
      <c r="ERW44" s="12"/>
      <c r="ERX44" s="12"/>
      <c r="ESO44" s="12"/>
      <c r="ESP44" s="12"/>
      <c r="ETG44" s="12"/>
      <c r="ETH44" s="12"/>
      <c r="ETY44" s="12"/>
      <c r="ETZ44" s="12"/>
      <c r="EUQ44" s="12"/>
      <c r="EUR44" s="12"/>
      <c r="EVI44" s="12"/>
      <c r="EVJ44" s="12"/>
      <c r="EWA44" s="12"/>
      <c r="EWB44" s="12"/>
      <c r="EWS44" s="12"/>
      <c r="EWT44" s="12"/>
      <c r="EXK44" s="12"/>
      <c r="EXL44" s="12"/>
      <c r="EYC44" s="12"/>
      <c r="EYD44" s="12"/>
      <c r="EYU44" s="12"/>
      <c r="EYV44" s="12"/>
      <c r="EZM44" s="12"/>
      <c r="EZN44" s="12"/>
      <c r="FAE44" s="12"/>
      <c r="FAF44" s="12"/>
      <c r="FAW44" s="12"/>
      <c r="FAX44" s="12"/>
      <c r="FBO44" s="12"/>
      <c r="FBP44" s="12"/>
      <c r="FCG44" s="12"/>
      <c r="FCH44" s="12"/>
      <c r="FCY44" s="12"/>
      <c r="FCZ44" s="12"/>
      <c r="FDQ44" s="12"/>
      <c r="FDR44" s="12"/>
      <c r="FEI44" s="12"/>
      <c r="FEJ44" s="12"/>
      <c r="FFA44" s="12"/>
      <c r="FFB44" s="12"/>
      <c r="FFS44" s="12"/>
      <c r="FFT44" s="12"/>
      <c r="FGK44" s="12"/>
      <c r="FGL44" s="12"/>
      <c r="FHC44" s="12"/>
      <c r="FHD44" s="12"/>
      <c r="FHU44" s="12"/>
      <c r="FHV44" s="12"/>
      <c r="FIM44" s="12"/>
      <c r="FIN44" s="12"/>
      <c r="FJE44" s="12"/>
      <c r="FJF44" s="12"/>
      <c r="FJW44" s="12"/>
      <c r="FJX44" s="12"/>
      <c r="FKO44" s="12"/>
      <c r="FKP44" s="12"/>
      <c r="FLG44" s="12"/>
      <c r="FLH44" s="12"/>
      <c r="FLY44" s="12"/>
      <c r="FLZ44" s="12"/>
      <c r="FMQ44" s="12"/>
      <c r="FMR44" s="12"/>
      <c r="FNI44" s="12"/>
      <c r="FNJ44" s="12"/>
      <c r="FOA44" s="12"/>
      <c r="FOB44" s="12"/>
      <c r="FOS44" s="12"/>
      <c r="FOT44" s="12"/>
      <c r="FPK44" s="12"/>
      <c r="FPL44" s="12"/>
      <c r="FQC44" s="12"/>
      <c r="FQD44" s="12"/>
      <c r="FQU44" s="12"/>
      <c r="FQV44" s="12"/>
      <c r="FRM44" s="12"/>
      <c r="FRN44" s="12"/>
      <c r="FSE44" s="12"/>
      <c r="FSF44" s="12"/>
      <c r="FSW44" s="12"/>
      <c r="FSX44" s="12"/>
      <c r="FTO44" s="12"/>
      <c r="FTP44" s="12"/>
      <c r="FUG44" s="12"/>
      <c r="FUH44" s="12"/>
      <c r="FUY44" s="12"/>
      <c r="FUZ44" s="12"/>
      <c r="FVQ44" s="12"/>
      <c r="FVR44" s="12"/>
      <c r="FWI44" s="12"/>
      <c r="FWJ44" s="12"/>
      <c r="FXA44" s="12"/>
      <c r="FXB44" s="12"/>
      <c r="FXS44" s="12"/>
      <c r="FXT44" s="12"/>
      <c r="FYK44" s="12"/>
      <c r="FYL44" s="12"/>
      <c r="FZC44" s="12"/>
      <c r="FZD44" s="12"/>
      <c r="FZU44" s="12"/>
      <c r="FZV44" s="12"/>
      <c r="GAM44" s="12"/>
      <c r="GAN44" s="12"/>
      <c r="GBE44" s="12"/>
      <c r="GBF44" s="12"/>
      <c r="GBW44" s="12"/>
      <c r="GBX44" s="12"/>
      <c r="GCO44" s="12"/>
      <c r="GCP44" s="12"/>
      <c r="GDG44" s="12"/>
      <c r="GDH44" s="12"/>
      <c r="GDY44" s="12"/>
      <c r="GDZ44" s="12"/>
      <c r="GEQ44" s="12"/>
      <c r="GER44" s="12"/>
      <c r="GFI44" s="12"/>
      <c r="GFJ44" s="12"/>
      <c r="GGA44" s="12"/>
      <c r="GGB44" s="12"/>
      <c r="GGS44" s="12"/>
      <c r="GGT44" s="12"/>
      <c r="GHK44" s="12"/>
      <c r="GHL44" s="12"/>
      <c r="GIC44" s="12"/>
      <c r="GID44" s="12"/>
      <c r="GIU44" s="12"/>
      <c r="GIV44" s="12"/>
      <c r="GJM44" s="12"/>
      <c r="GJN44" s="12"/>
      <c r="GKE44" s="12"/>
      <c r="GKF44" s="12"/>
      <c r="GKW44" s="12"/>
      <c r="GKX44" s="12"/>
      <c r="GLO44" s="12"/>
      <c r="GLP44" s="12"/>
      <c r="GMG44" s="12"/>
      <c r="GMH44" s="12"/>
      <c r="GMY44" s="12"/>
      <c r="GMZ44" s="12"/>
      <c r="GNQ44" s="12"/>
      <c r="GNR44" s="12"/>
      <c r="GOI44" s="12"/>
      <c r="GOJ44" s="12"/>
      <c r="GPA44" s="12"/>
      <c r="GPB44" s="12"/>
      <c r="GPS44" s="12"/>
      <c r="GPT44" s="12"/>
      <c r="GQK44" s="12"/>
      <c r="GQL44" s="12"/>
      <c r="GRC44" s="12"/>
      <c r="GRD44" s="12"/>
      <c r="GRU44" s="12"/>
      <c r="GRV44" s="12"/>
      <c r="GSM44" s="12"/>
      <c r="GSN44" s="12"/>
      <c r="GTE44" s="12"/>
      <c r="GTF44" s="12"/>
      <c r="GTW44" s="12"/>
      <c r="GTX44" s="12"/>
      <c r="GUO44" s="12"/>
      <c r="GUP44" s="12"/>
      <c r="GVG44" s="12"/>
      <c r="GVH44" s="12"/>
      <c r="GVY44" s="12"/>
      <c r="GVZ44" s="12"/>
      <c r="GWQ44" s="12"/>
      <c r="GWR44" s="12"/>
      <c r="GXI44" s="12"/>
      <c r="GXJ44" s="12"/>
      <c r="GYA44" s="12"/>
      <c r="GYB44" s="12"/>
      <c r="GYS44" s="12"/>
      <c r="GYT44" s="12"/>
      <c r="GZK44" s="12"/>
      <c r="GZL44" s="12"/>
      <c r="HAC44" s="12"/>
      <c r="HAD44" s="12"/>
      <c r="HAU44" s="12"/>
      <c r="HAV44" s="12"/>
      <c r="HBM44" s="12"/>
      <c r="HBN44" s="12"/>
      <c r="HCE44" s="12"/>
      <c r="HCF44" s="12"/>
      <c r="HCW44" s="12"/>
      <c r="HCX44" s="12"/>
      <c r="HDO44" s="12"/>
      <c r="HDP44" s="12"/>
      <c r="HEG44" s="12"/>
      <c r="HEH44" s="12"/>
      <c r="HEY44" s="12"/>
      <c r="HEZ44" s="12"/>
      <c r="HFQ44" s="12"/>
      <c r="HFR44" s="12"/>
      <c r="HGI44" s="12"/>
      <c r="HGJ44" s="12"/>
      <c r="HHA44" s="12"/>
      <c r="HHB44" s="12"/>
      <c r="HHS44" s="12"/>
      <c r="HHT44" s="12"/>
      <c r="HIK44" s="12"/>
      <c r="HIL44" s="12"/>
      <c r="HJC44" s="12"/>
      <c r="HJD44" s="12"/>
      <c r="HJU44" s="12"/>
      <c r="HJV44" s="12"/>
      <c r="HKM44" s="12"/>
      <c r="HKN44" s="12"/>
      <c r="HLE44" s="12"/>
      <c r="HLF44" s="12"/>
      <c r="HLW44" s="12"/>
      <c r="HLX44" s="12"/>
      <c r="HMO44" s="12"/>
      <c r="HMP44" s="12"/>
      <c r="HNG44" s="12"/>
      <c r="HNH44" s="12"/>
      <c r="HNY44" s="12"/>
      <c r="HNZ44" s="12"/>
      <c r="HOQ44" s="12"/>
      <c r="HOR44" s="12"/>
      <c r="HPI44" s="12"/>
      <c r="HPJ44" s="12"/>
      <c r="HQA44" s="12"/>
      <c r="HQB44" s="12"/>
      <c r="HQS44" s="12"/>
      <c r="HQT44" s="12"/>
      <c r="HRK44" s="12"/>
      <c r="HRL44" s="12"/>
      <c r="HSC44" s="12"/>
      <c r="HSD44" s="12"/>
      <c r="HSU44" s="12"/>
      <c r="HSV44" s="12"/>
      <c r="HTM44" s="12"/>
      <c r="HTN44" s="12"/>
      <c r="HUE44" s="12"/>
      <c r="HUF44" s="12"/>
      <c r="HUW44" s="12"/>
      <c r="HUX44" s="12"/>
      <c r="HVO44" s="12"/>
      <c r="HVP44" s="12"/>
      <c r="HWG44" s="12"/>
      <c r="HWH44" s="12"/>
      <c r="HWY44" s="12"/>
      <c r="HWZ44" s="12"/>
      <c r="HXQ44" s="12"/>
      <c r="HXR44" s="12"/>
      <c r="HYI44" s="12"/>
      <c r="HYJ44" s="12"/>
      <c r="HZA44" s="12"/>
      <c r="HZB44" s="12"/>
      <c r="HZS44" s="12"/>
      <c r="HZT44" s="12"/>
      <c r="IAK44" s="12"/>
      <c r="IAL44" s="12"/>
      <c r="IBC44" s="12"/>
      <c r="IBD44" s="12"/>
      <c r="IBU44" s="12"/>
      <c r="IBV44" s="12"/>
      <c r="ICM44" s="12"/>
      <c r="ICN44" s="12"/>
      <c r="IDE44" s="12"/>
      <c r="IDF44" s="12"/>
      <c r="IDW44" s="12"/>
      <c r="IDX44" s="12"/>
      <c r="IEO44" s="12"/>
      <c r="IEP44" s="12"/>
      <c r="IFG44" s="12"/>
      <c r="IFH44" s="12"/>
      <c r="IFY44" s="12"/>
      <c r="IFZ44" s="12"/>
      <c r="IGQ44" s="12"/>
      <c r="IGR44" s="12"/>
      <c r="IHI44" s="12"/>
      <c r="IHJ44" s="12"/>
      <c r="IIA44" s="12"/>
      <c r="IIB44" s="12"/>
      <c r="IIS44" s="12"/>
      <c r="IIT44" s="12"/>
      <c r="IJK44" s="12"/>
      <c r="IJL44" s="12"/>
      <c r="IKC44" s="12"/>
      <c r="IKD44" s="12"/>
      <c r="IKU44" s="12"/>
      <c r="IKV44" s="12"/>
      <c r="ILM44" s="12"/>
      <c r="ILN44" s="12"/>
      <c r="IME44" s="12"/>
      <c r="IMF44" s="12"/>
      <c r="IMW44" s="12"/>
      <c r="IMX44" s="12"/>
      <c r="INO44" s="12"/>
      <c r="INP44" s="12"/>
      <c r="IOG44" s="12"/>
      <c r="IOH44" s="12"/>
      <c r="IOY44" s="12"/>
      <c r="IOZ44" s="12"/>
      <c r="IPQ44" s="12"/>
      <c r="IPR44" s="12"/>
      <c r="IQI44" s="12"/>
      <c r="IQJ44" s="12"/>
      <c r="IRA44" s="12"/>
      <c r="IRB44" s="12"/>
      <c r="IRS44" s="12"/>
      <c r="IRT44" s="12"/>
      <c r="ISK44" s="12"/>
      <c r="ISL44" s="12"/>
      <c r="ITC44" s="12"/>
      <c r="ITD44" s="12"/>
      <c r="ITU44" s="12"/>
      <c r="ITV44" s="12"/>
      <c r="IUM44" s="12"/>
      <c r="IUN44" s="12"/>
      <c r="IVE44" s="12"/>
      <c r="IVF44" s="12"/>
      <c r="IVW44" s="12"/>
      <c r="IVX44" s="12"/>
      <c r="IWO44" s="12"/>
      <c r="IWP44" s="12"/>
      <c r="IXG44" s="12"/>
      <c r="IXH44" s="12"/>
      <c r="IXY44" s="12"/>
      <c r="IXZ44" s="12"/>
      <c r="IYQ44" s="12"/>
      <c r="IYR44" s="12"/>
      <c r="IZI44" s="12"/>
      <c r="IZJ44" s="12"/>
      <c r="JAA44" s="12"/>
      <c r="JAB44" s="12"/>
      <c r="JAS44" s="12"/>
      <c r="JAT44" s="12"/>
      <c r="JBK44" s="12"/>
      <c r="JBL44" s="12"/>
      <c r="JCC44" s="12"/>
      <c r="JCD44" s="12"/>
      <c r="JCU44" s="12"/>
      <c r="JCV44" s="12"/>
      <c r="JDM44" s="12"/>
      <c r="JDN44" s="12"/>
      <c r="JEE44" s="12"/>
      <c r="JEF44" s="12"/>
      <c r="JEW44" s="12"/>
      <c r="JEX44" s="12"/>
      <c r="JFO44" s="12"/>
      <c r="JFP44" s="12"/>
      <c r="JGG44" s="12"/>
      <c r="JGH44" s="12"/>
      <c r="JGY44" s="12"/>
      <c r="JGZ44" s="12"/>
      <c r="JHQ44" s="12"/>
      <c r="JHR44" s="12"/>
      <c r="JII44" s="12"/>
      <c r="JIJ44" s="12"/>
      <c r="JJA44" s="12"/>
      <c r="JJB44" s="12"/>
      <c r="JJS44" s="12"/>
      <c r="JJT44" s="12"/>
      <c r="JKK44" s="12"/>
      <c r="JKL44" s="12"/>
      <c r="JLC44" s="12"/>
      <c r="JLD44" s="12"/>
      <c r="JLU44" s="12"/>
      <c r="JLV44" s="12"/>
      <c r="JMM44" s="12"/>
      <c r="JMN44" s="12"/>
      <c r="JNE44" s="12"/>
      <c r="JNF44" s="12"/>
      <c r="JNW44" s="12"/>
      <c r="JNX44" s="12"/>
      <c r="JOO44" s="12"/>
      <c r="JOP44" s="12"/>
      <c r="JPG44" s="12"/>
      <c r="JPH44" s="12"/>
      <c r="JPY44" s="12"/>
      <c r="JPZ44" s="12"/>
      <c r="JQQ44" s="12"/>
      <c r="JQR44" s="12"/>
      <c r="JRI44" s="12"/>
      <c r="JRJ44" s="12"/>
      <c r="JSA44" s="12"/>
      <c r="JSB44" s="12"/>
      <c r="JSS44" s="12"/>
      <c r="JST44" s="12"/>
      <c r="JTK44" s="12"/>
      <c r="JTL44" s="12"/>
      <c r="JUC44" s="12"/>
      <c r="JUD44" s="12"/>
      <c r="JUU44" s="12"/>
      <c r="JUV44" s="12"/>
      <c r="JVM44" s="12"/>
      <c r="JVN44" s="12"/>
      <c r="JWE44" s="12"/>
      <c r="JWF44" s="12"/>
      <c r="JWW44" s="12"/>
      <c r="JWX44" s="12"/>
      <c r="JXO44" s="12"/>
      <c r="JXP44" s="12"/>
      <c r="JYG44" s="12"/>
      <c r="JYH44" s="12"/>
      <c r="JYY44" s="12"/>
      <c r="JYZ44" s="12"/>
      <c r="JZQ44" s="12"/>
      <c r="JZR44" s="12"/>
      <c r="KAI44" s="12"/>
      <c r="KAJ44" s="12"/>
      <c r="KBA44" s="12"/>
      <c r="KBB44" s="12"/>
      <c r="KBS44" s="12"/>
      <c r="KBT44" s="12"/>
      <c r="KCK44" s="12"/>
      <c r="KCL44" s="12"/>
      <c r="KDC44" s="12"/>
      <c r="KDD44" s="12"/>
      <c r="KDU44" s="12"/>
      <c r="KDV44" s="12"/>
      <c r="KEM44" s="12"/>
      <c r="KEN44" s="12"/>
      <c r="KFE44" s="12"/>
      <c r="KFF44" s="12"/>
      <c r="KFW44" s="12"/>
      <c r="KFX44" s="12"/>
      <c r="KGO44" s="12"/>
      <c r="KGP44" s="12"/>
      <c r="KHG44" s="12"/>
      <c r="KHH44" s="12"/>
      <c r="KHY44" s="12"/>
      <c r="KHZ44" s="12"/>
      <c r="KIQ44" s="12"/>
      <c r="KIR44" s="12"/>
      <c r="KJI44" s="12"/>
      <c r="KJJ44" s="12"/>
      <c r="KKA44" s="12"/>
      <c r="KKB44" s="12"/>
      <c r="KKS44" s="12"/>
      <c r="KKT44" s="12"/>
      <c r="KLK44" s="12"/>
      <c r="KLL44" s="12"/>
      <c r="KMC44" s="12"/>
      <c r="KMD44" s="12"/>
      <c r="KMU44" s="12"/>
      <c r="KMV44" s="12"/>
      <c r="KNM44" s="12"/>
      <c r="KNN44" s="12"/>
      <c r="KOE44" s="12"/>
      <c r="KOF44" s="12"/>
      <c r="KOW44" s="12"/>
      <c r="KOX44" s="12"/>
      <c r="KPO44" s="12"/>
      <c r="KPP44" s="12"/>
      <c r="KQG44" s="12"/>
      <c r="KQH44" s="12"/>
      <c r="KQY44" s="12"/>
      <c r="KQZ44" s="12"/>
      <c r="KRQ44" s="12"/>
      <c r="KRR44" s="12"/>
      <c r="KSI44" s="12"/>
      <c r="KSJ44" s="12"/>
      <c r="KTA44" s="12"/>
      <c r="KTB44" s="12"/>
      <c r="KTS44" s="12"/>
      <c r="KTT44" s="12"/>
      <c r="KUK44" s="12"/>
      <c r="KUL44" s="12"/>
      <c r="KVC44" s="12"/>
      <c r="KVD44" s="12"/>
      <c r="KVU44" s="12"/>
      <c r="KVV44" s="12"/>
      <c r="KWM44" s="12"/>
      <c r="KWN44" s="12"/>
      <c r="KXE44" s="12"/>
      <c r="KXF44" s="12"/>
      <c r="KXW44" s="12"/>
      <c r="KXX44" s="12"/>
      <c r="KYO44" s="12"/>
      <c r="KYP44" s="12"/>
      <c r="KZG44" s="12"/>
      <c r="KZH44" s="12"/>
      <c r="KZY44" s="12"/>
      <c r="KZZ44" s="12"/>
      <c r="LAQ44" s="12"/>
      <c r="LAR44" s="12"/>
      <c r="LBI44" s="12"/>
      <c r="LBJ44" s="12"/>
      <c r="LCA44" s="12"/>
      <c r="LCB44" s="12"/>
      <c r="LCS44" s="12"/>
      <c r="LCT44" s="12"/>
      <c r="LDK44" s="12"/>
      <c r="LDL44" s="12"/>
      <c r="LEC44" s="12"/>
      <c r="LED44" s="12"/>
      <c r="LEU44" s="12"/>
      <c r="LEV44" s="12"/>
      <c r="LFM44" s="12"/>
      <c r="LFN44" s="12"/>
      <c r="LGE44" s="12"/>
      <c r="LGF44" s="12"/>
      <c r="LGW44" s="12"/>
      <c r="LGX44" s="12"/>
      <c r="LHO44" s="12"/>
      <c r="LHP44" s="12"/>
      <c r="LIG44" s="12"/>
      <c r="LIH44" s="12"/>
      <c r="LIY44" s="12"/>
      <c r="LIZ44" s="12"/>
      <c r="LJQ44" s="12"/>
      <c r="LJR44" s="12"/>
      <c r="LKI44" s="12"/>
      <c r="LKJ44" s="12"/>
      <c r="LLA44" s="12"/>
      <c r="LLB44" s="12"/>
      <c r="LLS44" s="12"/>
      <c r="LLT44" s="12"/>
      <c r="LMK44" s="12"/>
      <c r="LML44" s="12"/>
      <c r="LNC44" s="12"/>
      <c r="LND44" s="12"/>
      <c r="LNU44" s="12"/>
      <c r="LNV44" s="12"/>
      <c r="LOM44" s="12"/>
      <c r="LON44" s="12"/>
      <c r="LPE44" s="12"/>
      <c r="LPF44" s="12"/>
      <c r="LPW44" s="12"/>
      <c r="LPX44" s="12"/>
      <c r="LQO44" s="12"/>
      <c r="LQP44" s="12"/>
      <c r="LRG44" s="12"/>
      <c r="LRH44" s="12"/>
      <c r="LRY44" s="12"/>
      <c r="LRZ44" s="12"/>
      <c r="LSQ44" s="12"/>
      <c r="LSR44" s="12"/>
      <c r="LTI44" s="12"/>
      <c r="LTJ44" s="12"/>
      <c r="LUA44" s="12"/>
      <c r="LUB44" s="12"/>
      <c r="LUS44" s="12"/>
      <c r="LUT44" s="12"/>
      <c r="LVK44" s="12"/>
      <c r="LVL44" s="12"/>
      <c r="LWC44" s="12"/>
      <c r="LWD44" s="12"/>
      <c r="LWU44" s="12"/>
      <c r="LWV44" s="12"/>
      <c r="LXM44" s="12"/>
      <c r="LXN44" s="12"/>
      <c r="LYE44" s="12"/>
      <c r="LYF44" s="12"/>
      <c r="LYW44" s="12"/>
      <c r="LYX44" s="12"/>
      <c r="LZO44" s="12"/>
      <c r="LZP44" s="12"/>
      <c r="MAG44" s="12"/>
      <c r="MAH44" s="12"/>
      <c r="MAY44" s="12"/>
      <c r="MAZ44" s="12"/>
      <c r="MBQ44" s="12"/>
      <c r="MBR44" s="12"/>
      <c r="MCI44" s="12"/>
      <c r="MCJ44" s="12"/>
      <c r="MDA44" s="12"/>
      <c r="MDB44" s="12"/>
      <c r="MDS44" s="12"/>
      <c r="MDT44" s="12"/>
      <c r="MEK44" s="12"/>
      <c r="MEL44" s="12"/>
      <c r="MFC44" s="12"/>
      <c r="MFD44" s="12"/>
      <c r="MFU44" s="12"/>
      <c r="MFV44" s="12"/>
      <c r="MGM44" s="12"/>
      <c r="MGN44" s="12"/>
      <c r="MHE44" s="12"/>
      <c r="MHF44" s="12"/>
      <c r="MHW44" s="12"/>
      <c r="MHX44" s="12"/>
      <c r="MIO44" s="12"/>
      <c r="MIP44" s="12"/>
      <c r="MJG44" s="12"/>
      <c r="MJH44" s="12"/>
      <c r="MJY44" s="12"/>
      <c r="MJZ44" s="12"/>
      <c r="MKQ44" s="12"/>
      <c r="MKR44" s="12"/>
      <c r="MLI44" s="12"/>
      <c r="MLJ44" s="12"/>
      <c r="MMA44" s="12"/>
      <c r="MMB44" s="12"/>
      <c r="MMS44" s="12"/>
      <c r="MMT44" s="12"/>
      <c r="MNK44" s="12"/>
      <c r="MNL44" s="12"/>
      <c r="MOC44" s="12"/>
      <c r="MOD44" s="12"/>
      <c r="MOU44" s="12"/>
      <c r="MOV44" s="12"/>
      <c r="MPM44" s="12"/>
      <c r="MPN44" s="12"/>
      <c r="MQE44" s="12"/>
      <c r="MQF44" s="12"/>
      <c r="MQW44" s="12"/>
      <c r="MQX44" s="12"/>
      <c r="MRO44" s="12"/>
      <c r="MRP44" s="12"/>
      <c r="MSG44" s="12"/>
      <c r="MSH44" s="12"/>
      <c r="MSY44" s="12"/>
      <c r="MSZ44" s="12"/>
      <c r="MTQ44" s="12"/>
      <c r="MTR44" s="12"/>
      <c r="MUI44" s="12"/>
      <c r="MUJ44" s="12"/>
      <c r="MVA44" s="12"/>
      <c r="MVB44" s="12"/>
      <c r="MVS44" s="12"/>
      <c r="MVT44" s="12"/>
      <c r="MWK44" s="12"/>
      <c r="MWL44" s="12"/>
      <c r="MXC44" s="12"/>
      <c r="MXD44" s="12"/>
      <c r="MXU44" s="12"/>
      <c r="MXV44" s="12"/>
      <c r="MYM44" s="12"/>
      <c r="MYN44" s="12"/>
      <c r="MZE44" s="12"/>
      <c r="MZF44" s="12"/>
      <c r="MZW44" s="12"/>
      <c r="MZX44" s="12"/>
      <c r="NAO44" s="12"/>
      <c r="NAP44" s="12"/>
      <c r="NBG44" s="12"/>
      <c r="NBH44" s="12"/>
      <c r="NBY44" s="12"/>
      <c r="NBZ44" s="12"/>
      <c r="NCQ44" s="12"/>
      <c r="NCR44" s="12"/>
      <c r="NDI44" s="12"/>
      <c r="NDJ44" s="12"/>
      <c r="NEA44" s="12"/>
      <c r="NEB44" s="12"/>
      <c r="NES44" s="12"/>
      <c r="NET44" s="12"/>
      <c r="NFK44" s="12"/>
      <c r="NFL44" s="12"/>
      <c r="NGC44" s="12"/>
      <c r="NGD44" s="12"/>
      <c r="NGU44" s="12"/>
      <c r="NGV44" s="12"/>
      <c r="NHM44" s="12"/>
      <c r="NHN44" s="12"/>
      <c r="NIE44" s="12"/>
      <c r="NIF44" s="12"/>
      <c r="NIW44" s="12"/>
      <c r="NIX44" s="12"/>
      <c r="NJO44" s="12"/>
      <c r="NJP44" s="12"/>
      <c r="NKG44" s="12"/>
      <c r="NKH44" s="12"/>
      <c r="NKY44" s="12"/>
      <c r="NKZ44" s="12"/>
      <c r="NLQ44" s="12"/>
      <c r="NLR44" s="12"/>
      <c r="NMI44" s="12"/>
      <c r="NMJ44" s="12"/>
      <c r="NNA44" s="12"/>
      <c r="NNB44" s="12"/>
      <c r="NNS44" s="12"/>
      <c r="NNT44" s="12"/>
      <c r="NOK44" s="12"/>
      <c r="NOL44" s="12"/>
      <c r="NPC44" s="12"/>
      <c r="NPD44" s="12"/>
      <c r="NPU44" s="12"/>
      <c r="NPV44" s="12"/>
      <c r="NQM44" s="12"/>
      <c r="NQN44" s="12"/>
      <c r="NRE44" s="12"/>
      <c r="NRF44" s="12"/>
      <c r="NRW44" s="12"/>
      <c r="NRX44" s="12"/>
      <c r="NSO44" s="12"/>
      <c r="NSP44" s="12"/>
      <c r="NTG44" s="12"/>
      <c r="NTH44" s="12"/>
      <c r="NTY44" s="12"/>
      <c r="NTZ44" s="12"/>
      <c r="NUQ44" s="12"/>
      <c r="NUR44" s="12"/>
      <c r="NVI44" s="12"/>
      <c r="NVJ44" s="12"/>
      <c r="NWA44" s="12"/>
      <c r="NWB44" s="12"/>
      <c r="NWS44" s="12"/>
      <c r="NWT44" s="12"/>
      <c r="NXK44" s="12"/>
      <c r="NXL44" s="12"/>
      <c r="NYC44" s="12"/>
      <c r="NYD44" s="12"/>
      <c r="NYU44" s="12"/>
      <c r="NYV44" s="12"/>
      <c r="NZM44" s="12"/>
      <c r="NZN44" s="12"/>
      <c r="OAE44" s="12"/>
      <c r="OAF44" s="12"/>
      <c r="OAW44" s="12"/>
      <c r="OAX44" s="12"/>
      <c r="OBO44" s="12"/>
      <c r="OBP44" s="12"/>
      <c r="OCG44" s="12"/>
      <c r="OCH44" s="12"/>
      <c r="OCY44" s="12"/>
      <c r="OCZ44" s="12"/>
      <c r="ODQ44" s="12"/>
      <c r="ODR44" s="12"/>
      <c r="OEI44" s="12"/>
      <c r="OEJ44" s="12"/>
      <c r="OFA44" s="12"/>
      <c r="OFB44" s="12"/>
      <c r="OFS44" s="12"/>
      <c r="OFT44" s="12"/>
      <c r="OGK44" s="12"/>
      <c r="OGL44" s="12"/>
      <c r="OHC44" s="12"/>
      <c r="OHD44" s="12"/>
      <c r="OHU44" s="12"/>
      <c r="OHV44" s="12"/>
      <c r="OIM44" s="12"/>
      <c r="OIN44" s="12"/>
      <c r="OJE44" s="12"/>
      <c r="OJF44" s="12"/>
      <c r="OJW44" s="12"/>
      <c r="OJX44" s="12"/>
      <c r="OKO44" s="12"/>
      <c r="OKP44" s="12"/>
      <c r="OLG44" s="12"/>
      <c r="OLH44" s="12"/>
      <c r="OLY44" s="12"/>
      <c r="OLZ44" s="12"/>
      <c r="OMQ44" s="12"/>
      <c r="OMR44" s="12"/>
      <c r="ONI44" s="12"/>
      <c r="ONJ44" s="12"/>
      <c r="OOA44" s="12"/>
      <c r="OOB44" s="12"/>
      <c r="OOS44" s="12"/>
      <c r="OOT44" s="12"/>
      <c r="OPK44" s="12"/>
      <c r="OPL44" s="12"/>
      <c r="OQC44" s="12"/>
      <c r="OQD44" s="12"/>
      <c r="OQU44" s="12"/>
      <c r="OQV44" s="12"/>
      <c r="ORM44" s="12"/>
      <c r="ORN44" s="12"/>
      <c r="OSE44" s="12"/>
      <c r="OSF44" s="12"/>
      <c r="OSW44" s="12"/>
      <c r="OSX44" s="12"/>
      <c r="OTO44" s="12"/>
      <c r="OTP44" s="12"/>
      <c r="OUG44" s="12"/>
      <c r="OUH44" s="12"/>
      <c r="OUY44" s="12"/>
      <c r="OUZ44" s="12"/>
      <c r="OVQ44" s="12"/>
      <c r="OVR44" s="12"/>
      <c r="OWI44" s="12"/>
      <c r="OWJ44" s="12"/>
      <c r="OXA44" s="12"/>
      <c r="OXB44" s="12"/>
      <c r="OXS44" s="12"/>
      <c r="OXT44" s="12"/>
      <c r="OYK44" s="12"/>
      <c r="OYL44" s="12"/>
      <c r="OZC44" s="12"/>
      <c r="OZD44" s="12"/>
      <c r="OZU44" s="12"/>
      <c r="OZV44" s="12"/>
      <c r="PAM44" s="12"/>
      <c r="PAN44" s="12"/>
      <c r="PBE44" s="12"/>
      <c r="PBF44" s="12"/>
      <c r="PBW44" s="12"/>
      <c r="PBX44" s="12"/>
      <c r="PCO44" s="12"/>
      <c r="PCP44" s="12"/>
      <c r="PDG44" s="12"/>
      <c r="PDH44" s="12"/>
      <c r="PDY44" s="12"/>
      <c r="PDZ44" s="12"/>
      <c r="PEQ44" s="12"/>
      <c r="PER44" s="12"/>
      <c r="PFI44" s="12"/>
      <c r="PFJ44" s="12"/>
      <c r="PGA44" s="12"/>
      <c r="PGB44" s="12"/>
      <c r="PGS44" s="12"/>
      <c r="PGT44" s="12"/>
      <c r="PHK44" s="12"/>
      <c r="PHL44" s="12"/>
      <c r="PIC44" s="12"/>
      <c r="PID44" s="12"/>
      <c r="PIU44" s="12"/>
      <c r="PIV44" s="12"/>
      <c r="PJM44" s="12"/>
      <c r="PJN44" s="12"/>
      <c r="PKE44" s="12"/>
      <c r="PKF44" s="12"/>
      <c r="PKW44" s="12"/>
      <c r="PKX44" s="12"/>
      <c r="PLO44" s="12"/>
      <c r="PLP44" s="12"/>
      <c r="PMG44" s="12"/>
      <c r="PMH44" s="12"/>
      <c r="PMY44" s="12"/>
      <c r="PMZ44" s="12"/>
      <c r="PNQ44" s="12"/>
      <c r="PNR44" s="12"/>
      <c r="POI44" s="12"/>
      <c r="POJ44" s="12"/>
      <c r="PPA44" s="12"/>
      <c r="PPB44" s="12"/>
      <c r="PPS44" s="12"/>
      <c r="PPT44" s="12"/>
      <c r="PQK44" s="12"/>
      <c r="PQL44" s="12"/>
      <c r="PRC44" s="12"/>
      <c r="PRD44" s="12"/>
      <c r="PRU44" s="12"/>
      <c r="PRV44" s="12"/>
      <c r="PSM44" s="12"/>
      <c r="PSN44" s="12"/>
      <c r="PTE44" s="12"/>
      <c r="PTF44" s="12"/>
      <c r="PTW44" s="12"/>
      <c r="PTX44" s="12"/>
      <c r="PUO44" s="12"/>
      <c r="PUP44" s="12"/>
      <c r="PVG44" s="12"/>
      <c r="PVH44" s="12"/>
      <c r="PVY44" s="12"/>
      <c r="PVZ44" s="12"/>
      <c r="PWQ44" s="12"/>
      <c r="PWR44" s="12"/>
      <c r="PXI44" s="12"/>
      <c r="PXJ44" s="12"/>
      <c r="PYA44" s="12"/>
      <c r="PYB44" s="12"/>
      <c r="PYS44" s="12"/>
      <c r="PYT44" s="12"/>
      <c r="PZK44" s="12"/>
      <c r="PZL44" s="12"/>
      <c r="QAC44" s="12"/>
      <c r="QAD44" s="12"/>
      <c r="QAU44" s="12"/>
      <c r="QAV44" s="12"/>
      <c r="QBM44" s="12"/>
      <c r="QBN44" s="12"/>
      <c r="QCE44" s="12"/>
      <c r="QCF44" s="12"/>
      <c r="QCW44" s="12"/>
      <c r="QCX44" s="12"/>
      <c r="QDO44" s="12"/>
      <c r="QDP44" s="12"/>
      <c r="QEG44" s="12"/>
      <c r="QEH44" s="12"/>
      <c r="QEY44" s="12"/>
      <c r="QEZ44" s="12"/>
      <c r="QFQ44" s="12"/>
      <c r="QFR44" s="12"/>
      <c r="QGI44" s="12"/>
      <c r="QGJ44" s="12"/>
      <c r="QHA44" s="12"/>
      <c r="QHB44" s="12"/>
      <c r="QHS44" s="12"/>
      <c r="QHT44" s="12"/>
      <c r="QIK44" s="12"/>
      <c r="QIL44" s="12"/>
      <c r="QJC44" s="12"/>
      <c r="QJD44" s="12"/>
      <c r="QJU44" s="12"/>
      <c r="QJV44" s="12"/>
      <c r="QKM44" s="12"/>
      <c r="QKN44" s="12"/>
      <c r="QLE44" s="12"/>
      <c r="QLF44" s="12"/>
      <c r="QLW44" s="12"/>
      <c r="QLX44" s="12"/>
      <c r="QMO44" s="12"/>
      <c r="QMP44" s="12"/>
      <c r="QNG44" s="12"/>
      <c r="QNH44" s="12"/>
      <c r="QNY44" s="12"/>
      <c r="QNZ44" s="12"/>
      <c r="QOQ44" s="12"/>
      <c r="QOR44" s="12"/>
      <c r="QPI44" s="12"/>
      <c r="QPJ44" s="12"/>
      <c r="QQA44" s="12"/>
      <c r="QQB44" s="12"/>
      <c r="QQS44" s="12"/>
      <c r="QQT44" s="12"/>
      <c r="QRK44" s="12"/>
      <c r="QRL44" s="12"/>
      <c r="QSC44" s="12"/>
      <c r="QSD44" s="12"/>
      <c r="QSU44" s="12"/>
      <c r="QSV44" s="12"/>
      <c r="QTM44" s="12"/>
      <c r="QTN44" s="12"/>
      <c r="QUE44" s="12"/>
      <c r="QUF44" s="12"/>
      <c r="QUW44" s="12"/>
      <c r="QUX44" s="12"/>
      <c r="QVO44" s="12"/>
      <c r="QVP44" s="12"/>
      <c r="QWG44" s="12"/>
      <c r="QWH44" s="12"/>
      <c r="QWY44" s="12"/>
      <c r="QWZ44" s="12"/>
      <c r="QXQ44" s="12"/>
      <c r="QXR44" s="12"/>
      <c r="QYI44" s="12"/>
      <c r="QYJ44" s="12"/>
      <c r="QZA44" s="12"/>
      <c r="QZB44" s="12"/>
      <c r="QZS44" s="12"/>
      <c r="QZT44" s="12"/>
      <c r="RAK44" s="12"/>
      <c r="RAL44" s="12"/>
      <c r="RBC44" s="12"/>
      <c r="RBD44" s="12"/>
      <c r="RBU44" s="12"/>
      <c r="RBV44" s="12"/>
      <c r="RCM44" s="12"/>
      <c r="RCN44" s="12"/>
      <c r="RDE44" s="12"/>
      <c r="RDF44" s="12"/>
      <c r="RDW44" s="12"/>
      <c r="RDX44" s="12"/>
      <c r="REO44" s="12"/>
      <c r="REP44" s="12"/>
      <c r="RFG44" s="12"/>
      <c r="RFH44" s="12"/>
      <c r="RFY44" s="12"/>
      <c r="RFZ44" s="12"/>
      <c r="RGQ44" s="12"/>
      <c r="RGR44" s="12"/>
      <c r="RHI44" s="12"/>
      <c r="RHJ44" s="12"/>
      <c r="RIA44" s="12"/>
      <c r="RIB44" s="12"/>
      <c r="RIS44" s="12"/>
      <c r="RIT44" s="12"/>
      <c r="RJK44" s="12"/>
      <c r="RJL44" s="12"/>
      <c r="RKC44" s="12"/>
      <c r="RKD44" s="12"/>
      <c r="RKU44" s="12"/>
      <c r="RKV44" s="12"/>
      <c r="RLM44" s="12"/>
      <c r="RLN44" s="12"/>
      <c r="RME44" s="12"/>
      <c r="RMF44" s="12"/>
      <c r="RMW44" s="12"/>
      <c r="RMX44" s="12"/>
      <c r="RNO44" s="12"/>
      <c r="RNP44" s="12"/>
      <c r="ROG44" s="12"/>
      <c r="ROH44" s="12"/>
      <c r="ROY44" s="12"/>
      <c r="ROZ44" s="12"/>
      <c r="RPQ44" s="12"/>
      <c r="RPR44" s="12"/>
      <c r="RQI44" s="12"/>
      <c r="RQJ44" s="12"/>
      <c r="RRA44" s="12"/>
      <c r="RRB44" s="12"/>
      <c r="RRS44" s="12"/>
      <c r="RRT44" s="12"/>
      <c r="RSK44" s="12"/>
      <c r="RSL44" s="12"/>
      <c r="RTC44" s="12"/>
      <c r="RTD44" s="12"/>
      <c r="RTU44" s="12"/>
      <c r="RTV44" s="12"/>
      <c r="RUM44" s="12"/>
      <c r="RUN44" s="12"/>
      <c r="RVE44" s="12"/>
      <c r="RVF44" s="12"/>
      <c r="RVW44" s="12"/>
      <c r="RVX44" s="12"/>
      <c r="RWO44" s="12"/>
      <c r="RWP44" s="12"/>
      <c r="RXG44" s="12"/>
      <c r="RXH44" s="12"/>
      <c r="RXY44" s="12"/>
      <c r="RXZ44" s="12"/>
      <c r="RYQ44" s="12"/>
      <c r="RYR44" s="12"/>
      <c r="RZI44" s="12"/>
      <c r="RZJ44" s="12"/>
      <c r="SAA44" s="12"/>
      <c r="SAB44" s="12"/>
      <c r="SAS44" s="12"/>
      <c r="SAT44" s="12"/>
      <c r="SBK44" s="12"/>
      <c r="SBL44" s="12"/>
      <c r="SCC44" s="12"/>
      <c r="SCD44" s="12"/>
      <c r="SCU44" s="12"/>
      <c r="SCV44" s="12"/>
      <c r="SDM44" s="12"/>
      <c r="SDN44" s="12"/>
      <c r="SEE44" s="12"/>
      <c r="SEF44" s="12"/>
      <c r="SEW44" s="12"/>
      <c r="SEX44" s="12"/>
      <c r="SFO44" s="12"/>
      <c r="SFP44" s="12"/>
      <c r="SGG44" s="12"/>
      <c r="SGH44" s="12"/>
      <c r="SGY44" s="12"/>
      <c r="SGZ44" s="12"/>
      <c r="SHQ44" s="12"/>
      <c r="SHR44" s="12"/>
      <c r="SII44" s="12"/>
      <c r="SIJ44" s="12"/>
      <c r="SJA44" s="12"/>
      <c r="SJB44" s="12"/>
      <c r="SJS44" s="12"/>
      <c r="SJT44" s="12"/>
      <c r="SKK44" s="12"/>
      <c r="SKL44" s="12"/>
      <c r="SLC44" s="12"/>
      <c r="SLD44" s="12"/>
      <c r="SLU44" s="12"/>
      <c r="SLV44" s="12"/>
      <c r="SMM44" s="12"/>
      <c r="SMN44" s="12"/>
      <c r="SNE44" s="12"/>
      <c r="SNF44" s="12"/>
      <c r="SNW44" s="12"/>
      <c r="SNX44" s="12"/>
      <c r="SOO44" s="12"/>
      <c r="SOP44" s="12"/>
      <c r="SPG44" s="12"/>
      <c r="SPH44" s="12"/>
      <c r="SPY44" s="12"/>
      <c r="SPZ44" s="12"/>
      <c r="SQQ44" s="12"/>
      <c r="SQR44" s="12"/>
      <c r="SRI44" s="12"/>
      <c r="SRJ44" s="12"/>
      <c r="SSA44" s="12"/>
      <c r="SSB44" s="12"/>
      <c r="SSS44" s="12"/>
      <c r="SST44" s="12"/>
      <c r="STK44" s="12"/>
      <c r="STL44" s="12"/>
      <c r="SUC44" s="12"/>
      <c r="SUD44" s="12"/>
      <c r="SUU44" s="12"/>
      <c r="SUV44" s="12"/>
      <c r="SVM44" s="12"/>
      <c r="SVN44" s="12"/>
      <c r="SWE44" s="12"/>
      <c r="SWF44" s="12"/>
      <c r="SWW44" s="12"/>
      <c r="SWX44" s="12"/>
      <c r="SXO44" s="12"/>
      <c r="SXP44" s="12"/>
      <c r="SYG44" s="12"/>
      <c r="SYH44" s="12"/>
      <c r="SYY44" s="12"/>
      <c r="SYZ44" s="12"/>
      <c r="SZQ44" s="12"/>
      <c r="SZR44" s="12"/>
      <c r="TAI44" s="12"/>
      <c r="TAJ44" s="12"/>
      <c r="TBA44" s="12"/>
      <c r="TBB44" s="12"/>
      <c r="TBS44" s="12"/>
      <c r="TBT44" s="12"/>
      <c r="TCK44" s="12"/>
      <c r="TCL44" s="12"/>
      <c r="TDC44" s="12"/>
      <c r="TDD44" s="12"/>
      <c r="TDU44" s="12"/>
      <c r="TDV44" s="12"/>
      <c r="TEM44" s="12"/>
      <c r="TEN44" s="12"/>
      <c r="TFE44" s="12"/>
      <c r="TFF44" s="12"/>
      <c r="TFW44" s="12"/>
      <c r="TFX44" s="12"/>
      <c r="TGO44" s="12"/>
      <c r="TGP44" s="12"/>
      <c r="THG44" s="12"/>
      <c r="THH44" s="12"/>
      <c r="THY44" s="12"/>
      <c r="THZ44" s="12"/>
      <c r="TIQ44" s="12"/>
      <c r="TIR44" s="12"/>
      <c r="TJI44" s="12"/>
      <c r="TJJ44" s="12"/>
      <c r="TKA44" s="12"/>
      <c r="TKB44" s="12"/>
      <c r="TKS44" s="12"/>
      <c r="TKT44" s="12"/>
      <c r="TLK44" s="12"/>
      <c r="TLL44" s="12"/>
      <c r="TMC44" s="12"/>
      <c r="TMD44" s="12"/>
      <c r="TMU44" s="12"/>
      <c r="TMV44" s="12"/>
      <c r="TNM44" s="12"/>
      <c r="TNN44" s="12"/>
      <c r="TOE44" s="12"/>
      <c r="TOF44" s="12"/>
      <c r="TOW44" s="12"/>
      <c r="TOX44" s="12"/>
      <c r="TPO44" s="12"/>
      <c r="TPP44" s="12"/>
      <c r="TQG44" s="12"/>
      <c r="TQH44" s="12"/>
      <c r="TQY44" s="12"/>
      <c r="TQZ44" s="12"/>
      <c r="TRQ44" s="12"/>
      <c r="TRR44" s="12"/>
      <c r="TSI44" s="12"/>
      <c r="TSJ44" s="12"/>
      <c r="TTA44" s="12"/>
      <c r="TTB44" s="12"/>
      <c r="TTS44" s="12"/>
      <c r="TTT44" s="12"/>
      <c r="TUK44" s="12"/>
      <c r="TUL44" s="12"/>
      <c r="TVC44" s="12"/>
      <c r="TVD44" s="12"/>
      <c r="TVU44" s="12"/>
      <c r="TVV44" s="12"/>
      <c r="TWM44" s="12"/>
      <c r="TWN44" s="12"/>
      <c r="TXE44" s="12"/>
      <c r="TXF44" s="12"/>
      <c r="TXW44" s="12"/>
      <c r="TXX44" s="12"/>
      <c r="TYO44" s="12"/>
      <c r="TYP44" s="12"/>
      <c r="TZG44" s="12"/>
      <c r="TZH44" s="12"/>
      <c r="TZY44" s="12"/>
      <c r="TZZ44" s="12"/>
      <c r="UAQ44" s="12"/>
      <c r="UAR44" s="12"/>
      <c r="UBI44" s="12"/>
      <c r="UBJ44" s="12"/>
      <c r="UCA44" s="12"/>
      <c r="UCB44" s="12"/>
      <c r="UCS44" s="12"/>
      <c r="UCT44" s="12"/>
      <c r="UDK44" s="12"/>
      <c r="UDL44" s="12"/>
      <c r="UEC44" s="12"/>
      <c r="UED44" s="12"/>
      <c r="UEU44" s="12"/>
      <c r="UEV44" s="12"/>
      <c r="UFM44" s="12"/>
      <c r="UFN44" s="12"/>
      <c r="UGE44" s="12"/>
      <c r="UGF44" s="12"/>
      <c r="UGW44" s="12"/>
      <c r="UGX44" s="12"/>
      <c r="UHO44" s="12"/>
      <c r="UHP44" s="12"/>
      <c r="UIG44" s="12"/>
      <c r="UIH44" s="12"/>
      <c r="UIY44" s="12"/>
      <c r="UIZ44" s="12"/>
      <c r="UJQ44" s="12"/>
      <c r="UJR44" s="12"/>
      <c r="UKI44" s="12"/>
      <c r="UKJ44" s="12"/>
      <c r="ULA44" s="12"/>
      <c r="ULB44" s="12"/>
      <c r="ULS44" s="12"/>
      <c r="ULT44" s="12"/>
      <c r="UMK44" s="12"/>
      <c r="UML44" s="12"/>
      <c r="UNC44" s="12"/>
      <c r="UND44" s="12"/>
      <c r="UNU44" s="12"/>
      <c r="UNV44" s="12"/>
      <c r="UOM44" s="12"/>
      <c r="UON44" s="12"/>
      <c r="UPE44" s="12"/>
      <c r="UPF44" s="12"/>
      <c r="UPW44" s="12"/>
      <c r="UPX44" s="12"/>
      <c r="UQO44" s="12"/>
      <c r="UQP44" s="12"/>
      <c r="URG44" s="12"/>
      <c r="URH44" s="12"/>
      <c r="URY44" s="12"/>
      <c r="URZ44" s="12"/>
      <c r="USQ44" s="12"/>
      <c r="USR44" s="12"/>
      <c r="UTI44" s="12"/>
      <c r="UTJ44" s="12"/>
      <c r="UUA44" s="12"/>
      <c r="UUB44" s="12"/>
      <c r="UUS44" s="12"/>
      <c r="UUT44" s="12"/>
      <c r="UVK44" s="12"/>
      <c r="UVL44" s="12"/>
      <c r="UWC44" s="12"/>
      <c r="UWD44" s="12"/>
      <c r="UWU44" s="12"/>
      <c r="UWV44" s="12"/>
      <c r="UXM44" s="12"/>
      <c r="UXN44" s="12"/>
      <c r="UYE44" s="12"/>
      <c r="UYF44" s="12"/>
      <c r="UYW44" s="12"/>
      <c r="UYX44" s="12"/>
      <c r="UZO44" s="12"/>
      <c r="UZP44" s="12"/>
      <c r="VAG44" s="12"/>
      <c r="VAH44" s="12"/>
      <c r="VAY44" s="12"/>
      <c r="VAZ44" s="12"/>
      <c r="VBQ44" s="12"/>
      <c r="VBR44" s="12"/>
      <c r="VCI44" s="12"/>
      <c r="VCJ44" s="12"/>
      <c r="VDA44" s="12"/>
      <c r="VDB44" s="12"/>
      <c r="VDS44" s="12"/>
      <c r="VDT44" s="12"/>
      <c r="VEK44" s="12"/>
      <c r="VEL44" s="12"/>
      <c r="VFC44" s="12"/>
      <c r="VFD44" s="12"/>
      <c r="VFU44" s="12"/>
      <c r="VFV44" s="12"/>
      <c r="VGM44" s="12"/>
      <c r="VGN44" s="12"/>
      <c r="VHE44" s="12"/>
      <c r="VHF44" s="12"/>
      <c r="VHW44" s="12"/>
      <c r="VHX44" s="12"/>
      <c r="VIO44" s="12"/>
      <c r="VIP44" s="12"/>
      <c r="VJG44" s="12"/>
      <c r="VJH44" s="12"/>
      <c r="VJY44" s="12"/>
      <c r="VJZ44" s="12"/>
      <c r="VKQ44" s="12"/>
      <c r="VKR44" s="12"/>
      <c r="VLI44" s="12"/>
      <c r="VLJ44" s="12"/>
      <c r="VMA44" s="12"/>
      <c r="VMB44" s="12"/>
      <c r="VMS44" s="12"/>
      <c r="VMT44" s="12"/>
      <c r="VNK44" s="12"/>
      <c r="VNL44" s="12"/>
      <c r="VOC44" s="12"/>
      <c r="VOD44" s="12"/>
      <c r="VOU44" s="12"/>
      <c r="VOV44" s="12"/>
      <c r="VPM44" s="12"/>
      <c r="VPN44" s="12"/>
      <c r="VQE44" s="12"/>
      <c r="VQF44" s="12"/>
      <c r="VQW44" s="12"/>
      <c r="VQX44" s="12"/>
      <c r="VRO44" s="12"/>
      <c r="VRP44" s="12"/>
      <c r="VSG44" s="12"/>
      <c r="VSH44" s="12"/>
      <c r="VSY44" s="12"/>
      <c r="VSZ44" s="12"/>
      <c r="VTQ44" s="12"/>
      <c r="VTR44" s="12"/>
      <c r="VUI44" s="12"/>
      <c r="VUJ44" s="12"/>
      <c r="VVA44" s="12"/>
      <c r="VVB44" s="12"/>
      <c r="VVS44" s="12"/>
      <c r="VVT44" s="12"/>
      <c r="VWK44" s="12"/>
      <c r="VWL44" s="12"/>
      <c r="VXC44" s="12"/>
      <c r="VXD44" s="12"/>
      <c r="VXU44" s="12"/>
      <c r="VXV44" s="12"/>
      <c r="VYM44" s="12"/>
      <c r="VYN44" s="12"/>
      <c r="VZE44" s="12"/>
      <c r="VZF44" s="12"/>
      <c r="VZW44" s="12"/>
      <c r="VZX44" s="12"/>
      <c r="WAO44" s="12"/>
      <c r="WAP44" s="12"/>
      <c r="WBG44" s="12"/>
      <c r="WBH44" s="12"/>
      <c r="WBY44" s="12"/>
      <c r="WBZ44" s="12"/>
      <c r="WCQ44" s="12"/>
      <c r="WCR44" s="12"/>
      <c r="WDI44" s="12"/>
      <c r="WDJ44" s="12"/>
      <c r="WEA44" s="12"/>
      <c r="WEB44" s="12"/>
      <c r="WES44" s="12"/>
      <c r="WET44" s="12"/>
      <c r="WFK44" s="12"/>
      <c r="WFL44" s="12"/>
      <c r="WGC44" s="12"/>
      <c r="WGD44" s="12"/>
      <c r="WGU44" s="12"/>
      <c r="WGV44" s="12"/>
      <c r="WHM44" s="12"/>
      <c r="WHN44" s="12"/>
      <c r="WIE44" s="12"/>
      <c r="WIF44" s="12"/>
      <c r="WIW44" s="12"/>
      <c r="WIX44" s="12"/>
      <c r="WJO44" s="12"/>
      <c r="WJP44" s="12"/>
      <c r="WKG44" s="12"/>
      <c r="WKH44" s="12"/>
      <c r="WKY44" s="12"/>
      <c r="WKZ44" s="12"/>
      <c r="WLQ44" s="12"/>
      <c r="WLR44" s="12"/>
      <c r="WMI44" s="12"/>
      <c r="WMJ44" s="12"/>
      <c r="WNA44" s="12"/>
      <c r="WNB44" s="12"/>
      <c r="WNS44" s="12"/>
      <c r="WNT44" s="12"/>
      <c r="WOK44" s="12"/>
      <c r="WOL44" s="12"/>
      <c r="WPC44" s="12"/>
      <c r="WPD44" s="12"/>
      <c r="WPU44" s="12"/>
      <c r="WPV44" s="12"/>
      <c r="WQM44" s="12"/>
      <c r="WQN44" s="12"/>
      <c r="WRE44" s="12"/>
      <c r="WRF44" s="12"/>
      <c r="WRW44" s="12"/>
      <c r="WRX44" s="12"/>
      <c r="WSO44" s="12"/>
      <c r="WSP44" s="12"/>
      <c r="WTG44" s="12"/>
      <c r="WTH44" s="12"/>
      <c r="WTY44" s="12"/>
      <c r="WTZ44" s="12"/>
      <c r="WUQ44" s="12"/>
      <c r="WUR44" s="12"/>
      <c r="WVI44" s="12"/>
      <c r="WVJ44" s="12"/>
      <c r="WWA44" s="12"/>
      <c r="WWB44" s="12"/>
      <c r="WWS44" s="12"/>
      <c r="WWT44" s="12"/>
      <c r="WXK44" s="12"/>
      <c r="WXL44" s="12"/>
      <c r="WYC44" s="12"/>
      <c r="WYD44" s="12"/>
      <c r="WYU44" s="12"/>
      <c r="WYV44" s="12"/>
      <c r="WZM44" s="12"/>
      <c r="WZN44" s="12"/>
      <c r="XAE44" s="12"/>
      <c r="XAF44" s="12"/>
      <c r="XAW44" s="12"/>
      <c r="XAX44" s="12"/>
      <c r="XBO44" s="12"/>
      <c r="XBP44" s="12"/>
      <c r="XCG44" s="12"/>
      <c r="XCH44" s="12"/>
      <c r="XCY44" s="12"/>
      <c r="XCZ44" s="12"/>
      <c r="XDQ44" s="12"/>
      <c r="XDR44" s="12"/>
      <c r="XEI44" s="12"/>
      <c r="XEJ44" s="12"/>
      <c r="XFA44" s="12"/>
      <c r="XFB44" s="12"/>
    </row>
    <row r="45" spans="1:1010 1027:2036 2053:3062 3079:4088 4105:5114 5131:6140 6157:7166 7183:8192 8209:9200 9217:10226 10243:11252 11269:12278 12295:13304 13321:14330 14347:15356 15373:16382" x14ac:dyDescent="0.35">
      <c r="A45" s="181" t="str">
        <f>'Income - GAAP'!A45</f>
        <v xml:space="preserve">    + Current Income Tax</v>
      </c>
      <c r="B45" s="13" t="str">
        <f>'Income - GAAP'!B45</f>
        <v>IS_CURRENT_INCOME_TAX_BENEFIT</v>
      </c>
      <c r="C45" s="77">
        <f>IF('Income - GAAP'!C45="",0,'Income - GAAP'!C45)/'Income - GAAP'!C$9</f>
        <v>2.8612868432314573E-2</v>
      </c>
      <c r="D45" s="77">
        <f>IF('Income - GAAP'!D45="",0,'Income - GAAP'!D45)/'Income - GAAP'!D$9</f>
        <v>2.5944766740349623E-2</v>
      </c>
      <c r="E45" s="77">
        <f>IF('Income - GAAP'!E45="",0,'Income - GAAP'!E45)/'Income - GAAP'!E$9</f>
        <v>2.4878356049333125E-2</v>
      </c>
      <c r="F45" s="77">
        <f>IF('Income - GAAP'!F45="",0,'Income - GAAP'!F45)/'Income - GAAP'!F$9</f>
        <v>1.2657857284404331E-2</v>
      </c>
      <c r="G45" s="77">
        <f>IF('Income - GAAP'!G45="",0,'Income - GAAP'!G45)/'Income - GAAP'!G$9</f>
        <v>1.8601535311317655E-2</v>
      </c>
      <c r="H45" s="77">
        <f>IF('Income - GAAP'!H45="",0,'Income - GAAP'!H45)/'Income - GAAP'!H$9</f>
        <v>1.0399086754773221E-2</v>
      </c>
      <c r="I45" s="77">
        <f>IF('Income - GAAP'!I45="",0,'Income - GAAP'!I45)/'Income - GAAP'!I$9</f>
        <v>3.1738205861097664E-2</v>
      </c>
      <c r="J45" s="77">
        <f>IF('Income - GAAP'!J45="",0,'Income - GAAP'!J45)/'Income - GAAP'!J$9</f>
        <v>4.1531915903655924E-2</v>
      </c>
      <c r="K45" s="77">
        <f>IF('Income - GAAP'!K45="",0,'Income - GAAP'!K45)/'Income - GAAP'!K$9</f>
        <v>2.7489235249738911E-2</v>
      </c>
      <c r="L45" s="77">
        <f>IF('Income - GAAP'!L45="",0,'Income - GAAP'!L45)/'Income - GAAP'!L$9</f>
        <v>3.2473446407872635E-2</v>
      </c>
      <c r="M45" s="108"/>
      <c r="N45" s="108"/>
      <c r="O45" s="108"/>
      <c r="P45" s="108"/>
      <c r="Q45" s="108"/>
      <c r="R45" s="108"/>
      <c r="S45" s="37"/>
      <c r="T45" s="37"/>
      <c r="U45" s="37"/>
      <c r="V45" s="37"/>
      <c r="W45" s="37"/>
      <c r="X45" s="37"/>
      <c r="Y45" s="37"/>
      <c r="Z45" s="37"/>
      <c r="AA45" s="37"/>
      <c r="AB45" s="37"/>
      <c r="AC45" s="37"/>
      <c r="AD45" s="37"/>
      <c r="AE45" s="37"/>
      <c r="AF45" s="37"/>
      <c r="AG45" s="37"/>
      <c r="AH45" s="37"/>
      <c r="AI45" s="37"/>
      <c r="AJ45" s="37"/>
      <c r="AK45" s="37"/>
    </row>
    <row r="46" spans="1:1010 1027:2036 2053:3062 3079:4088 4105:5114 5131:6140 6157:7166 7183:8192 8209:9200 9217:10226 10243:11252 11269:12278 12295:13304 13321:14330 14347:15356 15373:16382" x14ac:dyDescent="0.35">
      <c r="A46" s="181" t="str">
        <f>'Income - GAAP'!A46</f>
        <v xml:space="preserve">    + Deferred Income Tax</v>
      </c>
      <c r="B46" s="13" t="str">
        <f>'Income - GAAP'!B46</f>
        <v>IS_DEFERRED_INCOME_TAX_BENEFIT</v>
      </c>
      <c r="C46" s="77">
        <f>IF('Income - GAAP'!C46="",0,'Income - GAAP'!C46)/'Income - GAAP'!C$9</f>
        <v>-1.1144224270977962E-2</v>
      </c>
      <c r="D46" s="77">
        <f>IF('Income - GAAP'!D46="",0,'Income - GAAP'!D46)/'Income - GAAP'!D$9</f>
        <v>-1.7432937247217584E-3</v>
      </c>
      <c r="E46" s="77">
        <f>IF('Income - GAAP'!E46="",0,'Income - GAAP'!E46)/'Income - GAAP'!E$9</f>
        <v>-9.1290019262194069E-5</v>
      </c>
      <c r="F46" s="77">
        <f>IF('Income - GAAP'!F46="",0,'Income - GAAP'!F46)/'Income - GAAP'!F$9</f>
        <v>-1.2804229944693653E-2</v>
      </c>
      <c r="G46" s="77">
        <f>IF('Income - GAAP'!G46="",0,'Income - GAAP'!G46)/'Income - GAAP'!G$9</f>
        <v>2.9155747305621327E-3</v>
      </c>
      <c r="H46" s="77">
        <f>IF('Income - GAAP'!H46="",0,'Income - GAAP'!H46)/'Income - GAAP'!H$9</f>
        <v>3.3665347769560611E-3</v>
      </c>
      <c r="I46" s="77">
        <f>IF('Income - GAAP'!I46="",0,'Income - GAAP'!I46)/'Income - GAAP'!I$9</f>
        <v>-2.676637997360988E-3</v>
      </c>
      <c r="J46" s="77">
        <f>IF('Income - GAAP'!J46="",0,'Income - GAAP'!J46)/'Income - GAAP'!J$9</f>
        <v>0</v>
      </c>
      <c r="K46" s="77">
        <f>IF('Income - GAAP'!K46="",0,'Income - GAAP'!K46)/'Income - GAAP'!K$9</f>
        <v>-6.4160217699983863E-3</v>
      </c>
      <c r="L46" s="77">
        <f>IF('Income - GAAP'!L46="",0,'Income - GAAP'!L46)/'Income - GAAP'!L$9</f>
        <v>-2.1186691268658482E-3</v>
      </c>
      <c r="M46" s="108"/>
      <c r="N46" s="108"/>
      <c r="O46" s="108"/>
      <c r="P46" s="108"/>
      <c r="Q46" s="108"/>
      <c r="R46" s="108"/>
      <c r="S46" s="37"/>
      <c r="T46" s="37"/>
      <c r="U46" s="37"/>
      <c r="V46" s="37"/>
      <c r="W46" s="37"/>
      <c r="X46" s="37"/>
      <c r="Y46" s="37"/>
      <c r="Z46" s="37"/>
      <c r="AA46" s="37"/>
      <c r="AB46" s="37"/>
      <c r="AC46" s="37"/>
      <c r="AD46" s="37"/>
      <c r="AE46" s="37"/>
      <c r="AF46" s="37"/>
      <c r="AG46" s="37"/>
      <c r="AH46" s="37"/>
      <c r="AI46" s="37"/>
      <c r="AJ46" s="37"/>
      <c r="AK46" s="37"/>
    </row>
    <row r="47" spans="1:1010 1027:2036 2053:3062 3079:4088 4105:5114 5131:6140 6157:7166 7183:8192 8209:9200 9217:10226 10243:11252 11269:12278 12295:13304 13321:14330 14347:15356 15373:16382" x14ac:dyDescent="0.35">
      <c r="A47" s="186" t="str">
        <f>'Income - GAAP'!A47</f>
        <v xml:space="preserve">    + Tax Allowance/Credit</v>
      </c>
      <c r="B47" s="4" t="str">
        <f>'Income - GAAP'!B47</f>
        <v>IS_TAX_VALN_ALLOWNCE_CREDITS</v>
      </c>
      <c r="C47" s="77">
        <f>IF('Income - GAAP'!C47="",0,'Income - GAAP'!C47)/'Income - GAAP'!C$9</f>
        <v>0</v>
      </c>
      <c r="D47" s="77">
        <f>IF('Income - GAAP'!D47="",0,'Income - GAAP'!D47)/'Income - GAAP'!D$9</f>
        <v>0</v>
      </c>
      <c r="E47" s="77">
        <f>IF('Income - GAAP'!E47="",0,'Income - GAAP'!E47)/'Income - GAAP'!E$9</f>
        <v>0</v>
      </c>
      <c r="F47" s="77">
        <f>IF('Income - GAAP'!F47="",0,'Income - GAAP'!F47)/'Income - GAAP'!F$9</f>
        <v>0</v>
      </c>
      <c r="G47" s="77">
        <f>IF('Income - GAAP'!G47="",0,'Income - GAAP'!G47)/'Income - GAAP'!G$9</f>
        <v>0</v>
      </c>
      <c r="H47" s="77">
        <f>IF('Income - GAAP'!H47="",0,'Income - GAAP'!H47)/'Income - GAAP'!H$9</f>
        <v>0</v>
      </c>
      <c r="I47" s="77">
        <f>IF('Income - GAAP'!I47="",0,'Income - GAAP'!I47)/'Income - GAAP'!I$9</f>
        <v>0</v>
      </c>
      <c r="J47" s="77">
        <f>IF('Income - GAAP'!J47="",0,'Income - GAAP'!J47)/'Income - GAAP'!J$9</f>
        <v>0</v>
      </c>
      <c r="K47" s="77">
        <f>IF('Income - GAAP'!K47="",0,'Income - GAAP'!K47)/'Income - GAAP'!K$9</f>
        <v>0</v>
      </c>
      <c r="L47" s="77">
        <f>IF('Income - GAAP'!L47="",0,'Income - GAAP'!L47)/'Income - GAAP'!L$9</f>
        <v>0</v>
      </c>
      <c r="M47" s="108"/>
      <c r="N47" s="108"/>
      <c r="O47" s="108"/>
      <c r="P47" s="108"/>
      <c r="Q47" s="108"/>
      <c r="R47" s="108"/>
      <c r="S47" s="37"/>
      <c r="T47" s="37"/>
      <c r="U47" s="37"/>
      <c r="V47" s="37"/>
      <c r="W47" s="37"/>
      <c r="X47" s="37"/>
      <c r="Y47" s="37"/>
      <c r="Z47" s="37"/>
      <c r="AA47" s="37"/>
      <c r="AB47" s="37"/>
      <c r="AC47" s="37"/>
      <c r="AD47" s="37"/>
      <c r="AE47" s="37"/>
      <c r="AF47" s="37"/>
      <c r="AG47" s="37"/>
      <c r="AH47" s="37"/>
      <c r="AI47" s="37"/>
      <c r="AJ47" s="37"/>
      <c r="AK47" s="37"/>
    </row>
    <row r="48" spans="1:1010 1027:2036 2053:3062 3079:4088 4105:5114 5131:6140 6157:7166 7183:8192 8209:9200 9217:10226 10243:11252 11269:12278 12295:13304 13321:14330 14347:15356 15373:16382" x14ac:dyDescent="0.35">
      <c r="A48" s="186" t="str">
        <f>'Income - GAAP'!A48</f>
        <v xml:space="preserve">  - (Income) Loss from Affiliates</v>
      </c>
      <c r="B48" s="4" t="str">
        <f>'Income - GAAP'!B48</f>
        <v>IS_SH_PRO_EQY_MT_INV_NET_OF_TAX</v>
      </c>
      <c r="C48" s="77">
        <f>IF('Income - GAAP'!C48="",0,'Income - GAAP'!C48)/'Income - GAAP'!C$9</f>
        <v>0</v>
      </c>
      <c r="D48" s="77">
        <f>IF('Income - GAAP'!D48="",0,'Income - GAAP'!D48)/'Income - GAAP'!D$9</f>
        <v>0</v>
      </c>
      <c r="E48" s="77">
        <f>IF('Income - GAAP'!E48="",0,'Income - GAAP'!E48)/'Income - GAAP'!E$9</f>
        <v>0</v>
      </c>
      <c r="F48" s="77">
        <f>IF('Income - GAAP'!F48="",0,'Income - GAAP'!F48)/'Income - GAAP'!F$9</f>
        <v>0</v>
      </c>
      <c r="G48" s="77">
        <f>IF('Income - GAAP'!G48="",0,'Income - GAAP'!G48)/'Income - GAAP'!G$9</f>
        <v>0</v>
      </c>
      <c r="H48" s="77">
        <f>IF('Income - GAAP'!H48="",0,'Income - GAAP'!H48)/'Income - GAAP'!H$9</f>
        <v>0</v>
      </c>
      <c r="I48" s="77">
        <f>IF('Income - GAAP'!I48="",0,'Income - GAAP'!I48)/'Income - GAAP'!I$9</f>
        <v>0</v>
      </c>
      <c r="J48" s="77">
        <f>IF('Income - GAAP'!J48="",0,'Income - GAAP'!J48)/'Income - GAAP'!J$9</f>
        <v>0</v>
      </c>
      <c r="K48" s="77">
        <f>IF('Income - GAAP'!K48="",0,'Income - GAAP'!K48)/'Income - GAAP'!K$9</f>
        <v>0</v>
      </c>
      <c r="L48" s="77">
        <f>IF('Income - GAAP'!L48="",0,'Income - GAAP'!L48)/'Income - GAAP'!L$9</f>
        <v>0</v>
      </c>
      <c r="M48" s="127"/>
      <c r="N48" s="127"/>
      <c r="O48" s="127"/>
      <c r="P48" s="127"/>
      <c r="Q48" s="127"/>
      <c r="R48" s="127"/>
      <c r="S48" s="37"/>
      <c r="T48" s="37"/>
      <c r="U48" s="37"/>
      <c r="V48" s="37"/>
      <c r="W48" s="37"/>
      <c r="X48" s="37"/>
      <c r="Y48" s="37"/>
      <c r="Z48" s="37"/>
      <c r="AA48" s="37"/>
      <c r="AB48" s="37"/>
      <c r="AC48" s="37"/>
      <c r="AD48" s="37"/>
      <c r="AE48" s="37"/>
      <c r="AF48" s="37"/>
      <c r="AG48" s="37"/>
      <c r="AH48" s="37"/>
      <c r="AI48" s="37"/>
      <c r="AJ48" s="37"/>
      <c r="AK48" s="37"/>
    </row>
    <row r="49" spans="1:1010 1027:2036 2053:3062 3079:4088 4105:5114 5131:6140 6157:7166 7183:8192 8209:9200 9217:10226 10243:11252 11269:12278 12295:13304 13321:14330 14347:15356 15373:16382" x14ac:dyDescent="0.35">
      <c r="A49" s="186"/>
      <c r="B49" s="4"/>
      <c r="C49" s="77"/>
      <c r="D49" s="77"/>
      <c r="E49" s="77"/>
      <c r="F49" s="77"/>
      <c r="G49" s="77"/>
      <c r="H49" s="77"/>
      <c r="I49" s="77"/>
      <c r="J49" s="77"/>
      <c r="K49" s="77"/>
      <c r="L49" s="77"/>
      <c r="M49" s="127"/>
      <c r="N49" s="127"/>
      <c r="O49" s="127"/>
      <c r="P49" s="127"/>
      <c r="Q49" s="127"/>
      <c r="R49" s="127"/>
      <c r="S49" s="37"/>
      <c r="T49" s="37"/>
      <c r="U49" s="37"/>
      <c r="V49" s="37"/>
      <c r="W49" s="37"/>
      <c r="X49" s="37"/>
      <c r="Y49" s="37"/>
      <c r="Z49" s="37"/>
      <c r="AA49" s="37"/>
      <c r="AB49" s="37"/>
      <c r="AC49" s="37"/>
      <c r="AD49" s="37"/>
      <c r="AE49" s="37"/>
      <c r="AF49" s="37"/>
      <c r="AG49" s="37"/>
      <c r="AH49" s="37"/>
      <c r="AI49" s="37"/>
      <c r="AJ49" s="37"/>
      <c r="AK49" s="37"/>
    </row>
    <row r="50" spans="1:1010 1027:2036 2053:3062 3079:4088 4105:5114 5131:6140 6157:7166 7183:8192 8209:9200 9217:10226 10243:11252 11269:12278 12295:13304 13321:14330 14347:15356 15373:16382" x14ac:dyDescent="0.35">
      <c r="A50" s="15" t="str">
        <f>'Income - GAAP'!A50</f>
        <v>Income (Loss) from Cont Ops</v>
      </c>
      <c r="B50" s="15" t="str">
        <f>'Income - GAAP'!B50</f>
        <v>IS_INC_BEF_XO_ITEM</v>
      </c>
      <c r="C50" s="85">
        <f>IF('Income - GAAP'!C50="",0,'Income - GAAP'!C50)/'Income - GAAP'!C$9</f>
        <v>3.9245871989558707E-2</v>
      </c>
      <c r="D50" s="85">
        <f>IF('Income - GAAP'!D50="",0,'Income - GAAP'!D50)/'Income - GAAP'!D$9</f>
        <v>4.4748400050194502E-2</v>
      </c>
      <c r="E50" s="85">
        <f>IF('Income - GAAP'!E50="",0,'Income - GAAP'!E50)/'Income - GAAP'!E$9</f>
        <v>3.7021754411590183E-2</v>
      </c>
      <c r="F50" s="85">
        <f>IF('Income - GAAP'!F50="",0,'Income - GAAP'!F50)/'Income - GAAP'!F$9</f>
        <v>4.8910987407447442E-3</v>
      </c>
      <c r="G50" s="85">
        <f>IF('Income - GAAP'!G50="",0,'Income - GAAP'!G50)/'Income - GAAP'!G$9</f>
        <v>8.1376977071448434E-2</v>
      </c>
      <c r="H50" s="85">
        <f>IF('Income - GAAP'!H50="",0,'Income - GAAP'!H50)/'Income - GAAP'!H$9</f>
        <v>7.4997445591090228E-2</v>
      </c>
      <c r="I50" s="85">
        <f>IF('Income - GAAP'!I50="",0,'Income - GAAP'!I50)/'Income - GAAP'!I$9</f>
        <v>8.4942711124200918E-2</v>
      </c>
      <c r="J50" s="85">
        <f>IF('Income - GAAP'!J50="",0,'Income - GAAP'!J50)/'Income - GAAP'!J$9</f>
        <v>0.10737385845087558</v>
      </c>
      <c r="K50" s="85">
        <f>IF('Income - GAAP'!K50="",0,'Income - GAAP'!K50)/'Income - GAAP'!K$9</f>
        <v>0.10914155440687628</v>
      </c>
      <c r="L50" s="85">
        <f>IF('Income - GAAP'!L50="",0,'Income - GAAP'!L50)/'Income - GAAP'!L$9</f>
        <v>0.1094847775175644</v>
      </c>
      <c r="M50" s="128"/>
      <c r="N50" s="128"/>
      <c r="O50" s="128"/>
      <c r="P50" s="128"/>
      <c r="Q50" s="128"/>
      <c r="R50" s="128"/>
      <c r="S50" s="37"/>
      <c r="T50" s="37"/>
      <c r="U50" s="37"/>
      <c r="V50" s="37"/>
      <c r="W50" s="37"/>
      <c r="X50" s="37"/>
      <c r="Y50" s="37"/>
      <c r="Z50" s="37"/>
      <c r="AA50" s="37"/>
      <c r="AB50" s="37"/>
      <c r="AC50" s="37"/>
      <c r="AD50" s="37"/>
      <c r="AE50" s="37"/>
      <c r="AF50" s="37"/>
      <c r="AG50" s="37"/>
      <c r="AH50" s="37"/>
      <c r="AI50" s="37"/>
      <c r="AJ50" s="37"/>
      <c r="AK50" s="37"/>
    </row>
    <row r="51" spans="1:1010 1027:2036 2053:3062 3079:4088 4105:5114 5131:6140 6157:7166 7183:8192 8209:9200 9217:10226 10243:11252 11269:12278 12295:13304 13321:14330 14347:15356 15373:16382" x14ac:dyDescent="0.35">
      <c r="A51" s="24" t="str">
        <f>'Income - GAAP'!A51</f>
        <v>check</v>
      </c>
      <c r="B51" s="24"/>
      <c r="C51" s="83"/>
      <c r="D51" s="83"/>
      <c r="E51" s="83"/>
      <c r="F51" s="83"/>
      <c r="G51" s="83"/>
      <c r="H51" s="83"/>
      <c r="I51" s="83"/>
      <c r="J51" s="83"/>
      <c r="K51" s="83"/>
      <c r="L51" s="83"/>
      <c r="M51" s="129"/>
      <c r="N51" s="129"/>
      <c r="O51" s="129"/>
      <c r="P51" s="129"/>
      <c r="Q51" s="129"/>
      <c r="R51" s="129"/>
      <c r="S51" s="37"/>
      <c r="T51" s="37"/>
      <c r="U51" s="37"/>
      <c r="V51" s="37"/>
      <c r="W51" s="37"/>
      <c r="X51" s="37"/>
      <c r="Y51" s="37"/>
      <c r="Z51" s="37"/>
      <c r="AA51" s="37"/>
      <c r="AB51" s="37"/>
      <c r="AC51" s="37"/>
      <c r="AD51" s="37"/>
      <c r="AE51" s="37"/>
      <c r="AF51" s="37"/>
      <c r="AG51" s="37"/>
      <c r="AH51" s="37"/>
      <c r="AI51" s="37"/>
      <c r="AJ51" s="37"/>
      <c r="AK51" s="37"/>
    </row>
    <row r="52" spans="1:1010 1027:2036 2053:3062 3079:4088 4105:5114 5131:6140 6157:7166 7183:8192 8209:9200 9217:10226 10243:11252 11269:12278 12295:13304 13321:14330 14347:15356 15373:16382" s="11" customFormat="1" x14ac:dyDescent="0.35">
      <c r="A52" s="183" t="str">
        <f>'Income - GAAP'!A52</f>
        <v xml:space="preserve">  - Net Extraordinary Losses (Gains)</v>
      </c>
      <c r="B52" s="75" t="str">
        <f>'Income - GAAP'!B52</f>
        <v>XO_GL_NET_OF_TAX</v>
      </c>
      <c r="C52" s="76">
        <f>IF('Income - GAAP'!C52="",0,'Income - GAAP'!C52)/'Income - GAAP'!C$9</f>
        <v>0</v>
      </c>
      <c r="D52" s="76">
        <f>IF('Income - GAAP'!D52="",0,'Income - GAAP'!D52)/'Income - GAAP'!D$9</f>
        <v>0</v>
      </c>
      <c r="E52" s="76">
        <f>IF('Income - GAAP'!E52="",0,'Income - GAAP'!E52)/'Income - GAAP'!E$9</f>
        <v>0</v>
      </c>
      <c r="F52" s="76">
        <f>IF('Income - GAAP'!F52="",0,'Income - GAAP'!F52)/'Income - GAAP'!F$9</f>
        <v>0</v>
      </c>
      <c r="G52" s="76">
        <f>IF('Income - GAAP'!G52="",0,'Income - GAAP'!G52)/'Income - GAAP'!G$9</f>
        <v>0</v>
      </c>
      <c r="H52" s="76">
        <f>IF('Income - GAAP'!H52="",0,'Income - GAAP'!H52)/'Income - GAAP'!H$9</f>
        <v>0</v>
      </c>
      <c r="I52" s="76">
        <f>IF('Income - GAAP'!I52="",0,'Income - GAAP'!I52)/'Income - GAAP'!I$9</f>
        <v>0</v>
      </c>
      <c r="J52" s="76">
        <f>IF('Income - GAAP'!J52="",0,'Income - GAAP'!J52)/'Income - GAAP'!J$9</f>
        <v>0</v>
      </c>
      <c r="K52" s="76">
        <f>IF('Income - GAAP'!K52="",0,'Income - GAAP'!K52)/'Income - GAAP'!K$9</f>
        <v>0</v>
      </c>
      <c r="L52" s="76">
        <f>IF('Income - GAAP'!L52="",0,'Income - GAAP'!L52)/'Income - GAAP'!L$9</f>
        <v>0</v>
      </c>
      <c r="M52" s="108"/>
      <c r="N52" s="108"/>
      <c r="O52" s="108"/>
      <c r="P52" s="108"/>
      <c r="Q52" s="108"/>
      <c r="R52" s="108"/>
      <c r="S52" s="109"/>
      <c r="T52" s="109"/>
      <c r="U52" s="108"/>
      <c r="V52" s="108"/>
      <c r="W52" s="108"/>
      <c r="X52" s="108"/>
      <c r="Y52" s="108"/>
      <c r="Z52" s="108"/>
      <c r="AA52" s="108"/>
      <c r="AB52" s="108"/>
      <c r="AC52" s="108"/>
      <c r="AD52" s="108"/>
      <c r="AE52" s="108"/>
      <c r="AF52" s="108"/>
      <c r="AG52" s="108"/>
      <c r="AH52" s="108"/>
      <c r="AI52" s="108"/>
      <c r="AJ52" s="108"/>
      <c r="AK52" s="109"/>
      <c r="AL52" s="12"/>
      <c r="BC52" s="12"/>
      <c r="BD52" s="12"/>
      <c r="BU52" s="12"/>
      <c r="BV52" s="12"/>
      <c r="CM52" s="12"/>
      <c r="CN52" s="12"/>
      <c r="DE52" s="12"/>
      <c r="DF52" s="12"/>
      <c r="DW52" s="12"/>
      <c r="DX52" s="12"/>
      <c r="EO52" s="12"/>
      <c r="EP52" s="12"/>
      <c r="FG52" s="12"/>
      <c r="FH52" s="12"/>
      <c r="FY52" s="12"/>
      <c r="FZ52" s="12"/>
      <c r="GQ52" s="12"/>
      <c r="GR52" s="12"/>
      <c r="HI52" s="12"/>
      <c r="HJ52" s="12"/>
      <c r="IA52" s="12"/>
      <c r="IB52" s="12"/>
      <c r="IS52" s="12"/>
      <c r="IT52" s="12"/>
      <c r="JK52" s="12"/>
      <c r="JL52" s="12"/>
      <c r="KC52" s="12"/>
      <c r="KD52" s="12"/>
      <c r="KU52" s="12"/>
      <c r="KV52" s="12"/>
      <c r="LM52" s="12"/>
      <c r="LN52" s="12"/>
      <c r="ME52" s="12"/>
      <c r="MF52" s="12"/>
      <c r="MW52" s="12"/>
      <c r="MX52" s="12"/>
      <c r="NO52" s="12"/>
      <c r="NP52" s="12"/>
      <c r="OG52" s="12"/>
      <c r="OH52" s="12"/>
      <c r="OY52" s="12"/>
      <c r="OZ52" s="12"/>
      <c r="PQ52" s="12"/>
      <c r="PR52" s="12"/>
      <c r="QI52" s="12"/>
      <c r="QJ52" s="12"/>
      <c r="RA52" s="12"/>
      <c r="RB52" s="12"/>
      <c r="RS52" s="12"/>
      <c r="RT52" s="12"/>
      <c r="SK52" s="12"/>
      <c r="SL52" s="12"/>
      <c r="TC52" s="12"/>
      <c r="TD52" s="12"/>
      <c r="TU52" s="12"/>
      <c r="TV52" s="12"/>
      <c r="UM52" s="12"/>
      <c r="UN52" s="12"/>
      <c r="VE52" s="12"/>
      <c r="VF52" s="12"/>
      <c r="VW52" s="12"/>
      <c r="VX52" s="12"/>
      <c r="WO52" s="12"/>
      <c r="WP52" s="12"/>
      <c r="XG52" s="12"/>
      <c r="XH52" s="12"/>
      <c r="XY52" s="12"/>
      <c r="XZ52" s="12"/>
      <c r="YQ52" s="12"/>
      <c r="YR52" s="12"/>
      <c r="ZI52" s="12"/>
      <c r="ZJ52" s="12"/>
      <c r="AAA52" s="12"/>
      <c r="AAB52" s="12"/>
      <c r="AAS52" s="12"/>
      <c r="AAT52" s="12"/>
      <c r="ABK52" s="12"/>
      <c r="ABL52" s="12"/>
      <c r="ACC52" s="12"/>
      <c r="ACD52" s="12"/>
      <c r="ACU52" s="12"/>
      <c r="ACV52" s="12"/>
      <c r="ADM52" s="12"/>
      <c r="ADN52" s="12"/>
      <c r="AEE52" s="12"/>
      <c r="AEF52" s="12"/>
      <c r="AEW52" s="12"/>
      <c r="AEX52" s="12"/>
      <c r="AFO52" s="12"/>
      <c r="AFP52" s="12"/>
      <c r="AGG52" s="12"/>
      <c r="AGH52" s="12"/>
      <c r="AGY52" s="12"/>
      <c r="AGZ52" s="12"/>
      <c r="AHQ52" s="12"/>
      <c r="AHR52" s="12"/>
      <c r="AII52" s="12"/>
      <c r="AIJ52" s="12"/>
      <c r="AJA52" s="12"/>
      <c r="AJB52" s="12"/>
      <c r="AJS52" s="12"/>
      <c r="AJT52" s="12"/>
      <c r="AKK52" s="12"/>
      <c r="AKL52" s="12"/>
      <c r="ALC52" s="12"/>
      <c r="ALD52" s="12"/>
      <c r="ALU52" s="12"/>
      <c r="ALV52" s="12"/>
      <c r="AMM52" s="12"/>
      <c r="AMN52" s="12"/>
      <c r="ANE52" s="12"/>
      <c r="ANF52" s="12"/>
      <c r="ANW52" s="12"/>
      <c r="ANX52" s="12"/>
      <c r="AOO52" s="12"/>
      <c r="AOP52" s="12"/>
      <c r="APG52" s="12"/>
      <c r="APH52" s="12"/>
      <c r="APY52" s="12"/>
      <c r="APZ52" s="12"/>
      <c r="AQQ52" s="12"/>
      <c r="AQR52" s="12"/>
      <c r="ARI52" s="12"/>
      <c r="ARJ52" s="12"/>
      <c r="ASA52" s="12"/>
      <c r="ASB52" s="12"/>
      <c r="ASS52" s="12"/>
      <c r="AST52" s="12"/>
      <c r="ATK52" s="12"/>
      <c r="ATL52" s="12"/>
      <c r="AUC52" s="12"/>
      <c r="AUD52" s="12"/>
      <c r="AUU52" s="12"/>
      <c r="AUV52" s="12"/>
      <c r="AVM52" s="12"/>
      <c r="AVN52" s="12"/>
      <c r="AWE52" s="12"/>
      <c r="AWF52" s="12"/>
      <c r="AWW52" s="12"/>
      <c r="AWX52" s="12"/>
      <c r="AXO52" s="12"/>
      <c r="AXP52" s="12"/>
      <c r="AYG52" s="12"/>
      <c r="AYH52" s="12"/>
      <c r="AYY52" s="12"/>
      <c r="AYZ52" s="12"/>
      <c r="AZQ52" s="12"/>
      <c r="AZR52" s="12"/>
      <c r="BAI52" s="12"/>
      <c r="BAJ52" s="12"/>
      <c r="BBA52" s="12"/>
      <c r="BBB52" s="12"/>
      <c r="BBS52" s="12"/>
      <c r="BBT52" s="12"/>
      <c r="BCK52" s="12"/>
      <c r="BCL52" s="12"/>
      <c r="BDC52" s="12"/>
      <c r="BDD52" s="12"/>
      <c r="BDU52" s="12"/>
      <c r="BDV52" s="12"/>
      <c r="BEM52" s="12"/>
      <c r="BEN52" s="12"/>
      <c r="BFE52" s="12"/>
      <c r="BFF52" s="12"/>
      <c r="BFW52" s="12"/>
      <c r="BFX52" s="12"/>
      <c r="BGO52" s="12"/>
      <c r="BGP52" s="12"/>
      <c r="BHG52" s="12"/>
      <c r="BHH52" s="12"/>
      <c r="BHY52" s="12"/>
      <c r="BHZ52" s="12"/>
      <c r="BIQ52" s="12"/>
      <c r="BIR52" s="12"/>
      <c r="BJI52" s="12"/>
      <c r="BJJ52" s="12"/>
      <c r="BKA52" s="12"/>
      <c r="BKB52" s="12"/>
      <c r="BKS52" s="12"/>
      <c r="BKT52" s="12"/>
      <c r="BLK52" s="12"/>
      <c r="BLL52" s="12"/>
      <c r="BMC52" s="12"/>
      <c r="BMD52" s="12"/>
      <c r="BMU52" s="12"/>
      <c r="BMV52" s="12"/>
      <c r="BNM52" s="12"/>
      <c r="BNN52" s="12"/>
      <c r="BOE52" s="12"/>
      <c r="BOF52" s="12"/>
      <c r="BOW52" s="12"/>
      <c r="BOX52" s="12"/>
      <c r="BPO52" s="12"/>
      <c r="BPP52" s="12"/>
      <c r="BQG52" s="12"/>
      <c r="BQH52" s="12"/>
      <c r="BQY52" s="12"/>
      <c r="BQZ52" s="12"/>
      <c r="BRQ52" s="12"/>
      <c r="BRR52" s="12"/>
      <c r="BSI52" s="12"/>
      <c r="BSJ52" s="12"/>
      <c r="BTA52" s="12"/>
      <c r="BTB52" s="12"/>
      <c r="BTS52" s="12"/>
      <c r="BTT52" s="12"/>
      <c r="BUK52" s="12"/>
      <c r="BUL52" s="12"/>
      <c r="BVC52" s="12"/>
      <c r="BVD52" s="12"/>
      <c r="BVU52" s="12"/>
      <c r="BVV52" s="12"/>
      <c r="BWM52" s="12"/>
      <c r="BWN52" s="12"/>
      <c r="BXE52" s="12"/>
      <c r="BXF52" s="12"/>
      <c r="BXW52" s="12"/>
      <c r="BXX52" s="12"/>
      <c r="BYO52" s="12"/>
      <c r="BYP52" s="12"/>
      <c r="BZG52" s="12"/>
      <c r="BZH52" s="12"/>
      <c r="BZY52" s="12"/>
      <c r="BZZ52" s="12"/>
      <c r="CAQ52" s="12"/>
      <c r="CAR52" s="12"/>
      <c r="CBI52" s="12"/>
      <c r="CBJ52" s="12"/>
      <c r="CCA52" s="12"/>
      <c r="CCB52" s="12"/>
      <c r="CCS52" s="12"/>
      <c r="CCT52" s="12"/>
      <c r="CDK52" s="12"/>
      <c r="CDL52" s="12"/>
      <c r="CEC52" s="12"/>
      <c r="CED52" s="12"/>
      <c r="CEU52" s="12"/>
      <c r="CEV52" s="12"/>
      <c r="CFM52" s="12"/>
      <c r="CFN52" s="12"/>
      <c r="CGE52" s="12"/>
      <c r="CGF52" s="12"/>
      <c r="CGW52" s="12"/>
      <c r="CGX52" s="12"/>
      <c r="CHO52" s="12"/>
      <c r="CHP52" s="12"/>
      <c r="CIG52" s="12"/>
      <c r="CIH52" s="12"/>
      <c r="CIY52" s="12"/>
      <c r="CIZ52" s="12"/>
      <c r="CJQ52" s="12"/>
      <c r="CJR52" s="12"/>
      <c r="CKI52" s="12"/>
      <c r="CKJ52" s="12"/>
      <c r="CLA52" s="12"/>
      <c r="CLB52" s="12"/>
      <c r="CLS52" s="12"/>
      <c r="CLT52" s="12"/>
      <c r="CMK52" s="12"/>
      <c r="CML52" s="12"/>
      <c r="CNC52" s="12"/>
      <c r="CND52" s="12"/>
      <c r="CNU52" s="12"/>
      <c r="CNV52" s="12"/>
      <c r="COM52" s="12"/>
      <c r="CON52" s="12"/>
      <c r="CPE52" s="12"/>
      <c r="CPF52" s="12"/>
      <c r="CPW52" s="12"/>
      <c r="CPX52" s="12"/>
      <c r="CQO52" s="12"/>
      <c r="CQP52" s="12"/>
      <c r="CRG52" s="12"/>
      <c r="CRH52" s="12"/>
      <c r="CRY52" s="12"/>
      <c r="CRZ52" s="12"/>
      <c r="CSQ52" s="12"/>
      <c r="CSR52" s="12"/>
      <c r="CTI52" s="12"/>
      <c r="CTJ52" s="12"/>
      <c r="CUA52" s="12"/>
      <c r="CUB52" s="12"/>
      <c r="CUS52" s="12"/>
      <c r="CUT52" s="12"/>
      <c r="CVK52" s="12"/>
      <c r="CVL52" s="12"/>
      <c r="CWC52" s="12"/>
      <c r="CWD52" s="12"/>
      <c r="CWU52" s="12"/>
      <c r="CWV52" s="12"/>
      <c r="CXM52" s="12"/>
      <c r="CXN52" s="12"/>
      <c r="CYE52" s="12"/>
      <c r="CYF52" s="12"/>
      <c r="CYW52" s="12"/>
      <c r="CYX52" s="12"/>
      <c r="CZO52" s="12"/>
      <c r="CZP52" s="12"/>
      <c r="DAG52" s="12"/>
      <c r="DAH52" s="12"/>
      <c r="DAY52" s="12"/>
      <c r="DAZ52" s="12"/>
      <c r="DBQ52" s="12"/>
      <c r="DBR52" s="12"/>
      <c r="DCI52" s="12"/>
      <c r="DCJ52" s="12"/>
      <c r="DDA52" s="12"/>
      <c r="DDB52" s="12"/>
      <c r="DDS52" s="12"/>
      <c r="DDT52" s="12"/>
      <c r="DEK52" s="12"/>
      <c r="DEL52" s="12"/>
      <c r="DFC52" s="12"/>
      <c r="DFD52" s="12"/>
      <c r="DFU52" s="12"/>
      <c r="DFV52" s="12"/>
      <c r="DGM52" s="12"/>
      <c r="DGN52" s="12"/>
      <c r="DHE52" s="12"/>
      <c r="DHF52" s="12"/>
      <c r="DHW52" s="12"/>
      <c r="DHX52" s="12"/>
      <c r="DIO52" s="12"/>
      <c r="DIP52" s="12"/>
      <c r="DJG52" s="12"/>
      <c r="DJH52" s="12"/>
      <c r="DJY52" s="12"/>
      <c r="DJZ52" s="12"/>
      <c r="DKQ52" s="12"/>
      <c r="DKR52" s="12"/>
      <c r="DLI52" s="12"/>
      <c r="DLJ52" s="12"/>
      <c r="DMA52" s="12"/>
      <c r="DMB52" s="12"/>
      <c r="DMS52" s="12"/>
      <c r="DMT52" s="12"/>
      <c r="DNK52" s="12"/>
      <c r="DNL52" s="12"/>
      <c r="DOC52" s="12"/>
      <c r="DOD52" s="12"/>
      <c r="DOU52" s="12"/>
      <c r="DOV52" s="12"/>
      <c r="DPM52" s="12"/>
      <c r="DPN52" s="12"/>
      <c r="DQE52" s="12"/>
      <c r="DQF52" s="12"/>
      <c r="DQW52" s="12"/>
      <c r="DQX52" s="12"/>
      <c r="DRO52" s="12"/>
      <c r="DRP52" s="12"/>
      <c r="DSG52" s="12"/>
      <c r="DSH52" s="12"/>
      <c r="DSY52" s="12"/>
      <c r="DSZ52" s="12"/>
      <c r="DTQ52" s="12"/>
      <c r="DTR52" s="12"/>
      <c r="DUI52" s="12"/>
      <c r="DUJ52" s="12"/>
      <c r="DVA52" s="12"/>
      <c r="DVB52" s="12"/>
      <c r="DVS52" s="12"/>
      <c r="DVT52" s="12"/>
      <c r="DWK52" s="12"/>
      <c r="DWL52" s="12"/>
      <c r="DXC52" s="12"/>
      <c r="DXD52" s="12"/>
      <c r="DXU52" s="12"/>
      <c r="DXV52" s="12"/>
      <c r="DYM52" s="12"/>
      <c r="DYN52" s="12"/>
      <c r="DZE52" s="12"/>
      <c r="DZF52" s="12"/>
      <c r="DZW52" s="12"/>
      <c r="DZX52" s="12"/>
      <c r="EAO52" s="12"/>
      <c r="EAP52" s="12"/>
      <c r="EBG52" s="12"/>
      <c r="EBH52" s="12"/>
      <c r="EBY52" s="12"/>
      <c r="EBZ52" s="12"/>
      <c r="ECQ52" s="12"/>
      <c r="ECR52" s="12"/>
      <c r="EDI52" s="12"/>
      <c r="EDJ52" s="12"/>
      <c r="EEA52" s="12"/>
      <c r="EEB52" s="12"/>
      <c r="EES52" s="12"/>
      <c r="EET52" s="12"/>
      <c r="EFK52" s="12"/>
      <c r="EFL52" s="12"/>
      <c r="EGC52" s="12"/>
      <c r="EGD52" s="12"/>
      <c r="EGU52" s="12"/>
      <c r="EGV52" s="12"/>
      <c r="EHM52" s="12"/>
      <c r="EHN52" s="12"/>
      <c r="EIE52" s="12"/>
      <c r="EIF52" s="12"/>
      <c r="EIW52" s="12"/>
      <c r="EIX52" s="12"/>
      <c r="EJO52" s="12"/>
      <c r="EJP52" s="12"/>
      <c r="EKG52" s="12"/>
      <c r="EKH52" s="12"/>
      <c r="EKY52" s="12"/>
      <c r="EKZ52" s="12"/>
      <c r="ELQ52" s="12"/>
      <c r="ELR52" s="12"/>
      <c r="EMI52" s="12"/>
      <c r="EMJ52" s="12"/>
      <c r="ENA52" s="12"/>
      <c r="ENB52" s="12"/>
      <c r="ENS52" s="12"/>
      <c r="ENT52" s="12"/>
      <c r="EOK52" s="12"/>
      <c r="EOL52" s="12"/>
      <c r="EPC52" s="12"/>
      <c r="EPD52" s="12"/>
      <c r="EPU52" s="12"/>
      <c r="EPV52" s="12"/>
      <c r="EQM52" s="12"/>
      <c r="EQN52" s="12"/>
      <c r="ERE52" s="12"/>
      <c r="ERF52" s="12"/>
      <c r="ERW52" s="12"/>
      <c r="ERX52" s="12"/>
      <c r="ESO52" s="12"/>
      <c r="ESP52" s="12"/>
      <c r="ETG52" s="12"/>
      <c r="ETH52" s="12"/>
      <c r="ETY52" s="12"/>
      <c r="ETZ52" s="12"/>
      <c r="EUQ52" s="12"/>
      <c r="EUR52" s="12"/>
      <c r="EVI52" s="12"/>
      <c r="EVJ52" s="12"/>
      <c r="EWA52" s="12"/>
      <c r="EWB52" s="12"/>
      <c r="EWS52" s="12"/>
      <c r="EWT52" s="12"/>
      <c r="EXK52" s="12"/>
      <c r="EXL52" s="12"/>
      <c r="EYC52" s="12"/>
      <c r="EYD52" s="12"/>
      <c r="EYU52" s="12"/>
      <c r="EYV52" s="12"/>
      <c r="EZM52" s="12"/>
      <c r="EZN52" s="12"/>
      <c r="FAE52" s="12"/>
      <c r="FAF52" s="12"/>
      <c r="FAW52" s="12"/>
      <c r="FAX52" s="12"/>
      <c r="FBO52" s="12"/>
      <c r="FBP52" s="12"/>
      <c r="FCG52" s="12"/>
      <c r="FCH52" s="12"/>
      <c r="FCY52" s="12"/>
      <c r="FCZ52" s="12"/>
      <c r="FDQ52" s="12"/>
      <c r="FDR52" s="12"/>
      <c r="FEI52" s="12"/>
      <c r="FEJ52" s="12"/>
      <c r="FFA52" s="12"/>
      <c r="FFB52" s="12"/>
      <c r="FFS52" s="12"/>
      <c r="FFT52" s="12"/>
      <c r="FGK52" s="12"/>
      <c r="FGL52" s="12"/>
      <c r="FHC52" s="12"/>
      <c r="FHD52" s="12"/>
      <c r="FHU52" s="12"/>
      <c r="FHV52" s="12"/>
      <c r="FIM52" s="12"/>
      <c r="FIN52" s="12"/>
      <c r="FJE52" s="12"/>
      <c r="FJF52" s="12"/>
      <c r="FJW52" s="12"/>
      <c r="FJX52" s="12"/>
      <c r="FKO52" s="12"/>
      <c r="FKP52" s="12"/>
      <c r="FLG52" s="12"/>
      <c r="FLH52" s="12"/>
      <c r="FLY52" s="12"/>
      <c r="FLZ52" s="12"/>
      <c r="FMQ52" s="12"/>
      <c r="FMR52" s="12"/>
      <c r="FNI52" s="12"/>
      <c r="FNJ52" s="12"/>
      <c r="FOA52" s="12"/>
      <c r="FOB52" s="12"/>
      <c r="FOS52" s="12"/>
      <c r="FOT52" s="12"/>
      <c r="FPK52" s="12"/>
      <c r="FPL52" s="12"/>
      <c r="FQC52" s="12"/>
      <c r="FQD52" s="12"/>
      <c r="FQU52" s="12"/>
      <c r="FQV52" s="12"/>
      <c r="FRM52" s="12"/>
      <c r="FRN52" s="12"/>
      <c r="FSE52" s="12"/>
      <c r="FSF52" s="12"/>
      <c r="FSW52" s="12"/>
      <c r="FSX52" s="12"/>
      <c r="FTO52" s="12"/>
      <c r="FTP52" s="12"/>
      <c r="FUG52" s="12"/>
      <c r="FUH52" s="12"/>
      <c r="FUY52" s="12"/>
      <c r="FUZ52" s="12"/>
      <c r="FVQ52" s="12"/>
      <c r="FVR52" s="12"/>
      <c r="FWI52" s="12"/>
      <c r="FWJ52" s="12"/>
      <c r="FXA52" s="12"/>
      <c r="FXB52" s="12"/>
      <c r="FXS52" s="12"/>
      <c r="FXT52" s="12"/>
      <c r="FYK52" s="12"/>
      <c r="FYL52" s="12"/>
      <c r="FZC52" s="12"/>
      <c r="FZD52" s="12"/>
      <c r="FZU52" s="12"/>
      <c r="FZV52" s="12"/>
      <c r="GAM52" s="12"/>
      <c r="GAN52" s="12"/>
      <c r="GBE52" s="12"/>
      <c r="GBF52" s="12"/>
      <c r="GBW52" s="12"/>
      <c r="GBX52" s="12"/>
      <c r="GCO52" s="12"/>
      <c r="GCP52" s="12"/>
      <c r="GDG52" s="12"/>
      <c r="GDH52" s="12"/>
      <c r="GDY52" s="12"/>
      <c r="GDZ52" s="12"/>
      <c r="GEQ52" s="12"/>
      <c r="GER52" s="12"/>
      <c r="GFI52" s="12"/>
      <c r="GFJ52" s="12"/>
      <c r="GGA52" s="12"/>
      <c r="GGB52" s="12"/>
      <c r="GGS52" s="12"/>
      <c r="GGT52" s="12"/>
      <c r="GHK52" s="12"/>
      <c r="GHL52" s="12"/>
      <c r="GIC52" s="12"/>
      <c r="GID52" s="12"/>
      <c r="GIU52" s="12"/>
      <c r="GIV52" s="12"/>
      <c r="GJM52" s="12"/>
      <c r="GJN52" s="12"/>
      <c r="GKE52" s="12"/>
      <c r="GKF52" s="12"/>
      <c r="GKW52" s="12"/>
      <c r="GKX52" s="12"/>
      <c r="GLO52" s="12"/>
      <c r="GLP52" s="12"/>
      <c r="GMG52" s="12"/>
      <c r="GMH52" s="12"/>
      <c r="GMY52" s="12"/>
      <c r="GMZ52" s="12"/>
      <c r="GNQ52" s="12"/>
      <c r="GNR52" s="12"/>
      <c r="GOI52" s="12"/>
      <c r="GOJ52" s="12"/>
      <c r="GPA52" s="12"/>
      <c r="GPB52" s="12"/>
      <c r="GPS52" s="12"/>
      <c r="GPT52" s="12"/>
      <c r="GQK52" s="12"/>
      <c r="GQL52" s="12"/>
      <c r="GRC52" s="12"/>
      <c r="GRD52" s="12"/>
      <c r="GRU52" s="12"/>
      <c r="GRV52" s="12"/>
      <c r="GSM52" s="12"/>
      <c r="GSN52" s="12"/>
      <c r="GTE52" s="12"/>
      <c r="GTF52" s="12"/>
      <c r="GTW52" s="12"/>
      <c r="GTX52" s="12"/>
      <c r="GUO52" s="12"/>
      <c r="GUP52" s="12"/>
      <c r="GVG52" s="12"/>
      <c r="GVH52" s="12"/>
      <c r="GVY52" s="12"/>
      <c r="GVZ52" s="12"/>
      <c r="GWQ52" s="12"/>
      <c r="GWR52" s="12"/>
      <c r="GXI52" s="12"/>
      <c r="GXJ52" s="12"/>
      <c r="GYA52" s="12"/>
      <c r="GYB52" s="12"/>
      <c r="GYS52" s="12"/>
      <c r="GYT52" s="12"/>
      <c r="GZK52" s="12"/>
      <c r="GZL52" s="12"/>
      <c r="HAC52" s="12"/>
      <c r="HAD52" s="12"/>
      <c r="HAU52" s="12"/>
      <c r="HAV52" s="12"/>
      <c r="HBM52" s="12"/>
      <c r="HBN52" s="12"/>
      <c r="HCE52" s="12"/>
      <c r="HCF52" s="12"/>
      <c r="HCW52" s="12"/>
      <c r="HCX52" s="12"/>
      <c r="HDO52" s="12"/>
      <c r="HDP52" s="12"/>
      <c r="HEG52" s="12"/>
      <c r="HEH52" s="12"/>
      <c r="HEY52" s="12"/>
      <c r="HEZ52" s="12"/>
      <c r="HFQ52" s="12"/>
      <c r="HFR52" s="12"/>
      <c r="HGI52" s="12"/>
      <c r="HGJ52" s="12"/>
      <c r="HHA52" s="12"/>
      <c r="HHB52" s="12"/>
      <c r="HHS52" s="12"/>
      <c r="HHT52" s="12"/>
      <c r="HIK52" s="12"/>
      <c r="HIL52" s="12"/>
      <c r="HJC52" s="12"/>
      <c r="HJD52" s="12"/>
      <c r="HJU52" s="12"/>
      <c r="HJV52" s="12"/>
      <c r="HKM52" s="12"/>
      <c r="HKN52" s="12"/>
      <c r="HLE52" s="12"/>
      <c r="HLF52" s="12"/>
      <c r="HLW52" s="12"/>
      <c r="HLX52" s="12"/>
      <c r="HMO52" s="12"/>
      <c r="HMP52" s="12"/>
      <c r="HNG52" s="12"/>
      <c r="HNH52" s="12"/>
      <c r="HNY52" s="12"/>
      <c r="HNZ52" s="12"/>
      <c r="HOQ52" s="12"/>
      <c r="HOR52" s="12"/>
      <c r="HPI52" s="12"/>
      <c r="HPJ52" s="12"/>
      <c r="HQA52" s="12"/>
      <c r="HQB52" s="12"/>
      <c r="HQS52" s="12"/>
      <c r="HQT52" s="12"/>
      <c r="HRK52" s="12"/>
      <c r="HRL52" s="12"/>
      <c r="HSC52" s="12"/>
      <c r="HSD52" s="12"/>
      <c r="HSU52" s="12"/>
      <c r="HSV52" s="12"/>
      <c r="HTM52" s="12"/>
      <c r="HTN52" s="12"/>
      <c r="HUE52" s="12"/>
      <c r="HUF52" s="12"/>
      <c r="HUW52" s="12"/>
      <c r="HUX52" s="12"/>
      <c r="HVO52" s="12"/>
      <c r="HVP52" s="12"/>
      <c r="HWG52" s="12"/>
      <c r="HWH52" s="12"/>
      <c r="HWY52" s="12"/>
      <c r="HWZ52" s="12"/>
      <c r="HXQ52" s="12"/>
      <c r="HXR52" s="12"/>
      <c r="HYI52" s="12"/>
      <c r="HYJ52" s="12"/>
      <c r="HZA52" s="12"/>
      <c r="HZB52" s="12"/>
      <c r="HZS52" s="12"/>
      <c r="HZT52" s="12"/>
      <c r="IAK52" s="12"/>
      <c r="IAL52" s="12"/>
      <c r="IBC52" s="12"/>
      <c r="IBD52" s="12"/>
      <c r="IBU52" s="12"/>
      <c r="IBV52" s="12"/>
      <c r="ICM52" s="12"/>
      <c r="ICN52" s="12"/>
      <c r="IDE52" s="12"/>
      <c r="IDF52" s="12"/>
      <c r="IDW52" s="12"/>
      <c r="IDX52" s="12"/>
      <c r="IEO52" s="12"/>
      <c r="IEP52" s="12"/>
      <c r="IFG52" s="12"/>
      <c r="IFH52" s="12"/>
      <c r="IFY52" s="12"/>
      <c r="IFZ52" s="12"/>
      <c r="IGQ52" s="12"/>
      <c r="IGR52" s="12"/>
      <c r="IHI52" s="12"/>
      <c r="IHJ52" s="12"/>
      <c r="IIA52" s="12"/>
      <c r="IIB52" s="12"/>
      <c r="IIS52" s="12"/>
      <c r="IIT52" s="12"/>
      <c r="IJK52" s="12"/>
      <c r="IJL52" s="12"/>
      <c r="IKC52" s="12"/>
      <c r="IKD52" s="12"/>
      <c r="IKU52" s="12"/>
      <c r="IKV52" s="12"/>
      <c r="ILM52" s="12"/>
      <c r="ILN52" s="12"/>
      <c r="IME52" s="12"/>
      <c r="IMF52" s="12"/>
      <c r="IMW52" s="12"/>
      <c r="IMX52" s="12"/>
      <c r="INO52" s="12"/>
      <c r="INP52" s="12"/>
      <c r="IOG52" s="12"/>
      <c r="IOH52" s="12"/>
      <c r="IOY52" s="12"/>
      <c r="IOZ52" s="12"/>
      <c r="IPQ52" s="12"/>
      <c r="IPR52" s="12"/>
      <c r="IQI52" s="12"/>
      <c r="IQJ52" s="12"/>
      <c r="IRA52" s="12"/>
      <c r="IRB52" s="12"/>
      <c r="IRS52" s="12"/>
      <c r="IRT52" s="12"/>
      <c r="ISK52" s="12"/>
      <c r="ISL52" s="12"/>
      <c r="ITC52" s="12"/>
      <c r="ITD52" s="12"/>
      <c r="ITU52" s="12"/>
      <c r="ITV52" s="12"/>
      <c r="IUM52" s="12"/>
      <c r="IUN52" s="12"/>
      <c r="IVE52" s="12"/>
      <c r="IVF52" s="12"/>
      <c r="IVW52" s="12"/>
      <c r="IVX52" s="12"/>
      <c r="IWO52" s="12"/>
      <c r="IWP52" s="12"/>
      <c r="IXG52" s="12"/>
      <c r="IXH52" s="12"/>
      <c r="IXY52" s="12"/>
      <c r="IXZ52" s="12"/>
      <c r="IYQ52" s="12"/>
      <c r="IYR52" s="12"/>
      <c r="IZI52" s="12"/>
      <c r="IZJ52" s="12"/>
      <c r="JAA52" s="12"/>
      <c r="JAB52" s="12"/>
      <c r="JAS52" s="12"/>
      <c r="JAT52" s="12"/>
      <c r="JBK52" s="12"/>
      <c r="JBL52" s="12"/>
      <c r="JCC52" s="12"/>
      <c r="JCD52" s="12"/>
      <c r="JCU52" s="12"/>
      <c r="JCV52" s="12"/>
      <c r="JDM52" s="12"/>
      <c r="JDN52" s="12"/>
      <c r="JEE52" s="12"/>
      <c r="JEF52" s="12"/>
      <c r="JEW52" s="12"/>
      <c r="JEX52" s="12"/>
      <c r="JFO52" s="12"/>
      <c r="JFP52" s="12"/>
      <c r="JGG52" s="12"/>
      <c r="JGH52" s="12"/>
      <c r="JGY52" s="12"/>
      <c r="JGZ52" s="12"/>
      <c r="JHQ52" s="12"/>
      <c r="JHR52" s="12"/>
      <c r="JII52" s="12"/>
      <c r="JIJ52" s="12"/>
      <c r="JJA52" s="12"/>
      <c r="JJB52" s="12"/>
      <c r="JJS52" s="12"/>
      <c r="JJT52" s="12"/>
      <c r="JKK52" s="12"/>
      <c r="JKL52" s="12"/>
      <c r="JLC52" s="12"/>
      <c r="JLD52" s="12"/>
      <c r="JLU52" s="12"/>
      <c r="JLV52" s="12"/>
      <c r="JMM52" s="12"/>
      <c r="JMN52" s="12"/>
      <c r="JNE52" s="12"/>
      <c r="JNF52" s="12"/>
      <c r="JNW52" s="12"/>
      <c r="JNX52" s="12"/>
      <c r="JOO52" s="12"/>
      <c r="JOP52" s="12"/>
      <c r="JPG52" s="12"/>
      <c r="JPH52" s="12"/>
      <c r="JPY52" s="12"/>
      <c r="JPZ52" s="12"/>
      <c r="JQQ52" s="12"/>
      <c r="JQR52" s="12"/>
      <c r="JRI52" s="12"/>
      <c r="JRJ52" s="12"/>
      <c r="JSA52" s="12"/>
      <c r="JSB52" s="12"/>
      <c r="JSS52" s="12"/>
      <c r="JST52" s="12"/>
      <c r="JTK52" s="12"/>
      <c r="JTL52" s="12"/>
      <c r="JUC52" s="12"/>
      <c r="JUD52" s="12"/>
      <c r="JUU52" s="12"/>
      <c r="JUV52" s="12"/>
      <c r="JVM52" s="12"/>
      <c r="JVN52" s="12"/>
      <c r="JWE52" s="12"/>
      <c r="JWF52" s="12"/>
      <c r="JWW52" s="12"/>
      <c r="JWX52" s="12"/>
      <c r="JXO52" s="12"/>
      <c r="JXP52" s="12"/>
      <c r="JYG52" s="12"/>
      <c r="JYH52" s="12"/>
      <c r="JYY52" s="12"/>
      <c r="JYZ52" s="12"/>
      <c r="JZQ52" s="12"/>
      <c r="JZR52" s="12"/>
      <c r="KAI52" s="12"/>
      <c r="KAJ52" s="12"/>
      <c r="KBA52" s="12"/>
      <c r="KBB52" s="12"/>
      <c r="KBS52" s="12"/>
      <c r="KBT52" s="12"/>
      <c r="KCK52" s="12"/>
      <c r="KCL52" s="12"/>
      <c r="KDC52" s="12"/>
      <c r="KDD52" s="12"/>
      <c r="KDU52" s="12"/>
      <c r="KDV52" s="12"/>
      <c r="KEM52" s="12"/>
      <c r="KEN52" s="12"/>
      <c r="KFE52" s="12"/>
      <c r="KFF52" s="12"/>
      <c r="KFW52" s="12"/>
      <c r="KFX52" s="12"/>
      <c r="KGO52" s="12"/>
      <c r="KGP52" s="12"/>
      <c r="KHG52" s="12"/>
      <c r="KHH52" s="12"/>
      <c r="KHY52" s="12"/>
      <c r="KHZ52" s="12"/>
      <c r="KIQ52" s="12"/>
      <c r="KIR52" s="12"/>
      <c r="KJI52" s="12"/>
      <c r="KJJ52" s="12"/>
      <c r="KKA52" s="12"/>
      <c r="KKB52" s="12"/>
      <c r="KKS52" s="12"/>
      <c r="KKT52" s="12"/>
      <c r="KLK52" s="12"/>
      <c r="KLL52" s="12"/>
      <c r="KMC52" s="12"/>
      <c r="KMD52" s="12"/>
      <c r="KMU52" s="12"/>
      <c r="KMV52" s="12"/>
      <c r="KNM52" s="12"/>
      <c r="KNN52" s="12"/>
      <c r="KOE52" s="12"/>
      <c r="KOF52" s="12"/>
      <c r="KOW52" s="12"/>
      <c r="KOX52" s="12"/>
      <c r="KPO52" s="12"/>
      <c r="KPP52" s="12"/>
      <c r="KQG52" s="12"/>
      <c r="KQH52" s="12"/>
      <c r="KQY52" s="12"/>
      <c r="KQZ52" s="12"/>
      <c r="KRQ52" s="12"/>
      <c r="KRR52" s="12"/>
      <c r="KSI52" s="12"/>
      <c r="KSJ52" s="12"/>
      <c r="KTA52" s="12"/>
      <c r="KTB52" s="12"/>
      <c r="KTS52" s="12"/>
      <c r="KTT52" s="12"/>
      <c r="KUK52" s="12"/>
      <c r="KUL52" s="12"/>
      <c r="KVC52" s="12"/>
      <c r="KVD52" s="12"/>
      <c r="KVU52" s="12"/>
      <c r="KVV52" s="12"/>
      <c r="KWM52" s="12"/>
      <c r="KWN52" s="12"/>
      <c r="KXE52" s="12"/>
      <c r="KXF52" s="12"/>
      <c r="KXW52" s="12"/>
      <c r="KXX52" s="12"/>
      <c r="KYO52" s="12"/>
      <c r="KYP52" s="12"/>
      <c r="KZG52" s="12"/>
      <c r="KZH52" s="12"/>
      <c r="KZY52" s="12"/>
      <c r="KZZ52" s="12"/>
      <c r="LAQ52" s="12"/>
      <c r="LAR52" s="12"/>
      <c r="LBI52" s="12"/>
      <c r="LBJ52" s="12"/>
      <c r="LCA52" s="12"/>
      <c r="LCB52" s="12"/>
      <c r="LCS52" s="12"/>
      <c r="LCT52" s="12"/>
      <c r="LDK52" s="12"/>
      <c r="LDL52" s="12"/>
      <c r="LEC52" s="12"/>
      <c r="LED52" s="12"/>
      <c r="LEU52" s="12"/>
      <c r="LEV52" s="12"/>
      <c r="LFM52" s="12"/>
      <c r="LFN52" s="12"/>
      <c r="LGE52" s="12"/>
      <c r="LGF52" s="12"/>
      <c r="LGW52" s="12"/>
      <c r="LGX52" s="12"/>
      <c r="LHO52" s="12"/>
      <c r="LHP52" s="12"/>
      <c r="LIG52" s="12"/>
      <c r="LIH52" s="12"/>
      <c r="LIY52" s="12"/>
      <c r="LIZ52" s="12"/>
      <c r="LJQ52" s="12"/>
      <c r="LJR52" s="12"/>
      <c r="LKI52" s="12"/>
      <c r="LKJ52" s="12"/>
      <c r="LLA52" s="12"/>
      <c r="LLB52" s="12"/>
      <c r="LLS52" s="12"/>
      <c r="LLT52" s="12"/>
      <c r="LMK52" s="12"/>
      <c r="LML52" s="12"/>
      <c r="LNC52" s="12"/>
      <c r="LND52" s="12"/>
      <c r="LNU52" s="12"/>
      <c r="LNV52" s="12"/>
      <c r="LOM52" s="12"/>
      <c r="LON52" s="12"/>
      <c r="LPE52" s="12"/>
      <c r="LPF52" s="12"/>
      <c r="LPW52" s="12"/>
      <c r="LPX52" s="12"/>
      <c r="LQO52" s="12"/>
      <c r="LQP52" s="12"/>
      <c r="LRG52" s="12"/>
      <c r="LRH52" s="12"/>
      <c r="LRY52" s="12"/>
      <c r="LRZ52" s="12"/>
      <c r="LSQ52" s="12"/>
      <c r="LSR52" s="12"/>
      <c r="LTI52" s="12"/>
      <c r="LTJ52" s="12"/>
      <c r="LUA52" s="12"/>
      <c r="LUB52" s="12"/>
      <c r="LUS52" s="12"/>
      <c r="LUT52" s="12"/>
      <c r="LVK52" s="12"/>
      <c r="LVL52" s="12"/>
      <c r="LWC52" s="12"/>
      <c r="LWD52" s="12"/>
      <c r="LWU52" s="12"/>
      <c r="LWV52" s="12"/>
      <c r="LXM52" s="12"/>
      <c r="LXN52" s="12"/>
      <c r="LYE52" s="12"/>
      <c r="LYF52" s="12"/>
      <c r="LYW52" s="12"/>
      <c r="LYX52" s="12"/>
      <c r="LZO52" s="12"/>
      <c r="LZP52" s="12"/>
      <c r="MAG52" s="12"/>
      <c r="MAH52" s="12"/>
      <c r="MAY52" s="12"/>
      <c r="MAZ52" s="12"/>
      <c r="MBQ52" s="12"/>
      <c r="MBR52" s="12"/>
      <c r="MCI52" s="12"/>
      <c r="MCJ52" s="12"/>
      <c r="MDA52" s="12"/>
      <c r="MDB52" s="12"/>
      <c r="MDS52" s="12"/>
      <c r="MDT52" s="12"/>
      <c r="MEK52" s="12"/>
      <c r="MEL52" s="12"/>
      <c r="MFC52" s="12"/>
      <c r="MFD52" s="12"/>
      <c r="MFU52" s="12"/>
      <c r="MFV52" s="12"/>
      <c r="MGM52" s="12"/>
      <c r="MGN52" s="12"/>
      <c r="MHE52" s="12"/>
      <c r="MHF52" s="12"/>
      <c r="MHW52" s="12"/>
      <c r="MHX52" s="12"/>
      <c r="MIO52" s="12"/>
      <c r="MIP52" s="12"/>
      <c r="MJG52" s="12"/>
      <c r="MJH52" s="12"/>
      <c r="MJY52" s="12"/>
      <c r="MJZ52" s="12"/>
      <c r="MKQ52" s="12"/>
      <c r="MKR52" s="12"/>
      <c r="MLI52" s="12"/>
      <c r="MLJ52" s="12"/>
      <c r="MMA52" s="12"/>
      <c r="MMB52" s="12"/>
      <c r="MMS52" s="12"/>
      <c r="MMT52" s="12"/>
      <c r="MNK52" s="12"/>
      <c r="MNL52" s="12"/>
      <c r="MOC52" s="12"/>
      <c r="MOD52" s="12"/>
      <c r="MOU52" s="12"/>
      <c r="MOV52" s="12"/>
      <c r="MPM52" s="12"/>
      <c r="MPN52" s="12"/>
      <c r="MQE52" s="12"/>
      <c r="MQF52" s="12"/>
      <c r="MQW52" s="12"/>
      <c r="MQX52" s="12"/>
      <c r="MRO52" s="12"/>
      <c r="MRP52" s="12"/>
      <c r="MSG52" s="12"/>
      <c r="MSH52" s="12"/>
      <c r="MSY52" s="12"/>
      <c r="MSZ52" s="12"/>
      <c r="MTQ52" s="12"/>
      <c r="MTR52" s="12"/>
      <c r="MUI52" s="12"/>
      <c r="MUJ52" s="12"/>
      <c r="MVA52" s="12"/>
      <c r="MVB52" s="12"/>
      <c r="MVS52" s="12"/>
      <c r="MVT52" s="12"/>
      <c r="MWK52" s="12"/>
      <c r="MWL52" s="12"/>
      <c r="MXC52" s="12"/>
      <c r="MXD52" s="12"/>
      <c r="MXU52" s="12"/>
      <c r="MXV52" s="12"/>
      <c r="MYM52" s="12"/>
      <c r="MYN52" s="12"/>
      <c r="MZE52" s="12"/>
      <c r="MZF52" s="12"/>
      <c r="MZW52" s="12"/>
      <c r="MZX52" s="12"/>
      <c r="NAO52" s="12"/>
      <c r="NAP52" s="12"/>
      <c r="NBG52" s="12"/>
      <c r="NBH52" s="12"/>
      <c r="NBY52" s="12"/>
      <c r="NBZ52" s="12"/>
      <c r="NCQ52" s="12"/>
      <c r="NCR52" s="12"/>
      <c r="NDI52" s="12"/>
      <c r="NDJ52" s="12"/>
      <c r="NEA52" s="12"/>
      <c r="NEB52" s="12"/>
      <c r="NES52" s="12"/>
      <c r="NET52" s="12"/>
      <c r="NFK52" s="12"/>
      <c r="NFL52" s="12"/>
      <c r="NGC52" s="12"/>
      <c r="NGD52" s="12"/>
      <c r="NGU52" s="12"/>
      <c r="NGV52" s="12"/>
      <c r="NHM52" s="12"/>
      <c r="NHN52" s="12"/>
      <c r="NIE52" s="12"/>
      <c r="NIF52" s="12"/>
      <c r="NIW52" s="12"/>
      <c r="NIX52" s="12"/>
      <c r="NJO52" s="12"/>
      <c r="NJP52" s="12"/>
      <c r="NKG52" s="12"/>
      <c r="NKH52" s="12"/>
      <c r="NKY52" s="12"/>
      <c r="NKZ52" s="12"/>
      <c r="NLQ52" s="12"/>
      <c r="NLR52" s="12"/>
      <c r="NMI52" s="12"/>
      <c r="NMJ52" s="12"/>
      <c r="NNA52" s="12"/>
      <c r="NNB52" s="12"/>
      <c r="NNS52" s="12"/>
      <c r="NNT52" s="12"/>
      <c r="NOK52" s="12"/>
      <c r="NOL52" s="12"/>
      <c r="NPC52" s="12"/>
      <c r="NPD52" s="12"/>
      <c r="NPU52" s="12"/>
      <c r="NPV52" s="12"/>
      <c r="NQM52" s="12"/>
      <c r="NQN52" s="12"/>
      <c r="NRE52" s="12"/>
      <c r="NRF52" s="12"/>
      <c r="NRW52" s="12"/>
      <c r="NRX52" s="12"/>
      <c r="NSO52" s="12"/>
      <c r="NSP52" s="12"/>
      <c r="NTG52" s="12"/>
      <c r="NTH52" s="12"/>
      <c r="NTY52" s="12"/>
      <c r="NTZ52" s="12"/>
      <c r="NUQ52" s="12"/>
      <c r="NUR52" s="12"/>
      <c r="NVI52" s="12"/>
      <c r="NVJ52" s="12"/>
      <c r="NWA52" s="12"/>
      <c r="NWB52" s="12"/>
      <c r="NWS52" s="12"/>
      <c r="NWT52" s="12"/>
      <c r="NXK52" s="12"/>
      <c r="NXL52" s="12"/>
      <c r="NYC52" s="12"/>
      <c r="NYD52" s="12"/>
      <c r="NYU52" s="12"/>
      <c r="NYV52" s="12"/>
      <c r="NZM52" s="12"/>
      <c r="NZN52" s="12"/>
      <c r="OAE52" s="12"/>
      <c r="OAF52" s="12"/>
      <c r="OAW52" s="12"/>
      <c r="OAX52" s="12"/>
      <c r="OBO52" s="12"/>
      <c r="OBP52" s="12"/>
      <c r="OCG52" s="12"/>
      <c r="OCH52" s="12"/>
      <c r="OCY52" s="12"/>
      <c r="OCZ52" s="12"/>
      <c r="ODQ52" s="12"/>
      <c r="ODR52" s="12"/>
      <c r="OEI52" s="12"/>
      <c r="OEJ52" s="12"/>
      <c r="OFA52" s="12"/>
      <c r="OFB52" s="12"/>
      <c r="OFS52" s="12"/>
      <c r="OFT52" s="12"/>
      <c r="OGK52" s="12"/>
      <c r="OGL52" s="12"/>
      <c r="OHC52" s="12"/>
      <c r="OHD52" s="12"/>
      <c r="OHU52" s="12"/>
      <c r="OHV52" s="12"/>
      <c r="OIM52" s="12"/>
      <c r="OIN52" s="12"/>
      <c r="OJE52" s="12"/>
      <c r="OJF52" s="12"/>
      <c r="OJW52" s="12"/>
      <c r="OJX52" s="12"/>
      <c r="OKO52" s="12"/>
      <c r="OKP52" s="12"/>
      <c r="OLG52" s="12"/>
      <c r="OLH52" s="12"/>
      <c r="OLY52" s="12"/>
      <c r="OLZ52" s="12"/>
      <c r="OMQ52" s="12"/>
      <c r="OMR52" s="12"/>
      <c r="ONI52" s="12"/>
      <c r="ONJ52" s="12"/>
      <c r="OOA52" s="12"/>
      <c r="OOB52" s="12"/>
      <c r="OOS52" s="12"/>
      <c r="OOT52" s="12"/>
      <c r="OPK52" s="12"/>
      <c r="OPL52" s="12"/>
      <c r="OQC52" s="12"/>
      <c r="OQD52" s="12"/>
      <c r="OQU52" s="12"/>
      <c r="OQV52" s="12"/>
      <c r="ORM52" s="12"/>
      <c r="ORN52" s="12"/>
      <c r="OSE52" s="12"/>
      <c r="OSF52" s="12"/>
      <c r="OSW52" s="12"/>
      <c r="OSX52" s="12"/>
      <c r="OTO52" s="12"/>
      <c r="OTP52" s="12"/>
      <c r="OUG52" s="12"/>
      <c r="OUH52" s="12"/>
      <c r="OUY52" s="12"/>
      <c r="OUZ52" s="12"/>
      <c r="OVQ52" s="12"/>
      <c r="OVR52" s="12"/>
      <c r="OWI52" s="12"/>
      <c r="OWJ52" s="12"/>
      <c r="OXA52" s="12"/>
      <c r="OXB52" s="12"/>
      <c r="OXS52" s="12"/>
      <c r="OXT52" s="12"/>
      <c r="OYK52" s="12"/>
      <c r="OYL52" s="12"/>
      <c r="OZC52" s="12"/>
      <c r="OZD52" s="12"/>
      <c r="OZU52" s="12"/>
      <c r="OZV52" s="12"/>
      <c r="PAM52" s="12"/>
      <c r="PAN52" s="12"/>
      <c r="PBE52" s="12"/>
      <c r="PBF52" s="12"/>
      <c r="PBW52" s="12"/>
      <c r="PBX52" s="12"/>
      <c r="PCO52" s="12"/>
      <c r="PCP52" s="12"/>
      <c r="PDG52" s="12"/>
      <c r="PDH52" s="12"/>
      <c r="PDY52" s="12"/>
      <c r="PDZ52" s="12"/>
      <c r="PEQ52" s="12"/>
      <c r="PER52" s="12"/>
      <c r="PFI52" s="12"/>
      <c r="PFJ52" s="12"/>
      <c r="PGA52" s="12"/>
      <c r="PGB52" s="12"/>
      <c r="PGS52" s="12"/>
      <c r="PGT52" s="12"/>
      <c r="PHK52" s="12"/>
      <c r="PHL52" s="12"/>
      <c r="PIC52" s="12"/>
      <c r="PID52" s="12"/>
      <c r="PIU52" s="12"/>
      <c r="PIV52" s="12"/>
      <c r="PJM52" s="12"/>
      <c r="PJN52" s="12"/>
      <c r="PKE52" s="12"/>
      <c r="PKF52" s="12"/>
      <c r="PKW52" s="12"/>
      <c r="PKX52" s="12"/>
      <c r="PLO52" s="12"/>
      <c r="PLP52" s="12"/>
      <c r="PMG52" s="12"/>
      <c r="PMH52" s="12"/>
      <c r="PMY52" s="12"/>
      <c r="PMZ52" s="12"/>
      <c r="PNQ52" s="12"/>
      <c r="PNR52" s="12"/>
      <c r="POI52" s="12"/>
      <c r="POJ52" s="12"/>
      <c r="PPA52" s="12"/>
      <c r="PPB52" s="12"/>
      <c r="PPS52" s="12"/>
      <c r="PPT52" s="12"/>
      <c r="PQK52" s="12"/>
      <c r="PQL52" s="12"/>
      <c r="PRC52" s="12"/>
      <c r="PRD52" s="12"/>
      <c r="PRU52" s="12"/>
      <c r="PRV52" s="12"/>
      <c r="PSM52" s="12"/>
      <c r="PSN52" s="12"/>
      <c r="PTE52" s="12"/>
      <c r="PTF52" s="12"/>
      <c r="PTW52" s="12"/>
      <c r="PTX52" s="12"/>
      <c r="PUO52" s="12"/>
      <c r="PUP52" s="12"/>
      <c r="PVG52" s="12"/>
      <c r="PVH52" s="12"/>
      <c r="PVY52" s="12"/>
      <c r="PVZ52" s="12"/>
      <c r="PWQ52" s="12"/>
      <c r="PWR52" s="12"/>
      <c r="PXI52" s="12"/>
      <c r="PXJ52" s="12"/>
      <c r="PYA52" s="12"/>
      <c r="PYB52" s="12"/>
      <c r="PYS52" s="12"/>
      <c r="PYT52" s="12"/>
      <c r="PZK52" s="12"/>
      <c r="PZL52" s="12"/>
      <c r="QAC52" s="12"/>
      <c r="QAD52" s="12"/>
      <c r="QAU52" s="12"/>
      <c r="QAV52" s="12"/>
      <c r="QBM52" s="12"/>
      <c r="QBN52" s="12"/>
      <c r="QCE52" s="12"/>
      <c r="QCF52" s="12"/>
      <c r="QCW52" s="12"/>
      <c r="QCX52" s="12"/>
      <c r="QDO52" s="12"/>
      <c r="QDP52" s="12"/>
      <c r="QEG52" s="12"/>
      <c r="QEH52" s="12"/>
      <c r="QEY52" s="12"/>
      <c r="QEZ52" s="12"/>
      <c r="QFQ52" s="12"/>
      <c r="QFR52" s="12"/>
      <c r="QGI52" s="12"/>
      <c r="QGJ52" s="12"/>
      <c r="QHA52" s="12"/>
      <c r="QHB52" s="12"/>
      <c r="QHS52" s="12"/>
      <c r="QHT52" s="12"/>
      <c r="QIK52" s="12"/>
      <c r="QIL52" s="12"/>
      <c r="QJC52" s="12"/>
      <c r="QJD52" s="12"/>
      <c r="QJU52" s="12"/>
      <c r="QJV52" s="12"/>
      <c r="QKM52" s="12"/>
      <c r="QKN52" s="12"/>
      <c r="QLE52" s="12"/>
      <c r="QLF52" s="12"/>
      <c r="QLW52" s="12"/>
      <c r="QLX52" s="12"/>
      <c r="QMO52" s="12"/>
      <c r="QMP52" s="12"/>
      <c r="QNG52" s="12"/>
      <c r="QNH52" s="12"/>
      <c r="QNY52" s="12"/>
      <c r="QNZ52" s="12"/>
      <c r="QOQ52" s="12"/>
      <c r="QOR52" s="12"/>
      <c r="QPI52" s="12"/>
      <c r="QPJ52" s="12"/>
      <c r="QQA52" s="12"/>
      <c r="QQB52" s="12"/>
      <c r="QQS52" s="12"/>
      <c r="QQT52" s="12"/>
      <c r="QRK52" s="12"/>
      <c r="QRL52" s="12"/>
      <c r="QSC52" s="12"/>
      <c r="QSD52" s="12"/>
      <c r="QSU52" s="12"/>
      <c r="QSV52" s="12"/>
      <c r="QTM52" s="12"/>
      <c r="QTN52" s="12"/>
      <c r="QUE52" s="12"/>
      <c r="QUF52" s="12"/>
      <c r="QUW52" s="12"/>
      <c r="QUX52" s="12"/>
      <c r="QVO52" s="12"/>
      <c r="QVP52" s="12"/>
      <c r="QWG52" s="12"/>
      <c r="QWH52" s="12"/>
      <c r="QWY52" s="12"/>
      <c r="QWZ52" s="12"/>
      <c r="QXQ52" s="12"/>
      <c r="QXR52" s="12"/>
      <c r="QYI52" s="12"/>
      <c r="QYJ52" s="12"/>
      <c r="QZA52" s="12"/>
      <c r="QZB52" s="12"/>
      <c r="QZS52" s="12"/>
      <c r="QZT52" s="12"/>
      <c r="RAK52" s="12"/>
      <c r="RAL52" s="12"/>
      <c r="RBC52" s="12"/>
      <c r="RBD52" s="12"/>
      <c r="RBU52" s="12"/>
      <c r="RBV52" s="12"/>
      <c r="RCM52" s="12"/>
      <c r="RCN52" s="12"/>
      <c r="RDE52" s="12"/>
      <c r="RDF52" s="12"/>
      <c r="RDW52" s="12"/>
      <c r="RDX52" s="12"/>
      <c r="REO52" s="12"/>
      <c r="REP52" s="12"/>
      <c r="RFG52" s="12"/>
      <c r="RFH52" s="12"/>
      <c r="RFY52" s="12"/>
      <c r="RFZ52" s="12"/>
      <c r="RGQ52" s="12"/>
      <c r="RGR52" s="12"/>
      <c r="RHI52" s="12"/>
      <c r="RHJ52" s="12"/>
      <c r="RIA52" s="12"/>
      <c r="RIB52" s="12"/>
      <c r="RIS52" s="12"/>
      <c r="RIT52" s="12"/>
      <c r="RJK52" s="12"/>
      <c r="RJL52" s="12"/>
      <c r="RKC52" s="12"/>
      <c r="RKD52" s="12"/>
      <c r="RKU52" s="12"/>
      <c r="RKV52" s="12"/>
      <c r="RLM52" s="12"/>
      <c r="RLN52" s="12"/>
      <c r="RME52" s="12"/>
      <c r="RMF52" s="12"/>
      <c r="RMW52" s="12"/>
      <c r="RMX52" s="12"/>
      <c r="RNO52" s="12"/>
      <c r="RNP52" s="12"/>
      <c r="ROG52" s="12"/>
      <c r="ROH52" s="12"/>
      <c r="ROY52" s="12"/>
      <c r="ROZ52" s="12"/>
      <c r="RPQ52" s="12"/>
      <c r="RPR52" s="12"/>
      <c r="RQI52" s="12"/>
      <c r="RQJ52" s="12"/>
      <c r="RRA52" s="12"/>
      <c r="RRB52" s="12"/>
      <c r="RRS52" s="12"/>
      <c r="RRT52" s="12"/>
      <c r="RSK52" s="12"/>
      <c r="RSL52" s="12"/>
      <c r="RTC52" s="12"/>
      <c r="RTD52" s="12"/>
      <c r="RTU52" s="12"/>
      <c r="RTV52" s="12"/>
      <c r="RUM52" s="12"/>
      <c r="RUN52" s="12"/>
      <c r="RVE52" s="12"/>
      <c r="RVF52" s="12"/>
      <c r="RVW52" s="12"/>
      <c r="RVX52" s="12"/>
      <c r="RWO52" s="12"/>
      <c r="RWP52" s="12"/>
      <c r="RXG52" s="12"/>
      <c r="RXH52" s="12"/>
      <c r="RXY52" s="12"/>
      <c r="RXZ52" s="12"/>
      <c r="RYQ52" s="12"/>
      <c r="RYR52" s="12"/>
      <c r="RZI52" s="12"/>
      <c r="RZJ52" s="12"/>
      <c r="SAA52" s="12"/>
      <c r="SAB52" s="12"/>
      <c r="SAS52" s="12"/>
      <c r="SAT52" s="12"/>
      <c r="SBK52" s="12"/>
      <c r="SBL52" s="12"/>
      <c r="SCC52" s="12"/>
      <c r="SCD52" s="12"/>
      <c r="SCU52" s="12"/>
      <c r="SCV52" s="12"/>
      <c r="SDM52" s="12"/>
      <c r="SDN52" s="12"/>
      <c r="SEE52" s="12"/>
      <c r="SEF52" s="12"/>
      <c r="SEW52" s="12"/>
      <c r="SEX52" s="12"/>
      <c r="SFO52" s="12"/>
      <c r="SFP52" s="12"/>
      <c r="SGG52" s="12"/>
      <c r="SGH52" s="12"/>
      <c r="SGY52" s="12"/>
      <c r="SGZ52" s="12"/>
      <c r="SHQ52" s="12"/>
      <c r="SHR52" s="12"/>
      <c r="SII52" s="12"/>
      <c r="SIJ52" s="12"/>
      <c r="SJA52" s="12"/>
      <c r="SJB52" s="12"/>
      <c r="SJS52" s="12"/>
      <c r="SJT52" s="12"/>
      <c r="SKK52" s="12"/>
      <c r="SKL52" s="12"/>
      <c r="SLC52" s="12"/>
      <c r="SLD52" s="12"/>
      <c r="SLU52" s="12"/>
      <c r="SLV52" s="12"/>
      <c r="SMM52" s="12"/>
      <c r="SMN52" s="12"/>
      <c r="SNE52" s="12"/>
      <c r="SNF52" s="12"/>
      <c r="SNW52" s="12"/>
      <c r="SNX52" s="12"/>
      <c r="SOO52" s="12"/>
      <c r="SOP52" s="12"/>
      <c r="SPG52" s="12"/>
      <c r="SPH52" s="12"/>
      <c r="SPY52" s="12"/>
      <c r="SPZ52" s="12"/>
      <c r="SQQ52" s="12"/>
      <c r="SQR52" s="12"/>
      <c r="SRI52" s="12"/>
      <c r="SRJ52" s="12"/>
      <c r="SSA52" s="12"/>
      <c r="SSB52" s="12"/>
      <c r="SSS52" s="12"/>
      <c r="SST52" s="12"/>
      <c r="STK52" s="12"/>
      <c r="STL52" s="12"/>
      <c r="SUC52" s="12"/>
      <c r="SUD52" s="12"/>
      <c r="SUU52" s="12"/>
      <c r="SUV52" s="12"/>
      <c r="SVM52" s="12"/>
      <c r="SVN52" s="12"/>
      <c r="SWE52" s="12"/>
      <c r="SWF52" s="12"/>
      <c r="SWW52" s="12"/>
      <c r="SWX52" s="12"/>
      <c r="SXO52" s="12"/>
      <c r="SXP52" s="12"/>
      <c r="SYG52" s="12"/>
      <c r="SYH52" s="12"/>
      <c r="SYY52" s="12"/>
      <c r="SYZ52" s="12"/>
      <c r="SZQ52" s="12"/>
      <c r="SZR52" s="12"/>
      <c r="TAI52" s="12"/>
      <c r="TAJ52" s="12"/>
      <c r="TBA52" s="12"/>
      <c r="TBB52" s="12"/>
      <c r="TBS52" s="12"/>
      <c r="TBT52" s="12"/>
      <c r="TCK52" s="12"/>
      <c r="TCL52" s="12"/>
      <c r="TDC52" s="12"/>
      <c r="TDD52" s="12"/>
      <c r="TDU52" s="12"/>
      <c r="TDV52" s="12"/>
      <c r="TEM52" s="12"/>
      <c r="TEN52" s="12"/>
      <c r="TFE52" s="12"/>
      <c r="TFF52" s="12"/>
      <c r="TFW52" s="12"/>
      <c r="TFX52" s="12"/>
      <c r="TGO52" s="12"/>
      <c r="TGP52" s="12"/>
      <c r="THG52" s="12"/>
      <c r="THH52" s="12"/>
      <c r="THY52" s="12"/>
      <c r="THZ52" s="12"/>
      <c r="TIQ52" s="12"/>
      <c r="TIR52" s="12"/>
      <c r="TJI52" s="12"/>
      <c r="TJJ52" s="12"/>
      <c r="TKA52" s="12"/>
      <c r="TKB52" s="12"/>
      <c r="TKS52" s="12"/>
      <c r="TKT52" s="12"/>
      <c r="TLK52" s="12"/>
      <c r="TLL52" s="12"/>
      <c r="TMC52" s="12"/>
      <c r="TMD52" s="12"/>
      <c r="TMU52" s="12"/>
      <c r="TMV52" s="12"/>
      <c r="TNM52" s="12"/>
      <c r="TNN52" s="12"/>
      <c r="TOE52" s="12"/>
      <c r="TOF52" s="12"/>
      <c r="TOW52" s="12"/>
      <c r="TOX52" s="12"/>
      <c r="TPO52" s="12"/>
      <c r="TPP52" s="12"/>
      <c r="TQG52" s="12"/>
      <c r="TQH52" s="12"/>
      <c r="TQY52" s="12"/>
      <c r="TQZ52" s="12"/>
      <c r="TRQ52" s="12"/>
      <c r="TRR52" s="12"/>
      <c r="TSI52" s="12"/>
      <c r="TSJ52" s="12"/>
      <c r="TTA52" s="12"/>
      <c r="TTB52" s="12"/>
      <c r="TTS52" s="12"/>
      <c r="TTT52" s="12"/>
      <c r="TUK52" s="12"/>
      <c r="TUL52" s="12"/>
      <c r="TVC52" s="12"/>
      <c r="TVD52" s="12"/>
      <c r="TVU52" s="12"/>
      <c r="TVV52" s="12"/>
      <c r="TWM52" s="12"/>
      <c r="TWN52" s="12"/>
      <c r="TXE52" s="12"/>
      <c r="TXF52" s="12"/>
      <c r="TXW52" s="12"/>
      <c r="TXX52" s="12"/>
      <c r="TYO52" s="12"/>
      <c r="TYP52" s="12"/>
      <c r="TZG52" s="12"/>
      <c r="TZH52" s="12"/>
      <c r="TZY52" s="12"/>
      <c r="TZZ52" s="12"/>
      <c r="UAQ52" s="12"/>
      <c r="UAR52" s="12"/>
      <c r="UBI52" s="12"/>
      <c r="UBJ52" s="12"/>
      <c r="UCA52" s="12"/>
      <c r="UCB52" s="12"/>
      <c r="UCS52" s="12"/>
      <c r="UCT52" s="12"/>
      <c r="UDK52" s="12"/>
      <c r="UDL52" s="12"/>
      <c r="UEC52" s="12"/>
      <c r="UED52" s="12"/>
      <c r="UEU52" s="12"/>
      <c r="UEV52" s="12"/>
      <c r="UFM52" s="12"/>
      <c r="UFN52" s="12"/>
      <c r="UGE52" s="12"/>
      <c r="UGF52" s="12"/>
      <c r="UGW52" s="12"/>
      <c r="UGX52" s="12"/>
      <c r="UHO52" s="12"/>
      <c r="UHP52" s="12"/>
      <c r="UIG52" s="12"/>
      <c r="UIH52" s="12"/>
      <c r="UIY52" s="12"/>
      <c r="UIZ52" s="12"/>
      <c r="UJQ52" s="12"/>
      <c r="UJR52" s="12"/>
      <c r="UKI52" s="12"/>
      <c r="UKJ52" s="12"/>
      <c r="ULA52" s="12"/>
      <c r="ULB52" s="12"/>
      <c r="ULS52" s="12"/>
      <c r="ULT52" s="12"/>
      <c r="UMK52" s="12"/>
      <c r="UML52" s="12"/>
      <c r="UNC52" s="12"/>
      <c r="UND52" s="12"/>
      <c r="UNU52" s="12"/>
      <c r="UNV52" s="12"/>
      <c r="UOM52" s="12"/>
      <c r="UON52" s="12"/>
      <c r="UPE52" s="12"/>
      <c r="UPF52" s="12"/>
      <c r="UPW52" s="12"/>
      <c r="UPX52" s="12"/>
      <c r="UQO52" s="12"/>
      <c r="UQP52" s="12"/>
      <c r="URG52" s="12"/>
      <c r="URH52" s="12"/>
      <c r="URY52" s="12"/>
      <c r="URZ52" s="12"/>
      <c r="USQ52" s="12"/>
      <c r="USR52" s="12"/>
      <c r="UTI52" s="12"/>
      <c r="UTJ52" s="12"/>
      <c r="UUA52" s="12"/>
      <c r="UUB52" s="12"/>
      <c r="UUS52" s="12"/>
      <c r="UUT52" s="12"/>
      <c r="UVK52" s="12"/>
      <c r="UVL52" s="12"/>
      <c r="UWC52" s="12"/>
      <c r="UWD52" s="12"/>
      <c r="UWU52" s="12"/>
      <c r="UWV52" s="12"/>
      <c r="UXM52" s="12"/>
      <c r="UXN52" s="12"/>
      <c r="UYE52" s="12"/>
      <c r="UYF52" s="12"/>
      <c r="UYW52" s="12"/>
      <c r="UYX52" s="12"/>
      <c r="UZO52" s="12"/>
      <c r="UZP52" s="12"/>
      <c r="VAG52" s="12"/>
      <c r="VAH52" s="12"/>
      <c r="VAY52" s="12"/>
      <c r="VAZ52" s="12"/>
      <c r="VBQ52" s="12"/>
      <c r="VBR52" s="12"/>
      <c r="VCI52" s="12"/>
      <c r="VCJ52" s="12"/>
      <c r="VDA52" s="12"/>
      <c r="VDB52" s="12"/>
      <c r="VDS52" s="12"/>
      <c r="VDT52" s="12"/>
      <c r="VEK52" s="12"/>
      <c r="VEL52" s="12"/>
      <c r="VFC52" s="12"/>
      <c r="VFD52" s="12"/>
      <c r="VFU52" s="12"/>
      <c r="VFV52" s="12"/>
      <c r="VGM52" s="12"/>
      <c r="VGN52" s="12"/>
      <c r="VHE52" s="12"/>
      <c r="VHF52" s="12"/>
      <c r="VHW52" s="12"/>
      <c r="VHX52" s="12"/>
      <c r="VIO52" s="12"/>
      <c r="VIP52" s="12"/>
      <c r="VJG52" s="12"/>
      <c r="VJH52" s="12"/>
      <c r="VJY52" s="12"/>
      <c r="VJZ52" s="12"/>
      <c r="VKQ52" s="12"/>
      <c r="VKR52" s="12"/>
      <c r="VLI52" s="12"/>
      <c r="VLJ52" s="12"/>
      <c r="VMA52" s="12"/>
      <c r="VMB52" s="12"/>
      <c r="VMS52" s="12"/>
      <c r="VMT52" s="12"/>
      <c r="VNK52" s="12"/>
      <c r="VNL52" s="12"/>
      <c r="VOC52" s="12"/>
      <c r="VOD52" s="12"/>
      <c r="VOU52" s="12"/>
      <c r="VOV52" s="12"/>
      <c r="VPM52" s="12"/>
      <c r="VPN52" s="12"/>
      <c r="VQE52" s="12"/>
      <c r="VQF52" s="12"/>
      <c r="VQW52" s="12"/>
      <c r="VQX52" s="12"/>
      <c r="VRO52" s="12"/>
      <c r="VRP52" s="12"/>
      <c r="VSG52" s="12"/>
      <c r="VSH52" s="12"/>
      <c r="VSY52" s="12"/>
      <c r="VSZ52" s="12"/>
      <c r="VTQ52" s="12"/>
      <c r="VTR52" s="12"/>
      <c r="VUI52" s="12"/>
      <c r="VUJ52" s="12"/>
      <c r="VVA52" s="12"/>
      <c r="VVB52" s="12"/>
      <c r="VVS52" s="12"/>
      <c r="VVT52" s="12"/>
      <c r="VWK52" s="12"/>
      <c r="VWL52" s="12"/>
      <c r="VXC52" s="12"/>
      <c r="VXD52" s="12"/>
      <c r="VXU52" s="12"/>
      <c r="VXV52" s="12"/>
      <c r="VYM52" s="12"/>
      <c r="VYN52" s="12"/>
      <c r="VZE52" s="12"/>
      <c r="VZF52" s="12"/>
      <c r="VZW52" s="12"/>
      <c r="VZX52" s="12"/>
      <c r="WAO52" s="12"/>
      <c r="WAP52" s="12"/>
      <c r="WBG52" s="12"/>
      <c r="WBH52" s="12"/>
      <c r="WBY52" s="12"/>
      <c r="WBZ52" s="12"/>
      <c r="WCQ52" s="12"/>
      <c r="WCR52" s="12"/>
      <c r="WDI52" s="12"/>
      <c r="WDJ52" s="12"/>
      <c r="WEA52" s="12"/>
      <c r="WEB52" s="12"/>
      <c r="WES52" s="12"/>
      <c r="WET52" s="12"/>
      <c r="WFK52" s="12"/>
      <c r="WFL52" s="12"/>
      <c r="WGC52" s="12"/>
      <c r="WGD52" s="12"/>
      <c r="WGU52" s="12"/>
      <c r="WGV52" s="12"/>
      <c r="WHM52" s="12"/>
      <c r="WHN52" s="12"/>
      <c r="WIE52" s="12"/>
      <c r="WIF52" s="12"/>
      <c r="WIW52" s="12"/>
      <c r="WIX52" s="12"/>
      <c r="WJO52" s="12"/>
      <c r="WJP52" s="12"/>
      <c r="WKG52" s="12"/>
      <c r="WKH52" s="12"/>
      <c r="WKY52" s="12"/>
      <c r="WKZ52" s="12"/>
      <c r="WLQ52" s="12"/>
      <c r="WLR52" s="12"/>
      <c r="WMI52" s="12"/>
      <c r="WMJ52" s="12"/>
      <c r="WNA52" s="12"/>
      <c r="WNB52" s="12"/>
      <c r="WNS52" s="12"/>
      <c r="WNT52" s="12"/>
      <c r="WOK52" s="12"/>
      <c r="WOL52" s="12"/>
      <c r="WPC52" s="12"/>
      <c r="WPD52" s="12"/>
      <c r="WPU52" s="12"/>
      <c r="WPV52" s="12"/>
      <c r="WQM52" s="12"/>
      <c r="WQN52" s="12"/>
      <c r="WRE52" s="12"/>
      <c r="WRF52" s="12"/>
      <c r="WRW52" s="12"/>
      <c r="WRX52" s="12"/>
      <c r="WSO52" s="12"/>
      <c r="WSP52" s="12"/>
      <c r="WTG52" s="12"/>
      <c r="WTH52" s="12"/>
      <c r="WTY52" s="12"/>
      <c r="WTZ52" s="12"/>
      <c r="WUQ52" s="12"/>
      <c r="WUR52" s="12"/>
      <c r="WVI52" s="12"/>
      <c r="WVJ52" s="12"/>
      <c r="WWA52" s="12"/>
      <c r="WWB52" s="12"/>
      <c r="WWS52" s="12"/>
      <c r="WWT52" s="12"/>
      <c r="WXK52" s="12"/>
      <c r="WXL52" s="12"/>
      <c r="WYC52" s="12"/>
      <c r="WYD52" s="12"/>
      <c r="WYU52" s="12"/>
      <c r="WYV52" s="12"/>
      <c r="WZM52" s="12"/>
      <c r="WZN52" s="12"/>
      <c r="XAE52" s="12"/>
      <c r="XAF52" s="12"/>
      <c r="XAW52" s="12"/>
      <c r="XAX52" s="12"/>
      <c r="XBO52" s="12"/>
      <c r="XBP52" s="12"/>
      <c r="XCG52" s="12"/>
      <c r="XCH52" s="12"/>
      <c r="XCY52" s="12"/>
      <c r="XCZ52" s="12"/>
      <c r="XDQ52" s="12"/>
      <c r="XDR52" s="12"/>
      <c r="XEI52" s="12"/>
      <c r="XEJ52" s="12"/>
      <c r="XFA52" s="12"/>
      <c r="XFB52" s="12"/>
    </row>
    <row r="53" spans="1:1010 1027:2036 2053:3062 3079:4088 4105:5114 5131:6140 6157:7166 7183:8192 8209:9200 9217:10226 10243:11252 11269:12278 12295:13304 13321:14330 14347:15356 15373:16382" x14ac:dyDescent="0.35">
      <c r="A53" s="181" t="str">
        <f>'Income - GAAP'!A53</f>
        <v xml:space="preserve">    + Discontinued Operations</v>
      </c>
      <c r="B53" s="13" t="str">
        <f>'Income - GAAP'!B53</f>
        <v>IS_DISCONTINUED_OPERATIONS</v>
      </c>
      <c r="C53" s="77">
        <f>IF('Income - GAAP'!C53="",0,'Income - GAAP'!C53)/'Income - GAAP'!C$9</f>
        <v>0</v>
      </c>
      <c r="D53" s="77">
        <f>IF('Income - GAAP'!D53="",0,'Income - GAAP'!D53)/'Income - GAAP'!D$9</f>
        <v>0</v>
      </c>
      <c r="E53" s="77">
        <f>IF('Income - GAAP'!E53="",0,'Income - GAAP'!E53)/'Income - GAAP'!E$9</f>
        <v>0</v>
      </c>
      <c r="F53" s="77">
        <f>IF('Income - GAAP'!F53="",0,'Income - GAAP'!F53)/'Income - GAAP'!F$9</f>
        <v>0</v>
      </c>
      <c r="G53" s="77">
        <f>IF('Income - GAAP'!G53="",0,'Income - GAAP'!G53)/'Income - GAAP'!G$9</f>
        <v>0</v>
      </c>
      <c r="H53" s="77">
        <f>IF('Income - GAAP'!H53="",0,'Income - GAAP'!H53)/'Income - GAAP'!H$9</f>
        <v>0</v>
      </c>
      <c r="I53" s="77">
        <f>IF('Income - GAAP'!I53="",0,'Income - GAAP'!I53)/'Income - GAAP'!I$9</f>
        <v>0</v>
      </c>
      <c r="J53" s="77">
        <f>IF('Income - GAAP'!J53="",0,'Income - GAAP'!J53)/'Income - GAAP'!J$9</f>
        <v>0</v>
      </c>
      <c r="K53" s="77">
        <f>IF('Income - GAAP'!K53="",0,'Income - GAAP'!K53)/'Income - GAAP'!K$9</f>
        <v>0</v>
      </c>
      <c r="L53" s="77">
        <f>IF('Income - GAAP'!L53="",0,'Income - GAAP'!L53)/'Income - GAAP'!L$9</f>
        <v>0</v>
      </c>
      <c r="M53" s="108"/>
      <c r="N53" s="108"/>
      <c r="O53" s="108"/>
      <c r="P53" s="108"/>
      <c r="Q53" s="108"/>
      <c r="R53" s="108"/>
      <c r="S53" s="37"/>
      <c r="T53" s="37"/>
      <c r="U53" s="37"/>
      <c r="V53" s="37"/>
      <c r="W53" s="37"/>
      <c r="X53" s="37"/>
      <c r="Y53" s="37"/>
      <c r="Z53" s="37"/>
      <c r="AA53" s="37"/>
      <c r="AB53" s="37"/>
      <c r="AC53" s="37"/>
      <c r="AD53" s="37"/>
      <c r="AE53" s="37"/>
      <c r="AF53" s="37"/>
      <c r="AG53" s="37"/>
      <c r="AH53" s="37"/>
      <c r="AI53" s="37"/>
      <c r="AJ53" s="37"/>
      <c r="AK53" s="37"/>
    </row>
    <row r="54" spans="1:1010 1027:2036 2053:3062 3079:4088 4105:5114 5131:6140 6157:7166 7183:8192 8209:9200 9217:10226 10243:11252 11269:12278 12295:13304 13321:14330 14347:15356 15373:16382" x14ac:dyDescent="0.35">
      <c r="A54" s="181" t="str">
        <f>'Income - GAAP'!A54</f>
        <v xml:space="preserve">    + XO &amp; Accounting Changes</v>
      </c>
      <c r="B54" s="13" t="str">
        <f>'Income - GAAP'!B54</f>
        <v>IS_EXTRAORD_ITEMS_&amp;_ACCTG_CHNG</v>
      </c>
      <c r="C54" s="77">
        <f>IF('Income - GAAP'!C54="",0,'Income - GAAP'!C54)/'Income - GAAP'!C$9</f>
        <v>0</v>
      </c>
      <c r="D54" s="77">
        <f>IF('Income - GAAP'!D54="",0,'Income - GAAP'!D54)/'Income - GAAP'!D$9</f>
        <v>0</v>
      </c>
      <c r="E54" s="77">
        <f>IF('Income - GAAP'!E54="",0,'Income - GAAP'!E54)/'Income - GAAP'!E$9</f>
        <v>0</v>
      </c>
      <c r="F54" s="77">
        <f>IF('Income - GAAP'!F54="",0,'Income - GAAP'!F54)/'Income - GAAP'!F$9</f>
        <v>0</v>
      </c>
      <c r="G54" s="77">
        <f>IF('Income - GAAP'!G54="",0,'Income - GAAP'!G54)/'Income - GAAP'!G$9</f>
        <v>0</v>
      </c>
      <c r="H54" s="77">
        <f>IF('Income - GAAP'!H54="",0,'Income - GAAP'!H54)/'Income - GAAP'!H$9</f>
        <v>0</v>
      </c>
      <c r="I54" s="77">
        <f>IF('Income - GAAP'!I54="",0,'Income - GAAP'!I54)/'Income - GAAP'!I$9</f>
        <v>0</v>
      </c>
      <c r="J54" s="77">
        <f>IF('Income - GAAP'!J54="",0,'Income - GAAP'!J54)/'Income - GAAP'!J$9</f>
        <v>0</v>
      </c>
      <c r="K54" s="77">
        <f>IF('Income - GAAP'!K54="",0,'Income - GAAP'!K54)/'Income - GAAP'!K$9</f>
        <v>0</v>
      </c>
      <c r="L54" s="77">
        <f>IF('Income - GAAP'!L54="",0,'Income - GAAP'!L54)/'Income - GAAP'!L$9</f>
        <v>0</v>
      </c>
      <c r="M54" s="108"/>
      <c r="N54" s="108"/>
      <c r="O54" s="108"/>
      <c r="P54" s="108"/>
      <c r="Q54" s="108"/>
      <c r="R54" s="108"/>
      <c r="S54" s="37"/>
      <c r="T54" s="37"/>
      <c r="U54" s="37"/>
      <c r="V54" s="37"/>
      <c r="W54" s="37"/>
      <c r="X54" s="37"/>
      <c r="Y54" s="37"/>
      <c r="Z54" s="37"/>
      <c r="AA54" s="37"/>
      <c r="AB54" s="37"/>
      <c r="AC54" s="37"/>
      <c r="AD54" s="37"/>
      <c r="AE54" s="37"/>
      <c r="AF54" s="37"/>
      <c r="AG54" s="37"/>
      <c r="AH54" s="37"/>
      <c r="AI54" s="37"/>
      <c r="AJ54" s="37"/>
      <c r="AK54" s="37"/>
    </row>
    <row r="55" spans="1:1010 1027:2036 2053:3062 3079:4088 4105:5114 5131:6140 6157:7166 7183:8192 8209:9200 9217:10226 10243:11252 11269:12278 12295:13304 13321:14330 14347:15356 15373:16382" x14ac:dyDescent="0.35">
      <c r="A55" s="23" t="str">
        <f>'Income - GAAP'!A55</f>
        <v>check</v>
      </c>
      <c r="B55" s="23"/>
      <c r="C55" s="79"/>
      <c r="D55" s="79"/>
      <c r="E55" s="79"/>
      <c r="F55" s="79"/>
      <c r="G55" s="79"/>
      <c r="H55" s="79"/>
      <c r="I55" s="79"/>
      <c r="J55" s="79"/>
      <c r="K55" s="79"/>
      <c r="L55" s="79"/>
      <c r="M55" s="127"/>
      <c r="N55" s="127"/>
      <c r="O55" s="127"/>
      <c r="P55" s="127"/>
      <c r="Q55" s="127"/>
      <c r="R55" s="127"/>
      <c r="S55" s="37"/>
      <c r="T55" s="37"/>
      <c r="U55" s="37"/>
      <c r="V55" s="37"/>
      <c r="W55" s="37"/>
      <c r="X55" s="37"/>
      <c r="Y55" s="37"/>
      <c r="Z55" s="37"/>
      <c r="AA55" s="37"/>
      <c r="AB55" s="37"/>
      <c r="AC55" s="37"/>
      <c r="AD55" s="37"/>
      <c r="AE55" s="37"/>
      <c r="AF55" s="37"/>
      <c r="AG55" s="37"/>
      <c r="AH55" s="37"/>
      <c r="AI55" s="37"/>
      <c r="AJ55" s="37"/>
      <c r="AK55" s="37"/>
    </row>
    <row r="56" spans="1:1010 1027:2036 2053:3062 3079:4088 4105:5114 5131:6140 6157:7166 7183:8192 8209:9200 9217:10226 10243:11252 11269:12278 12295:13304 13321:14330 14347:15356 15373:16382" x14ac:dyDescent="0.35">
      <c r="A56" s="15" t="str">
        <f>'Income - GAAP'!A56</f>
        <v>Income (Loss) Incl. MI</v>
      </c>
      <c r="B56" s="15" t="str">
        <f>'Income - GAAP'!B56</f>
        <v>NI_INCLUDING_MINORITY_INT_RATIO</v>
      </c>
      <c r="C56" s="85">
        <f>IF('Income - GAAP'!C56="",0,'Income - GAAP'!C56)/'Income - GAAP'!C$9</f>
        <v>3.9245871989558707E-2</v>
      </c>
      <c r="D56" s="85">
        <f>IF('Income - GAAP'!D56="",0,'Income - GAAP'!D56)/'Income - GAAP'!D$9</f>
        <v>4.4748400050194502E-2</v>
      </c>
      <c r="E56" s="85">
        <f>IF('Income - GAAP'!E56="",0,'Income - GAAP'!E56)/'Income - GAAP'!E$9</f>
        <v>3.7021754411590183E-2</v>
      </c>
      <c r="F56" s="85">
        <f>IF('Income - GAAP'!F56="",0,'Income - GAAP'!F56)/'Income - GAAP'!F$9</f>
        <v>4.8910987407447442E-3</v>
      </c>
      <c r="G56" s="85">
        <f>IF('Income - GAAP'!G56="",0,'Income - GAAP'!G56)/'Income - GAAP'!G$9</f>
        <v>8.1376977071448434E-2</v>
      </c>
      <c r="H56" s="85">
        <f>IF('Income - GAAP'!H56="",0,'Income - GAAP'!H56)/'Income - GAAP'!H$9</f>
        <v>7.4997445591090228E-2</v>
      </c>
      <c r="I56" s="85">
        <f>IF('Income - GAAP'!I56="",0,'Income - GAAP'!I56)/'Income - GAAP'!I$9</f>
        <v>8.4942711124200918E-2</v>
      </c>
      <c r="J56" s="85">
        <f>IF('Income - GAAP'!J56="",0,'Income - GAAP'!J56)/'Income - GAAP'!J$9</f>
        <v>0.10737385845087558</v>
      </c>
      <c r="K56" s="85">
        <f>IF('Income - GAAP'!K56="",0,'Income - GAAP'!K56)/'Income - GAAP'!K$9</f>
        <v>0.10914155440687628</v>
      </c>
      <c r="L56" s="85">
        <f>IF('Income - GAAP'!L56="",0,'Income - GAAP'!L56)/'Income - GAAP'!L$9</f>
        <v>0.1094847775175644</v>
      </c>
      <c r="M56" s="128"/>
      <c r="N56" s="128"/>
      <c r="O56" s="128"/>
      <c r="P56" s="128"/>
      <c r="Q56" s="128"/>
      <c r="R56" s="128"/>
      <c r="S56" s="37"/>
      <c r="T56" s="37"/>
      <c r="U56" s="37"/>
      <c r="V56" s="37"/>
      <c r="W56" s="37"/>
      <c r="X56" s="37"/>
      <c r="Y56" s="37"/>
      <c r="Z56" s="37"/>
      <c r="AA56" s="37"/>
      <c r="AB56" s="37"/>
      <c r="AC56" s="37"/>
      <c r="AD56" s="37"/>
      <c r="AE56" s="37"/>
      <c r="AF56" s="37"/>
      <c r="AG56" s="37"/>
      <c r="AH56" s="37"/>
      <c r="AI56" s="37"/>
      <c r="AJ56" s="37"/>
      <c r="AK56" s="37"/>
    </row>
    <row r="57" spans="1:1010 1027:2036 2053:3062 3079:4088 4105:5114 5131:6140 6157:7166 7183:8192 8209:9200 9217:10226 10243:11252 11269:12278 12295:13304 13321:14330 14347:15356 15373:16382" s="11" customFormat="1" x14ac:dyDescent="0.35">
      <c r="A57" s="183" t="str">
        <f>'Income - GAAP'!A57</f>
        <v xml:space="preserve">  - Minority Interest</v>
      </c>
      <c r="B57" s="75" t="str">
        <f>'Income - GAAP'!B57</f>
        <v>MIN_NONCONTROL_INTEREST_CREDITS</v>
      </c>
      <c r="C57" s="76">
        <f>IF('Income - GAAP'!C57="",0,'Income - GAAP'!C57)/'Income - GAAP'!C$9</f>
        <v>0</v>
      </c>
      <c r="D57" s="76">
        <f>IF('Income - GAAP'!D57="",0,'Income - GAAP'!D57)/'Income - GAAP'!D$9</f>
        <v>0</v>
      </c>
      <c r="E57" s="76">
        <f>IF('Income - GAAP'!E57="",0,'Income - GAAP'!E57)/'Income - GAAP'!E$9</f>
        <v>0</v>
      </c>
      <c r="F57" s="76">
        <f>IF('Income - GAAP'!F57="",0,'Income - GAAP'!F57)/'Income - GAAP'!F$9</f>
        <v>0</v>
      </c>
      <c r="G57" s="76">
        <f>IF('Income - GAAP'!G57="",0,'Income - GAAP'!G57)/'Income - GAAP'!G$9</f>
        <v>0</v>
      </c>
      <c r="H57" s="76">
        <f>IF('Income - GAAP'!H57="",0,'Income - GAAP'!H57)/'Income - GAAP'!H$9</f>
        <v>0</v>
      </c>
      <c r="I57" s="76">
        <f>IF('Income - GAAP'!I57="",0,'Income - GAAP'!I57)/'Income - GAAP'!I$9</f>
        <v>0</v>
      </c>
      <c r="J57" s="76">
        <f>IF('Income - GAAP'!J57="",0,'Income - GAAP'!J57)/'Income - GAAP'!J$9</f>
        <v>0</v>
      </c>
      <c r="K57" s="76">
        <f>IF('Income - GAAP'!K57="",0,'Income - GAAP'!K57)/'Income - GAAP'!K$9</f>
        <v>0</v>
      </c>
      <c r="L57" s="76">
        <f>IF('Income - GAAP'!L57="",0,'Income - GAAP'!L57)/'Income - GAAP'!L$9</f>
        <v>0</v>
      </c>
      <c r="M57" s="108"/>
      <c r="N57" s="108"/>
      <c r="O57" s="108"/>
      <c r="P57" s="108"/>
      <c r="Q57" s="108"/>
      <c r="R57" s="108"/>
      <c r="S57" s="109"/>
      <c r="T57" s="109"/>
      <c r="U57" s="108"/>
      <c r="V57" s="108"/>
      <c r="W57" s="108"/>
      <c r="X57" s="108"/>
      <c r="Y57" s="108"/>
      <c r="Z57" s="108"/>
      <c r="AA57" s="108"/>
      <c r="AB57" s="108"/>
      <c r="AC57" s="108"/>
      <c r="AD57" s="108"/>
      <c r="AE57" s="108"/>
      <c r="AF57" s="108"/>
      <c r="AG57" s="108"/>
      <c r="AH57" s="108"/>
      <c r="AI57" s="108"/>
      <c r="AJ57" s="108"/>
      <c r="AK57" s="109"/>
      <c r="AL57" s="12"/>
      <c r="BC57" s="12"/>
      <c r="BD57" s="12"/>
      <c r="BU57" s="12"/>
      <c r="BV57" s="12"/>
      <c r="CM57" s="12"/>
      <c r="CN57" s="12"/>
      <c r="DE57" s="12"/>
      <c r="DF57" s="12"/>
      <c r="DW57" s="12"/>
      <c r="DX57" s="12"/>
      <c r="EO57" s="12"/>
      <c r="EP57" s="12"/>
      <c r="FG57" s="12"/>
      <c r="FH57" s="12"/>
      <c r="FY57" s="12"/>
      <c r="FZ57" s="12"/>
      <c r="GQ57" s="12"/>
      <c r="GR57" s="12"/>
      <c r="HI57" s="12"/>
      <c r="HJ57" s="12"/>
      <c r="IA57" s="12"/>
      <c r="IB57" s="12"/>
      <c r="IS57" s="12"/>
      <c r="IT57" s="12"/>
      <c r="JK57" s="12"/>
      <c r="JL57" s="12"/>
      <c r="KC57" s="12"/>
      <c r="KD57" s="12"/>
      <c r="KU57" s="12"/>
      <c r="KV57" s="12"/>
      <c r="LM57" s="12"/>
      <c r="LN57" s="12"/>
      <c r="ME57" s="12"/>
      <c r="MF57" s="12"/>
      <c r="MW57" s="12"/>
      <c r="MX57" s="12"/>
      <c r="NO57" s="12"/>
      <c r="NP57" s="12"/>
      <c r="OG57" s="12"/>
      <c r="OH57" s="12"/>
      <c r="OY57" s="12"/>
      <c r="OZ57" s="12"/>
      <c r="PQ57" s="12"/>
      <c r="PR57" s="12"/>
      <c r="QI57" s="12"/>
      <c r="QJ57" s="12"/>
      <c r="RA57" s="12"/>
      <c r="RB57" s="12"/>
      <c r="RS57" s="12"/>
      <c r="RT57" s="12"/>
      <c r="SK57" s="12"/>
      <c r="SL57" s="12"/>
      <c r="TC57" s="12"/>
      <c r="TD57" s="12"/>
      <c r="TU57" s="12"/>
      <c r="TV57" s="12"/>
      <c r="UM57" s="12"/>
      <c r="UN57" s="12"/>
      <c r="VE57" s="12"/>
      <c r="VF57" s="12"/>
      <c r="VW57" s="12"/>
      <c r="VX57" s="12"/>
      <c r="WO57" s="12"/>
      <c r="WP57" s="12"/>
      <c r="XG57" s="12"/>
      <c r="XH57" s="12"/>
      <c r="XY57" s="12"/>
      <c r="XZ57" s="12"/>
      <c r="YQ57" s="12"/>
      <c r="YR57" s="12"/>
      <c r="ZI57" s="12"/>
      <c r="ZJ57" s="12"/>
      <c r="AAA57" s="12"/>
      <c r="AAB57" s="12"/>
      <c r="AAS57" s="12"/>
      <c r="AAT57" s="12"/>
      <c r="ABK57" s="12"/>
      <c r="ABL57" s="12"/>
      <c r="ACC57" s="12"/>
      <c r="ACD57" s="12"/>
      <c r="ACU57" s="12"/>
      <c r="ACV57" s="12"/>
      <c r="ADM57" s="12"/>
      <c r="ADN57" s="12"/>
      <c r="AEE57" s="12"/>
      <c r="AEF57" s="12"/>
      <c r="AEW57" s="12"/>
      <c r="AEX57" s="12"/>
      <c r="AFO57" s="12"/>
      <c r="AFP57" s="12"/>
      <c r="AGG57" s="12"/>
      <c r="AGH57" s="12"/>
      <c r="AGY57" s="12"/>
      <c r="AGZ57" s="12"/>
      <c r="AHQ57" s="12"/>
      <c r="AHR57" s="12"/>
      <c r="AII57" s="12"/>
      <c r="AIJ57" s="12"/>
      <c r="AJA57" s="12"/>
      <c r="AJB57" s="12"/>
      <c r="AJS57" s="12"/>
      <c r="AJT57" s="12"/>
      <c r="AKK57" s="12"/>
      <c r="AKL57" s="12"/>
      <c r="ALC57" s="12"/>
      <c r="ALD57" s="12"/>
      <c r="ALU57" s="12"/>
      <c r="ALV57" s="12"/>
      <c r="AMM57" s="12"/>
      <c r="AMN57" s="12"/>
      <c r="ANE57" s="12"/>
      <c r="ANF57" s="12"/>
      <c r="ANW57" s="12"/>
      <c r="ANX57" s="12"/>
      <c r="AOO57" s="12"/>
      <c r="AOP57" s="12"/>
      <c r="APG57" s="12"/>
      <c r="APH57" s="12"/>
      <c r="APY57" s="12"/>
      <c r="APZ57" s="12"/>
      <c r="AQQ57" s="12"/>
      <c r="AQR57" s="12"/>
      <c r="ARI57" s="12"/>
      <c r="ARJ57" s="12"/>
      <c r="ASA57" s="12"/>
      <c r="ASB57" s="12"/>
      <c r="ASS57" s="12"/>
      <c r="AST57" s="12"/>
      <c r="ATK57" s="12"/>
      <c r="ATL57" s="12"/>
      <c r="AUC57" s="12"/>
      <c r="AUD57" s="12"/>
      <c r="AUU57" s="12"/>
      <c r="AUV57" s="12"/>
      <c r="AVM57" s="12"/>
      <c r="AVN57" s="12"/>
      <c r="AWE57" s="12"/>
      <c r="AWF57" s="12"/>
      <c r="AWW57" s="12"/>
      <c r="AWX57" s="12"/>
      <c r="AXO57" s="12"/>
      <c r="AXP57" s="12"/>
      <c r="AYG57" s="12"/>
      <c r="AYH57" s="12"/>
      <c r="AYY57" s="12"/>
      <c r="AYZ57" s="12"/>
      <c r="AZQ57" s="12"/>
      <c r="AZR57" s="12"/>
      <c r="BAI57" s="12"/>
      <c r="BAJ57" s="12"/>
      <c r="BBA57" s="12"/>
      <c r="BBB57" s="12"/>
      <c r="BBS57" s="12"/>
      <c r="BBT57" s="12"/>
      <c r="BCK57" s="12"/>
      <c r="BCL57" s="12"/>
      <c r="BDC57" s="12"/>
      <c r="BDD57" s="12"/>
      <c r="BDU57" s="12"/>
      <c r="BDV57" s="12"/>
      <c r="BEM57" s="12"/>
      <c r="BEN57" s="12"/>
      <c r="BFE57" s="12"/>
      <c r="BFF57" s="12"/>
      <c r="BFW57" s="12"/>
      <c r="BFX57" s="12"/>
      <c r="BGO57" s="12"/>
      <c r="BGP57" s="12"/>
      <c r="BHG57" s="12"/>
      <c r="BHH57" s="12"/>
      <c r="BHY57" s="12"/>
      <c r="BHZ57" s="12"/>
      <c r="BIQ57" s="12"/>
      <c r="BIR57" s="12"/>
      <c r="BJI57" s="12"/>
      <c r="BJJ57" s="12"/>
      <c r="BKA57" s="12"/>
      <c r="BKB57" s="12"/>
      <c r="BKS57" s="12"/>
      <c r="BKT57" s="12"/>
      <c r="BLK57" s="12"/>
      <c r="BLL57" s="12"/>
      <c r="BMC57" s="12"/>
      <c r="BMD57" s="12"/>
      <c r="BMU57" s="12"/>
      <c r="BMV57" s="12"/>
      <c r="BNM57" s="12"/>
      <c r="BNN57" s="12"/>
      <c r="BOE57" s="12"/>
      <c r="BOF57" s="12"/>
      <c r="BOW57" s="12"/>
      <c r="BOX57" s="12"/>
      <c r="BPO57" s="12"/>
      <c r="BPP57" s="12"/>
      <c r="BQG57" s="12"/>
      <c r="BQH57" s="12"/>
      <c r="BQY57" s="12"/>
      <c r="BQZ57" s="12"/>
      <c r="BRQ57" s="12"/>
      <c r="BRR57" s="12"/>
      <c r="BSI57" s="12"/>
      <c r="BSJ57" s="12"/>
      <c r="BTA57" s="12"/>
      <c r="BTB57" s="12"/>
      <c r="BTS57" s="12"/>
      <c r="BTT57" s="12"/>
      <c r="BUK57" s="12"/>
      <c r="BUL57" s="12"/>
      <c r="BVC57" s="12"/>
      <c r="BVD57" s="12"/>
      <c r="BVU57" s="12"/>
      <c r="BVV57" s="12"/>
      <c r="BWM57" s="12"/>
      <c r="BWN57" s="12"/>
      <c r="BXE57" s="12"/>
      <c r="BXF57" s="12"/>
      <c r="BXW57" s="12"/>
      <c r="BXX57" s="12"/>
      <c r="BYO57" s="12"/>
      <c r="BYP57" s="12"/>
      <c r="BZG57" s="12"/>
      <c r="BZH57" s="12"/>
      <c r="BZY57" s="12"/>
      <c r="BZZ57" s="12"/>
      <c r="CAQ57" s="12"/>
      <c r="CAR57" s="12"/>
      <c r="CBI57" s="12"/>
      <c r="CBJ57" s="12"/>
      <c r="CCA57" s="12"/>
      <c r="CCB57" s="12"/>
      <c r="CCS57" s="12"/>
      <c r="CCT57" s="12"/>
      <c r="CDK57" s="12"/>
      <c r="CDL57" s="12"/>
      <c r="CEC57" s="12"/>
      <c r="CED57" s="12"/>
      <c r="CEU57" s="12"/>
      <c r="CEV57" s="12"/>
      <c r="CFM57" s="12"/>
      <c r="CFN57" s="12"/>
      <c r="CGE57" s="12"/>
      <c r="CGF57" s="12"/>
      <c r="CGW57" s="12"/>
      <c r="CGX57" s="12"/>
      <c r="CHO57" s="12"/>
      <c r="CHP57" s="12"/>
      <c r="CIG57" s="12"/>
      <c r="CIH57" s="12"/>
      <c r="CIY57" s="12"/>
      <c r="CIZ57" s="12"/>
      <c r="CJQ57" s="12"/>
      <c r="CJR57" s="12"/>
      <c r="CKI57" s="12"/>
      <c r="CKJ57" s="12"/>
      <c r="CLA57" s="12"/>
      <c r="CLB57" s="12"/>
      <c r="CLS57" s="12"/>
      <c r="CLT57" s="12"/>
      <c r="CMK57" s="12"/>
      <c r="CML57" s="12"/>
      <c r="CNC57" s="12"/>
      <c r="CND57" s="12"/>
      <c r="CNU57" s="12"/>
      <c r="CNV57" s="12"/>
      <c r="COM57" s="12"/>
      <c r="CON57" s="12"/>
      <c r="CPE57" s="12"/>
      <c r="CPF57" s="12"/>
      <c r="CPW57" s="12"/>
      <c r="CPX57" s="12"/>
      <c r="CQO57" s="12"/>
      <c r="CQP57" s="12"/>
      <c r="CRG57" s="12"/>
      <c r="CRH57" s="12"/>
      <c r="CRY57" s="12"/>
      <c r="CRZ57" s="12"/>
      <c r="CSQ57" s="12"/>
      <c r="CSR57" s="12"/>
      <c r="CTI57" s="12"/>
      <c r="CTJ57" s="12"/>
      <c r="CUA57" s="12"/>
      <c r="CUB57" s="12"/>
      <c r="CUS57" s="12"/>
      <c r="CUT57" s="12"/>
      <c r="CVK57" s="12"/>
      <c r="CVL57" s="12"/>
      <c r="CWC57" s="12"/>
      <c r="CWD57" s="12"/>
      <c r="CWU57" s="12"/>
      <c r="CWV57" s="12"/>
      <c r="CXM57" s="12"/>
      <c r="CXN57" s="12"/>
      <c r="CYE57" s="12"/>
      <c r="CYF57" s="12"/>
      <c r="CYW57" s="12"/>
      <c r="CYX57" s="12"/>
      <c r="CZO57" s="12"/>
      <c r="CZP57" s="12"/>
      <c r="DAG57" s="12"/>
      <c r="DAH57" s="12"/>
      <c r="DAY57" s="12"/>
      <c r="DAZ57" s="12"/>
      <c r="DBQ57" s="12"/>
      <c r="DBR57" s="12"/>
      <c r="DCI57" s="12"/>
      <c r="DCJ57" s="12"/>
      <c r="DDA57" s="12"/>
      <c r="DDB57" s="12"/>
      <c r="DDS57" s="12"/>
      <c r="DDT57" s="12"/>
      <c r="DEK57" s="12"/>
      <c r="DEL57" s="12"/>
      <c r="DFC57" s="12"/>
      <c r="DFD57" s="12"/>
      <c r="DFU57" s="12"/>
      <c r="DFV57" s="12"/>
      <c r="DGM57" s="12"/>
      <c r="DGN57" s="12"/>
      <c r="DHE57" s="12"/>
      <c r="DHF57" s="12"/>
      <c r="DHW57" s="12"/>
      <c r="DHX57" s="12"/>
      <c r="DIO57" s="12"/>
      <c r="DIP57" s="12"/>
      <c r="DJG57" s="12"/>
      <c r="DJH57" s="12"/>
      <c r="DJY57" s="12"/>
      <c r="DJZ57" s="12"/>
      <c r="DKQ57" s="12"/>
      <c r="DKR57" s="12"/>
      <c r="DLI57" s="12"/>
      <c r="DLJ57" s="12"/>
      <c r="DMA57" s="12"/>
      <c r="DMB57" s="12"/>
      <c r="DMS57" s="12"/>
      <c r="DMT57" s="12"/>
      <c r="DNK57" s="12"/>
      <c r="DNL57" s="12"/>
      <c r="DOC57" s="12"/>
      <c r="DOD57" s="12"/>
      <c r="DOU57" s="12"/>
      <c r="DOV57" s="12"/>
      <c r="DPM57" s="12"/>
      <c r="DPN57" s="12"/>
      <c r="DQE57" s="12"/>
      <c r="DQF57" s="12"/>
      <c r="DQW57" s="12"/>
      <c r="DQX57" s="12"/>
      <c r="DRO57" s="12"/>
      <c r="DRP57" s="12"/>
      <c r="DSG57" s="12"/>
      <c r="DSH57" s="12"/>
      <c r="DSY57" s="12"/>
      <c r="DSZ57" s="12"/>
      <c r="DTQ57" s="12"/>
      <c r="DTR57" s="12"/>
      <c r="DUI57" s="12"/>
      <c r="DUJ57" s="12"/>
      <c r="DVA57" s="12"/>
      <c r="DVB57" s="12"/>
      <c r="DVS57" s="12"/>
      <c r="DVT57" s="12"/>
      <c r="DWK57" s="12"/>
      <c r="DWL57" s="12"/>
      <c r="DXC57" s="12"/>
      <c r="DXD57" s="12"/>
      <c r="DXU57" s="12"/>
      <c r="DXV57" s="12"/>
      <c r="DYM57" s="12"/>
      <c r="DYN57" s="12"/>
      <c r="DZE57" s="12"/>
      <c r="DZF57" s="12"/>
      <c r="DZW57" s="12"/>
      <c r="DZX57" s="12"/>
      <c r="EAO57" s="12"/>
      <c r="EAP57" s="12"/>
      <c r="EBG57" s="12"/>
      <c r="EBH57" s="12"/>
      <c r="EBY57" s="12"/>
      <c r="EBZ57" s="12"/>
      <c r="ECQ57" s="12"/>
      <c r="ECR57" s="12"/>
      <c r="EDI57" s="12"/>
      <c r="EDJ57" s="12"/>
      <c r="EEA57" s="12"/>
      <c r="EEB57" s="12"/>
      <c r="EES57" s="12"/>
      <c r="EET57" s="12"/>
      <c r="EFK57" s="12"/>
      <c r="EFL57" s="12"/>
      <c r="EGC57" s="12"/>
      <c r="EGD57" s="12"/>
      <c r="EGU57" s="12"/>
      <c r="EGV57" s="12"/>
      <c r="EHM57" s="12"/>
      <c r="EHN57" s="12"/>
      <c r="EIE57" s="12"/>
      <c r="EIF57" s="12"/>
      <c r="EIW57" s="12"/>
      <c r="EIX57" s="12"/>
      <c r="EJO57" s="12"/>
      <c r="EJP57" s="12"/>
      <c r="EKG57" s="12"/>
      <c r="EKH57" s="12"/>
      <c r="EKY57" s="12"/>
      <c r="EKZ57" s="12"/>
      <c r="ELQ57" s="12"/>
      <c r="ELR57" s="12"/>
      <c r="EMI57" s="12"/>
      <c r="EMJ57" s="12"/>
      <c r="ENA57" s="12"/>
      <c r="ENB57" s="12"/>
      <c r="ENS57" s="12"/>
      <c r="ENT57" s="12"/>
      <c r="EOK57" s="12"/>
      <c r="EOL57" s="12"/>
      <c r="EPC57" s="12"/>
      <c r="EPD57" s="12"/>
      <c r="EPU57" s="12"/>
      <c r="EPV57" s="12"/>
      <c r="EQM57" s="12"/>
      <c r="EQN57" s="12"/>
      <c r="ERE57" s="12"/>
      <c r="ERF57" s="12"/>
      <c r="ERW57" s="12"/>
      <c r="ERX57" s="12"/>
      <c r="ESO57" s="12"/>
      <c r="ESP57" s="12"/>
      <c r="ETG57" s="12"/>
      <c r="ETH57" s="12"/>
      <c r="ETY57" s="12"/>
      <c r="ETZ57" s="12"/>
      <c r="EUQ57" s="12"/>
      <c r="EUR57" s="12"/>
      <c r="EVI57" s="12"/>
      <c r="EVJ57" s="12"/>
      <c r="EWA57" s="12"/>
      <c r="EWB57" s="12"/>
      <c r="EWS57" s="12"/>
      <c r="EWT57" s="12"/>
      <c r="EXK57" s="12"/>
      <c r="EXL57" s="12"/>
      <c r="EYC57" s="12"/>
      <c r="EYD57" s="12"/>
      <c r="EYU57" s="12"/>
      <c r="EYV57" s="12"/>
      <c r="EZM57" s="12"/>
      <c r="EZN57" s="12"/>
      <c r="FAE57" s="12"/>
      <c r="FAF57" s="12"/>
      <c r="FAW57" s="12"/>
      <c r="FAX57" s="12"/>
      <c r="FBO57" s="12"/>
      <c r="FBP57" s="12"/>
      <c r="FCG57" s="12"/>
      <c r="FCH57" s="12"/>
      <c r="FCY57" s="12"/>
      <c r="FCZ57" s="12"/>
      <c r="FDQ57" s="12"/>
      <c r="FDR57" s="12"/>
      <c r="FEI57" s="12"/>
      <c r="FEJ57" s="12"/>
      <c r="FFA57" s="12"/>
      <c r="FFB57" s="12"/>
      <c r="FFS57" s="12"/>
      <c r="FFT57" s="12"/>
      <c r="FGK57" s="12"/>
      <c r="FGL57" s="12"/>
      <c r="FHC57" s="12"/>
      <c r="FHD57" s="12"/>
      <c r="FHU57" s="12"/>
      <c r="FHV57" s="12"/>
      <c r="FIM57" s="12"/>
      <c r="FIN57" s="12"/>
      <c r="FJE57" s="12"/>
      <c r="FJF57" s="12"/>
      <c r="FJW57" s="12"/>
      <c r="FJX57" s="12"/>
      <c r="FKO57" s="12"/>
      <c r="FKP57" s="12"/>
      <c r="FLG57" s="12"/>
      <c r="FLH57" s="12"/>
      <c r="FLY57" s="12"/>
      <c r="FLZ57" s="12"/>
      <c r="FMQ57" s="12"/>
      <c r="FMR57" s="12"/>
      <c r="FNI57" s="12"/>
      <c r="FNJ57" s="12"/>
      <c r="FOA57" s="12"/>
      <c r="FOB57" s="12"/>
      <c r="FOS57" s="12"/>
      <c r="FOT57" s="12"/>
      <c r="FPK57" s="12"/>
      <c r="FPL57" s="12"/>
      <c r="FQC57" s="12"/>
      <c r="FQD57" s="12"/>
      <c r="FQU57" s="12"/>
      <c r="FQV57" s="12"/>
      <c r="FRM57" s="12"/>
      <c r="FRN57" s="12"/>
      <c r="FSE57" s="12"/>
      <c r="FSF57" s="12"/>
      <c r="FSW57" s="12"/>
      <c r="FSX57" s="12"/>
      <c r="FTO57" s="12"/>
      <c r="FTP57" s="12"/>
      <c r="FUG57" s="12"/>
      <c r="FUH57" s="12"/>
      <c r="FUY57" s="12"/>
      <c r="FUZ57" s="12"/>
      <c r="FVQ57" s="12"/>
      <c r="FVR57" s="12"/>
      <c r="FWI57" s="12"/>
      <c r="FWJ57" s="12"/>
      <c r="FXA57" s="12"/>
      <c r="FXB57" s="12"/>
      <c r="FXS57" s="12"/>
      <c r="FXT57" s="12"/>
      <c r="FYK57" s="12"/>
      <c r="FYL57" s="12"/>
      <c r="FZC57" s="12"/>
      <c r="FZD57" s="12"/>
      <c r="FZU57" s="12"/>
      <c r="FZV57" s="12"/>
      <c r="GAM57" s="12"/>
      <c r="GAN57" s="12"/>
      <c r="GBE57" s="12"/>
      <c r="GBF57" s="12"/>
      <c r="GBW57" s="12"/>
      <c r="GBX57" s="12"/>
      <c r="GCO57" s="12"/>
      <c r="GCP57" s="12"/>
      <c r="GDG57" s="12"/>
      <c r="GDH57" s="12"/>
      <c r="GDY57" s="12"/>
      <c r="GDZ57" s="12"/>
      <c r="GEQ57" s="12"/>
      <c r="GER57" s="12"/>
      <c r="GFI57" s="12"/>
      <c r="GFJ57" s="12"/>
      <c r="GGA57" s="12"/>
      <c r="GGB57" s="12"/>
      <c r="GGS57" s="12"/>
      <c r="GGT57" s="12"/>
      <c r="GHK57" s="12"/>
      <c r="GHL57" s="12"/>
      <c r="GIC57" s="12"/>
      <c r="GID57" s="12"/>
      <c r="GIU57" s="12"/>
      <c r="GIV57" s="12"/>
      <c r="GJM57" s="12"/>
      <c r="GJN57" s="12"/>
      <c r="GKE57" s="12"/>
      <c r="GKF57" s="12"/>
      <c r="GKW57" s="12"/>
      <c r="GKX57" s="12"/>
      <c r="GLO57" s="12"/>
      <c r="GLP57" s="12"/>
      <c r="GMG57" s="12"/>
      <c r="GMH57" s="12"/>
      <c r="GMY57" s="12"/>
      <c r="GMZ57" s="12"/>
      <c r="GNQ57" s="12"/>
      <c r="GNR57" s="12"/>
      <c r="GOI57" s="12"/>
      <c r="GOJ57" s="12"/>
      <c r="GPA57" s="12"/>
      <c r="GPB57" s="12"/>
      <c r="GPS57" s="12"/>
      <c r="GPT57" s="12"/>
      <c r="GQK57" s="12"/>
      <c r="GQL57" s="12"/>
      <c r="GRC57" s="12"/>
      <c r="GRD57" s="12"/>
      <c r="GRU57" s="12"/>
      <c r="GRV57" s="12"/>
      <c r="GSM57" s="12"/>
      <c r="GSN57" s="12"/>
      <c r="GTE57" s="12"/>
      <c r="GTF57" s="12"/>
      <c r="GTW57" s="12"/>
      <c r="GTX57" s="12"/>
      <c r="GUO57" s="12"/>
      <c r="GUP57" s="12"/>
      <c r="GVG57" s="12"/>
      <c r="GVH57" s="12"/>
      <c r="GVY57" s="12"/>
      <c r="GVZ57" s="12"/>
      <c r="GWQ57" s="12"/>
      <c r="GWR57" s="12"/>
      <c r="GXI57" s="12"/>
      <c r="GXJ57" s="12"/>
      <c r="GYA57" s="12"/>
      <c r="GYB57" s="12"/>
      <c r="GYS57" s="12"/>
      <c r="GYT57" s="12"/>
      <c r="GZK57" s="12"/>
      <c r="GZL57" s="12"/>
      <c r="HAC57" s="12"/>
      <c r="HAD57" s="12"/>
      <c r="HAU57" s="12"/>
      <c r="HAV57" s="12"/>
      <c r="HBM57" s="12"/>
      <c r="HBN57" s="12"/>
      <c r="HCE57" s="12"/>
      <c r="HCF57" s="12"/>
      <c r="HCW57" s="12"/>
      <c r="HCX57" s="12"/>
      <c r="HDO57" s="12"/>
      <c r="HDP57" s="12"/>
      <c r="HEG57" s="12"/>
      <c r="HEH57" s="12"/>
      <c r="HEY57" s="12"/>
      <c r="HEZ57" s="12"/>
      <c r="HFQ57" s="12"/>
      <c r="HFR57" s="12"/>
      <c r="HGI57" s="12"/>
      <c r="HGJ57" s="12"/>
      <c r="HHA57" s="12"/>
      <c r="HHB57" s="12"/>
      <c r="HHS57" s="12"/>
      <c r="HHT57" s="12"/>
      <c r="HIK57" s="12"/>
      <c r="HIL57" s="12"/>
      <c r="HJC57" s="12"/>
      <c r="HJD57" s="12"/>
      <c r="HJU57" s="12"/>
      <c r="HJV57" s="12"/>
      <c r="HKM57" s="12"/>
      <c r="HKN57" s="12"/>
      <c r="HLE57" s="12"/>
      <c r="HLF57" s="12"/>
      <c r="HLW57" s="12"/>
      <c r="HLX57" s="12"/>
      <c r="HMO57" s="12"/>
      <c r="HMP57" s="12"/>
      <c r="HNG57" s="12"/>
      <c r="HNH57" s="12"/>
      <c r="HNY57" s="12"/>
      <c r="HNZ57" s="12"/>
      <c r="HOQ57" s="12"/>
      <c r="HOR57" s="12"/>
      <c r="HPI57" s="12"/>
      <c r="HPJ57" s="12"/>
      <c r="HQA57" s="12"/>
      <c r="HQB57" s="12"/>
      <c r="HQS57" s="12"/>
      <c r="HQT57" s="12"/>
      <c r="HRK57" s="12"/>
      <c r="HRL57" s="12"/>
      <c r="HSC57" s="12"/>
      <c r="HSD57" s="12"/>
      <c r="HSU57" s="12"/>
      <c r="HSV57" s="12"/>
      <c r="HTM57" s="12"/>
      <c r="HTN57" s="12"/>
      <c r="HUE57" s="12"/>
      <c r="HUF57" s="12"/>
      <c r="HUW57" s="12"/>
      <c r="HUX57" s="12"/>
      <c r="HVO57" s="12"/>
      <c r="HVP57" s="12"/>
      <c r="HWG57" s="12"/>
      <c r="HWH57" s="12"/>
      <c r="HWY57" s="12"/>
      <c r="HWZ57" s="12"/>
      <c r="HXQ57" s="12"/>
      <c r="HXR57" s="12"/>
      <c r="HYI57" s="12"/>
      <c r="HYJ57" s="12"/>
      <c r="HZA57" s="12"/>
      <c r="HZB57" s="12"/>
      <c r="HZS57" s="12"/>
      <c r="HZT57" s="12"/>
      <c r="IAK57" s="12"/>
      <c r="IAL57" s="12"/>
      <c r="IBC57" s="12"/>
      <c r="IBD57" s="12"/>
      <c r="IBU57" s="12"/>
      <c r="IBV57" s="12"/>
      <c r="ICM57" s="12"/>
      <c r="ICN57" s="12"/>
      <c r="IDE57" s="12"/>
      <c r="IDF57" s="12"/>
      <c r="IDW57" s="12"/>
      <c r="IDX57" s="12"/>
      <c r="IEO57" s="12"/>
      <c r="IEP57" s="12"/>
      <c r="IFG57" s="12"/>
      <c r="IFH57" s="12"/>
      <c r="IFY57" s="12"/>
      <c r="IFZ57" s="12"/>
      <c r="IGQ57" s="12"/>
      <c r="IGR57" s="12"/>
      <c r="IHI57" s="12"/>
      <c r="IHJ57" s="12"/>
      <c r="IIA57" s="12"/>
      <c r="IIB57" s="12"/>
      <c r="IIS57" s="12"/>
      <c r="IIT57" s="12"/>
      <c r="IJK57" s="12"/>
      <c r="IJL57" s="12"/>
      <c r="IKC57" s="12"/>
      <c r="IKD57" s="12"/>
      <c r="IKU57" s="12"/>
      <c r="IKV57" s="12"/>
      <c r="ILM57" s="12"/>
      <c r="ILN57" s="12"/>
      <c r="IME57" s="12"/>
      <c r="IMF57" s="12"/>
      <c r="IMW57" s="12"/>
      <c r="IMX57" s="12"/>
      <c r="INO57" s="12"/>
      <c r="INP57" s="12"/>
      <c r="IOG57" s="12"/>
      <c r="IOH57" s="12"/>
      <c r="IOY57" s="12"/>
      <c r="IOZ57" s="12"/>
      <c r="IPQ57" s="12"/>
      <c r="IPR57" s="12"/>
      <c r="IQI57" s="12"/>
      <c r="IQJ57" s="12"/>
      <c r="IRA57" s="12"/>
      <c r="IRB57" s="12"/>
      <c r="IRS57" s="12"/>
      <c r="IRT57" s="12"/>
      <c r="ISK57" s="12"/>
      <c r="ISL57" s="12"/>
      <c r="ITC57" s="12"/>
      <c r="ITD57" s="12"/>
      <c r="ITU57" s="12"/>
      <c r="ITV57" s="12"/>
      <c r="IUM57" s="12"/>
      <c r="IUN57" s="12"/>
      <c r="IVE57" s="12"/>
      <c r="IVF57" s="12"/>
      <c r="IVW57" s="12"/>
      <c r="IVX57" s="12"/>
      <c r="IWO57" s="12"/>
      <c r="IWP57" s="12"/>
      <c r="IXG57" s="12"/>
      <c r="IXH57" s="12"/>
      <c r="IXY57" s="12"/>
      <c r="IXZ57" s="12"/>
      <c r="IYQ57" s="12"/>
      <c r="IYR57" s="12"/>
      <c r="IZI57" s="12"/>
      <c r="IZJ57" s="12"/>
      <c r="JAA57" s="12"/>
      <c r="JAB57" s="12"/>
      <c r="JAS57" s="12"/>
      <c r="JAT57" s="12"/>
      <c r="JBK57" s="12"/>
      <c r="JBL57" s="12"/>
      <c r="JCC57" s="12"/>
      <c r="JCD57" s="12"/>
      <c r="JCU57" s="12"/>
      <c r="JCV57" s="12"/>
      <c r="JDM57" s="12"/>
      <c r="JDN57" s="12"/>
      <c r="JEE57" s="12"/>
      <c r="JEF57" s="12"/>
      <c r="JEW57" s="12"/>
      <c r="JEX57" s="12"/>
      <c r="JFO57" s="12"/>
      <c r="JFP57" s="12"/>
      <c r="JGG57" s="12"/>
      <c r="JGH57" s="12"/>
      <c r="JGY57" s="12"/>
      <c r="JGZ57" s="12"/>
      <c r="JHQ57" s="12"/>
      <c r="JHR57" s="12"/>
      <c r="JII57" s="12"/>
      <c r="JIJ57" s="12"/>
      <c r="JJA57" s="12"/>
      <c r="JJB57" s="12"/>
      <c r="JJS57" s="12"/>
      <c r="JJT57" s="12"/>
      <c r="JKK57" s="12"/>
      <c r="JKL57" s="12"/>
      <c r="JLC57" s="12"/>
      <c r="JLD57" s="12"/>
      <c r="JLU57" s="12"/>
      <c r="JLV57" s="12"/>
      <c r="JMM57" s="12"/>
      <c r="JMN57" s="12"/>
      <c r="JNE57" s="12"/>
      <c r="JNF57" s="12"/>
      <c r="JNW57" s="12"/>
      <c r="JNX57" s="12"/>
      <c r="JOO57" s="12"/>
      <c r="JOP57" s="12"/>
      <c r="JPG57" s="12"/>
      <c r="JPH57" s="12"/>
      <c r="JPY57" s="12"/>
      <c r="JPZ57" s="12"/>
      <c r="JQQ57" s="12"/>
      <c r="JQR57" s="12"/>
      <c r="JRI57" s="12"/>
      <c r="JRJ57" s="12"/>
      <c r="JSA57" s="12"/>
      <c r="JSB57" s="12"/>
      <c r="JSS57" s="12"/>
      <c r="JST57" s="12"/>
      <c r="JTK57" s="12"/>
      <c r="JTL57" s="12"/>
      <c r="JUC57" s="12"/>
      <c r="JUD57" s="12"/>
      <c r="JUU57" s="12"/>
      <c r="JUV57" s="12"/>
      <c r="JVM57" s="12"/>
      <c r="JVN57" s="12"/>
      <c r="JWE57" s="12"/>
      <c r="JWF57" s="12"/>
      <c r="JWW57" s="12"/>
      <c r="JWX57" s="12"/>
      <c r="JXO57" s="12"/>
      <c r="JXP57" s="12"/>
      <c r="JYG57" s="12"/>
      <c r="JYH57" s="12"/>
      <c r="JYY57" s="12"/>
      <c r="JYZ57" s="12"/>
      <c r="JZQ57" s="12"/>
      <c r="JZR57" s="12"/>
      <c r="KAI57" s="12"/>
      <c r="KAJ57" s="12"/>
      <c r="KBA57" s="12"/>
      <c r="KBB57" s="12"/>
      <c r="KBS57" s="12"/>
      <c r="KBT57" s="12"/>
      <c r="KCK57" s="12"/>
      <c r="KCL57" s="12"/>
      <c r="KDC57" s="12"/>
      <c r="KDD57" s="12"/>
      <c r="KDU57" s="12"/>
      <c r="KDV57" s="12"/>
      <c r="KEM57" s="12"/>
      <c r="KEN57" s="12"/>
      <c r="KFE57" s="12"/>
      <c r="KFF57" s="12"/>
      <c r="KFW57" s="12"/>
      <c r="KFX57" s="12"/>
      <c r="KGO57" s="12"/>
      <c r="KGP57" s="12"/>
      <c r="KHG57" s="12"/>
      <c r="KHH57" s="12"/>
      <c r="KHY57" s="12"/>
      <c r="KHZ57" s="12"/>
      <c r="KIQ57" s="12"/>
      <c r="KIR57" s="12"/>
      <c r="KJI57" s="12"/>
      <c r="KJJ57" s="12"/>
      <c r="KKA57" s="12"/>
      <c r="KKB57" s="12"/>
      <c r="KKS57" s="12"/>
      <c r="KKT57" s="12"/>
      <c r="KLK57" s="12"/>
      <c r="KLL57" s="12"/>
      <c r="KMC57" s="12"/>
      <c r="KMD57" s="12"/>
      <c r="KMU57" s="12"/>
      <c r="KMV57" s="12"/>
      <c r="KNM57" s="12"/>
      <c r="KNN57" s="12"/>
      <c r="KOE57" s="12"/>
      <c r="KOF57" s="12"/>
      <c r="KOW57" s="12"/>
      <c r="KOX57" s="12"/>
      <c r="KPO57" s="12"/>
      <c r="KPP57" s="12"/>
      <c r="KQG57" s="12"/>
      <c r="KQH57" s="12"/>
      <c r="KQY57" s="12"/>
      <c r="KQZ57" s="12"/>
      <c r="KRQ57" s="12"/>
      <c r="KRR57" s="12"/>
      <c r="KSI57" s="12"/>
      <c r="KSJ57" s="12"/>
      <c r="KTA57" s="12"/>
      <c r="KTB57" s="12"/>
      <c r="KTS57" s="12"/>
      <c r="KTT57" s="12"/>
      <c r="KUK57" s="12"/>
      <c r="KUL57" s="12"/>
      <c r="KVC57" s="12"/>
      <c r="KVD57" s="12"/>
      <c r="KVU57" s="12"/>
      <c r="KVV57" s="12"/>
      <c r="KWM57" s="12"/>
      <c r="KWN57" s="12"/>
      <c r="KXE57" s="12"/>
      <c r="KXF57" s="12"/>
      <c r="KXW57" s="12"/>
      <c r="KXX57" s="12"/>
      <c r="KYO57" s="12"/>
      <c r="KYP57" s="12"/>
      <c r="KZG57" s="12"/>
      <c r="KZH57" s="12"/>
      <c r="KZY57" s="12"/>
      <c r="KZZ57" s="12"/>
      <c r="LAQ57" s="12"/>
      <c r="LAR57" s="12"/>
      <c r="LBI57" s="12"/>
      <c r="LBJ57" s="12"/>
      <c r="LCA57" s="12"/>
      <c r="LCB57" s="12"/>
      <c r="LCS57" s="12"/>
      <c r="LCT57" s="12"/>
      <c r="LDK57" s="12"/>
      <c r="LDL57" s="12"/>
      <c r="LEC57" s="12"/>
      <c r="LED57" s="12"/>
      <c r="LEU57" s="12"/>
      <c r="LEV57" s="12"/>
      <c r="LFM57" s="12"/>
      <c r="LFN57" s="12"/>
      <c r="LGE57" s="12"/>
      <c r="LGF57" s="12"/>
      <c r="LGW57" s="12"/>
      <c r="LGX57" s="12"/>
      <c r="LHO57" s="12"/>
      <c r="LHP57" s="12"/>
      <c r="LIG57" s="12"/>
      <c r="LIH57" s="12"/>
      <c r="LIY57" s="12"/>
      <c r="LIZ57" s="12"/>
      <c r="LJQ57" s="12"/>
      <c r="LJR57" s="12"/>
      <c r="LKI57" s="12"/>
      <c r="LKJ57" s="12"/>
      <c r="LLA57" s="12"/>
      <c r="LLB57" s="12"/>
      <c r="LLS57" s="12"/>
      <c r="LLT57" s="12"/>
      <c r="LMK57" s="12"/>
      <c r="LML57" s="12"/>
      <c r="LNC57" s="12"/>
      <c r="LND57" s="12"/>
      <c r="LNU57" s="12"/>
      <c r="LNV57" s="12"/>
      <c r="LOM57" s="12"/>
      <c r="LON57" s="12"/>
      <c r="LPE57" s="12"/>
      <c r="LPF57" s="12"/>
      <c r="LPW57" s="12"/>
      <c r="LPX57" s="12"/>
      <c r="LQO57" s="12"/>
      <c r="LQP57" s="12"/>
      <c r="LRG57" s="12"/>
      <c r="LRH57" s="12"/>
      <c r="LRY57" s="12"/>
      <c r="LRZ57" s="12"/>
      <c r="LSQ57" s="12"/>
      <c r="LSR57" s="12"/>
      <c r="LTI57" s="12"/>
      <c r="LTJ57" s="12"/>
      <c r="LUA57" s="12"/>
      <c r="LUB57" s="12"/>
      <c r="LUS57" s="12"/>
      <c r="LUT57" s="12"/>
      <c r="LVK57" s="12"/>
      <c r="LVL57" s="12"/>
      <c r="LWC57" s="12"/>
      <c r="LWD57" s="12"/>
      <c r="LWU57" s="12"/>
      <c r="LWV57" s="12"/>
      <c r="LXM57" s="12"/>
      <c r="LXN57" s="12"/>
      <c r="LYE57" s="12"/>
      <c r="LYF57" s="12"/>
      <c r="LYW57" s="12"/>
      <c r="LYX57" s="12"/>
      <c r="LZO57" s="12"/>
      <c r="LZP57" s="12"/>
      <c r="MAG57" s="12"/>
      <c r="MAH57" s="12"/>
      <c r="MAY57" s="12"/>
      <c r="MAZ57" s="12"/>
      <c r="MBQ57" s="12"/>
      <c r="MBR57" s="12"/>
      <c r="MCI57" s="12"/>
      <c r="MCJ57" s="12"/>
      <c r="MDA57" s="12"/>
      <c r="MDB57" s="12"/>
      <c r="MDS57" s="12"/>
      <c r="MDT57" s="12"/>
      <c r="MEK57" s="12"/>
      <c r="MEL57" s="12"/>
      <c r="MFC57" s="12"/>
      <c r="MFD57" s="12"/>
      <c r="MFU57" s="12"/>
      <c r="MFV57" s="12"/>
      <c r="MGM57" s="12"/>
      <c r="MGN57" s="12"/>
      <c r="MHE57" s="12"/>
      <c r="MHF57" s="12"/>
      <c r="MHW57" s="12"/>
      <c r="MHX57" s="12"/>
      <c r="MIO57" s="12"/>
      <c r="MIP57" s="12"/>
      <c r="MJG57" s="12"/>
      <c r="MJH57" s="12"/>
      <c r="MJY57" s="12"/>
      <c r="MJZ57" s="12"/>
      <c r="MKQ57" s="12"/>
      <c r="MKR57" s="12"/>
      <c r="MLI57" s="12"/>
      <c r="MLJ57" s="12"/>
      <c r="MMA57" s="12"/>
      <c r="MMB57" s="12"/>
      <c r="MMS57" s="12"/>
      <c r="MMT57" s="12"/>
      <c r="MNK57" s="12"/>
      <c r="MNL57" s="12"/>
      <c r="MOC57" s="12"/>
      <c r="MOD57" s="12"/>
      <c r="MOU57" s="12"/>
      <c r="MOV57" s="12"/>
      <c r="MPM57" s="12"/>
      <c r="MPN57" s="12"/>
      <c r="MQE57" s="12"/>
      <c r="MQF57" s="12"/>
      <c r="MQW57" s="12"/>
      <c r="MQX57" s="12"/>
      <c r="MRO57" s="12"/>
      <c r="MRP57" s="12"/>
      <c r="MSG57" s="12"/>
      <c r="MSH57" s="12"/>
      <c r="MSY57" s="12"/>
      <c r="MSZ57" s="12"/>
      <c r="MTQ57" s="12"/>
      <c r="MTR57" s="12"/>
      <c r="MUI57" s="12"/>
      <c r="MUJ57" s="12"/>
      <c r="MVA57" s="12"/>
      <c r="MVB57" s="12"/>
      <c r="MVS57" s="12"/>
      <c r="MVT57" s="12"/>
      <c r="MWK57" s="12"/>
      <c r="MWL57" s="12"/>
      <c r="MXC57" s="12"/>
      <c r="MXD57" s="12"/>
      <c r="MXU57" s="12"/>
      <c r="MXV57" s="12"/>
      <c r="MYM57" s="12"/>
      <c r="MYN57" s="12"/>
      <c r="MZE57" s="12"/>
      <c r="MZF57" s="12"/>
      <c r="MZW57" s="12"/>
      <c r="MZX57" s="12"/>
      <c r="NAO57" s="12"/>
      <c r="NAP57" s="12"/>
      <c r="NBG57" s="12"/>
      <c r="NBH57" s="12"/>
      <c r="NBY57" s="12"/>
      <c r="NBZ57" s="12"/>
      <c r="NCQ57" s="12"/>
      <c r="NCR57" s="12"/>
      <c r="NDI57" s="12"/>
      <c r="NDJ57" s="12"/>
      <c r="NEA57" s="12"/>
      <c r="NEB57" s="12"/>
      <c r="NES57" s="12"/>
      <c r="NET57" s="12"/>
      <c r="NFK57" s="12"/>
      <c r="NFL57" s="12"/>
      <c r="NGC57" s="12"/>
      <c r="NGD57" s="12"/>
      <c r="NGU57" s="12"/>
      <c r="NGV57" s="12"/>
      <c r="NHM57" s="12"/>
      <c r="NHN57" s="12"/>
      <c r="NIE57" s="12"/>
      <c r="NIF57" s="12"/>
      <c r="NIW57" s="12"/>
      <c r="NIX57" s="12"/>
      <c r="NJO57" s="12"/>
      <c r="NJP57" s="12"/>
      <c r="NKG57" s="12"/>
      <c r="NKH57" s="12"/>
      <c r="NKY57" s="12"/>
      <c r="NKZ57" s="12"/>
      <c r="NLQ57" s="12"/>
      <c r="NLR57" s="12"/>
      <c r="NMI57" s="12"/>
      <c r="NMJ57" s="12"/>
      <c r="NNA57" s="12"/>
      <c r="NNB57" s="12"/>
      <c r="NNS57" s="12"/>
      <c r="NNT57" s="12"/>
      <c r="NOK57" s="12"/>
      <c r="NOL57" s="12"/>
      <c r="NPC57" s="12"/>
      <c r="NPD57" s="12"/>
      <c r="NPU57" s="12"/>
      <c r="NPV57" s="12"/>
      <c r="NQM57" s="12"/>
      <c r="NQN57" s="12"/>
      <c r="NRE57" s="12"/>
      <c r="NRF57" s="12"/>
      <c r="NRW57" s="12"/>
      <c r="NRX57" s="12"/>
      <c r="NSO57" s="12"/>
      <c r="NSP57" s="12"/>
      <c r="NTG57" s="12"/>
      <c r="NTH57" s="12"/>
      <c r="NTY57" s="12"/>
      <c r="NTZ57" s="12"/>
      <c r="NUQ57" s="12"/>
      <c r="NUR57" s="12"/>
      <c r="NVI57" s="12"/>
      <c r="NVJ57" s="12"/>
      <c r="NWA57" s="12"/>
      <c r="NWB57" s="12"/>
      <c r="NWS57" s="12"/>
      <c r="NWT57" s="12"/>
      <c r="NXK57" s="12"/>
      <c r="NXL57" s="12"/>
      <c r="NYC57" s="12"/>
      <c r="NYD57" s="12"/>
      <c r="NYU57" s="12"/>
      <c r="NYV57" s="12"/>
      <c r="NZM57" s="12"/>
      <c r="NZN57" s="12"/>
      <c r="OAE57" s="12"/>
      <c r="OAF57" s="12"/>
      <c r="OAW57" s="12"/>
      <c r="OAX57" s="12"/>
      <c r="OBO57" s="12"/>
      <c r="OBP57" s="12"/>
      <c r="OCG57" s="12"/>
      <c r="OCH57" s="12"/>
      <c r="OCY57" s="12"/>
      <c r="OCZ57" s="12"/>
      <c r="ODQ57" s="12"/>
      <c r="ODR57" s="12"/>
      <c r="OEI57" s="12"/>
      <c r="OEJ57" s="12"/>
      <c r="OFA57" s="12"/>
      <c r="OFB57" s="12"/>
      <c r="OFS57" s="12"/>
      <c r="OFT57" s="12"/>
      <c r="OGK57" s="12"/>
      <c r="OGL57" s="12"/>
      <c r="OHC57" s="12"/>
      <c r="OHD57" s="12"/>
      <c r="OHU57" s="12"/>
      <c r="OHV57" s="12"/>
      <c r="OIM57" s="12"/>
      <c r="OIN57" s="12"/>
      <c r="OJE57" s="12"/>
      <c r="OJF57" s="12"/>
      <c r="OJW57" s="12"/>
      <c r="OJX57" s="12"/>
      <c r="OKO57" s="12"/>
      <c r="OKP57" s="12"/>
      <c r="OLG57" s="12"/>
      <c r="OLH57" s="12"/>
      <c r="OLY57" s="12"/>
      <c r="OLZ57" s="12"/>
      <c r="OMQ57" s="12"/>
      <c r="OMR57" s="12"/>
      <c r="ONI57" s="12"/>
      <c r="ONJ57" s="12"/>
      <c r="OOA57" s="12"/>
      <c r="OOB57" s="12"/>
      <c r="OOS57" s="12"/>
      <c r="OOT57" s="12"/>
      <c r="OPK57" s="12"/>
      <c r="OPL57" s="12"/>
      <c r="OQC57" s="12"/>
      <c r="OQD57" s="12"/>
      <c r="OQU57" s="12"/>
      <c r="OQV57" s="12"/>
      <c r="ORM57" s="12"/>
      <c r="ORN57" s="12"/>
      <c r="OSE57" s="12"/>
      <c r="OSF57" s="12"/>
      <c r="OSW57" s="12"/>
      <c r="OSX57" s="12"/>
      <c r="OTO57" s="12"/>
      <c r="OTP57" s="12"/>
      <c r="OUG57" s="12"/>
      <c r="OUH57" s="12"/>
      <c r="OUY57" s="12"/>
      <c r="OUZ57" s="12"/>
      <c r="OVQ57" s="12"/>
      <c r="OVR57" s="12"/>
      <c r="OWI57" s="12"/>
      <c r="OWJ57" s="12"/>
      <c r="OXA57" s="12"/>
      <c r="OXB57" s="12"/>
      <c r="OXS57" s="12"/>
      <c r="OXT57" s="12"/>
      <c r="OYK57" s="12"/>
      <c r="OYL57" s="12"/>
      <c r="OZC57" s="12"/>
      <c r="OZD57" s="12"/>
      <c r="OZU57" s="12"/>
      <c r="OZV57" s="12"/>
      <c r="PAM57" s="12"/>
      <c r="PAN57" s="12"/>
      <c r="PBE57" s="12"/>
      <c r="PBF57" s="12"/>
      <c r="PBW57" s="12"/>
      <c r="PBX57" s="12"/>
      <c r="PCO57" s="12"/>
      <c r="PCP57" s="12"/>
      <c r="PDG57" s="12"/>
      <c r="PDH57" s="12"/>
      <c r="PDY57" s="12"/>
      <c r="PDZ57" s="12"/>
      <c r="PEQ57" s="12"/>
      <c r="PER57" s="12"/>
      <c r="PFI57" s="12"/>
      <c r="PFJ57" s="12"/>
      <c r="PGA57" s="12"/>
      <c r="PGB57" s="12"/>
      <c r="PGS57" s="12"/>
      <c r="PGT57" s="12"/>
      <c r="PHK57" s="12"/>
      <c r="PHL57" s="12"/>
      <c r="PIC57" s="12"/>
      <c r="PID57" s="12"/>
      <c r="PIU57" s="12"/>
      <c r="PIV57" s="12"/>
      <c r="PJM57" s="12"/>
      <c r="PJN57" s="12"/>
      <c r="PKE57" s="12"/>
      <c r="PKF57" s="12"/>
      <c r="PKW57" s="12"/>
      <c r="PKX57" s="12"/>
      <c r="PLO57" s="12"/>
      <c r="PLP57" s="12"/>
      <c r="PMG57" s="12"/>
      <c r="PMH57" s="12"/>
      <c r="PMY57" s="12"/>
      <c r="PMZ57" s="12"/>
      <c r="PNQ57" s="12"/>
      <c r="PNR57" s="12"/>
      <c r="POI57" s="12"/>
      <c r="POJ57" s="12"/>
      <c r="PPA57" s="12"/>
      <c r="PPB57" s="12"/>
      <c r="PPS57" s="12"/>
      <c r="PPT57" s="12"/>
      <c r="PQK57" s="12"/>
      <c r="PQL57" s="12"/>
      <c r="PRC57" s="12"/>
      <c r="PRD57" s="12"/>
      <c r="PRU57" s="12"/>
      <c r="PRV57" s="12"/>
      <c r="PSM57" s="12"/>
      <c r="PSN57" s="12"/>
      <c r="PTE57" s="12"/>
      <c r="PTF57" s="12"/>
      <c r="PTW57" s="12"/>
      <c r="PTX57" s="12"/>
      <c r="PUO57" s="12"/>
      <c r="PUP57" s="12"/>
      <c r="PVG57" s="12"/>
      <c r="PVH57" s="12"/>
      <c r="PVY57" s="12"/>
      <c r="PVZ57" s="12"/>
      <c r="PWQ57" s="12"/>
      <c r="PWR57" s="12"/>
      <c r="PXI57" s="12"/>
      <c r="PXJ57" s="12"/>
      <c r="PYA57" s="12"/>
      <c r="PYB57" s="12"/>
      <c r="PYS57" s="12"/>
      <c r="PYT57" s="12"/>
      <c r="PZK57" s="12"/>
      <c r="PZL57" s="12"/>
      <c r="QAC57" s="12"/>
      <c r="QAD57" s="12"/>
      <c r="QAU57" s="12"/>
      <c r="QAV57" s="12"/>
      <c r="QBM57" s="12"/>
      <c r="QBN57" s="12"/>
      <c r="QCE57" s="12"/>
      <c r="QCF57" s="12"/>
      <c r="QCW57" s="12"/>
      <c r="QCX57" s="12"/>
      <c r="QDO57" s="12"/>
      <c r="QDP57" s="12"/>
      <c r="QEG57" s="12"/>
      <c r="QEH57" s="12"/>
      <c r="QEY57" s="12"/>
      <c r="QEZ57" s="12"/>
      <c r="QFQ57" s="12"/>
      <c r="QFR57" s="12"/>
      <c r="QGI57" s="12"/>
      <c r="QGJ57" s="12"/>
      <c r="QHA57" s="12"/>
      <c r="QHB57" s="12"/>
      <c r="QHS57" s="12"/>
      <c r="QHT57" s="12"/>
      <c r="QIK57" s="12"/>
      <c r="QIL57" s="12"/>
      <c r="QJC57" s="12"/>
      <c r="QJD57" s="12"/>
      <c r="QJU57" s="12"/>
      <c r="QJV57" s="12"/>
      <c r="QKM57" s="12"/>
      <c r="QKN57" s="12"/>
      <c r="QLE57" s="12"/>
      <c r="QLF57" s="12"/>
      <c r="QLW57" s="12"/>
      <c r="QLX57" s="12"/>
      <c r="QMO57" s="12"/>
      <c r="QMP57" s="12"/>
      <c r="QNG57" s="12"/>
      <c r="QNH57" s="12"/>
      <c r="QNY57" s="12"/>
      <c r="QNZ57" s="12"/>
      <c r="QOQ57" s="12"/>
      <c r="QOR57" s="12"/>
      <c r="QPI57" s="12"/>
      <c r="QPJ57" s="12"/>
      <c r="QQA57" s="12"/>
      <c r="QQB57" s="12"/>
      <c r="QQS57" s="12"/>
      <c r="QQT57" s="12"/>
      <c r="QRK57" s="12"/>
      <c r="QRL57" s="12"/>
      <c r="QSC57" s="12"/>
      <c r="QSD57" s="12"/>
      <c r="QSU57" s="12"/>
      <c r="QSV57" s="12"/>
      <c r="QTM57" s="12"/>
      <c r="QTN57" s="12"/>
      <c r="QUE57" s="12"/>
      <c r="QUF57" s="12"/>
      <c r="QUW57" s="12"/>
      <c r="QUX57" s="12"/>
      <c r="QVO57" s="12"/>
      <c r="QVP57" s="12"/>
      <c r="QWG57" s="12"/>
      <c r="QWH57" s="12"/>
      <c r="QWY57" s="12"/>
      <c r="QWZ57" s="12"/>
      <c r="QXQ57" s="12"/>
      <c r="QXR57" s="12"/>
      <c r="QYI57" s="12"/>
      <c r="QYJ57" s="12"/>
      <c r="QZA57" s="12"/>
      <c r="QZB57" s="12"/>
      <c r="QZS57" s="12"/>
      <c r="QZT57" s="12"/>
      <c r="RAK57" s="12"/>
      <c r="RAL57" s="12"/>
      <c r="RBC57" s="12"/>
      <c r="RBD57" s="12"/>
      <c r="RBU57" s="12"/>
      <c r="RBV57" s="12"/>
      <c r="RCM57" s="12"/>
      <c r="RCN57" s="12"/>
      <c r="RDE57" s="12"/>
      <c r="RDF57" s="12"/>
      <c r="RDW57" s="12"/>
      <c r="RDX57" s="12"/>
      <c r="REO57" s="12"/>
      <c r="REP57" s="12"/>
      <c r="RFG57" s="12"/>
      <c r="RFH57" s="12"/>
      <c r="RFY57" s="12"/>
      <c r="RFZ57" s="12"/>
      <c r="RGQ57" s="12"/>
      <c r="RGR57" s="12"/>
      <c r="RHI57" s="12"/>
      <c r="RHJ57" s="12"/>
      <c r="RIA57" s="12"/>
      <c r="RIB57" s="12"/>
      <c r="RIS57" s="12"/>
      <c r="RIT57" s="12"/>
      <c r="RJK57" s="12"/>
      <c r="RJL57" s="12"/>
      <c r="RKC57" s="12"/>
      <c r="RKD57" s="12"/>
      <c r="RKU57" s="12"/>
      <c r="RKV57" s="12"/>
      <c r="RLM57" s="12"/>
      <c r="RLN57" s="12"/>
      <c r="RME57" s="12"/>
      <c r="RMF57" s="12"/>
      <c r="RMW57" s="12"/>
      <c r="RMX57" s="12"/>
      <c r="RNO57" s="12"/>
      <c r="RNP57" s="12"/>
      <c r="ROG57" s="12"/>
      <c r="ROH57" s="12"/>
      <c r="ROY57" s="12"/>
      <c r="ROZ57" s="12"/>
      <c r="RPQ57" s="12"/>
      <c r="RPR57" s="12"/>
      <c r="RQI57" s="12"/>
      <c r="RQJ57" s="12"/>
      <c r="RRA57" s="12"/>
      <c r="RRB57" s="12"/>
      <c r="RRS57" s="12"/>
      <c r="RRT57" s="12"/>
      <c r="RSK57" s="12"/>
      <c r="RSL57" s="12"/>
      <c r="RTC57" s="12"/>
      <c r="RTD57" s="12"/>
      <c r="RTU57" s="12"/>
      <c r="RTV57" s="12"/>
      <c r="RUM57" s="12"/>
      <c r="RUN57" s="12"/>
      <c r="RVE57" s="12"/>
      <c r="RVF57" s="12"/>
      <c r="RVW57" s="12"/>
      <c r="RVX57" s="12"/>
      <c r="RWO57" s="12"/>
      <c r="RWP57" s="12"/>
      <c r="RXG57" s="12"/>
      <c r="RXH57" s="12"/>
      <c r="RXY57" s="12"/>
      <c r="RXZ57" s="12"/>
      <c r="RYQ57" s="12"/>
      <c r="RYR57" s="12"/>
      <c r="RZI57" s="12"/>
      <c r="RZJ57" s="12"/>
      <c r="SAA57" s="12"/>
      <c r="SAB57" s="12"/>
      <c r="SAS57" s="12"/>
      <c r="SAT57" s="12"/>
      <c r="SBK57" s="12"/>
      <c r="SBL57" s="12"/>
      <c r="SCC57" s="12"/>
      <c r="SCD57" s="12"/>
      <c r="SCU57" s="12"/>
      <c r="SCV57" s="12"/>
      <c r="SDM57" s="12"/>
      <c r="SDN57" s="12"/>
      <c r="SEE57" s="12"/>
      <c r="SEF57" s="12"/>
      <c r="SEW57" s="12"/>
      <c r="SEX57" s="12"/>
      <c r="SFO57" s="12"/>
      <c r="SFP57" s="12"/>
      <c r="SGG57" s="12"/>
      <c r="SGH57" s="12"/>
      <c r="SGY57" s="12"/>
      <c r="SGZ57" s="12"/>
      <c r="SHQ57" s="12"/>
      <c r="SHR57" s="12"/>
      <c r="SII57" s="12"/>
      <c r="SIJ57" s="12"/>
      <c r="SJA57" s="12"/>
      <c r="SJB57" s="12"/>
      <c r="SJS57" s="12"/>
      <c r="SJT57" s="12"/>
      <c r="SKK57" s="12"/>
      <c r="SKL57" s="12"/>
      <c r="SLC57" s="12"/>
      <c r="SLD57" s="12"/>
      <c r="SLU57" s="12"/>
      <c r="SLV57" s="12"/>
      <c r="SMM57" s="12"/>
      <c r="SMN57" s="12"/>
      <c r="SNE57" s="12"/>
      <c r="SNF57" s="12"/>
      <c r="SNW57" s="12"/>
      <c r="SNX57" s="12"/>
      <c r="SOO57" s="12"/>
      <c r="SOP57" s="12"/>
      <c r="SPG57" s="12"/>
      <c r="SPH57" s="12"/>
      <c r="SPY57" s="12"/>
      <c r="SPZ57" s="12"/>
      <c r="SQQ57" s="12"/>
      <c r="SQR57" s="12"/>
      <c r="SRI57" s="12"/>
      <c r="SRJ57" s="12"/>
      <c r="SSA57" s="12"/>
      <c r="SSB57" s="12"/>
      <c r="SSS57" s="12"/>
      <c r="SST57" s="12"/>
      <c r="STK57" s="12"/>
      <c r="STL57" s="12"/>
      <c r="SUC57" s="12"/>
      <c r="SUD57" s="12"/>
      <c r="SUU57" s="12"/>
      <c r="SUV57" s="12"/>
      <c r="SVM57" s="12"/>
      <c r="SVN57" s="12"/>
      <c r="SWE57" s="12"/>
      <c r="SWF57" s="12"/>
      <c r="SWW57" s="12"/>
      <c r="SWX57" s="12"/>
      <c r="SXO57" s="12"/>
      <c r="SXP57" s="12"/>
      <c r="SYG57" s="12"/>
      <c r="SYH57" s="12"/>
      <c r="SYY57" s="12"/>
      <c r="SYZ57" s="12"/>
      <c r="SZQ57" s="12"/>
      <c r="SZR57" s="12"/>
      <c r="TAI57" s="12"/>
      <c r="TAJ57" s="12"/>
      <c r="TBA57" s="12"/>
      <c r="TBB57" s="12"/>
      <c r="TBS57" s="12"/>
      <c r="TBT57" s="12"/>
      <c r="TCK57" s="12"/>
      <c r="TCL57" s="12"/>
      <c r="TDC57" s="12"/>
      <c r="TDD57" s="12"/>
      <c r="TDU57" s="12"/>
      <c r="TDV57" s="12"/>
      <c r="TEM57" s="12"/>
      <c r="TEN57" s="12"/>
      <c r="TFE57" s="12"/>
      <c r="TFF57" s="12"/>
      <c r="TFW57" s="12"/>
      <c r="TFX57" s="12"/>
      <c r="TGO57" s="12"/>
      <c r="TGP57" s="12"/>
      <c r="THG57" s="12"/>
      <c r="THH57" s="12"/>
      <c r="THY57" s="12"/>
      <c r="THZ57" s="12"/>
      <c r="TIQ57" s="12"/>
      <c r="TIR57" s="12"/>
      <c r="TJI57" s="12"/>
      <c r="TJJ57" s="12"/>
      <c r="TKA57" s="12"/>
      <c r="TKB57" s="12"/>
      <c r="TKS57" s="12"/>
      <c r="TKT57" s="12"/>
      <c r="TLK57" s="12"/>
      <c r="TLL57" s="12"/>
      <c r="TMC57" s="12"/>
      <c r="TMD57" s="12"/>
      <c r="TMU57" s="12"/>
      <c r="TMV57" s="12"/>
      <c r="TNM57" s="12"/>
      <c r="TNN57" s="12"/>
      <c r="TOE57" s="12"/>
      <c r="TOF57" s="12"/>
      <c r="TOW57" s="12"/>
      <c r="TOX57" s="12"/>
      <c r="TPO57" s="12"/>
      <c r="TPP57" s="12"/>
      <c r="TQG57" s="12"/>
      <c r="TQH57" s="12"/>
      <c r="TQY57" s="12"/>
      <c r="TQZ57" s="12"/>
      <c r="TRQ57" s="12"/>
      <c r="TRR57" s="12"/>
      <c r="TSI57" s="12"/>
      <c r="TSJ57" s="12"/>
      <c r="TTA57" s="12"/>
      <c r="TTB57" s="12"/>
      <c r="TTS57" s="12"/>
      <c r="TTT57" s="12"/>
      <c r="TUK57" s="12"/>
      <c r="TUL57" s="12"/>
      <c r="TVC57" s="12"/>
      <c r="TVD57" s="12"/>
      <c r="TVU57" s="12"/>
      <c r="TVV57" s="12"/>
      <c r="TWM57" s="12"/>
      <c r="TWN57" s="12"/>
      <c r="TXE57" s="12"/>
      <c r="TXF57" s="12"/>
      <c r="TXW57" s="12"/>
      <c r="TXX57" s="12"/>
      <c r="TYO57" s="12"/>
      <c r="TYP57" s="12"/>
      <c r="TZG57" s="12"/>
      <c r="TZH57" s="12"/>
      <c r="TZY57" s="12"/>
      <c r="TZZ57" s="12"/>
      <c r="UAQ57" s="12"/>
      <c r="UAR57" s="12"/>
      <c r="UBI57" s="12"/>
      <c r="UBJ57" s="12"/>
      <c r="UCA57" s="12"/>
      <c r="UCB57" s="12"/>
      <c r="UCS57" s="12"/>
      <c r="UCT57" s="12"/>
      <c r="UDK57" s="12"/>
      <c r="UDL57" s="12"/>
      <c r="UEC57" s="12"/>
      <c r="UED57" s="12"/>
      <c r="UEU57" s="12"/>
      <c r="UEV57" s="12"/>
      <c r="UFM57" s="12"/>
      <c r="UFN57" s="12"/>
      <c r="UGE57" s="12"/>
      <c r="UGF57" s="12"/>
      <c r="UGW57" s="12"/>
      <c r="UGX57" s="12"/>
      <c r="UHO57" s="12"/>
      <c r="UHP57" s="12"/>
      <c r="UIG57" s="12"/>
      <c r="UIH57" s="12"/>
      <c r="UIY57" s="12"/>
      <c r="UIZ57" s="12"/>
      <c r="UJQ57" s="12"/>
      <c r="UJR57" s="12"/>
      <c r="UKI57" s="12"/>
      <c r="UKJ57" s="12"/>
      <c r="ULA57" s="12"/>
      <c r="ULB57" s="12"/>
      <c r="ULS57" s="12"/>
      <c r="ULT57" s="12"/>
      <c r="UMK57" s="12"/>
      <c r="UML57" s="12"/>
      <c r="UNC57" s="12"/>
      <c r="UND57" s="12"/>
      <c r="UNU57" s="12"/>
      <c r="UNV57" s="12"/>
      <c r="UOM57" s="12"/>
      <c r="UON57" s="12"/>
      <c r="UPE57" s="12"/>
      <c r="UPF57" s="12"/>
      <c r="UPW57" s="12"/>
      <c r="UPX57" s="12"/>
      <c r="UQO57" s="12"/>
      <c r="UQP57" s="12"/>
      <c r="URG57" s="12"/>
      <c r="URH57" s="12"/>
      <c r="URY57" s="12"/>
      <c r="URZ57" s="12"/>
      <c r="USQ57" s="12"/>
      <c r="USR57" s="12"/>
      <c r="UTI57" s="12"/>
      <c r="UTJ57" s="12"/>
      <c r="UUA57" s="12"/>
      <c r="UUB57" s="12"/>
      <c r="UUS57" s="12"/>
      <c r="UUT57" s="12"/>
      <c r="UVK57" s="12"/>
      <c r="UVL57" s="12"/>
      <c r="UWC57" s="12"/>
      <c r="UWD57" s="12"/>
      <c r="UWU57" s="12"/>
      <c r="UWV57" s="12"/>
      <c r="UXM57" s="12"/>
      <c r="UXN57" s="12"/>
      <c r="UYE57" s="12"/>
      <c r="UYF57" s="12"/>
      <c r="UYW57" s="12"/>
      <c r="UYX57" s="12"/>
      <c r="UZO57" s="12"/>
      <c r="UZP57" s="12"/>
      <c r="VAG57" s="12"/>
      <c r="VAH57" s="12"/>
      <c r="VAY57" s="12"/>
      <c r="VAZ57" s="12"/>
      <c r="VBQ57" s="12"/>
      <c r="VBR57" s="12"/>
      <c r="VCI57" s="12"/>
      <c r="VCJ57" s="12"/>
      <c r="VDA57" s="12"/>
      <c r="VDB57" s="12"/>
      <c r="VDS57" s="12"/>
      <c r="VDT57" s="12"/>
      <c r="VEK57" s="12"/>
      <c r="VEL57" s="12"/>
      <c r="VFC57" s="12"/>
      <c r="VFD57" s="12"/>
      <c r="VFU57" s="12"/>
      <c r="VFV57" s="12"/>
      <c r="VGM57" s="12"/>
      <c r="VGN57" s="12"/>
      <c r="VHE57" s="12"/>
      <c r="VHF57" s="12"/>
      <c r="VHW57" s="12"/>
      <c r="VHX57" s="12"/>
      <c r="VIO57" s="12"/>
      <c r="VIP57" s="12"/>
      <c r="VJG57" s="12"/>
      <c r="VJH57" s="12"/>
      <c r="VJY57" s="12"/>
      <c r="VJZ57" s="12"/>
      <c r="VKQ57" s="12"/>
      <c r="VKR57" s="12"/>
      <c r="VLI57" s="12"/>
      <c r="VLJ57" s="12"/>
      <c r="VMA57" s="12"/>
      <c r="VMB57" s="12"/>
      <c r="VMS57" s="12"/>
      <c r="VMT57" s="12"/>
      <c r="VNK57" s="12"/>
      <c r="VNL57" s="12"/>
      <c r="VOC57" s="12"/>
      <c r="VOD57" s="12"/>
      <c r="VOU57" s="12"/>
      <c r="VOV57" s="12"/>
      <c r="VPM57" s="12"/>
      <c r="VPN57" s="12"/>
      <c r="VQE57" s="12"/>
      <c r="VQF57" s="12"/>
      <c r="VQW57" s="12"/>
      <c r="VQX57" s="12"/>
      <c r="VRO57" s="12"/>
      <c r="VRP57" s="12"/>
      <c r="VSG57" s="12"/>
      <c r="VSH57" s="12"/>
      <c r="VSY57" s="12"/>
      <c r="VSZ57" s="12"/>
      <c r="VTQ57" s="12"/>
      <c r="VTR57" s="12"/>
      <c r="VUI57" s="12"/>
      <c r="VUJ57" s="12"/>
      <c r="VVA57" s="12"/>
      <c r="VVB57" s="12"/>
      <c r="VVS57" s="12"/>
      <c r="VVT57" s="12"/>
      <c r="VWK57" s="12"/>
      <c r="VWL57" s="12"/>
      <c r="VXC57" s="12"/>
      <c r="VXD57" s="12"/>
      <c r="VXU57" s="12"/>
      <c r="VXV57" s="12"/>
      <c r="VYM57" s="12"/>
      <c r="VYN57" s="12"/>
      <c r="VZE57" s="12"/>
      <c r="VZF57" s="12"/>
      <c r="VZW57" s="12"/>
      <c r="VZX57" s="12"/>
      <c r="WAO57" s="12"/>
      <c r="WAP57" s="12"/>
      <c r="WBG57" s="12"/>
      <c r="WBH57" s="12"/>
      <c r="WBY57" s="12"/>
      <c r="WBZ57" s="12"/>
      <c r="WCQ57" s="12"/>
      <c r="WCR57" s="12"/>
      <c r="WDI57" s="12"/>
      <c r="WDJ57" s="12"/>
      <c r="WEA57" s="12"/>
      <c r="WEB57" s="12"/>
      <c r="WES57" s="12"/>
      <c r="WET57" s="12"/>
      <c r="WFK57" s="12"/>
      <c r="WFL57" s="12"/>
      <c r="WGC57" s="12"/>
      <c r="WGD57" s="12"/>
      <c r="WGU57" s="12"/>
      <c r="WGV57" s="12"/>
      <c r="WHM57" s="12"/>
      <c r="WHN57" s="12"/>
      <c r="WIE57" s="12"/>
      <c r="WIF57" s="12"/>
      <c r="WIW57" s="12"/>
      <c r="WIX57" s="12"/>
      <c r="WJO57" s="12"/>
      <c r="WJP57" s="12"/>
      <c r="WKG57" s="12"/>
      <c r="WKH57" s="12"/>
      <c r="WKY57" s="12"/>
      <c r="WKZ57" s="12"/>
      <c r="WLQ57" s="12"/>
      <c r="WLR57" s="12"/>
      <c r="WMI57" s="12"/>
      <c r="WMJ57" s="12"/>
      <c r="WNA57" s="12"/>
      <c r="WNB57" s="12"/>
      <c r="WNS57" s="12"/>
      <c r="WNT57" s="12"/>
      <c r="WOK57" s="12"/>
      <c r="WOL57" s="12"/>
      <c r="WPC57" s="12"/>
      <c r="WPD57" s="12"/>
      <c r="WPU57" s="12"/>
      <c r="WPV57" s="12"/>
      <c r="WQM57" s="12"/>
      <c r="WQN57" s="12"/>
      <c r="WRE57" s="12"/>
      <c r="WRF57" s="12"/>
      <c r="WRW57" s="12"/>
      <c r="WRX57" s="12"/>
      <c r="WSO57" s="12"/>
      <c r="WSP57" s="12"/>
      <c r="WTG57" s="12"/>
      <c r="WTH57" s="12"/>
      <c r="WTY57" s="12"/>
      <c r="WTZ57" s="12"/>
      <c r="WUQ57" s="12"/>
      <c r="WUR57" s="12"/>
      <c r="WVI57" s="12"/>
      <c r="WVJ57" s="12"/>
      <c r="WWA57" s="12"/>
      <c r="WWB57" s="12"/>
      <c r="WWS57" s="12"/>
      <c r="WWT57" s="12"/>
      <c r="WXK57" s="12"/>
      <c r="WXL57" s="12"/>
      <c r="WYC57" s="12"/>
      <c r="WYD57" s="12"/>
      <c r="WYU57" s="12"/>
      <c r="WYV57" s="12"/>
      <c r="WZM57" s="12"/>
      <c r="WZN57" s="12"/>
      <c r="XAE57" s="12"/>
      <c r="XAF57" s="12"/>
      <c r="XAW57" s="12"/>
      <c r="XAX57" s="12"/>
      <c r="XBO57" s="12"/>
      <c r="XBP57" s="12"/>
      <c r="XCG57" s="12"/>
      <c r="XCH57" s="12"/>
      <c r="XCY57" s="12"/>
      <c r="XCZ57" s="12"/>
      <c r="XDQ57" s="12"/>
      <c r="XDR57" s="12"/>
      <c r="XEI57" s="12"/>
      <c r="XEJ57" s="12"/>
      <c r="XFA57" s="12"/>
      <c r="XFB57" s="12"/>
    </row>
    <row r="58" spans="1:1010 1027:2036 2053:3062 3079:4088 4105:5114 5131:6140 6157:7166 7183:8192 8209:9200 9217:10226 10243:11252 11269:12278 12295:13304 13321:14330 14347:15356 15373:16382" x14ac:dyDescent="0.35">
      <c r="A58" s="51" t="str">
        <f>'Income - GAAP'!A58</f>
        <v>Net Income, GAAP</v>
      </c>
      <c r="B58" s="51" t="str">
        <f>'Income - GAAP'!B58</f>
        <v>NET_INCOME</v>
      </c>
      <c r="C58" s="81">
        <f>IF('Income - GAAP'!C58="",0,'Income - GAAP'!C58)/'Income - GAAP'!C$9</f>
        <v>3.9245871989558707E-2</v>
      </c>
      <c r="D58" s="81">
        <f>IF('Income - GAAP'!D58="",0,'Income - GAAP'!D58)/'Income - GAAP'!D$9</f>
        <v>4.4748400050194502E-2</v>
      </c>
      <c r="E58" s="81">
        <f>IF('Income - GAAP'!E58="",0,'Income - GAAP'!E58)/'Income - GAAP'!E$9</f>
        <v>3.7021754411590183E-2</v>
      </c>
      <c r="F58" s="81">
        <f>IF('Income - GAAP'!F58="",0,'Income - GAAP'!F58)/'Income - GAAP'!F$9</f>
        <v>4.8910987407447442E-3</v>
      </c>
      <c r="G58" s="81">
        <f>IF('Income - GAAP'!G58="",0,'Income - GAAP'!G58)/'Income - GAAP'!G$9</f>
        <v>8.1376977071448434E-2</v>
      </c>
      <c r="H58" s="81">
        <f>IF('Income - GAAP'!H58="",0,'Income - GAAP'!H58)/'Income - GAAP'!H$9</f>
        <v>7.4997445591090228E-2</v>
      </c>
      <c r="I58" s="81">
        <f>IF('Income - GAAP'!I58="",0,'Income - GAAP'!I58)/'Income - GAAP'!I$9</f>
        <v>8.4942711124200918E-2</v>
      </c>
      <c r="J58" s="81">
        <f>IF('Income - GAAP'!J58="",0,'Income - GAAP'!J58)/'Income - GAAP'!J$9</f>
        <v>0.10737385845087558</v>
      </c>
      <c r="K58" s="81">
        <f>IF('Income - GAAP'!K58="",0,'Income - GAAP'!K58)/'Income - GAAP'!K$9</f>
        <v>0.10914155440687628</v>
      </c>
      <c r="L58" s="81">
        <f>IF('Income - GAAP'!L58="",0,'Income - GAAP'!L58)/'Income - GAAP'!L$9</f>
        <v>0.1094847775175644</v>
      </c>
      <c r="M58" s="128"/>
      <c r="N58" s="128"/>
      <c r="O58" s="128"/>
      <c r="P58" s="128"/>
      <c r="Q58" s="128"/>
      <c r="R58" s="128"/>
      <c r="S58" s="37"/>
      <c r="T58" s="37"/>
      <c r="U58" s="37"/>
      <c r="V58" s="37"/>
      <c r="W58" s="37"/>
      <c r="X58" s="37"/>
      <c r="Y58" s="37"/>
      <c r="Z58" s="37"/>
      <c r="AA58" s="37"/>
      <c r="AB58" s="37"/>
      <c r="AC58" s="37"/>
      <c r="AD58" s="37"/>
      <c r="AE58" s="37"/>
      <c r="AF58" s="37"/>
      <c r="AG58" s="37"/>
      <c r="AH58" s="37"/>
      <c r="AI58" s="37"/>
      <c r="AJ58" s="37"/>
      <c r="AK58" s="37"/>
    </row>
    <row r="59" spans="1:1010 1027:2036 2053:3062 3079:4088 4105:5114 5131:6140 6157:7166 7183:8192 8209:9200 9217:10226 10243:11252 11269:12278 12295:13304 13321:14330 14347:15356 15373:16382" x14ac:dyDescent="0.35">
      <c r="A59" s="24" t="str">
        <f>'Income - GAAP'!A59</f>
        <v>check</v>
      </c>
      <c r="B59" s="24"/>
      <c r="C59" s="83"/>
      <c r="D59" s="83"/>
      <c r="E59" s="83"/>
      <c r="F59" s="83"/>
      <c r="G59" s="83"/>
      <c r="H59" s="83"/>
      <c r="I59" s="83"/>
      <c r="J59" s="83"/>
      <c r="K59" s="83"/>
      <c r="L59" s="83"/>
      <c r="M59" s="129"/>
      <c r="N59" s="129"/>
      <c r="O59" s="129"/>
      <c r="P59" s="129"/>
      <c r="Q59" s="129"/>
      <c r="R59" s="129"/>
      <c r="S59" s="37"/>
      <c r="T59" s="37"/>
      <c r="U59" s="37"/>
      <c r="V59" s="37"/>
      <c r="W59" s="37"/>
      <c r="X59" s="37"/>
      <c r="Y59" s="37"/>
      <c r="Z59" s="37"/>
      <c r="AA59" s="37"/>
      <c r="AB59" s="37"/>
      <c r="AC59" s="37"/>
      <c r="AD59" s="37"/>
      <c r="AE59" s="37"/>
      <c r="AF59" s="37"/>
      <c r="AG59" s="37"/>
      <c r="AH59" s="37"/>
      <c r="AI59" s="37"/>
      <c r="AJ59" s="37"/>
      <c r="AK59" s="37"/>
    </row>
    <row r="60" spans="1:1010 1027:2036 2053:3062 3079:4088 4105:5114 5131:6140 6157:7166 7183:8192 8209:9200 9217:10226 10243:11252 11269:12278 12295:13304 13321:14330 14347:15356 15373:16382" s="11" customFormat="1" x14ac:dyDescent="0.35">
      <c r="A60" s="183" t="str">
        <f>'Income - GAAP'!A60</f>
        <v xml:space="preserve">  - Preferred Dividends</v>
      </c>
      <c r="B60" s="75" t="str">
        <f>'Income - GAAP'!B60</f>
        <v>IS_TOT_CASH_PFD_DVD</v>
      </c>
      <c r="C60" s="76">
        <f>IF('Income - GAAP'!C60="",0,'Income - GAAP'!C60)/'Income - GAAP'!C$9</f>
        <v>0</v>
      </c>
      <c r="D60" s="76">
        <f>IF('Income - GAAP'!D60="",0,'Income - GAAP'!D60)/'Income - GAAP'!D$9</f>
        <v>0</v>
      </c>
      <c r="E60" s="76">
        <f>IF('Income - GAAP'!E60="",0,'Income - GAAP'!E60)/'Income - GAAP'!E$9</f>
        <v>0</v>
      </c>
      <c r="F60" s="76">
        <f>IF('Income - GAAP'!F60="",0,'Income - GAAP'!F60)/'Income - GAAP'!F$9</f>
        <v>0</v>
      </c>
      <c r="G60" s="76">
        <f>IF('Income - GAAP'!G60="",0,'Income - GAAP'!G60)/'Income - GAAP'!G$9</f>
        <v>0</v>
      </c>
      <c r="H60" s="76">
        <f>IF('Income - GAAP'!H60="",0,'Income - GAAP'!H60)/'Income - GAAP'!H$9</f>
        <v>0</v>
      </c>
      <c r="I60" s="76">
        <f>IF('Income - GAAP'!I60="",0,'Income - GAAP'!I60)/'Income - GAAP'!I$9</f>
        <v>0</v>
      </c>
      <c r="J60" s="76">
        <f>IF('Income - GAAP'!J60="",0,'Income - GAAP'!J60)/'Income - GAAP'!J$9</f>
        <v>0</v>
      </c>
      <c r="K60" s="76">
        <f>IF('Income - GAAP'!K60="",0,'Income - GAAP'!K60)/'Income - GAAP'!K$9</f>
        <v>0</v>
      </c>
      <c r="L60" s="76">
        <f>IF('Income - GAAP'!L60="",0,'Income - GAAP'!L60)/'Income - GAAP'!L$9</f>
        <v>0</v>
      </c>
      <c r="M60" s="108"/>
      <c r="N60" s="108"/>
      <c r="O60" s="108"/>
      <c r="P60" s="108"/>
      <c r="Q60" s="108"/>
      <c r="R60" s="108"/>
      <c r="S60" s="109"/>
      <c r="T60" s="109"/>
      <c r="U60" s="108"/>
      <c r="V60" s="108"/>
      <c r="W60" s="108"/>
      <c r="X60" s="108"/>
      <c r="Y60" s="108"/>
      <c r="Z60" s="108"/>
      <c r="AA60" s="108"/>
      <c r="AB60" s="108"/>
      <c r="AC60" s="108"/>
      <c r="AD60" s="108"/>
      <c r="AE60" s="108"/>
      <c r="AF60" s="108"/>
      <c r="AG60" s="108"/>
      <c r="AH60" s="108"/>
      <c r="AI60" s="108"/>
      <c r="AJ60" s="108"/>
      <c r="AK60" s="109"/>
      <c r="AL60" s="12"/>
      <c r="BC60" s="12"/>
      <c r="BD60" s="12"/>
      <c r="BU60" s="12"/>
      <c r="BV60" s="12"/>
      <c r="CM60" s="12"/>
      <c r="CN60" s="12"/>
      <c r="DE60" s="12"/>
      <c r="DF60" s="12"/>
      <c r="DW60" s="12"/>
      <c r="DX60" s="12"/>
      <c r="EO60" s="12"/>
      <c r="EP60" s="12"/>
      <c r="FG60" s="12"/>
      <c r="FH60" s="12"/>
      <c r="FY60" s="12"/>
      <c r="FZ60" s="12"/>
      <c r="GQ60" s="12"/>
      <c r="GR60" s="12"/>
      <c r="HI60" s="12"/>
      <c r="HJ60" s="12"/>
      <c r="IA60" s="12"/>
      <c r="IB60" s="12"/>
      <c r="IS60" s="12"/>
      <c r="IT60" s="12"/>
      <c r="JK60" s="12"/>
      <c r="JL60" s="12"/>
      <c r="KC60" s="12"/>
      <c r="KD60" s="12"/>
      <c r="KU60" s="12"/>
      <c r="KV60" s="12"/>
      <c r="LM60" s="12"/>
      <c r="LN60" s="12"/>
      <c r="ME60" s="12"/>
      <c r="MF60" s="12"/>
      <c r="MW60" s="12"/>
      <c r="MX60" s="12"/>
      <c r="NO60" s="12"/>
      <c r="NP60" s="12"/>
      <c r="OG60" s="12"/>
      <c r="OH60" s="12"/>
      <c r="OY60" s="12"/>
      <c r="OZ60" s="12"/>
      <c r="PQ60" s="12"/>
      <c r="PR60" s="12"/>
      <c r="QI60" s="12"/>
      <c r="QJ60" s="12"/>
      <c r="RA60" s="12"/>
      <c r="RB60" s="12"/>
      <c r="RS60" s="12"/>
      <c r="RT60" s="12"/>
      <c r="SK60" s="12"/>
      <c r="SL60" s="12"/>
      <c r="TC60" s="12"/>
      <c r="TD60" s="12"/>
      <c r="TU60" s="12"/>
      <c r="TV60" s="12"/>
      <c r="UM60" s="12"/>
      <c r="UN60" s="12"/>
      <c r="VE60" s="12"/>
      <c r="VF60" s="12"/>
      <c r="VW60" s="12"/>
      <c r="VX60" s="12"/>
      <c r="WO60" s="12"/>
      <c r="WP60" s="12"/>
      <c r="XG60" s="12"/>
      <c r="XH60" s="12"/>
      <c r="XY60" s="12"/>
      <c r="XZ60" s="12"/>
      <c r="YQ60" s="12"/>
      <c r="YR60" s="12"/>
      <c r="ZI60" s="12"/>
      <c r="ZJ60" s="12"/>
      <c r="AAA60" s="12"/>
      <c r="AAB60" s="12"/>
      <c r="AAS60" s="12"/>
      <c r="AAT60" s="12"/>
      <c r="ABK60" s="12"/>
      <c r="ABL60" s="12"/>
      <c r="ACC60" s="12"/>
      <c r="ACD60" s="12"/>
      <c r="ACU60" s="12"/>
      <c r="ACV60" s="12"/>
      <c r="ADM60" s="12"/>
      <c r="ADN60" s="12"/>
      <c r="AEE60" s="12"/>
      <c r="AEF60" s="12"/>
      <c r="AEW60" s="12"/>
      <c r="AEX60" s="12"/>
      <c r="AFO60" s="12"/>
      <c r="AFP60" s="12"/>
      <c r="AGG60" s="12"/>
      <c r="AGH60" s="12"/>
      <c r="AGY60" s="12"/>
      <c r="AGZ60" s="12"/>
      <c r="AHQ60" s="12"/>
      <c r="AHR60" s="12"/>
      <c r="AII60" s="12"/>
      <c r="AIJ60" s="12"/>
      <c r="AJA60" s="12"/>
      <c r="AJB60" s="12"/>
      <c r="AJS60" s="12"/>
      <c r="AJT60" s="12"/>
      <c r="AKK60" s="12"/>
      <c r="AKL60" s="12"/>
      <c r="ALC60" s="12"/>
      <c r="ALD60" s="12"/>
      <c r="ALU60" s="12"/>
      <c r="ALV60" s="12"/>
      <c r="AMM60" s="12"/>
      <c r="AMN60" s="12"/>
      <c r="ANE60" s="12"/>
      <c r="ANF60" s="12"/>
      <c r="ANW60" s="12"/>
      <c r="ANX60" s="12"/>
      <c r="AOO60" s="12"/>
      <c r="AOP60" s="12"/>
      <c r="APG60" s="12"/>
      <c r="APH60" s="12"/>
      <c r="APY60" s="12"/>
      <c r="APZ60" s="12"/>
      <c r="AQQ60" s="12"/>
      <c r="AQR60" s="12"/>
      <c r="ARI60" s="12"/>
      <c r="ARJ60" s="12"/>
      <c r="ASA60" s="12"/>
      <c r="ASB60" s="12"/>
      <c r="ASS60" s="12"/>
      <c r="AST60" s="12"/>
      <c r="ATK60" s="12"/>
      <c r="ATL60" s="12"/>
      <c r="AUC60" s="12"/>
      <c r="AUD60" s="12"/>
      <c r="AUU60" s="12"/>
      <c r="AUV60" s="12"/>
      <c r="AVM60" s="12"/>
      <c r="AVN60" s="12"/>
      <c r="AWE60" s="12"/>
      <c r="AWF60" s="12"/>
      <c r="AWW60" s="12"/>
      <c r="AWX60" s="12"/>
      <c r="AXO60" s="12"/>
      <c r="AXP60" s="12"/>
      <c r="AYG60" s="12"/>
      <c r="AYH60" s="12"/>
      <c r="AYY60" s="12"/>
      <c r="AYZ60" s="12"/>
      <c r="AZQ60" s="12"/>
      <c r="AZR60" s="12"/>
      <c r="BAI60" s="12"/>
      <c r="BAJ60" s="12"/>
      <c r="BBA60" s="12"/>
      <c r="BBB60" s="12"/>
      <c r="BBS60" s="12"/>
      <c r="BBT60" s="12"/>
      <c r="BCK60" s="12"/>
      <c r="BCL60" s="12"/>
      <c r="BDC60" s="12"/>
      <c r="BDD60" s="12"/>
      <c r="BDU60" s="12"/>
      <c r="BDV60" s="12"/>
      <c r="BEM60" s="12"/>
      <c r="BEN60" s="12"/>
      <c r="BFE60" s="12"/>
      <c r="BFF60" s="12"/>
      <c r="BFW60" s="12"/>
      <c r="BFX60" s="12"/>
      <c r="BGO60" s="12"/>
      <c r="BGP60" s="12"/>
      <c r="BHG60" s="12"/>
      <c r="BHH60" s="12"/>
      <c r="BHY60" s="12"/>
      <c r="BHZ60" s="12"/>
      <c r="BIQ60" s="12"/>
      <c r="BIR60" s="12"/>
      <c r="BJI60" s="12"/>
      <c r="BJJ60" s="12"/>
      <c r="BKA60" s="12"/>
      <c r="BKB60" s="12"/>
      <c r="BKS60" s="12"/>
      <c r="BKT60" s="12"/>
      <c r="BLK60" s="12"/>
      <c r="BLL60" s="12"/>
      <c r="BMC60" s="12"/>
      <c r="BMD60" s="12"/>
      <c r="BMU60" s="12"/>
      <c r="BMV60" s="12"/>
      <c r="BNM60" s="12"/>
      <c r="BNN60" s="12"/>
      <c r="BOE60" s="12"/>
      <c r="BOF60" s="12"/>
      <c r="BOW60" s="12"/>
      <c r="BOX60" s="12"/>
      <c r="BPO60" s="12"/>
      <c r="BPP60" s="12"/>
      <c r="BQG60" s="12"/>
      <c r="BQH60" s="12"/>
      <c r="BQY60" s="12"/>
      <c r="BQZ60" s="12"/>
      <c r="BRQ60" s="12"/>
      <c r="BRR60" s="12"/>
      <c r="BSI60" s="12"/>
      <c r="BSJ60" s="12"/>
      <c r="BTA60" s="12"/>
      <c r="BTB60" s="12"/>
      <c r="BTS60" s="12"/>
      <c r="BTT60" s="12"/>
      <c r="BUK60" s="12"/>
      <c r="BUL60" s="12"/>
      <c r="BVC60" s="12"/>
      <c r="BVD60" s="12"/>
      <c r="BVU60" s="12"/>
      <c r="BVV60" s="12"/>
      <c r="BWM60" s="12"/>
      <c r="BWN60" s="12"/>
      <c r="BXE60" s="12"/>
      <c r="BXF60" s="12"/>
      <c r="BXW60" s="12"/>
      <c r="BXX60" s="12"/>
      <c r="BYO60" s="12"/>
      <c r="BYP60" s="12"/>
      <c r="BZG60" s="12"/>
      <c r="BZH60" s="12"/>
      <c r="BZY60" s="12"/>
      <c r="BZZ60" s="12"/>
      <c r="CAQ60" s="12"/>
      <c r="CAR60" s="12"/>
      <c r="CBI60" s="12"/>
      <c r="CBJ60" s="12"/>
      <c r="CCA60" s="12"/>
      <c r="CCB60" s="12"/>
      <c r="CCS60" s="12"/>
      <c r="CCT60" s="12"/>
      <c r="CDK60" s="12"/>
      <c r="CDL60" s="12"/>
      <c r="CEC60" s="12"/>
      <c r="CED60" s="12"/>
      <c r="CEU60" s="12"/>
      <c r="CEV60" s="12"/>
      <c r="CFM60" s="12"/>
      <c r="CFN60" s="12"/>
      <c r="CGE60" s="12"/>
      <c r="CGF60" s="12"/>
      <c r="CGW60" s="12"/>
      <c r="CGX60" s="12"/>
      <c r="CHO60" s="12"/>
      <c r="CHP60" s="12"/>
      <c r="CIG60" s="12"/>
      <c r="CIH60" s="12"/>
      <c r="CIY60" s="12"/>
      <c r="CIZ60" s="12"/>
      <c r="CJQ60" s="12"/>
      <c r="CJR60" s="12"/>
      <c r="CKI60" s="12"/>
      <c r="CKJ60" s="12"/>
      <c r="CLA60" s="12"/>
      <c r="CLB60" s="12"/>
      <c r="CLS60" s="12"/>
      <c r="CLT60" s="12"/>
      <c r="CMK60" s="12"/>
      <c r="CML60" s="12"/>
      <c r="CNC60" s="12"/>
      <c r="CND60" s="12"/>
      <c r="CNU60" s="12"/>
      <c r="CNV60" s="12"/>
      <c r="COM60" s="12"/>
      <c r="CON60" s="12"/>
      <c r="CPE60" s="12"/>
      <c r="CPF60" s="12"/>
      <c r="CPW60" s="12"/>
      <c r="CPX60" s="12"/>
      <c r="CQO60" s="12"/>
      <c r="CQP60" s="12"/>
      <c r="CRG60" s="12"/>
      <c r="CRH60" s="12"/>
      <c r="CRY60" s="12"/>
      <c r="CRZ60" s="12"/>
      <c r="CSQ60" s="12"/>
      <c r="CSR60" s="12"/>
      <c r="CTI60" s="12"/>
      <c r="CTJ60" s="12"/>
      <c r="CUA60" s="12"/>
      <c r="CUB60" s="12"/>
      <c r="CUS60" s="12"/>
      <c r="CUT60" s="12"/>
      <c r="CVK60" s="12"/>
      <c r="CVL60" s="12"/>
      <c r="CWC60" s="12"/>
      <c r="CWD60" s="12"/>
      <c r="CWU60" s="12"/>
      <c r="CWV60" s="12"/>
      <c r="CXM60" s="12"/>
      <c r="CXN60" s="12"/>
      <c r="CYE60" s="12"/>
      <c r="CYF60" s="12"/>
      <c r="CYW60" s="12"/>
      <c r="CYX60" s="12"/>
      <c r="CZO60" s="12"/>
      <c r="CZP60" s="12"/>
      <c r="DAG60" s="12"/>
      <c r="DAH60" s="12"/>
      <c r="DAY60" s="12"/>
      <c r="DAZ60" s="12"/>
      <c r="DBQ60" s="12"/>
      <c r="DBR60" s="12"/>
      <c r="DCI60" s="12"/>
      <c r="DCJ60" s="12"/>
      <c r="DDA60" s="12"/>
      <c r="DDB60" s="12"/>
      <c r="DDS60" s="12"/>
      <c r="DDT60" s="12"/>
      <c r="DEK60" s="12"/>
      <c r="DEL60" s="12"/>
      <c r="DFC60" s="12"/>
      <c r="DFD60" s="12"/>
      <c r="DFU60" s="12"/>
      <c r="DFV60" s="12"/>
      <c r="DGM60" s="12"/>
      <c r="DGN60" s="12"/>
      <c r="DHE60" s="12"/>
      <c r="DHF60" s="12"/>
      <c r="DHW60" s="12"/>
      <c r="DHX60" s="12"/>
      <c r="DIO60" s="12"/>
      <c r="DIP60" s="12"/>
      <c r="DJG60" s="12"/>
      <c r="DJH60" s="12"/>
      <c r="DJY60" s="12"/>
      <c r="DJZ60" s="12"/>
      <c r="DKQ60" s="12"/>
      <c r="DKR60" s="12"/>
      <c r="DLI60" s="12"/>
      <c r="DLJ60" s="12"/>
      <c r="DMA60" s="12"/>
      <c r="DMB60" s="12"/>
      <c r="DMS60" s="12"/>
      <c r="DMT60" s="12"/>
      <c r="DNK60" s="12"/>
      <c r="DNL60" s="12"/>
      <c r="DOC60" s="12"/>
      <c r="DOD60" s="12"/>
      <c r="DOU60" s="12"/>
      <c r="DOV60" s="12"/>
      <c r="DPM60" s="12"/>
      <c r="DPN60" s="12"/>
      <c r="DQE60" s="12"/>
      <c r="DQF60" s="12"/>
      <c r="DQW60" s="12"/>
      <c r="DQX60" s="12"/>
      <c r="DRO60" s="12"/>
      <c r="DRP60" s="12"/>
      <c r="DSG60" s="12"/>
      <c r="DSH60" s="12"/>
      <c r="DSY60" s="12"/>
      <c r="DSZ60" s="12"/>
      <c r="DTQ60" s="12"/>
      <c r="DTR60" s="12"/>
      <c r="DUI60" s="12"/>
      <c r="DUJ60" s="12"/>
      <c r="DVA60" s="12"/>
      <c r="DVB60" s="12"/>
      <c r="DVS60" s="12"/>
      <c r="DVT60" s="12"/>
      <c r="DWK60" s="12"/>
      <c r="DWL60" s="12"/>
      <c r="DXC60" s="12"/>
      <c r="DXD60" s="12"/>
      <c r="DXU60" s="12"/>
      <c r="DXV60" s="12"/>
      <c r="DYM60" s="12"/>
      <c r="DYN60" s="12"/>
      <c r="DZE60" s="12"/>
      <c r="DZF60" s="12"/>
      <c r="DZW60" s="12"/>
      <c r="DZX60" s="12"/>
      <c r="EAO60" s="12"/>
      <c r="EAP60" s="12"/>
      <c r="EBG60" s="12"/>
      <c r="EBH60" s="12"/>
      <c r="EBY60" s="12"/>
      <c r="EBZ60" s="12"/>
      <c r="ECQ60" s="12"/>
      <c r="ECR60" s="12"/>
      <c r="EDI60" s="12"/>
      <c r="EDJ60" s="12"/>
      <c r="EEA60" s="12"/>
      <c r="EEB60" s="12"/>
      <c r="EES60" s="12"/>
      <c r="EET60" s="12"/>
      <c r="EFK60" s="12"/>
      <c r="EFL60" s="12"/>
      <c r="EGC60" s="12"/>
      <c r="EGD60" s="12"/>
      <c r="EGU60" s="12"/>
      <c r="EGV60" s="12"/>
      <c r="EHM60" s="12"/>
      <c r="EHN60" s="12"/>
      <c r="EIE60" s="12"/>
      <c r="EIF60" s="12"/>
      <c r="EIW60" s="12"/>
      <c r="EIX60" s="12"/>
      <c r="EJO60" s="12"/>
      <c r="EJP60" s="12"/>
      <c r="EKG60" s="12"/>
      <c r="EKH60" s="12"/>
      <c r="EKY60" s="12"/>
      <c r="EKZ60" s="12"/>
      <c r="ELQ60" s="12"/>
      <c r="ELR60" s="12"/>
      <c r="EMI60" s="12"/>
      <c r="EMJ60" s="12"/>
      <c r="ENA60" s="12"/>
      <c r="ENB60" s="12"/>
      <c r="ENS60" s="12"/>
      <c r="ENT60" s="12"/>
      <c r="EOK60" s="12"/>
      <c r="EOL60" s="12"/>
      <c r="EPC60" s="12"/>
      <c r="EPD60" s="12"/>
      <c r="EPU60" s="12"/>
      <c r="EPV60" s="12"/>
      <c r="EQM60" s="12"/>
      <c r="EQN60" s="12"/>
      <c r="ERE60" s="12"/>
      <c r="ERF60" s="12"/>
      <c r="ERW60" s="12"/>
      <c r="ERX60" s="12"/>
      <c r="ESO60" s="12"/>
      <c r="ESP60" s="12"/>
      <c r="ETG60" s="12"/>
      <c r="ETH60" s="12"/>
      <c r="ETY60" s="12"/>
      <c r="ETZ60" s="12"/>
      <c r="EUQ60" s="12"/>
      <c r="EUR60" s="12"/>
      <c r="EVI60" s="12"/>
      <c r="EVJ60" s="12"/>
      <c r="EWA60" s="12"/>
      <c r="EWB60" s="12"/>
      <c r="EWS60" s="12"/>
      <c r="EWT60" s="12"/>
      <c r="EXK60" s="12"/>
      <c r="EXL60" s="12"/>
      <c r="EYC60" s="12"/>
      <c r="EYD60" s="12"/>
      <c r="EYU60" s="12"/>
      <c r="EYV60" s="12"/>
      <c r="EZM60" s="12"/>
      <c r="EZN60" s="12"/>
      <c r="FAE60" s="12"/>
      <c r="FAF60" s="12"/>
      <c r="FAW60" s="12"/>
      <c r="FAX60" s="12"/>
      <c r="FBO60" s="12"/>
      <c r="FBP60" s="12"/>
      <c r="FCG60" s="12"/>
      <c r="FCH60" s="12"/>
      <c r="FCY60" s="12"/>
      <c r="FCZ60" s="12"/>
      <c r="FDQ60" s="12"/>
      <c r="FDR60" s="12"/>
      <c r="FEI60" s="12"/>
      <c r="FEJ60" s="12"/>
      <c r="FFA60" s="12"/>
      <c r="FFB60" s="12"/>
      <c r="FFS60" s="12"/>
      <c r="FFT60" s="12"/>
      <c r="FGK60" s="12"/>
      <c r="FGL60" s="12"/>
      <c r="FHC60" s="12"/>
      <c r="FHD60" s="12"/>
      <c r="FHU60" s="12"/>
      <c r="FHV60" s="12"/>
      <c r="FIM60" s="12"/>
      <c r="FIN60" s="12"/>
      <c r="FJE60" s="12"/>
      <c r="FJF60" s="12"/>
      <c r="FJW60" s="12"/>
      <c r="FJX60" s="12"/>
      <c r="FKO60" s="12"/>
      <c r="FKP60" s="12"/>
      <c r="FLG60" s="12"/>
      <c r="FLH60" s="12"/>
      <c r="FLY60" s="12"/>
      <c r="FLZ60" s="12"/>
      <c r="FMQ60" s="12"/>
      <c r="FMR60" s="12"/>
      <c r="FNI60" s="12"/>
      <c r="FNJ60" s="12"/>
      <c r="FOA60" s="12"/>
      <c r="FOB60" s="12"/>
      <c r="FOS60" s="12"/>
      <c r="FOT60" s="12"/>
      <c r="FPK60" s="12"/>
      <c r="FPL60" s="12"/>
      <c r="FQC60" s="12"/>
      <c r="FQD60" s="12"/>
      <c r="FQU60" s="12"/>
      <c r="FQV60" s="12"/>
      <c r="FRM60" s="12"/>
      <c r="FRN60" s="12"/>
      <c r="FSE60" s="12"/>
      <c r="FSF60" s="12"/>
      <c r="FSW60" s="12"/>
      <c r="FSX60" s="12"/>
      <c r="FTO60" s="12"/>
      <c r="FTP60" s="12"/>
      <c r="FUG60" s="12"/>
      <c r="FUH60" s="12"/>
      <c r="FUY60" s="12"/>
      <c r="FUZ60" s="12"/>
      <c r="FVQ60" s="12"/>
      <c r="FVR60" s="12"/>
      <c r="FWI60" s="12"/>
      <c r="FWJ60" s="12"/>
      <c r="FXA60" s="12"/>
      <c r="FXB60" s="12"/>
      <c r="FXS60" s="12"/>
      <c r="FXT60" s="12"/>
      <c r="FYK60" s="12"/>
      <c r="FYL60" s="12"/>
      <c r="FZC60" s="12"/>
      <c r="FZD60" s="12"/>
      <c r="FZU60" s="12"/>
      <c r="FZV60" s="12"/>
      <c r="GAM60" s="12"/>
      <c r="GAN60" s="12"/>
      <c r="GBE60" s="12"/>
      <c r="GBF60" s="12"/>
      <c r="GBW60" s="12"/>
      <c r="GBX60" s="12"/>
      <c r="GCO60" s="12"/>
      <c r="GCP60" s="12"/>
      <c r="GDG60" s="12"/>
      <c r="GDH60" s="12"/>
      <c r="GDY60" s="12"/>
      <c r="GDZ60" s="12"/>
      <c r="GEQ60" s="12"/>
      <c r="GER60" s="12"/>
      <c r="GFI60" s="12"/>
      <c r="GFJ60" s="12"/>
      <c r="GGA60" s="12"/>
      <c r="GGB60" s="12"/>
      <c r="GGS60" s="12"/>
      <c r="GGT60" s="12"/>
      <c r="GHK60" s="12"/>
      <c r="GHL60" s="12"/>
      <c r="GIC60" s="12"/>
      <c r="GID60" s="12"/>
      <c r="GIU60" s="12"/>
      <c r="GIV60" s="12"/>
      <c r="GJM60" s="12"/>
      <c r="GJN60" s="12"/>
      <c r="GKE60" s="12"/>
      <c r="GKF60" s="12"/>
      <c r="GKW60" s="12"/>
      <c r="GKX60" s="12"/>
      <c r="GLO60" s="12"/>
      <c r="GLP60" s="12"/>
      <c r="GMG60" s="12"/>
      <c r="GMH60" s="12"/>
      <c r="GMY60" s="12"/>
      <c r="GMZ60" s="12"/>
      <c r="GNQ60" s="12"/>
      <c r="GNR60" s="12"/>
      <c r="GOI60" s="12"/>
      <c r="GOJ60" s="12"/>
      <c r="GPA60" s="12"/>
      <c r="GPB60" s="12"/>
      <c r="GPS60" s="12"/>
      <c r="GPT60" s="12"/>
      <c r="GQK60" s="12"/>
      <c r="GQL60" s="12"/>
      <c r="GRC60" s="12"/>
      <c r="GRD60" s="12"/>
      <c r="GRU60" s="12"/>
      <c r="GRV60" s="12"/>
      <c r="GSM60" s="12"/>
      <c r="GSN60" s="12"/>
      <c r="GTE60" s="12"/>
      <c r="GTF60" s="12"/>
      <c r="GTW60" s="12"/>
      <c r="GTX60" s="12"/>
      <c r="GUO60" s="12"/>
      <c r="GUP60" s="12"/>
      <c r="GVG60" s="12"/>
      <c r="GVH60" s="12"/>
      <c r="GVY60" s="12"/>
      <c r="GVZ60" s="12"/>
      <c r="GWQ60" s="12"/>
      <c r="GWR60" s="12"/>
      <c r="GXI60" s="12"/>
      <c r="GXJ60" s="12"/>
      <c r="GYA60" s="12"/>
      <c r="GYB60" s="12"/>
      <c r="GYS60" s="12"/>
      <c r="GYT60" s="12"/>
      <c r="GZK60" s="12"/>
      <c r="GZL60" s="12"/>
      <c r="HAC60" s="12"/>
      <c r="HAD60" s="12"/>
      <c r="HAU60" s="12"/>
      <c r="HAV60" s="12"/>
      <c r="HBM60" s="12"/>
      <c r="HBN60" s="12"/>
      <c r="HCE60" s="12"/>
      <c r="HCF60" s="12"/>
      <c r="HCW60" s="12"/>
      <c r="HCX60" s="12"/>
      <c r="HDO60" s="12"/>
      <c r="HDP60" s="12"/>
      <c r="HEG60" s="12"/>
      <c r="HEH60" s="12"/>
      <c r="HEY60" s="12"/>
      <c r="HEZ60" s="12"/>
      <c r="HFQ60" s="12"/>
      <c r="HFR60" s="12"/>
      <c r="HGI60" s="12"/>
      <c r="HGJ60" s="12"/>
      <c r="HHA60" s="12"/>
      <c r="HHB60" s="12"/>
      <c r="HHS60" s="12"/>
      <c r="HHT60" s="12"/>
      <c r="HIK60" s="12"/>
      <c r="HIL60" s="12"/>
      <c r="HJC60" s="12"/>
      <c r="HJD60" s="12"/>
      <c r="HJU60" s="12"/>
      <c r="HJV60" s="12"/>
      <c r="HKM60" s="12"/>
      <c r="HKN60" s="12"/>
      <c r="HLE60" s="12"/>
      <c r="HLF60" s="12"/>
      <c r="HLW60" s="12"/>
      <c r="HLX60" s="12"/>
      <c r="HMO60" s="12"/>
      <c r="HMP60" s="12"/>
      <c r="HNG60" s="12"/>
      <c r="HNH60" s="12"/>
      <c r="HNY60" s="12"/>
      <c r="HNZ60" s="12"/>
      <c r="HOQ60" s="12"/>
      <c r="HOR60" s="12"/>
      <c r="HPI60" s="12"/>
      <c r="HPJ60" s="12"/>
      <c r="HQA60" s="12"/>
      <c r="HQB60" s="12"/>
      <c r="HQS60" s="12"/>
      <c r="HQT60" s="12"/>
      <c r="HRK60" s="12"/>
      <c r="HRL60" s="12"/>
      <c r="HSC60" s="12"/>
      <c r="HSD60" s="12"/>
      <c r="HSU60" s="12"/>
      <c r="HSV60" s="12"/>
      <c r="HTM60" s="12"/>
      <c r="HTN60" s="12"/>
      <c r="HUE60" s="12"/>
      <c r="HUF60" s="12"/>
      <c r="HUW60" s="12"/>
      <c r="HUX60" s="12"/>
      <c r="HVO60" s="12"/>
      <c r="HVP60" s="12"/>
      <c r="HWG60" s="12"/>
      <c r="HWH60" s="12"/>
      <c r="HWY60" s="12"/>
      <c r="HWZ60" s="12"/>
      <c r="HXQ60" s="12"/>
      <c r="HXR60" s="12"/>
      <c r="HYI60" s="12"/>
      <c r="HYJ60" s="12"/>
      <c r="HZA60" s="12"/>
      <c r="HZB60" s="12"/>
      <c r="HZS60" s="12"/>
      <c r="HZT60" s="12"/>
      <c r="IAK60" s="12"/>
      <c r="IAL60" s="12"/>
      <c r="IBC60" s="12"/>
      <c r="IBD60" s="12"/>
      <c r="IBU60" s="12"/>
      <c r="IBV60" s="12"/>
      <c r="ICM60" s="12"/>
      <c r="ICN60" s="12"/>
      <c r="IDE60" s="12"/>
      <c r="IDF60" s="12"/>
      <c r="IDW60" s="12"/>
      <c r="IDX60" s="12"/>
      <c r="IEO60" s="12"/>
      <c r="IEP60" s="12"/>
      <c r="IFG60" s="12"/>
      <c r="IFH60" s="12"/>
      <c r="IFY60" s="12"/>
      <c r="IFZ60" s="12"/>
      <c r="IGQ60" s="12"/>
      <c r="IGR60" s="12"/>
      <c r="IHI60" s="12"/>
      <c r="IHJ60" s="12"/>
      <c r="IIA60" s="12"/>
      <c r="IIB60" s="12"/>
      <c r="IIS60" s="12"/>
      <c r="IIT60" s="12"/>
      <c r="IJK60" s="12"/>
      <c r="IJL60" s="12"/>
      <c r="IKC60" s="12"/>
      <c r="IKD60" s="12"/>
      <c r="IKU60" s="12"/>
      <c r="IKV60" s="12"/>
      <c r="ILM60" s="12"/>
      <c r="ILN60" s="12"/>
      <c r="IME60" s="12"/>
      <c r="IMF60" s="12"/>
      <c r="IMW60" s="12"/>
      <c r="IMX60" s="12"/>
      <c r="INO60" s="12"/>
      <c r="INP60" s="12"/>
      <c r="IOG60" s="12"/>
      <c r="IOH60" s="12"/>
      <c r="IOY60" s="12"/>
      <c r="IOZ60" s="12"/>
      <c r="IPQ60" s="12"/>
      <c r="IPR60" s="12"/>
      <c r="IQI60" s="12"/>
      <c r="IQJ60" s="12"/>
      <c r="IRA60" s="12"/>
      <c r="IRB60" s="12"/>
      <c r="IRS60" s="12"/>
      <c r="IRT60" s="12"/>
      <c r="ISK60" s="12"/>
      <c r="ISL60" s="12"/>
      <c r="ITC60" s="12"/>
      <c r="ITD60" s="12"/>
      <c r="ITU60" s="12"/>
      <c r="ITV60" s="12"/>
      <c r="IUM60" s="12"/>
      <c r="IUN60" s="12"/>
      <c r="IVE60" s="12"/>
      <c r="IVF60" s="12"/>
      <c r="IVW60" s="12"/>
      <c r="IVX60" s="12"/>
      <c r="IWO60" s="12"/>
      <c r="IWP60" s="12"/>
      <c r="IXG60" s="12"/>
      <c r="IXH60" s="12"/>
      <c r="IXY60" s="12"/>
      <c r="IXZ60" s="12"/>
      <c r="IYQ60" s="12"/>
      <c r="IYR60" s="12"/>
      <c r="IZI60" s="12"/>
      <c r="IZJ60" s="12"/>
      <c r="JAA60" s="12"/>
      <c r="JAB60" s="12"/>
      <c r="JAS60" s="12"/>
      <c r="JAT60" s="12"/>
      <c r="JBK60" s="12"/>
      <c r="JBL60" s="12"/>
      <c r="JCC60" s="12"/>
      <c r="JCD60" s="12"/>
      <c r="JCU60" s="12"/>
      <c r="JCV60" s="12"/>
      <c r="JDM60" s="12"/>
      <c r="JDN60" s="12"/>
      <c r="JEE60" s="12"/>
      <c r="JEF60" s="12"/>
      <c r="JEW60" s="12"/>
      <c r="JEX60" s="12"/>
      <c r="JFO60" s="12"/>
      <c r="JFP60" s="12"/>
      <c r="JGG60" s="12"/>
      <c r="JGH60" s="12"/>
      <c r="JGY60" s="12"/>
      <c r="JGZ60" s="12"/>
      <c r="JHQ60" s="12"/>
      <c r="JHR60" s="12"/>
      <c r="JII60" s="12"/>
      <c r="JIJ60" s="12"/>
      <c r="JJA60" s="12"/>
      <c r="JJB60" s="12"/>
      <c r="JJS60" s="12"/>
      <c r="JJT60" s="12"/>
      <c r="JKK60" s="12"/>
      <c r="JKL60" s="12"/>
      <c r="JLC60" s="12"/>
      <c r="JLD60" s="12"/>
      <c r="JLU60" s="12"/>
      <c r="JLV60" s="12"/>
      <c r="JMM60" s="12"/>
      <c r="JMN60" s="12"/>
      <c r="JNE60" s="12"/>
      <c r="JNF60" s="12"/>
      <c r="JNW60" s="12"/>
      <c r="JNX60" s="12"/>
      <c r="JOO60" s="12"/>
      <c r="JOP60" s="12"/>
      <c r="JPG60" s="12"/>
      <c r="JPH60" s="12"/>
      <c r="JPY60" s="12"/>
      <c r="JPZ60" s="12"/>
      <c r="JQQ60" s="12"/>
      <c r="JQR60" s="12"/>
      <c r="JRI60" s="12"/>
      <c r="JRJ60" s="12"/>
      <c r="JSA60" s="12"/>
      <c r="JSB60" s="12"/>
      <c r="JSS60" s="12"/>
      <c r="JST60" s="12"/>
      <c r="JTK60" s="12"/>
      <c r="JTL60" s="12"/>
      <c r="JUC60" s="12"/>
      <c r="JUD60" s="12"/>
      <c r="JUU60" s="12"/>
      <c r="JUV60" s="12"/>
      <c r="JVM60" s="12"/>
      <c r="JVN60" s="12"/>
      <c r="JWE60" s="12"/>
      <c r="JWF60" s="12"/>
      <c r="JWW60" s="12"/>
      <c r="JWX60" s="12"/>
      <c r="JXO60" s="12"/>
      <c r="JXP60" s="12"/>
      <c r="JYG60" s="12"/>
      <c r="JYH60" s="12"/>
      <c r="JYY60" s="12"/>
      <c r="JYZ60" s="12"/>
      <c r="JZQ60" s="12"/>
      <c r="JZR60" s="12"/>
      <c r="KAI60" s="12"/>
      <c r="KAJ60" s="12"/>
      <c r="KBA60" s="12"/>
      <c r="KBB60" s="12"/>
      <c r="KBS60" s="12"/>
      <c r="KBT60" s="12"/>
      <c r="KCK60" s="12"/>
      <c r="KCL60" s="12"/>
      <c r="KDC60" s="12"/>
      <c r="KDD60" s="12"/>
      <c r="KDU60" s="12"/>
      <c r="KDV60" s="12"/>
      <c r="KEM60" s="12"/>
      <c r="KEN60" s="12"/>
      <c r="KFE60" s="12"/>
      <c r="KFF60" s="12"/>
      <c r="KFW60" s="12"/>
      <c r="KFX60" s="12"/>
      <c r="KGO60" s="12"/>
      <c r="KGP60" s="12"/>
      <c r="KHG60" s="12"/>
      <c r="KHH60" s="12"/>
      <c r="KHY60" s="12"/>
      <c r="KHZ60" s="12"/>
      <c r="KIQ60" s="12"/>
      <c r="KIR60" s="12"/>
      <c r="KJI60" s="12"/>
      <c r="KJJ60" s="12"/>
      <c r="KKA60" s="12"/>
      <c r="KKB60" s="12"/>
      <c r="KKS60" s="12"/>
      <c r="KKT60" s="12"/>
      <c r="KLK60" s="12"/>
      <c r="KLL60" s="12"/>
      <c r="KMC60" s="12"/>
      <c r="KMD60" s="12"/>
      <c r="KMU60" s="12"/>
      <c r="KMV60" s="12"/>
      <c r="KNM60" s="12"/>
      <c r="KNN60" s="12"/>
      <c r="KOE60" s="12"/>
      <c r="KOF60" s="12"/>
      <c r="KOW60" s="12"/>
      <c r="KOX60" s="12"/>
      <c r="KPO60" s="12"/>
      <c r="KPP60" s="12"/>
      <c r="KQG60" s="12"/>
      <c r="KQH60" s="12"/>
      <c r="KQY60" s="12"/>
      <c r="KQZ60" s="12"/>
      <c r="KRQ60" s="12"/>
      <c r="KRR60" s="12"/>
      <c r="KSI60" s="12"/>
      <c r="KSJ60" s="12"/>
      <c r="KTA60" s="12"/>
      <c r="KTB60" s="12"/>
      <c r="KTS60" s="12"/>
      <c r="KTT60" s="12"/>
      <c r="KUK60" s="12"/>
      <c r="KUL60" s="12"/>
      <c r="KVC60" s="12"/>
      <c r="KVD60" s="12"/>
      <c r="KVU60" s="12"/>
      <c r="KVV60" s="12"/>
      <c r="KWM60" s="12"/>
      <c r="KWN60" s="12"/>
      <c r="KXE60" s="12"/>
      <c r="KXF60" s="12"/>
      <c r="KXW60" s="12"/>
      <c r="KXX60" s="12"/>
      <c r="KYO60" s="12"/>
      <c r="KYP60" s="12"/>
      <c r="KZG60" s="12"/>
      <c r="KZH60" s="12"/>
      <c r="KZY60" s="12"/>
      <c r="KZZ60" s="12"/>
      <c r="LAQ60" s="12"/>
      <c r="LAR60" s="12"/>
      <c r="LBI60" s="12"/>
      <c r="LBJ60" s="12"/>
      <c r="LCA60" s="12"/>
      <c r="LCB60" s="12"/>
      <c r="LCS60" s="12"/>
      <c r="LCT60" s="12"/>
      <c r="LDK60" s="12"/>
      <c r="LDL60" s="12"/>
      <c r="LEC60" s="12"/>
      <c r="LED60" s="12"/>
      <c r="LEU60" s="12"/>
      <c r="LEV60" s="12"/>
      <c r="LFM60" s="12"/>
      <c r="LFN60" s="12"/>
      <c r="LGE60" s="12"/>
      <c r="LGF60" s="12"/>
      <c r="LGW60" s="12"/>
      <c r="LGX60" s="12"/>
      <c r="LHO60" s="12"/>
      <c r="LHP60" s="12"/>
      <c r="LIG60" s="12"/>
      <c r="LIH60" s="12"/>
      <c r="LIY60" s="12"/>
      <c r="LIZ60" s="12"/>
      <c r="LJQ60" s="12"/>
      <c r="LJR60" s="12"/>
      <c r="LKI60" s="12"/>
      <c r="LKJ60" s="12"/>
      <c r="LLA60" s="12"/>
      <c r="LLB60" s="12"/>
      <c r="LLS60" s="12"/>
      <c r="LLT60" s="12"/>
      <c r="LMK60" s="12"/>
      <c r="LML60" s="12"/>
      <c r="LNC60" s="12"/>
      <c r="LND60" s="12"/>
      <c r="LNU60" s="12"/>
      <c r="LNV60" s="12"/>
      <c r="LOM60" s="12"/>
      <c r="LON60" s="12"/>
      <c r="LPE60" s="12"/>
      <c r="LPF60" s="12"/>
      <c r="LPW60" s="12"/>
      <c r="LPX60" s="12"/>
      <c r="LQO60" s="12"/>
      <c r="LQP60" s="12"/>
      <c r="LRG60" s="12"/>
      <c r="LRH60" s="12"/>
      <c r="LRY60" s="12"/>
      <c r="LRZ60" s="12"/>
      <c r="LSQ60" s="12"/>
      <c r="LSR60" s="12"/>
      <c r="LTI60" s="12"/>
      <c r="LTJ60" s="12"/>
      <c r="LUA60" s="12"/>
      <c r="LUB60" s="12"/>
      <c r="LUS60" s="12"/>
      <c r="LUT60" s="12"/>
      <c r="LVK60" s="12"/>
      <c r="LVL60" s="12"/>
      <c r="LWC60" s="12"/>
      <c r="LWD60" s="12"/>
      <c r="LWU60" s="12"/>
      <c r="LWV60" s="12"/>
      <c r="LXM60" s="12"/>
      <c r="LXN60" s="12"/>
      <c r="LYE60" s="12"/>
      <c r="LYF60" s="12"/>
      <c r="LYW60" s="12"/>
      <c r="LYX60" s="12"/>
      <c r="LZO60" s="12"/>
      <c r="LZP60" s="12"/>
      <c r="MAG60" s="12"/>
      <c r="MAH60" s="12"/>
      <c r="MAY60" s="12"/>
      <c r="MAZ60" s="12"/>
      <c r="MBQ60" s="12"/>
      <c r="MBR60" s="12"/>
      <c r="MCI60" s="12"/>
      <c r="MCJ60" s="12"/>
      <c r="MDA60" s="12"/>
      <c r="MDB60" s="12"/>
      <c r="MDS60" s="12"/>
      <c r="MDT60" s="12"/>
      <c r="MEK60" s="12"/>
      <c r="MEL60" s="12"/>
      <c r="MFC60" s="12"/>
      <c r="MFD60" s="12"/>
      <c r="MFU60" s="12"/>
      <c r="MFV60" s="12"/>
      <c r="MGM60" s="12"/>
      <c r="MGN60" s="12"/>
      <c r="MHE60" s="12"/>
      <c r="MHF60" s="12"/>
      <c r="MHW60" s="12"/>
      <c r="MHX60" s="12"/>
      <c r="MIO60" s="12"/>
      <c r="MIP60" s="12"/>
      <c r="MJG60" s="12"/>
      <c r="MJH60" s="12"/>
      <c r="MJY60" s="12"/>
      <c r="MJZ60" s="12"/>
      <c r="MKQ60" s="12"/>
      <c r="MKR60" s="12"/>
      <c r="MLI60" s="12"/>
      <c r="MLJ60" s="12"/>
      <c r="MMA60" s="12"/>
      <c r="MMB60" s="12"/>
      <c r="MMS60" s="12"/>
      <c r="MMT60" s="12"/>
      <c r="MNK60" s="12"/>
      <c r="MNL60" s="12"/>
      <c r="MOC60" s="12"/>
      <c r="MOD60" s="12"/>
      <c r="MOU60" s="12"/>
      <c r="MOV60" s="12"/>
      <c r="MPM60" s="12"/>
      <c r="MPN60" s="12"/>
      <c r="MQE60" s="12"/>
      <c r="MQF60" s="12"/>
      <c r="MQW60" s="12"/>
      <c r="MQX60" s="12"/>
      <c r="MRO60" s="12"/>
      <c r="MRP60" s="12"/>
      <c r="MSG60" s="12"/>
      <c r="MSH60" s="12"/>
      <c r="MSY60" s="12"/>
      <c r="MSZ60" s="12"/>
      <c r="MTQ60" s="12"/>
      <c r="MTR60" s="12"/>
      <c r="MUI60" s="12"/>
      <c r="MUJ60" s="12"/>
      <c r="MVA60" s="12"/>
      <c r="MVB60" s="12"/>
      <c r="MVS60" s="12"/>
      <c r="MVT60" s="12"/>
      <c r="MWK60" s="12"/>
      <c r="MWL60" s="12"/>
      <c r="MXC60" s="12"/>
      <c r="MXD60" s="12"/>
      <c r="MXU60" s="12"/>
      <c r="MXV60" s="12"/>
      <c r="MYM60" s="12"/>
      <c r="MYN60" s="12"/>
      <c r="MZE60" s="12"/>
      <c r="MZF60" s="12"/>
      <c r="MZW60" s="12"/>
      <c r="MZX60" s="12"/>
      <c r="NAO60" s="12"/>
      <c r="NAP60" s="12"/>
      <c r="NBG60" s="12"/>
      <c r="NBH60" s="12"/>
      <c r="NBY60" s="12"/>
      <c r="NBZ60" s="12"/>
      <c r="NCQ60" s="12"/>
      <c r="NCR60" s="12"/>
      <c r="NDI60" s="12"/>
      <c r="NDJ60" s="12"/>
      <c r="NEA60" s="12"/>
      <c r="NEB60" s="12"/>
      <c r="NES60" s="12"/>
      <c r="NET60" s="12"/>
      <c r="NFK60" s="12"/>
      <c r="NFL60" s="12"/>
      <c r="NGC60" s="12"/>
      <c r="NGD60" s="12"/>
      <c r="NGU60" s="12"/>
      <c r="NGV60" s="12"/>
      <c r="NHM60" s="12"/>
      <c r="NHN60" s="12"/>
      <c r="NIE60" s="12"/>
      <c r="NIF60" s="12"/>
      <c r="NIW60" s="12"/>
      <c r="NIX60" s="12"/>
      <c r="NJO60" s="12"/>
      <c r="NJP60" s="12"/>
      <c r="NKG60" s="12"/>
      <c r="NKH60" s="12"/>
      <c r="NKY60" s="12"/>
      <c r="NKZ60" s="12"/>
      <c r="NLQ60" s="12"/>
      <c r="NLR60" s="12"/>
      <c r="NMI60" s="12"/>
      <c r="NMJ60" s="12"/>
      <c r="NNA60" s="12"/>
      <c r="NNB60" s="12"/>
      <c r="NNS60" s="12"/>
      <c r="NNT60" s="12"/>
      <c r="NOK60" s="12"/>
      <c r="NOL60" s="12"/>
      <c r="NPC60" s="12"/>
      <c r="NPD60" s="12"/>
      <c r="NPU60" s="12"/>
      <c r="NPV60" s="12"/>
      <c r="NQM60" s="12"/>
      <c r="NQN60" s="12"/>
      <c r="NRE60" s="12"/>
      <c r="NRF60" s="12"/>
      <c r="NRW60" s="12"/>
      <c r="NRX60" s="12"/>
      <c r="NSO60" s="12"/>
      <c r="NSP60" s="12"/>
      <c r="NTG60" s="12"/>
      <c r="NTH60" s="12"/>
      <c r="NTY60" s="12"/>
      <c r="NTZ60" s="12"/>
      <c r="NUQ60" s="12"/>
      <c r="NUR60" s="12"/>
      <c r="NVI60" s="12"/>
      <c r="NVJ60" s="12"/>
      <c r="NWA60" s="12"/>
      <c r="NWB60" s="12"/>
      <c r="NWS60" s="12"/>
      <c r="NWT60" s="12"/>
      <c r="NXK60" s="12"/>
      <c r="NXL60" s="12"/>
      <c r="NYC60" s="12"/>
      <c r="NYD60" s="12"/>
      <c r="NYU60" s="12"/>
      <c r="NYV60" s="12"/>
      <c r="NZM60" s="12"/>
      <c r="NZN60" s="12"/>
      <c r="OAE60" s="12"/>
      <c r="OAF60" s="12"/>
      <c r="OAW60" s="12"/>
      <c r="OAX60" s="12"/>
      <c r="OBO60" s="12"/>
      <c r="OBP60" s="12"/>
      <c r="OCG60" s="12"/>
      <c r="OCH60" s="12"/>
      <c r="OCY60" s="12"/>
      <c r="OCZ60" s="12"/>
      <c r="ODQ60" s="12"/>
      <c r="ODR60" s="12"/>
      <c r="OEI60" s="12"/>
      <c r="OEJ60" s="12"/>
      <c r="OFA60" s="12"/>
      <c r="OFB60" s="12"/>
      <c r="OFS60" s="12"/>
      <c r="OFT60" s="12"/>
      <c r="OGK60" s="12"/>
      <c r="OGL60" s="12"/>
      <c r="OHC60" s="12"/>
      <c r="OHD60" s="12"/>
      <c r="OHU60" s="12"/>
      <c r="OHV60" s="12"/>
      <c r="OIM60" s="12"/>
      <c r="OIN60" s="12"/>
      <c r="OJE60" s="12"/>
      <c r="OJF60" s="12"/>
      <c r="OJW60" s="12"/>
      <c r="OJX60" s="12"/>
      <c r="OKO60" s="12"/>
      <c r="OKP60" s="12"/>
      <c r="OLG60" s="12"/>
      <c r="OLH60" s="12"/>
      <c r="OLY60" s="12"/>
      <c r="OLZ60" s="12"/>
      <c r="OMQ60" s="12"/>
      <c r="OMR60" s="12"/>
      <c r="ONI60" s="12"/>
      <c r="ONJ60" s="12"/>
      <c r="OOA60" s="12"/>
      <c r="OOB60" s="12"/>
      <c r="OOS60" s="12"/>
      <c r="OOT60" s="12"/>
      <c r="OPK60" s="12"/>
      <c r="OPL60" s="12"/>
      <c r="OQC60" s="12"/>
      <c r="OQD60" s="12"/>
      <c r="OQU60" s="12"/>
      <c r="OQV60" s="12"/>
      <c r="ORM60" s="12"/>
      <c r="ORN60" s="12"/>
      <c r="OSE60" s="12"/>
      <c r="OSF60" s="12"/>
      <c r="OSW60" s="12"/>
      <c r="OSX60" s="12"/>
      <c r="OTO60" s="12"/>
      <c r="OTP60" s="12"/>
      <c r="OUG60" s="12"/>
      <c r="OUH60" s="12"/>
      <c r="OUY60" s="12"/>
      <c r="OUZ60" s="12"/>
      <c r="OVQ60" s="12"/>
      <c r="OVR60" s="12"/>
      <c r="OWI60" s="12"/>
      <c r="OWJ60" s="12"/>
      <c r="OXA60" s="12"/>
      <c r="OXB60" s="12"/>
      <c r="OXS60" s="12"/>
      <c r="OXT60" s="12"/>
      <c r="OYK60" s="12"/>
      <c r="OYL60" s="12"/>
      <c r="OZC60" s="12"/>
      <c r="OZD60" s="12"/>
      <c r="OZU60" s="12"/>
      <c r="OZV60" s="12"/>
      <c r="PAM60" s="12"/>
      <c r="PAN60" s="12"/>
      <c r="PBE60" s="12"/>
      <c r="PBF60" s="12"/>
      <c r="PBW60" s="12"/>
      <c r="PBX60" s="12"/>
      <c r="PCO60" s="12"/>
      <c r="PCP60" s="12"/>
      <c r="PDG60" s="12"/>
      <c r="PDH60" s="12"/>
      <c r="PDY60" s="12"/>
      <c r="PDZ60" s="12"/>
      <c r="PEQ60" s="12"/>
      <c r="PER60" s="12"/>
      <c r="PFI60" s="12"/>
      <c r="PFJ60" s="12"/>
      <c r="PGA60" s="12"/>
      <c r="PGB60" s="12"/>
      <c r="PGS60" s="12"/>
      <c r="PGT60" s="12"/>
      <c r="PHK60" s="12"/>
      <c r="PHL60" s="12"/>
      <c r="PIC60" s="12"/>
      <c r="PID60" s="12"/>
      <c r="PIU60" s="12"/>
      <c r="PIV60" s="12"/>
      <c r="PJM60" s="12"/>
      <c r="PJN60" s="12"/>
      <c r="PKE60" s="12"/>
      <c r="PKF60" s="12"/>
      <c r="PKW60" s="12"/>
      <c r="PKX60" s="12"/>
      <c r="PLO60" s="12"/>
      <c r="PLP60" s="12"/>
      <c r="PMG60" s="12"/>
      <c r="PMH60" s="12"/>
      <c r="PMY60" s="12"/>
      <c r="PMZ60" s="12"/>
      <c r="PNQ60" s="12"/>
      <c r="PNR60" s="12"/>
      <c r="POI60" s="12"/>
      <c r="POJ60" s="12"/>
      <c r="PPA60" s="12"/>
      <c r="PPB60" s="12"/>
      <c r="PPS60" s="12"/>
      <c r="PPT60" s="12"/>
      <c r="PQK60" s="12"/>
      <c r="PQL60" s="12"/>
      <c r="PRC60" s="12"/>
      <c r="PRD60" s="12"/>
      <c r="PRU60" s="12"/>
      <c r="PRV60" s="12"/>
      <c r="PSM60" s="12"/>
      <c r="PSN60" s="12"/>
      <c r="PTE60" s="12"/>
      <c r="PTF60" s="12"/>
      <c r="PTW60" s="12"/>
      <c r="PTX60" s="12"/>
      <c r="PUO60" s="12"/>
      <c r="PUP60" s="12"/>
      <c r="PVG60" s="12"/>
      <c r="PVH60" s="12"/>
      <c r="PVY60" s="12"/>
      <c r="PVZ60" s="12"/>
      <c r="PWQ60" s="12"/>
      <c r="PWR60" s="12"/>
      <c r="PXI60" s="12"/>
      <c r="PXJ60" s="12"/>
      <c r="PYA60" s="12"/>
      <c r="PYB60" s="12"/>
      <c r="PYS60" s="12"/>
      <c r="PYT60" s="12"/>
      <c r="PZK60" s="12"/>
      <c r="PZL60" s="12"/>
      <c r="QAC60" s="12"/>
      <c r="QAD60" s="12"/>
      <c r="QAU60" s="12"/>
      <c r="QAV60" s="12"/>
      <c r="QBM60" s="12"/>
      <c r="QBN60" s="12"/>
      <c r="QCE60" s="12"/>
      <c r="QCF60" s="12"/>
      <c r="QCW60" s="12"/>
      <c r="QCX60" s="12"/>
      <c r="QDO60" s="12"/>
      <c r="QDP60" s="12"/>
      <c r="QEG60" s="12"/>
      <c r="QEH60" s="12"/>
      <c r="QEY60" s="12"/>
      <c r="QEZ60" s="12"/>
      <c r="QFQ60" s="12"/>
      <c r="QFR60" s="12"/>
      <c r="QGI60" s="12"/>
      <c r="QGJ60" s="12"/>
      <c r="QHA60" s="12"/>
      <c r="QHB60" s="12"/>
      <c r="QHS60" s="12"/>
      <c r="QHT60" s="12"/>
      <c r="QIK60" s="12"/>
      <c r="QIL60" s="12"/>
      <c r="QJC60" s="12"/>
      <c r="QJD60" s="12"/>
      <c r="QJU60" s="12"/>
      <c r="QJV60" s="12"/>
      <c r="QKM60" s="12"/>
      <c r="QKN60" s="12"/>
      <c r="QLE60" s="12"/>
      <c r="QLF60" s="12"/>
      <c r="QLW60" s="12"/>
      <c r="QLX60" s="12"/>
      <c r="QMO60" s="12"/>
      <c r="QMP60" s="12"/>
      <c r="QNG60" s="12"/>
      <c r="QNH60" s="12"/>
      <c r="QNY60" s="12"/>
      <c r="QNZ60" s="12"/>
      <c r="QOQ60" s="12"/>
      <c r="QOR60" s="12"/>
      <c r="QPI60" s="12"/>
      <c r="QPJ60" s="12"/>
      <c r="QQA60" s="12"/>
      <c r="QQB60" s="12"/>
      <c r="QQS60" s="12"/>
      <c r="QQT60" s="12"/>
      <c r="QRK60" s="12"/>
      <c r="QRL60" s="12"/>
      <c r="QSC60" s="12"/>
      <c r="QSD60" s="12"/>
      <c r="QSU60" s="12"/>
      <c r="QSV60" s="12"/>
      <c r="QTM60" s="12"/>
      <c r="QTN60" s="12"/>
      <c r="QUE60" s="12"/>
      <c r="QUF60" s="12"/>
      <c r="QUW60" s="12"/>
      <c r="QUX60" s="12"/>
      <c r="QVO60" s="12"/>
      <c r="QVP60" s="12"/>
      <c r="QWG60" s="12"/>
      <c r="QWH60" s="12"/>
      <c r="QWY60" s="12"/>
      <c r="QWZ60" s="12"/>
      <c r="QXQ60" s="12"/>
      <c r="QXR60" s="12"/>
      <c r="QYI60" s="12"/>
      <c r="QYJ60" s="12"/>
      <c r="QZA60" s="12"/>
      <c r="QZB60" s="12"/>
      <c r="QZS60" s="12"/>
      <c r="QZT60" s="12"/>
      <c r="RAK60" s="12"/>
      <c r="RAL60" s="12"/>
      <c r="RBC60" s="12"/>
      <c r="RBD60" s="12"/>
      <c r="RBU60" s="12"/>
      <c r="RBV60" s="12"/>
      <c r="RCM60" s="12"/>
      <c r="RCN60" s="12"/>
      <c r="RDE60" s="12"/>
      <c r="RDF60" s="12"/>
      <c r="RDW60" s="12"/>
      <c r="RDX60" s="12"/>
      <c r="REO60" s="12"/>
      <c r="REP60" s="12"/>
      <c r="RFG60" s="12"/>
      <c r="RFH60" s="12"/>
      <c r="RFY60" s="12"/>
      <c r="RFZ60" s="12"/>
      <c r="RGQ60" s="12"/>
      <c r="RGR60" s="12"/>
      <c r="RHI60" s="12"/>
      <c r="RHJ60" s="12"/>
      <c r="RIA60" s="12"/>
      <c r="RIB60" s="12"/>
      <c r="RIS60" s="12"/>
      <c r="RIT60" s="12"/>
      <c r="RJK60" s="12"/>
      <c r="RJL60" s="12"/>
      <c r="RKC60" s="12"/>
      <c r="RKD60" s="12"/>
      <c r="RKU60" s="12"/>
      <c r="RKV60" s="12"/>
      <c r="RLM60" s="12"/>
      <c r="RLN60" s="12"/>
      <c r="RME60" s="12"/>
      <c r="RMF60" s="12"/>
      <c r="RMW60" s="12"/>
      <c r="RMX60" s="12"/>
      <c r="RNO60" s="12"/>
      <c r="RNP60" s="12"/>
      <c r="ROG60" s="12"/>
      <c r="ROH60" s="12"/>
      <c r="ROY60" s="12"/>
      <c r="ROZ60" s="12"/>
      <c r="RPQ60" s="12"/>
      <c r="RPR60" s="12"/>
      <c r="RQI60" s="12"/>
      <c r="RQJ60" s="12"/>
      <c r="RRA60" s="12"/>
      <c r="RRB60" s="12"/>
      <c r="RRS60" s="12"/>
      <c r="RRT60" s="12"/>
      <c r="RSK60" s="12"/>
      <c r="RSL60" s="12"/>
      <c r="RTC60" s="12"/>
      <c r="RTD60" s="12"/>
      <c r="RTU60" s="12"/>
      <c r="RTV60" s="12"/>
      <c r="RUM60" s="12"/>
      <c r="RUN60" s="12"/>
      <c r="RVE60" s="12"/>
      <c r="RVF60" s="12"/>
      <c r="RVW60" s="12"/>
      <c r="RVX60" s="12"/>
      <c r="RWO60" s="12"/>
      <c r="RWP60" s="12"/>
      <c r="RXG60" s="12"/>
      <c r="RXH60" s="12"/>
      <c r="RXY60" s="12"/>
      <c r="RXZ60" s="12"/>
      <c r="RYQ60" s="12"/>
      <c r="RYR60" s="12"/>
      <c r="RZI60" s="12"/>
      <c r="RZJ60" s="12"/>
      <c r="SAA60" s="12"/>
      <c r="SAB60" s="12"/>
      <c r="SAS60" s="12"/>
      <c r="SAT60" s="12"/>
      <c r="SBK60" s="12"/>
      <c r="SBL60" s="12"/>
      <c r="SCC60" s="12"/>
      <c r="SCD60" s="12"/>
      <c r="SCU60" s="12"/>
      <c r="SCV60" s="12"/>
      <c r="SDM60" s="12"/>
      <c r="SDN60" s="12"/>
      <c r="SEE60" s="12"/>
      <c r="SEF60" s="12"/>
      <c r="SEW60" s="12"/>
      <c r="SEX60" s="12"/>
      <c r="SFO60" s="12"/>
      <c r="SFP60" s="12"/>
      <c r="SGG60" s="12"/>
      <c r="SGH60" s="12"/>
      <c r="SGY60" s="12"/>
      <c r="SGZ60" s="12"/>
      <c r="SHQ60" s="12"/>
      <c r="SHR60" s="12"/>
      <c r="SII60" s="12"/>
      <c r="SIJ60" s="12"/>
      <c r="SJA60" s="12"/>
      <c r="SJB60" s="12"/>
      <c r="SJS60" s="12"/>
      <c r="SJT60" s="12"/>
      <c r="SKK60" s="12"/>
      <c r="SKL60" s="12"/>
      <c r="SLC60" s="12"/>
      <c r="SLD60" s="12"/>
      <c r="SLU60" s="12"/>
      <c r="SLV60" s="12"/>
      <c r="SMM60" s="12"/>
      <c r="SMN60" s="12"/>
      <c r="SNE60" s="12"/>
      <c r="SNF60" s="12"/>
      <c r="SNW60" s="12"/>
      <c r="SNX60" s="12"/>
      <c r="SOO60" s="12"/>
      <c r="SOP60" s="12"/>
      <c r="SPG60" s="12"/>
      <c r="SPH60" s="12"/>
      <c r="SPY60" s="12"/>
      <c r="SPZ60" s="12"/>
      <c r="SQQ60" s="12"/>
      <c r="SQR60" s="12"/>
      <c r="SRI60" s="12"/>
      <c r="SRJ60" s="12"/>
      <c r="SSA60" s="12"/>
      <c r="SSB60" s="12"/>
      <c r="SSS60" s="12"/>
      <c r="SST60" s="12"/>
      <c r="STK60" s="12"/>
      <c r="STL60" s="12"/>
      <c r="SUC60" s="12"/>
      <c r="SUD60" s="12"/>
      <c r="SUU60" s="12"/>
      <c r="SUV60" s="12"/>
      <c r="SVM60" s="12"/>
      <c r="SVN60" s="12"/>
      <c r="SWE60" s="12"/>
      <c r="SWF60" s="12"/>
      <c r="SWW60" s="12"/>
      <c r="SWX60" s="12"/>
      <c r="SXO60" s="12"/>
      <c r="SXP60" s="12"/>
      <c r="SYG60" s="12"/>
      <c r="SYH60" s="12"/>
      <c r="SYY60" s="12"/>
      <c r="SYZ60" s="12"/>
      <c r="SZQ60" s="12"/>
      <c r="SZR60" s="12"/>
      <c r="TAI60" s="12"/>
      <c r="TAJ60" s="12"/>
      <c r="TBA60" s="12"/>
      <c r="TBB60" s="12"/>
      <c r="TBS60" s="12"/>
      <c r="TBT60" s="12"/>
      <c r="TCK60" s="12"/>
      <c r="TCL60" s="12"/>
      <c r="TDC60" s="12"/>
      <c r="TDD60" s="12"/>
      <c r="TDU60" s="12"/>
      <c r="TDV60" s="12"/>
      <c r="TEM60" s="12"/>
      <c r="TEN60" s="12"/>
      <c r="TFE60" s="12"/>
      <c r="TFF60" s="12"/>
      <c r="TFW60" s="12"/>
      <c r="TFX60" s="12"/>
      <c r="TGO60" s="12"/>
      <c r="TGP60" s="12"/>
      <c r="THG60" s="12"/>
      <c r="THH60" s="12"/>
      <c r="THY60" s="12"/>
      <c r="THZ60" s="12"/>
      <c r="TIQ60" s="12"/>
      <c r="TIR60" s="12"/>
      <c r="TJI60" s="12"/>
      <c r="TJJ60" s="12"/>
      <c r="TKA60" s="12"/>
      <c r="TKB60" s="12"/>
      <c r="TKS60" s="12"/>
      <c r="TKT60" s="12"/>
      <c r="TLK60" s="12"/>
      <c r="TLL60" s="12"/>
      <c r="TMC60" s="12"/>
      <c r="TMD60" s="12"/>
      <c r="TMU60" s="12"/>
      <c r="TMV60" s="12"/>
      <c r="TNM60" s="12"/>
      <c r="TNN60" s="12"/>
      <c r="TOE60" s="12"/>
      <c r="TOF60" s="12"/>
      <c r="TOW60" s="12"/>
      <c r="TOX60" s="12"/>
      <c r="TPO60" s="12"/>
      <c r="TPP60" s="12"/>
      <c r="TQG60" s="12"/>
      <c r="TQH60" s="12"/>
      <c r="TQY60" s="12"/>
      <c r="TQZ60" s="12"/>
      <c r="TRQ60" s="12"/>
      <c r="TRR60" s="12"/>
      <c r="TSI60" s="12"/>
      <c r="TSJ60" s="12"/>
      <c r="TTA60" s="12"/>
      <c r="TTB60" s="12"/>
      <c r="TTS60" s="12"/>
      <c r="TTT60" s="12"/>
      <c r="TUK60" s="12"/>
      <c r="TUL60" s="12"/>
      <c r="TVC60" s="12"/>
      <c r="TVD60" s="12"/>
      <c r="TVU60" s="12"/>
      <c r="TVV60" s="12"/>
      <c r="TWM60" s="12"/>
      <c r="TWN60" s="12"/>
      <c r="TXE60" s="12"/>
      <c r="TXF60" s="12"/>
      <c r="TXW60" s="12"/>
      <c r="TXX60" s="12"/>
      <c r="TYO60" s="12"/>
      <c r="TYP60" s="12"/>
      <c r="TZG60" s="12"/>
      <c r="TZH60" s="12"/>
      <c r="TZY60" s="12"/>
      <c r="TZZ60" s="12"/>
      <c r="UAQ60" s="12"/>
      <c r="UAR60" s="12"/>
      <c r="UBI60" s="12"/>
      <c r="UBJ60" s="12"/>
      <c r="UCA60" s="12"/>
      <c r="UCB60" s="12"/>
      <c r="UCS60" s="12"/>
      <c r="UCT60" s="12"/>
      <c r="UDK60" s="12"/>
      <c r="UDL60" s="12"/>
      <c r="UEC60" s="12"/>
      <c r="UED60" s="12"/>
      <c r="UEU60" s="12"/>
      <c r="UEV60" s="12"/>
      <c r="UFM60" s="12"/>
      <c r="UFN60" s="12"/>
      <c r="UGE60" s="12"/>
      <c r="UGF60" s="12"/>
      <c r="UGW60" s="12"/>
      <c r="UGX60" s="12"/>
      <c r="UHO60" s="12"/>
      <c r="UHP60" s="12"/>
      <c r="UIG60" s="12"/>
      <c r="UIH60" s="12"/>
      <c r="UIY60" s="12"/>
      <c r="UIZ60" s="12"/>
      <c r="UJQ60" s="12"/>
      <c r="UJR60" s="12"/>
      <c r="UKI60" s="12"/>
      <c r="UKJ60" s="12"/>
      <c r="ULA60" s="12"/>
      <c r="ULB60" s="12"/>
      <c r="ULS60" s="12"/>
      <c r="ULT60" s="12"/>
      <c r="UMK60" s="12"/>
      <c r="UML60" s="12"/>
      <c r="UNC60" s="12"/>
      <c r="UND60" s="12"/>
      <c r="UNU60" s="12"/>
      <c r="UNV60" s="12"/>
      <c r="UOM60" s="12"/>
      <c r="UON60" s="12"/>
      <c r="UPE60" s="12"/>
      <c r="UPF60" s="12"/>
      <c r="UPW60" s="12"/>
      <c r="UPX60" s="12"/>
      <c r="UQO60" s="12"/>
      <c r="UQP60" s="12"/>
      <c r="URG60" s="12"/>
      <c r="URH60" s="12"/>
      <c r="URY60" s="12"/>
      <c r="URZ60" s="12"/>
      <c r="USQ60" s="12"/>
      <c r="USR60" s="12"/>
      <c r="UTI60" s="12"/>
      <c r="UTJ60" s="12"/>
      <c r="UUA60" s="12"/>
      <c r="UUB60" s="12"/>
      <c r="UUS60" s="12"/>
      <c r="UUT60" s="12"/>
      <c r="UVK60" s="12"/>
      <c r="UVL60" s="12"/>
      <c r="UWC60" s="12"/>
      <c r="UWD60" s="12"/>
      <c r="UWU60" s="12"/>
      <c r="UWV60" s="12"/>
      <c r="UXM60" s="12"/>
      <c r="UXN60" s="12"/>
      <c r="UYE60" s="12"/>
      <c r="UYF60" s="12"/>
      <c r="UYW60" s="12"/>
      <c r="UYX60" s="12"/>
      <c r="UZO60" s="12"/>
      <c r="UZP60" s="12"/>
      <c r="VAG60" s="12"/>
      <c r="VAH60" s="12"/>
      <c r="VAY60" s="12"/>
      <c r="VAZ60" s="12"/>
      <c r="VBQ60" s="12"/>
      <c r="VBR60" s="12"/>
      <c r="VCI60" s="12"/>
      <c r="VCJ60" s="12"/>
      <c r="VDA60" s="12"/>
      <c r="VDB60" s="12"/>
      <c r="VDS60" s="12"/>
      <c r="VDT60" s="12"/>
      <c r="VEK60" s="12"/>
      <c r="VEL60" s="12"/>
      <c r="VFC60" s="12"/>
      <c r="VFD60" s="12"/>
      <c r="VFU60" s="12"/>
      <c r="VFV60" s="12"/>
      <c r="VGM60" s="12"/>
      <c r="VGN60" s="12"/>
      <c r="VHE60" s="12"/>
      <c r="VHF60" s="12"/>
      <c r="VHW60" s="12"/>
      <c r="VHX60" s="12"/>
      <c r="VIO60" s="12"/>
      <c r="VIP60" s="12"/>
      <c r="VJG60" s="12"/>
      <c r="VJH60" s="12"/>
      <c r="VJY60" s="12"/>
      <c r="VJZ60" s="12"/>
      <c r="VKQ60" s="12"/>
      <c r="VKR60" s="12"/>
      <c r="VLI60" s="12"/>
      <c r="VLJ60" s="12"/>
      <c r="VMA60" s="12"/>
      <c r="VMB60" s="12"/>
      <c r="VMS60" s="12"/>
      <c r="VMT60" s="12"/>
      <c r="VNK60" s="12"/>
      <c r="VNL60" s="12"/>
      <c r="VOC60" s="12"/>
      <c r="VOD60" s="12"/>
      <c r="VOU60" s="12"/>
      <c r="VOV60" s="12"/>
      <c r="VPM60" s="12"/>
      <c r="VPN60" s="12"/>
      <c r="VQE60" s="12"/>
      <c r="VQF60" s="12"/>
      <c r="VQW60" s="12"/>
      <c r="VQX60" s="12"/>
      <c r="VRO60" s="12"/>
      <c r="VRP60" s="12"/>
      <c r="VSG60" s="12"/>
      <c r="VSH60" s="12"/>
      <c r="VSY60" s="12"/>
      <c r="VSZ60" s="12"/>
      <c r="VTQ60" s="12"/>
      <c r="VTR60" s="12"/>
      <c r="VUI60" s="12"/>
      <c r="VUJ60" s="12"/>
      <c r="VVA60" s="12"/>
      <c r="VVB60" s="12"/>
      <c r="VVS60" s="12"/>
      <c r="VVT60" s="12"/>
      <c r="VWK60" s="12"/>
      <c r="VWL60" s="12"/>
      <c r="VXC60" s="12"/>
      <c r="VXD60" s="12"/>
      <c r="VXU60" s="12"/>
      <c r="VXV60" s="12"/>
      <c r="VYM60" s="12"/>
      <c r="VYN60" s="12"/>
      <c r="VZE60" s="12"/>
      <c r="VZF60" s="12"/>
      <c r="VZW60" s="12"/>
      <c r="VZX60" s="12"/>
      <c r="WAO60" s="12"/>
      <c r="WAP60" s="12"/>
      <c r="WBG60" s="12"/>
      <c r="WBH60" s="12"/>
      <c r="WBY60" s="12"/>
      <c r="WBZ60" s="12"/>
      <c r="WCQ60" s="12"/>
      <c r="WCR60" s="12"/>
      <c r="WDI60" s="12"/>
      <c r="WDJ60" s="12"/>
      <c r="WEA60" s="12"/>
      <c r="WEB60" s="12"/>
      <c r="WES60" s="12"/>
      <c r="WET60" s="12"/>
      <c r="WFK60" s="12"/>
      <c r="WFL60" s="12"/>
      <c r="WGC60" s="12"/>
      <c r="WGD60" s="12"/>
      <c r="WGU60" s="12"/>
      <c r="WGV60" s="12"/>
      <c r="WHM60" s="12"/>
      <c r="WHN60" s="12"/>
      <c r="WIE60" s="12"/>
      <c r="WIF60" s="12"/>
      <c r="WIW60" s="12"/>
      <c r="WIX60" s="12"/>
      <c r="WJO60" s="12"/>
      <c r="WJP60" s="12"/>
      <c r="WKG60" s="12"/>
      <c r="WKH60" s="12"/>
      <c r="WKY60" s="12"/>
      <c r="WKZ60" s="12"/>
      <c r="WLQ60" s="12"/>
      <c r="WLR60" s="12"/>
      <c r="WMI60" s="12"/>
      <c r="WMJ60" s="12"/>
      <c r="WNA60" s="12"/>
      <c r="WNB60" s="12"/>
      <c r="WNS60" s="12"/>
      <c r="WNT60" s="12"/>
      <c r="WOK60" s="12"/>
      <c r="WOL60" s="12"/>
      <c r="WPC60" s="12"/>
      <c r="WPD60" s="12"/>
      <c r="WPU60" s="12"/>
      <c r="WPV60" s="12"/>
      <c r="WQM60" s="12"/>
      <c r="WQN60" s="12"/>
      <c r="WRE60" s="12"/>
      <c r="WRF60" s="12"/>
      <c r="WRW60" s="12"/>
      <c r="WRX60" s="12"/>
      <c r="WSO60" s="12"/>
      <c r="WSP60" s="12"/>
      <c r="WTG60" s="12"/>
      <c r="WTH60" s="12"/>
      <c r="WTY60" s="12"/>
      <c r="WTZ60" s="12"/>
      <c r="WUQ60" s="12"/>
      <c r="WUR60" s="12"/>
      <c r="WVI60" s="12"/>
      <c r="WVJ60" s="12"/>
      <c r="WWA60" s="12"/>
      <c r="WWB60" s="12"/>
      <c r="WWS60" s="12"/>
      <c r="WWT60" s="12"/>
      <c r="WXK60" s="12"/>
      <c r="WXL60" s="12"/>
      <c r="WYC60" s="12"/>
      <c r="WYD60" s="12"/>
      <c r="WYU60" s="12"/>
      <c r="WYV60" s="12"/>
      <c r="WZM60" s="12"/>
      <c r="WZN60" s="12"/>
      <c r="XAE60" s="12"/>
      <c r="XAF60" s="12"/>
      <c r="XAW60" s="12"/>
      <c r="XAX60" s="12"/>
      <c r="XBO60" s="12"/>
      <c r="XBP60" s="12"/>
      <c r="XCG60" s="12"/>
      <c r="XCH60" s="12"/>
      <c r="XCY60" s="12"/>
      <c r="XCZ60" s="12"/>
      <c r="XDQ60" s="12"/>
      <c r="XDR60" s="12"/>
      <c r="XEI60" s="12"/>
      <c r="XEJ60" s="12"/>
      <c r="XFA60" s="12"/>
      <c r="XFB60" s="12"/>
    </row>
    <row r="61" spans="1:1010 1027:2036 2053:3062 3079:4088 4105:5114 5131:6140 6157:7166 7183:8192 8209:9200 9217:10226 10243:11252 11269:12278 12295:13304 13321:14330 14347:15356 15373:16382" s="11" customFormat="1" x14ac:dyDescent="0.35">
      <c r="A61" s="183" t="str">
        <f>'Income - GAAP'!A61</f>
        <v xml:space="preserve">  - Other Adjustments</v>
      </c>
      <c r="B61" s="75" t="str">
        <f>'Income - GAAP'!B61</f>
        <v>OTHER_ADJUSTMENTS</v>
      </c>
      <c r="C61" s="76">
        <f>IF('Income - GAAP'!C61="",0,'Income - GAAP'!C61)/'Income - GAAP'!C$9</f>
        <v>0</v>
      </c>
      <c r="D61" s="76">
        <f>IF('Income - GAAP'!D61="",0,'Income - GAAP'!D61)/'Income - GAAP'!D$9</f>
        <v>0</v>
      </c>
      <c r="E61" s="76">
        <f>IF('Income - GAAP'!E61="",0,'Income - GAAP'!E61)/'Income - GAAP'!E$9</f>
        <v>0</v>
      </c>
      <c r="F61" s="76">
        <f>IF('Income - GAAP'!F61="",0,'Income - GAAP'!F61)/'Income - GAAP'!F$9</f>
        <v>0</v>
      </c>
      <c r="G61" s="76">
        <f>IF('Income - GAAP'!G61="",0,'Income - GAAP'!G61)/'Income - GAAP'!G$9</f>
        <v>0</v>
      </c>
      <c r="H61" s="76">
        <f>IF('Income - GAAP'!H61="",0,'Income - GAAP'!H61)/'Income - GAAP'!H$9</f>
        <v>0</v>
      </c>
      <c r="I61" s="76">
        <f>IF('Income - GAAP'!I61="",0,'Income - GAAP'!I61)/'Income - GAAP'!I$9</f>
        <v>0</v>
      </c>
      <c r="J61" s="76">
        <f>IF('Income - GAAP'!J61="",0,'Income - GAAP'!J61)/'Income - GAAP'!J$9</f>
        <v>0</v>
      </c>
      <c r="K61" s="76">
        <f>IF('Income - GAAP'!K61="",0,'Income - GAAP'!K61)/'Income - GAAP'!K$9</f>
        <v>0</v>
      </c>
      <c r="L61" s="76">
        <f>IF('Income - GAAP'!L61="",0,'Income - GAAP'!L61)/'Income - GAAP'!L$9</f>
        <v>0</v>
      </c>
      <c r="M61" s="108"/>
      <c r="N61" s="108"/>
      <c r="O61" s="108"/>
      <c r="P61" s="108"/>
      <c r="Q61" s="108"/>
      <c r="R61" s="108"/>
      <c r="S61" s="109"/>
      <c r="T61" s="109"/>
      <c r="U61" s="108"/>
      <c r="V61" s="108"/>
      <c r="W61" s="108"/>
      <c r="X61" s="108"/>
      <c r="Y61" s="108"/>
      <c r="Z61" s="108"/>
      <c r="AA61" s="108"/>
      <c r="AB61" s="108"/>
      <c r="AC61" s="108"/>
      <c r="AD61" s="108"/>
      <c r="AE61" s="108"/>
      <c r="AF61" s="108"/>
      <c r="AG61" s="108"/>
      <c r="AH61" s="108"/>
      <c r="AI61" s="108"/>
      <c r="AJ61" s="108"/>
      <c r="AK61" s="109"/>
      <c r="AL61" s="12"/>
      <c r="BC61" s="12"/>
      <c r="BD61" s="12"/>
      <c r="BU61" s="12"/>
      <c r="BV61" s="12"/>
      <c r="CM61" s="12"/>
      <c r="CN61" s="12"/>
      <c r="DE61" s="12"/>
      <c r="DF61" s="12"/>
      <c r="DW61" s="12"/>
      <c r="DX61" s="12"/>
      <c r="EO61" s="12"/>
      <c r="EP61" s="12"/>
      <c r="FG61" s="12"/>
      <c r="FH61" s="12"/>
      <c r="FY61" s="12"/>
      <c r="FZ61" s="12"/>
      <c r="GQ61" s="12"/>
      <c r="GR61" s="12"/>
      <c r="HI61" s="12"/>
      <c r="HJ61" s="12"/>
      <c r="IA61" s="12"/>
      <c r="IB61" s="12"/>
      <c r="IS61" s="12"/>
      <c r="IT61" s="12"/>
      <c r="JK61" s="12"/>
      <c r="JL61" s="12"/>
      <c r="KC61" s="12"/>
      <c r="KD61" s="12"/>
      <c r="KU61" s="12"/>
      <c r="KV61" s="12"/>
      <c r="LM61" s="12"/>
      <c r="LN61" s="12"/>
      <c r="ME61" s="12"/>
      <c r="MF61" s="12"/>
      <c r="MW61" s="12"/>
      <c r="MX61" s="12"/>
      <c r="NO61" s="12"/>
      <c r="NP61" s="12"/>
      <c r="OG61" s="12"/>
      <c r="OH61" s="12"/>
      <c r="OY61" s="12"/>
      <c r="OZ61" s="12"/>
      <c r="PQ61" s="12"/>
      <c r="PR61" s="12"/>
      <c r="QI61" s="12"/>
      <c r="QJ61" s="12"/>
      <c r="RA61" s="12"/>
      <c r="RB61" s="12"/>
      <c r="RS61" s="12"/>
      <c r="RT61" s="12"/>
      <c r="SK61" s="12"/>
      <c r="SL61" s="12"/>
      <c r="TC61" s="12"/>
      <c r="TD61" s="12"/>
      <c r="TU61" s="12"/>
      <c r="TV61" s="12"/>
      <c r="UM61" s="12"/>
      <c r="UN61" s="12"/>
      <c r="VE61" s="12"/>
      <c r="VF61" s="12"/>
      <c r="VW61" s="12"/>
      <c r="VX61" s="12"/>
      <c r="WO61" s="12"/>
      <c r="WP61" s="12"/>
      <c r="XG61" s="12"/>
      <c r="XH61" s="12"/>
      <c r="XY61" s="12"/>
      <c r="XZ61" s="12"/>
      <c r="YQ61" s="12"/>
      <c r="YR61" s="12"/>
      <c r="ZI61" s="12"/>
      <c r="ZJ61" s="12"/>
      <c r="AAA61" s="12"/>
      <c r="AAB61" s="12"/>
      <c r="AAS61" s="12"/>
      <c r="AAT61" s="12"/>
      <c r="ABK61" s="12"/>
      <c r="ABL61" s="12"/>
      <c r="ACC61" s="12"/>
      <c r="ACD61" s="12"/>
      <c r="ACU61" s="12"/>
      <c r="ACV61" s="12"/>
      <c r="ADM61" s="12"/>
      <c r="ADN61" s="12"/>
      <c r="AEE61" s="12"/>
      <c r="AEF61" s="12"/>
      <c r="AEW61" s="12"/>
      <c r="AEX61" s="12"/>
      <c r="AFO61" s="12"/>
      <c r="AFP61" s="12"/>
      <c r="AGG61" s="12"/>
      <c r="AGH61" s="12"/>
      <c r="AGY61" s="12"/>
      <c r="AGZ61" s="12"/>
      <c r="AHQ61" s="12"/>
      <c r="AHR61" s="12"/>
      <c r="AII61" s="12"/>
      <c r="AIJ61" s="12"/>
      <c r="AJA61" s="12"/>
      <c r="AJB61" s="12"/>
      <c r="AJS61" s="12"/>
      <c r="AJT61" s="12"/>
      <c r="AKK61" s="12"/>
      <c r="AKL61" s="12"/>
      <c r="ALC61" s="12"/>
      <c r="ALD61" s="12"/>
      <c r="ALU61" s="12"/>
      <c r="ALV61" s="12"/>
      <c r="AMM61" s="12"/>
      <c r="AMN61" s="12"/>
      <c r="ANE61" s="12"/>
      <c r="ANF61" s="12"/>
      <c r="ANW61" s="12"/>
      <c r="ANX61" s="12"/>
      <c r="AOO61" s="12"/>
      <c r="AOP61" s="12"/>
      <c r="APG61" s="12"/>
      <c r="APH61" s="12"/>
      <c r="APY61" s="12"/>
      <c r="APZ61" s="12"/>
      <c r="AQQ61" s="12"/>
      <c r="AQR61" s="12"/>
      <c r="ARI61" s="12"/>
      <c r="ARJ61" s="12"/>
      <c r="ASA61" s="12"/>
      <c r="ASB61" s="12"/>
      <c r="ASS61" s="12"/>
      <c r="AST61" s="12"/>
      <c r="ATK61" s="12"/>
      <c r="ATL61" s="12"/>
      <c r="AUC61" s="12"/>
      <c r="AUD61" s="12"/>
      <c r="AUU61" s="12"/>
      <c r="AUV61" s="12"/>
      <c r="AVM61" s="12"/>
      <c r="AVN61" s="12"/>
      <c r="AWE61" s="12"/>
      <c r="AWF61" s="12"/>
      <c r="AWW61" s="12"/>
      <c r="AWX61" s="12"/>
      <c r="AXO61" s="12"/>
      <c r="AXP61" s="12"/>
      <c r="AYG61" s="12"/>
      <c r="AYH61" s="12"/>
      <c r="AYY61" s="12"/>
      <c r="AYZ61" s="12"/>
      <c r="AZQ61" s="12"/>
      <c r="AZR61" s="12"/>
      <c r="BAI61" s="12"/>
      <c r="BAJ61" s="12"/>
      <c r="BBA61" s="12"/>
      <c r="BBB61" s="12"/>
      <c r="BBS61" s="12"/>
      <c r="BBT61" s="12"/>
      <c r="BCK61" s="12"/>
      <c r="BCL61" s="12"/>
      <c r="BDC61" s="12"/>
      <c r="BDD61" s="12"/>
      <c r="BDU61" s="12"/>
      <c r="BDV61" s="12"/>
      <c r="BEM61" s="12"/>
      <c r="BEN61" s="12"/>
      <c r="BFE61" s="12"/>
      <c r="BFF61" s="12"/>
      <c r="BFW61" s="12"/>
      <c r="BFX61" s="12"/>
      <c r="BGO61" s="12"/>
      <c r="BGP61" s="12"/>
      <c r="BHG61" s="12"/>
      <c r="BHH61" s="12"/>
      <c r="BHY61" s="12"/>
      <c r="BHZ61" s="12"/>
      <c r="BIQ61" s="12"/>
      <c r="BIR61" s="12"/>
      <c r="BJI61" s="12"/>
      <c r="BJJ61" s="12"/>
      <c r="BKA61" s="12"/>
      <c r="BKB61" s="12"/>
      <c r="BKS61" s="12"/>
      <c r="BKT61" s="12"/>
      <c r="BLK61" s="12"/>
      <c r="BLL61" s="12"/>
      <c r="BMC61" s="12"/>
      <c r="BMD61" s="12"/>
      <c r="BMU61" s="12"/>
      <c r="BMV61" s="12"/>
      <c r="BNM61" s="12"/>
      <c r="BNN61" s="12"/>
      <c r="BOE61" s="12"/>
      <c r="BOF61" s="12"/>
      <c r="BOW61" s="12"/>
      <c r="BOX61" s="12"/>
      <c r="BPO61" s="12"/>
      <c r="BPP61" s="12"/>
      <c r="BQG61" s="12"/>
      <c r="BQH61" s="12"/>
      <c r="BQY61" s="12"/>
      <c r="BQZ61" s="12"/>
      <c r="BRQ61" s="12"/>
      <c r="BRR61" s="12"/>
      <c r="BSI61" s="12"/>
      <c r="BSJ61" s="12"/>
      <c r="BTA61" s="12"/>
      <c r="BTB61" s="12"/>
      <c r="BTS61" s="12"/>
      <c r="BTT61" s="12"/>
      <c r="BUK61" s="12"/>
      <c r="BUL61" s="12"/>
      <c r="BVC61" s="12"/>
      <c r="BVD61" s="12"/>
      <c r="BVU61" s="12"/>
      <c r="BVV61" s="12"/>
      <c r="BWM61" s="12"/>
      <c r="BWN61" s="12"/>
      <c r="BXE61" s="12"/>
      <c r="BXF61" s="12"/>
      <c r="BXW61" s="12"/>
      <c r="BXX61" s="12"/>
      <c r="BYO61" s="12"/>
      <c r="BYP61" s="12"/>
      <c r="BZG61" s="12"/>
      <c r="BZH61" s="12"/>
      <c r="BZY61" s="12"/>
      <c r="BZZ61" s="12"/>
      <c r="CAQ61" s="12"/>
      <c r="CAR61" s="12"/>
      <c r="CBI61" s="12"/>
      <c r="CBJ61" s="12"/>
      <c r="CCA61" s="12"/>
      <c r="CCB61" s="12"/>
      <c r="CCS61" s="12"/>
      <c r="CCT61" s="12"/>
      <c r="CDK61" s="12"/>
      <c r="CDL61" s="12"/>
      <c r="CEC61" s="12"/>
      <c r="CED61" s="12"/>
      <c r="CEU61" s="12"/>
      <c r="CEV61" s="12"/>
      <c r="CFM61" s="12"/>
      <c r="CFN61" s="12"/>
      <c r="CGE61" s="12"/>
      <c r="CGF61" s="12"/>
      <c r="CGW61" s="12"/>
      <c r="CGX61" s="12"/>
      <c r="CHO61" s="12"/>
      <c r="CHP61" s="12"/>
      <c r="CIG61" s="12"/>
      <c r="CIH61" s="12"/>
      <c r="CIY61" s="12"/>
      <c r="CIZ61" s="12"/>
      <c r="CJQ61" s="12"/>
      <c r="CJR61" s="12"/>
      <c r="CKI61" s="12"/>
      <c r="CKJ61" s="12"/>
      <c r="CLA61" s="12"/>
      <c r="CLB61" s="12"/>
      <c r="CLS61" s="12"/>
      <c r="CLT61" s="12"/>
      <c r="CMK61" s="12"/>
      <c r="CML61" s="12"/>
      <c r="CNC61" s="12"/>
      <c r="CND61" s="12"/>
      <c r="CNU61" s="12"/>
      <c r="CNV61" s="12"/>
      <c r="COM61" s="12"/>
      <c r="CON61" s="12"/>
      <c r="CPE61" s="12"/>
      <c r="CPF61" s="12"/>
      <c r="CPW61" s="12"/>
      <c r="CPX61" s="12"/>
      <c r="CQO61" s="12"/>
      <c r="CQP61" s="12"/>
      <c r="CRG61" s="12"/>
      <c r="CRH61" s="12"/>
      <c r="CRY61" s="12"/>
      <c r="CRZ61" s="12"/>
      <c r="CSQ61" s="12"/>
      <c r="CSR61" s="12"/>
      <c r="CTI61" s="12"/>
      <c r="CTJ61" s="12"/>
      <c r="CUA61" s="12"/>
      <c r="CUB61" s="12"/>
      <c r="CUS61" s="12"/>
      <c r="CUT61" s="12"/>
      <c r="CVK61" s="12"/>
      <c r="CVL61" s="12"/>
      <c r="CWC61" s="12"/>
      <c r="CWD61" s="12"/>
      <c r="CWU61" s="12"/>
      <c r="CWV61" s="12"/>
      <c r="CXM61" s="12"/>
      <c r="CXN61" s="12"/>
      <c r="CYE61" s="12"/>
      <c r="CYF61" s="12"/>
      <c r="CYW61" s="12"/>
      <c r="CYX61" s="12"/>
      <c r="CZO61" s="12"/>
      <c r="CZP61" s="12"/>
      <c r="DAG61" s="12"/>
      <c r="DAH61" s="12"/>
      <c r="DAY61" s="12"/>
      <c r="DAZ61" s="12"/>
      <c r="DBQ61" s="12"/>
      <c r="DBR61" s="12"/>
      <c r="DCI61" s="12"/>
      <c r="DCJ61" s="12"/>
      <c r="DDA61" s="12"/>
      <c r="DDB61" s="12"/>
      <c r="DDS61" s="12"/>
      <c r="DDT61" s="12"/>
      <c r="DEK61" s="12"/>
      <c r="DEL61" s="12"/>
      <c r="DFC61" s="12"/>
      <c r="DFD61" s="12"/>
      <c r="DFU61" s="12"/>
      <c r="DFV61" s="12"/>
      <c r="DGM61" s="12"/>
      <c r="DGN61" s="12"/>
      <c r="DHE61" s="12"/>
      <c r="DHF61" s="12"/>
      <c r="DHW61" s="12"/>
      <c r="DHX61" s="12"/>
      <c r="DIO61" s="12"/>
      <c r="DIP61" s="12"/>
      <c r="DJG61" s="12"/>
      <c r="DJH61" s="12"/>
      <c r="DJY61" s="12"/>
      <c r="DJZ61" s="12"/>
      <c r="DKQ61" s="12"/>
      <c r="DKR61" s="12"/>
      <c r="DLI61" s="12"/>
      <c r="DLJ61" s="12"/>
      <c r="DMA61" s="12"/>
      <c r="DMB61" s="12"/>
      <c r="DMS61" s="12"/>
      <c r="DMT61" s="12"/>
      <c r="DNK61" s="12"/>
      <c r="DNL61" s="12"/>
      <c r="DOC61" s="12"/>
      <c r="DOD61" s="12"/>
      <c r="DOU61" s="12"/>
      <c r="DOV61" s="12"/>
      <c r="DPM61" s="12"/>
      <c r="DPN61" s="12"/>
      <c r="DQE61" s="12"/>
      <c r="DQF61" s="12"/>
      <c r="DQW61" s="12"/>
      <c r="DQX61" s="12"/>
      <c r="DRO61" s="12"/>
      <c r="DRP61" s="12"/>
      <c r="DSG61" s="12"/>
      <c r="DSH61" s="12"/>
      <c r="DSY61" s="12"/>
      <c r="DSZ61" s="12"/>
      <c r="DTQ61" s="12"/>
      <c r="DTR61" s="12"/>
      <c r="DUI61" s="12"/>
      <c r="DUJ61" s="12"/>
      <c r="DVA61" s="12"/>
      <c r="DVB61" s="12"/>
      <c r="DVS61" s="12"/>
      <c r="DVT61" s="12"/>
      <c r="DWK61" s="12"/>
      <c r="DWL61" s="12"/>
      <c r="DXC61" s="12"/>
      <c r="DXD61" s="12"/>
      <c r="DXU61" s="12"/>
      <c r="DXV61" s="12"/>
      <c r="DYM61" s="12"/>
      <c r="DYN61" s="12"/>
      <c r="DZE61" s="12"/>
      <c r="DZF61" s="12"/>
      <c r="DZW61" s="12"/>
      <c r="DZX61" s="12"/>
      <c r="EAO61" s="12"/>
      <c r="EAP61" s="12"/>
      <c r="EBG61" s="12"/>
      <c r="EBH61" s="12"/>
      <c r="EBY61" s="12"/>
      <c r="EBZ61" s="12"/>
      <c r="ECQ61" s="12"/>
      <c r="ECR61" s="12"/>
      <c r="EDI61" s="12"/>
      <c r="EDJ61" s="12"/>
      <c r="EEA61" s="12"/>
      <c r="EEB61" s="12"/>
      <c r="EES61" s="12"/>
      <c r="EET61" s="12"/>
      <c r="EFK61" s="12"/>
      <c r="EFL61" s="12"/>
      <c r="EGC61" s="12"/>
      <c r="EGD61" s="12"/>
      <c r="EGU61" s="12"/>
      <c r="EGV61" s="12"/>
      <c r="EHM61" s="12"/>
      <c r="EHN61" s="12"/>
      <c r="EIE61" s="12"/>
      <c r="EIF61" s="12"/>
      <c r="EIW61" s="12"/>
      <c r="EIX61" s="12"/>
      <c r="EJO61" s="12"/>
      <c r="EJP61" s="12"/>
      <c r="EKG61" s="12"/>
      <c r="EKH61" s="12"/>
      <c r="EKY61" s="12"/>
      <c r="EKZ61" s="12"/>
      <c r="ELQ61" s="12"/>
      <c r="ELR61" s="12"/>
      <c r="EMI61" s="12"/>
      <c r="EMJ61" s="12"/>
      <c r="ENA61" s="12"/>
      <c r="ENB61" s="12"/>
      <c r="ENS61" s="12"/>
      <c r="ENT61" s="12"/>
      <c r="EOK61" s="12"/>
      <c r="EOL61" s="12"/>
      <c r="EPC61" s="12"/>
      <c r="EPD61" s="12"/>
      <c r="EPU61" s="12"/>
      <c r="EPV61" s="12"/>
      <c r="EQM61" s="12"/>
      <c r="EQN61" s="12"/>
      <c r="ERE61" s="12"/>
      <c r="ERF61" s="12"/>
      <c r="ERW61" s="12"/>
      <c r="ERX61" s="12"/>
      <c r="ESO61" s="12"/>
      <c r="ESP61" s="12"/>
      <c r="ETG61" s="12"/>
      <c r="ETH61" s="12"/>
      <c r="ETY61" s="12"/>
      <c r="ETZ61" s="12"/>
      <c r="EUQ61" s="12"/>
      <c r="EUR61" s="12"/>
      <c r="EVI61" s="12"/>
      <c r="EVJ61" s="12"/>
      <c r="EWA61" s="12"/>
      <c r="EWB61" s="12"/>
      <c r="EWS61" s="12"/>
      <c r="EWT61" s="12"/>
      <c r="EXK61" s="12"/>
      <c r="EXL61" s="12"/>
      <c r="EYC61" s="12"/>
      <c r="EYD61" s="12"/>
      <c r="EYU61" s="12"/>
      <c r="EYV61" s="12"/>
      <c r="EZM61" s="12"/>
      <c r="EZN61" s="12"/>
      <c r="FAE61" s="12"/>
      <c r="FAF61" s="12"/>
      <c r="FAW61" s="12"/>
      <c r="FAX61" s="12"/>
      <c r="FBO61" s="12"/>
      <c r="FBP61" s="12"/>
      <c r="FCG61" s="12"/>
      <c r="FCH61" s="12"/>
      <c r="FCY61" s="12"/>
      <c r="FCZ61" s="12"/>
      <c r="FDQ61" s="12"/>
      <c r="FDR61" s="12"/>
      <c r="FEI61" s="12"/>
      <c r="FEJ61" s="12"/>
      <c r="FFA61" s="12"/>
      <c r="FFB61" s="12"/>
      <c r="FFS61" s="12"/>
      <c r="FFT61" s="12"/>
      <c r="FGK61" s="12"/>
      <c r="FGL61" s="12"/>
      <c r="FHC61" s="12"/>
      <c r="FHD61" s="12"/>
      <c r="FHU61" s="12"/>
      <c r="FHV61" s="12"/>
      <c r="FIM61" s="12"/>
      <c r="FIN61" s="12"/>
      <c r="FJE61" s="12"/>
      <c r="FJF61" s="12"/>
      <c r="FJW61" s="12"/>
      <c r="FJX61" s="12"/>
      <c r="FKO61" s="12"/>
      <c r="FKP61" s="12"/>
      <c r="FLG61" s="12"/>
      <c r="FLH61" s="12"/>
      <c r="FLY61" s="12"/>
      <c r="FLZ61" s="12"/>
      <c r="FMQ61" s="12"/>
      <c r="FMR61" s="12"/>
      <c r="FNI61" s="12"/>
      <c r="FNJ61" s="12"/>
      <c r="FOA61" s="12"/>
      <c r="FOB61" s="12"/>
      <c r="FOS61" s="12"/>
      <c r="FOT61" s="12"/>
      <c r="FPK61" s="12"/>
      <c r="FPL61" s="12"/>
      <c r="FQC61" s="12"/>
      <c r="FQD61" s="12"/>
      <c r="FQU61" s="12"/>
      <c r="FQV61" s="12"/>
      <c r="FRM61" s="12"/>
      <c r="FRN61" s="12"/>
      <c r="FSE61" s="12"/>
      <c r="FSF61" s="12"/>
      <c r="FSW61" s="12"/>
      <c r="FSX61" s="12"/>
      <c r="FTO61" s="12"/>
      <c r="FTP61" s="12"/>
      <c r="FUG61" s="12"/>
      <c r="FUH61" s="12"/>
      <c r="FUY61" s="12"/>
      <c r="FUZ61" s="12"/>
      <c r="FVQ61" s="12"/>
      <c r="FVR61" s="12"/>
      <c r="FWI61" s="12"/>
      <c r="FWJ61" s="12"/>
      <c r="FXA61" s="12"/>
      <c r="FXB61" s="12"/>
      <c r="FXS61" s="12"/>
      <c r="FXT61" s="12"/>
      <c r="FYK61" s="12"/>
      <c r="FYL61" s="12"/>
      <c r="FZC61" s="12"/>
      <c r="FZD61" s="12"/>
      <c r="FZU61" s="12"/>
      <c r="FZV61" s="12"/>
      <c r="GAM61" s="12"/>
      <c r="GAN61" s="12"/>
      <c r="GBE61" s="12"/>
      <c r="GBF61" s="12"/>
      <c r="GBW61" s="12"/>
      <c r="GBX61" s="12"/>
      <c r="GCO61" s="12"/>
      <c r="GCP61" s="12"/>
      <c r="GDG61" s="12"/>
      <c r="GDH61" s="12"/>
      <c r="GDY61" s="12"/>
      <c r="GDZ61" s="12"/>
      <c r="GEQ61" s="12"/>
      <c r="GER61" s="12"/>
      <c r="GFI61" s="12"/>
      <c r="GFJ61" s="12"/>
      <c r="GGA61" s="12"/>
      <c r="GGB61" s="12"/>
      <c r="GGS61" s="12"/>
      <c r="GGT61" s="12"/>
      <c r="GHK61" s="12"/>
      <c r="GHL61" s="12"/>
      <c r="GIC61" s="12"/>
      <c r="GID61" s="12"/>
      <c r="GIU61" s="12"/>
      <c r="GIV61" s="12"/>
      <c r="GJM61" s="12"/>
      <c r="GJN61" s="12"/>
      <c r="GKE61" s="12"/>
      <c r="GKF61" s="12"/>
      <c r="GKW61" s="12"/>
      <c r="GKX61" s="12"/>
      <c r="GLO61" s="12"/>
      <c r="GLP61" s="12"/>
      <c r="GMG61" s="12"/>
      <c r="GMH61" s="12"/>
      <c r="GMY61" s="12"/>
      <c r="GMZ61" s="12"/>
      <c r="GNQ61" s="12"/>
      <c r="GNR61" s="12"/>
      <c r="GOI61" s="12"/>
      <c r="GOJ61" s="12"/>
      <c r="GPA61" s="12"/>
      <c r="GPB61" s="12"/>
      <c r="GPS61" s="12"/>
      <c r="GPT61" s="12"/>
      <c r="GQK61" s="12"/>
      <c r="GQL61" s="12"/>
      <c r="GRC61" s="12"/>
      <c r="GRD61" s="12"/>
      <c r="GRU61" s="12"/>
      <c r="GRV61" s="12"/>
      <c r="GSM61" s="12"/>
      <c r="GSN61" s="12"/>
      <c r="GTE61" s="12"/>
      <c r="GTF61" s="12"/>
      <c r="GTW61" s="12"/>
      <c r="GTX61" s="12"/>
      <c r="GUO61" s="12"/>
      <c r="GUP61" s="12"/>
      <c r="GVG61" s="12"/>
      <c r="GVH61" s="12"/>
      <c r="GVY61" s="12"/>
      <c r="GVZ61" s="12"/>
      <c r="GWQ61" s="12"/>
      <c r="GWR61" s="12"/>
      <c r="GXI61" s="12"/>
      <c r="GXJ61" s="12"/>
      <c r="GYA61" s="12"/>
      <c r="GYB61" s="12"/>
      <c r="GYS61" s="12"/>
      <c r="GYT61" s="12"/>
      <c r="GZK61" s="12"/>
      <c r="GZL61" s="12"/>
      <c r="HAC61" s="12"/>
      <c r="HAD61" s="12"/>
      <c r="HAU61" s="12"/>
      <c r="HAV61" s="12"/>
      <c r="HBM61" s="12"/>
      <c r="HBN61" s="12"/>
      <c r="HCE61" s="12"/>
      <c r="HCF61" s="12"/>
      <c r="HCW61" s="12"/>
      <c r="HCX61" s="12"/>
      <c r="HDO61" s="12"/>
      <c r="HDP61" s="12"/>
      <c r="HEG61" s="12"/>
      <c r="HEH61" s="12"/>
      <c r="HEY61" s="12"/>
      <c r="HEZ61" s="12"/>
      <c r="HFQ61" s="12"/>
      <c r="HFR61" s="12"/>
      <c r="HGI61" s="12"/>
      <c r="HGJ61" s="12"/>
      <c r="HHA61" s="12"/>
      <c r="HHB61" s="12"/>
      <c r="HHS61" s="12"/>
      <c r="HHT61" s="12"/>
      <c r="HIK61" s="12"/>
      <c r="HIL61" s="12"/>
      <c r="HJC61" s="12"/>
      <c r="HJD61" s="12"/>
      <c r="HJU61" s="12"/>
      <c r="HJV61" s="12"/>
      <c r="HKM61" s="12"/>
      <c r="HKN61" s="12"/>
      <c r="HLE61" s="12"/>
      <c r="HLF61" s="12"/>
      <c r="HLW61" s="12"/>
      <c r="HLX61" s="12"/>
      <c r="HMO61" s="12"/>
      <c r="HMP61" s="12"/>
      <c r="HNG61" s="12"/>
      <c r="HNH61" s="12"/>
      <c r="HNY61" s="12"/>
      <c r="HNZ61" s="12"/>
      <c r="HOQ61" s="12"/>
      <c r="HOR61" s="12"/>
      <c r="HPI61" s="12"/>
      <c r="HPJ61" s="12"/>
      <c r="HQA61" s="12"/>
      <c r="HQB61" s="12"/>
      <c r="HQS61" s="12"/>
      <c r="HQT61" s="12"/>
      <c r="HRK61" s="12"/>
      <c r="HRL61" s="12"/>
      <c r="HSC61" s="12"/>
      <c r="HSD61" s="12"/>
      <c r="HSU61" s="12"/>
      <c r="HSV61" s="12"/>
      <c r="HTM61" s="12"/>
      <c r="HTN61" s="12"/>
      <c r="HUE61" s="12"/>
      <c r="HUF61" s="12"/>
      <c r="HUW61" s="12"/>
      <c r="HUX61" s="12"/>
      <c r="HVO61" s="12"/>
      <c r="HVP61" s="12"/>
      <c r="HWG61" s="12"/>
      <c r="HWH61" s="12"/>
      <c r="HWY61" s="12"/>
      <c r="HWZ61" s="12"/>
      <c r="HXQ61" s="12"/>
      <c r="HXR61" s="12"/>
      <c r="HYI61" s="12"/>
      <c r="HYJ61" s="12"/>
      <c r="HZA61" s="12"/>
      <c r="HZB61" s="12"/>
      <c r="HZS61" s="12"/>
      <c r="HZT61" s="12"/>
      <c r="IAK61" s="12"/>
      <c r="IAL61" s="12"/>
      <c r="IBC61" s="12"/>
      <c r="IBD61" s="12"/>
      <c r="IBU61" s="12"/>
      <c r="IBV61" s="12"/>
      <c r="ICM61" s="12"/>
      <c r="ICN61" s="12"/>
      <c r="IDE61" s="12"/>
      <c r="IDF61" s="12"/>
      <c r="IDW61" s="12"/>
      <c r="IDX61" s="12"/>
      <c r="IEO61" s="12"/>
      <c r="IEP61" s="12"/>
      <c r="IFG61" s="12"/>
      <c r="IFH61" s="12"/>
      <c r="IFY61" s="12"/>
      <c r="IFZ61" s="12"/>
      <c r="IGQ61" s="12"/>
      <c r="IGR61" s="12"/>
      <c r="IHI61" s="12"/>
      <c r="IHJ61" s="12"/>
      <c r="IIA61" s="12"/>
      <c r="IIB61" s="12"/>
      <c r="IIS61" s="12"/>
      <c r="IIT61" s="12"/>
      <c r="IJK61" s="12"/>
      <c r="IJL61" s="12"/>
      <c r="IKC61" s="12"/>
      <c r="IKD61" s="12"/>
      <c r="IKU61" s="12"/>
      <c r="IKV61" s="12"/>
      <c r="ILM61" s="12"/>
      <c r="ILN61" s="12"/>
      <c r="IME61" s="12"/>
      <c r="IMF61" s="12"/>
      <c r="IMW61" s="12"/>
      <c r="IMX61" s="12"/>
      <c r="INO61" s="12"/>
      <c r="INP61" s="12"/>
      <c r="IOG61" s="12"/>
      <c r="IOH61" s="12"/>
      <c r="IOY61" s="12"/>
      <c r="IOZ61" s="12"/>
      <c r="IPQ61" s="12"/>
      <c r="IPR61" s="12"/>
      <c r="IQI61" s="12"/>
      <c r="IQJ61" s="12"/>
      <c r="IRA61" s="12"/>
      <c r="IRB61" s="12"/>
      <c r="IRS61" s="12"/>
      <c r="IRT61" s="12"/>
      <c r="ISK61" s="12"/>
      <c r="ISL61" s="12"/>
      <c r="ITC61" s="12"/>
      <c r="ITD61" s="12"/>
      <c r="ITU61" s="12"/>
      <c r="ITV61" s="12"/>
      <c r="IUM61" s="12"/>
      <c r="IUN61" s="12"/>
      <c r="IVE61" s="12"/>
      <c r="IVF61" s="12"/>
      <c r="IVW61" s="12"/>
      <c r="IVX61" s="12"/>
      <c r="IWO61" s="12"/>
      <c r="IWP61" s="12"/>
      <c r="IXG61" s="12"/>
      <c r="IXH61" s="12"/>
      <c r="IXY61" s="12"/>
      <c r="IXZ61" s="12"/>
      <c r="IYQ61" s="12"/>
      <c r="IYR61" s="12"/>
      <c r="IZI61" s="12"/>
      <c r="IZJ61" s="12"/>
      <c r="JAA61" s="12"/>
      <c r="JAB61" s="12"/>
      <c r="JAS61" s="12"/>
      <c r="JAT61" s="12"/>
      <c r="JBK61" s="12"/>
      <c r="JBL61" s="12"/>
      <c r="JCC61" s="12"/>
      <c r="JCD61" s="12"/>
      <c r="JCU61" s="12"/>
      <c r="JCV61" s="12"/>
      <c r="JDM61" s="12"/>
      <c r="JDN61" s="12"/>
      <c r="JEE61" s="12"/>
      <c r="JEF61" s="12"/>
      <c r="JEW61" s="12"/>
      <c r="JEX61" s="12"/>
      <c r="JFO61" s="12"/>
      <c r="JFP61" s="12"/>
      <c r="JGG61" s="12"/>
      <c r="JGH61" s="12"/>
      <c r="JGY61" s="12"/>
      <c r="JGZ61" s="12"/>
      <c r="JHQ61" s="12"/>
      <c r="JHR61" s="12"/>
      <c r="JII61" s="12"/>
      <c r="JIJ61" s="12"/>
      <c r="JJA61" s="12"/>
      <c r="JJB61" s="12"/>
      <c r="JJS61" s="12"/>
      <c r="JJT61" s="12"/>
      <c r="JKK61" s="12"/>
      <c r="JKL61" s="12"/>
      <c r="JLC61" s="12"/>
      <c r="JLD61" s="12"/>
      <c r="JLU61" s="12"/>
      <c r="JLV61" s="12"/>
      <c r="JMM61" s="12"/>
      <c r="JMN61" s="12"/>
      <c r="JNE61" s="12"/>
      <c r="JNF61" s="12"/>
      <c r="JNW61" s="12"/>
      <c r="JNX61" s="12"/>
      <c r="JOO61" s="12"/>
      <c r="JOP61" s="12"/>
      <c r="JPG61" s="12"/>
      <c r="JPH61" s="12"/>
      <c r="JPY61" s="12"/>
      <c r="JPZ61" s="12"/>
      <c r="JQQ61" s="12"/>
      <c r="JQR61" s="12"/>
      <c r="JRI61" s="12"/>
      <c r="JRJ61" s="12"/>
      <c r="JSA61" s="12"/>
      <c r="JSB61" s="12"/>
      <c r="JSS61" s="12"/>
      <c r="JST61" s="12"/>
      <c r="JTK61" s="12"/>
      <c r="JTL61" s="12"/>
      <c r="JUC61" s="12"/>
      <c r="JUD61" s="12"/>
      <c r="JUU61" s="12"/>
      <c r="JUV61" s="12"/>
      <c r="JVM61" s="12"/>
      <c r="JVN61" s="12"/>
      <c r="JWE61" s="12"/>
      <c r="JWF61" s="12"/>
      <c r="JWW61" s="12"/>
      <c r="JWX61" s="12"/>
      <c r="JXO61" s="12"/>
      <c r="JXP61" s="12"/>
      <c r="JYG61" s="12"/>
      <c r="JYH61" s="12"/>
      <c r="JYY61" s="12"/>
      <c r="JYZ61" s="12"/>
      <c r="JZQ61" s="12"/>
      <c r="JZR61" s="12"/>
      <c r="KAI61" s="12"/>
      <c r="KAJ61" s="12"/>
      <c r="KBA61" s="12"/>
      <c r="KBB61" s="12"/>
      <c r="KBS61" s="12"/>
      <c r="KBT61" s="12"/>
      <c r="KCK61" s="12"/>
      <c r="KCL61" s="12"/>
      <c r="KDC61" s="12"/>
      <c r="KDD61" s="12"/>
      <c r="KDU61" s="12"/>
      <c r="KDV61" s="12"/>
      <c r="KEM61" s="12"/>
      <c r="KEN61" s="12"/>
      <c r="KFE61" s="12"/>
      <c r="KFF61" s="12"/>
      <c r="KFW61" s="12"/>
      <c r="KFX61" s="12"/>
      <c r="KGO61" s="12"/>
      <c r="KGP61" s="12"/>
      <c r="KHG61" s="12"/>
      <c r="KHH61" s="12"/>
      <c r="KHY61" s="12"/>
      <c r="KHZ61" s="12"/>
      <c r="KIQ61" s="12"/>
      <c r="KIR61" s="12"/>
      <c r="KJI61" s="12"/>
      <c r="KJJ61" s="12"/>
      <c r="KKA61" s="12"/>
      <c r="KKB61" s="12"/>
      <c r="KKS61" s="12"/>
      <c r="KKT61" s="12"/>
      <c r="KLK61" s="12"/>
      <c r="KLL61" s="12"/>
      <c r="KMC61" s="12"/>
      <c r="KMD61" s="12"/>
      <c r="KMU61" s="12"/>
      <c r="KMV61" s="12"/>
      <c r="KNM61" s="12"/>
      <c r="KNN61" s="12"/>
      <c r="KOE61" s="12"/>
      <c r="KOF61" s="12"/>
      <c r="KOW61" s="12"/>
      <c r="KOX61" s="12"/>
      <c r="KPO61" s="12"/>
      <c r="KPP61" s="12"/>
      <c r="KQG61" s="12"/>
      <c r="KQH61" s="12"/>
      <c r="KQY61" s="12"/>
      <c r="KQZ61" s="12"/>
      <c r="KRQ61" s="12"/>
      <c r="KRR61" s="12"/>
      <c r="KSI61" s="12"/>
      <c r="KSJ61" s="12"/>
      <c r="KTA61" s="12"/>
      <c r="KTB61" s="12"/>
      <c r="KTS61" s="12"/>
      <c r="KTT61" s="12"/>
      <c r="KUK61" s="12"/>
      <c r="KUL61" s="12"/>
      <c r="KVC61" s="12"/>
      <c r="KVD61" s="12"/>
      <c r="KVU61" s="12"/>
      <c r="KVV61" s="12"/>
      <c r="KWM61" s="12"/>
      <c r="KWN61" s="12"/>
      <c r="KXE61" s="12"/>
      <c r="KXF61" s="12"/>
      <c r="KXW61" s="12"/>
      <c r="KXX61" s="12"/>
      <c r="KYO61" s="12"/>
      <c r="KYP61" s="12"/>
      <c r="KZG61" s="12"/>
      <c r="KZH61" s="12"/>
      <c r="KZY61" s="12"/>
      <c r="KZZ61" s="12"/>
      <c r="LAQ61" s="12"/>
      <c r="LAR61" s="12"/>
      <c r="LBI61" s="12"/>
      <c r="LBJ61" s="12"/>
      <c r="LCA61" s="12"/>
      <c r="LCB61" s="12"/>
      <c r="LCS61" s="12"/>
      <c r="LCT61" s="12"/>
      <c r="LDK61" s="12"/>
      <c r="LDL61" s="12"/>
      <c r="LEC61" s="12"/>
      <c r="LED61" s="12"/>
      <c r="LEU61" s="12"/>
      <c r="LEV61" s="12"/>
      <c r="LFM61" s="12"/>
      <c r="LFN61" s="12"/>
      <c r="LGE61" s="12"/>
      <c r="LGF61" s="12"/>
      <c r="LGW61" s="12"/>
      <c r="LGX61" s="12"/>
      <c r="LHO61" s="12"/>
      <c r="LHP61" s="12"/>
      <c r="LIG61" s="12"/>
      <c r="LIH61" s="12"/>
      <c r="LIY61" s="12"/>
      <c r="LIZ61" s="12"/>
      <c r="LJQ61" s="12"/>
      <c r="LJR61" s="12"/>
      <c r="LKI61" s="12"/>
      <c r="LKJ61" s="12"/>
      <c r="LLA61" s="12"/>
      <c r="LLB61" s="12"/>
      <c r="LLS61" s="12"/>
      <c r="LLT61" s="12"/>
      <c r="LMK61" s="12"/>
      <c r="LML61" s="12"/>
      <c r="LNC61" s="12"/>
      <c r="LND61" s="12"/>
      <c r="LNU61" s="12"/>
      <c r="LNV61" s="12"/>
      <c r="LOM61" s="12"/>
      <c r="LON61" s="12"/>
      <c r="LPE61" s="12"/>
      <c r="LPF61" s="12"/>
      <c r="LPW61" s="12"/>
      <c r="LPX61" s="12"/>
      <c r="LQO61" s="12"/>
      <c r="LQP61" s="12"/>
      <c r="LRG61" s="12"/>
      <c r="LRH61" s="12"/>
      <c r="LRY61" s="12"/>
      <c r="LRZ61" s="12"/>
      <c r="LSQ61" s="12"/>
      <c r="LSR61" s="12"/>
      <c r="LTI61" s="12"/>
      <c r="LTJ61" s="12"/>
      <c r="LUA61" s="12"/>
      <c r="LUB61" s="12"/>
      <c r="LUS61" s="12"/>
      <c r="LUT61" s="12"/>
      <c r="LVK61" s="12"/>
      <c r="LVL61" s="12"/>
      <c r="LWC61" s="12"/>
      <c r="LWD61" s="12"/>
      <c r="LWU61" s="12"/>
      <c r="LWV61" s="12"/>
      <c r="LXM61" s="12"/>
      <c r="LXN61" s="12"/>
      <c r="LYE61" s="12"/>
      <c r="LYF61" s="12"/>
      <c r="LYW61" s="12"/>
      <c r="LYX61" s="12"/>
      <c r="LZO61" s="12"/>
      <c r="LZP61" s="12"/>
      <c r="MAG61" s="12"/>
      <c r="MAH61" s="12"/>
      <c r="MAY61" s="12"/>
      <c r="MAZ61" s="12"/>
      <c r="MBQ61" s="12"/>
      <c r="MBR61" s="12"/>
      <c r="MCI61" s="12"/>
      <c r="MCJ61" s="12"/>
      <c r="MDA61" s="12"/>
      <c r="MDB61" s="12"/>
      <c r="MDS61" s="12"/>
      <c r="MDT61" s="12"/>
      <c r="MEK61" s="12"/>
      <c r="MEL61" s="12"/>
      <c r="MFC61" s="12"/>
      <c r="MFD61" s="12"/>
      <c r="MFU61" s="12"/>
      <c r="MFV61" s="12"/>
      <c r="MGM61" s="12"/>
      <c r="MGN61" s="12"/>
      <c r="MHE61" s="12"/>
      <c r="MHF61" s="12"/>
      <c r="MHW61" s="12"/>
      <c r="MHX61" s="12"/>
      <c r="MIO61" s="12"/>
      <c r="MIP61" s="12"/>
      <c r="MJG61" s="12"/>
      <c r="MJH61" s="12"/>
      <c r="MJY61" s="12"/>
      <c r="MJZ61" s="12"/>
      <c r="MKQ61" s="12"/>
      <c r="MKR61" s="12"/>
      <c r="MLI61" s="12"/>
      <c r="MLJ61" s="12"/>
      <c r="MMA61" s="12"/>
      <c r="MMB61" s="12"/>
      <c r="MMS61" s="12"/>
      <c r="MMT61" s="12"/>
      <c r="MNK61" s="12"/>
      <c r="MNL61" s="12"/>
      <c r="MOC61" s="12"/>
      <c r="MOD61" s="12"/>
      <c r="MOU61" s="12"/>
      <c r="MOV61" s="12"/>
      <c r="MPM61" s="12"/>
      <c r="MPN61" s="12"/>
      <c r="MQE61" s="12"/>
      <c r="MQF61" s="12"/>
      <c r="MQW61" s="12"/>
      <c r="MQX61" s="12"/>
      <c r="MRO61" s="12"/>
      <c r="MRP61" s="12"/>
      <c r="MSG61" s="12"/>
      <c r="MSH61" s="12"/>
      <c r="MSY61" s="12"/>
      <c r="MSZ61" s="12"/>
      <c r="MTQ61" s="12"/>
      <c r="MTR61" s="12"/>
      <c r="MUI61" s="12"/>
      <c r="MUJ61" s="12"/>
      <c r="MVA61" s="12"/>
      <c r="MVB61" s="12"/>
      <c r="MVS61" s="12"/>
      <c r="MVT61" s="12"/>
      <c r="MWK61" s="12"/>
      <c r="MWL61" s="12"/>
      <c r="MXC61" s="12"/>
      <c r="MXD61" s="12"/>
      <c r="MXU61" s="12"/>
      <c r="MXV61" s="12"/>
      <c r="MYM61" s="12"/>
      <c r="MYN61" s="12"/>
      <c r="MZE61" s="12"/>
      <c r="MZF61" s="12"/>
      <c r="MZW61" s="12"/>
      <c r="MZX61" s="12"/>
      <c r="NAO61" s="12"/>
      <c r="NAP61" s="12"/>
      <c r="NBG61" s="12"/>
      <c r="NBH61" s="12"/>
      <c r="NBY61" s="12"/>
      <c r="NBZ61" s="12"/>
      <c r="NCQ61" s="12"/>
      <c r="NCR61" s="12"/>
      <c r="NDI61" s="12"/>
      <c r="NDJ61" s="12"/>
      <c r="NEA61" s="12"/>
      <c r="NEB61" s="12"/>
      <c r="NES61" s="12"/>
      <c r="NET61" s="12"/>
      <c r="NFK61" s="12"/>
      <c r="NFL61" s="12"/>
      <c r="NGC61" s="12"/>
      <c r="NGD61" s="12"/>
      <c r="NGU61" s="12"/>
      <c r="NGV61" s="12"/>
      <c r="NHM61" s="12"/>
      <c r="NHN61" s="12"/>
      <c r="NIE61" s="12"/>
      <c r="NIF61" s="12"/>
      <c r="NIW61" s="12"/>
      <c r="NIX61" s="12"/>
      <c r="NJO61" s="12"/>
      <c r="NJP61" s="12"/>
      <c r="NKG61" s="12"/>
      <c r="NKH61" s="12"/>
      <c r="NKY61" s="12"/>
      <c r="NKZ61" s="12"/>
      <c r="NLQ61" s="12"/>
      <c r="NLR61" s="12"/>
      <c r="NMI61" s="12"/>
      <c r="NMJ61" s="12"/>
      <c r="NNA61" s="12"/>
      <c r="NNB61" s="12"/>
      <c r="NNS61" s="12"/>
      <c r="NNT61" s="12"/>
      <c r="NOK61" s="12"/>
      <c r="NOL61" s="12"/>
      <c r="NPC61" s="12"/>
      <c r="NPD61" s="12"/>
      <c r="NPU61" s="12"/>
      <c r="NPV61" s="12"/>
      <c r="NQM61" s="12"/>
      <c r="NQN61" s="12"/>
      <c r="NRE61" s="12"/>
      <c r="NRF61" s="12"/>
      <c r="NRW61" s="12"/>
      <c r="NRX61" s="12"/>
      <c r="NSO61" s="12"/>
      <c r="NSP61" s="12"/>
      <c r="NTG61" s="12"/>
      <c r="NTH61" s="12"/>
      <c r="NTY61" s="12"/>
      <c r="NTZ61" s="12"/>
      <c r="NUQ61" s="12"/>
      <c r="NUR61" s="12"/>
      <c r="NVI61" s="12"/>
      <c r="NVJ61" s="12"/>
      <c r="NWA61" s="12"/>
      <c r="NWB61" s="12"/>
      <c r="NWS61" s="12"/>
      <c r="NWT61" s="12"/>
      <c r="NXK61" s="12"/>
      <c r="NXL61" s="12"/>
      <c r="NYC61" s="12"/>
      <c r="NYD61" s="12"/>
      <c r="NYU61" s="12"/>
      <c r="NYV61" s="12"/>
      <c r="NZM61" s="12"/>
      <c r="NZN61" s="12"/>
      <c r="OAE61" s="12"/>
      <c r="OAF61" s="12"/>
      <c r="OAW61" s="12"/>
      <c r="OAX61" s="12"/>
      <c r="OBO61" s="12"/>
      <c r="OBP61" s="12"/>
      <c r="OCG61" s="12"/>
      <c r="OCH61" s="12"/>
      <c r="OCY61" s="12"/>
      <c r="OCZ61" s="12"/>
      <c r="ODQ61" s="12"/>
      <c r="ODR61" s="12"/>
      <c r="OEI61" s="12"/>
      <c r="OEJ61" s="12"/>
      <c r="OFA61" s="12"/>
      <c r="OFB61" s="12"/>
      <c r="OFS61" s="12"/>
      <c r="OFT61" s="12"/>
      <c r="OGK61" s="12"/>
      <c r="OGL61" s="12"/>
      <c r="OHC61" s="12"/>
      <c r="OHD61" s="12"/>
      <c r="OHU61" s="12"/>
      <c r="OHV61" s="12"/>
      <c r="OIM61" s="12"/>
      <c r="OIN61" s="12"/>
      <c r="OJE61" s="12"/>
      <c r="OJF61" s="12"/>
      <c r="OJW61" s="12"/>
      <c r="OJX61" s="12"/>
      <c r="OKO61" s="12"/>
      <c r="OKP61" s="12"/>
      <c r="OLG61" s="12"/>
      <c r="OLH61" s="12"/>
      <c r="OLY61" s="12"/>
      <c r="OLZ61" s="12"/>
      <c r="OMQ61" s="12"/>
      <c r="OMR61" s="12"/>
      <c r="ONI61" s="12"/>
      <c r="ONJ61" s="12"/>
      <c r="OOA61" s="12"/>
      <c r="OOB61" s="12"/>
      <c r="OOS61" s="12"/>
      <c r="OOT61" s="12"/>
      <c r="OPK61" s="12"/>
      <c r="OPL61" s="12"/>
      <c r="OQC61" s="12"/>
      <c r="OQD61" s="12"/>
      <c r="OQU61" s="12"/>
      <c r="OQV61" s="12"/>
      <c r="ORM61" s="12"/>
      <c r="ORN61" s="12"/>
      <c r="OSE61" s="12"/>
      <c r="OSF61" s="12"/>
      <c r="OSW61" s="12"/>
      <c r="OSX61" s="12"/>
      <c r="OTO61" s="12"/>
      <c r="OTP61" s="12"/>
      <c r="OUG61" s="12"/>
      <c r="OUH61" s="12"/>
      <c r="OUY61" s="12"/>
      <c r="OUZ61" s="12"/>
      <c r="OVQ61" s="12"/>
      <c r="OVR61" s="12"/>
      <c r="OWI61" s="12"/>
      <c r="OWJ61" s="12"/>
      <c r="OXA61" s="12"/>
      <c r="OXB61" s="12"/>
      <c r="OXS61" s="12"/>
      <c r="OXT61" s="12"/>
      <c r="OYK61" s="12"/>
      <c r="OYL61" s="12"/>
      <c r="OZC61" s="12"/>
      <c r="OZD61" s="12"/>
      <c r="OZU61" s="12"/>
      <c r="OZV61" s="12"/>
      <c r="PAM61" s="12"/>
      <c r="PAN61" s="12"/>
      <c r="PBE61" s="12"/>
      <c r="PBF61" s="12"/>
      <c r="PBW61" s="12"/>
      <c r="PBX61" s="12"/>
      <c r="PCO61" s="12"/>
      <c r="PCP61" s="12"/>
      <c r="PDG61" s="12"/>
      <c r="PDH61" s="12"/>
      <c r="PDY61" s="12"/>
      <c r="PDZ61" s="12"/>
      <c r="PEQ61" s="12"/>
      <c r="PER61" s="12"/>
      <c r="PFI61" s="12"/>
      <c r="PFJ61" s="12"/>
      <c r="PGA61" s="12"/>
      <c r="PGB61" s="12"/>
      <c r="PGS61" s="12"/>
      <c r="PGT61" s="12"/>
      <c r="PHK61" s="12"/>
      <c r="PHL61" s="12"/>
      <c r="PIC61" s="12"/>
      <c r="PID61" s="12"/>
      <c r="PIU61" s="12"/>
      <c r="PIV61" s="12"/>
      <c r="PJM61" s="12"/>
      <c r="PJN61" s="12"/>
      <c r="PKE61" s="12"/>
      <c r="PKF61" s="12"/>
      <c r="PKW61" s="12"/>
      <c r="PKX61" s="12"/>
      <c r="PLO61" s="12"/>
      <c r="PLP61" s="12"/>
      <c r="PMG61" s="12"/>
      <c r="PMH61" s="12"/>
      <c r="PMY61" s="12"/>
      <c r="PMZ61" s="12"/>
      <c r="PNQ61" s="12"/>
      <c r="PNR61" s="12"/>
      <c r="POI61" s="12"/>
      <c r="POJ61" s="12"/>
      <c r="PPA61" s="12"/>
      <c r="PPB61" s="12"/>
      <c r="PPS61" s="12"/>
      <c r="PPT61" s="12"/>
      <c r="PQK61" s="12"/>
      <c r="PQL61" s="12"/>
      <c r="PRC61" s="12"/>
      <c r="PRD61" s="12"/>
      <c r="PRU61" s="12"/>
      <c r="PRV61" s="12"/>
      <c r="PSM61" s="12"/>
      <c r="PSN61" s="12"/>
      <c r="PTE61" s="12"/>
      <c r="PTF61" s="12"/>
      <c r="PTW61" s="12"/>
      <c r="PTX61" s="12"/>
      <c r="PUO61" s="12"/>
      <c r="PUP61" s="12"/>
      <c r="PVG61" s="12"/>
      <c r="PVH61" s="12"/>
      <c r="PVY61" s="12"/>
      <c r="PVZ61" s="12"/>
      <c r="PWQ61" s="12"/>
      <c r="PWR61" s="12"/>
      <c r="PXI61" s="12"/>
      <c r="PXJ61" s="12"/>
      <c r="PYA61" s="12"/>
      <c r="PYB61" s="12"/>
      <c r="PYS61" s="12"/>
      <c r="PYT61" s="12"/>
      <c r="PZK61" s="12"/>
      <c r="PZL61" s="12"/>
      <c r="QAC61" s="12"/>
      <c r="QAD61" s="12"/>
      <c r="QAU61" s="12"/>
      <c r="QAV61" s="12"/>
      <c r="QBM61" s="12"/>
      <c r="QBN61" s="12"/>
      <c r="QCE61" s="12"/>
      <c r="QCF61" s="12"/>
      <c r="QCW61" s="12"/>
      <c r="QCX61" s="12"/>
      <c r="QDO61" s="12"/>
      <c r="QDP61" s="12"/>
      <c r="QEG61" s="12"/>
      <c r="QEH61" s="12"/>
      <c r="QEY61" s="12"/>
      <c r="QEZ61" s="12"/>
      <c r="QFQ61" s="12"/>
      <c r="QFR61" s="12"/>
      <c r="QGI61" s="12"/>
      <c r="QGJ61" s="12"/>
      <c r="QHA61" s="12"/>
      <c r="QHB61" s="12"/>
      <c r="QHS61" s="12"/>
      <c r="QHT61" s="12"/>
      <c r="QIK61" s="12"/>
      <c r="QIL61" s="12"/>
      <c r="QJC61" s="12"/>
      <c r="QJD61" s="12"/>
      <c r="QJU61" s="12"/>
      <c r="QJV61" s="12"/>
      <c r="QKM61" s="12"/>
      <c r="QKN61" s="12"/>
      <c r="QLE61" s="12"/>
      <c r="QLF61" s="12"/>
      <c r="QLW61" s="12"/>
      <c r="QLX61" s="12"/>
      <c r="QMO61" s="12"/>
      <c r="QMP61" s="12"/>
      <c r="QNG61" s="12"/>
      <c r="QNH61" s="12"/>
      <c r="QNY61" s="12"/>
      <c r="QNZ61" s="12"/>
      <c r="QOQ61" s="12"/>
      <c r="QOR61" s="12"/>
      <c r="QPI61" s="12"/>
      <c r="QPJ61" s="12"/>
      <c r="QQA61" s="12"/>
      <c r="QQB61" s="12"/>
      <c r="QQS61" s="12"/>
      <c r="QQT61" s="12"/>
      <c r="QRK61" s="12"/>
      <c r="QRL61" s="12"/>
      <c r="QSC61" s="12"/>
      <c r="QSD61" s="12"/>
      <c r="QSU61" s="12"/>
      <c r="QSV61" s="12"/>
      <c r="QTM61" s="12"/>
      <c r="QTN61" s="12"/>
      <c r="QUE61" s="12"/>
      <c r="QUF61" s="12"/>
      <c r="QUW61" s="12"/>
      <c r="QUX61" s="12"/>
      <c r="QVO61" s="12"/>
      <c r="QVP61" s="12"/>
      <c r="QWG61" s="12"/>
      <c r="QWH61" s="12"/>
      <c r="QWY61" s="12"/>
      <c r="QWZ61" s="12"/>
      <c r="QXQ61" s="12"/>
      <c r="QXR61" s="12"/>
      <c r="QYI61" s="12"/>
      <c r="QYJ61" s="12"/>
      <c r="QZA61" s="12"/>
      <c r="QZB61" s="12"/>
      <c r="QZS61" s="12"/>
      <c r="QZT61" s="12"/>
      <c r="RAK61" s="12"/>
      <c r="RAL61" s="12"/>
      <c r="RBC61" s="12"/>
      <c r="RBD61" s="12"/>
      <c r="RBU61" s="12"/>
      <c r="RBV61" s="12"/>
      <c r="RCM61" s="12"/>
      <c r="RCN61" s="12"/>
      <c r="RDE61" s="12"/>
      <c r="RDF61" s="12"/>
      <c r="RDW61" s="12"/>
      <c r="RDX61" s="12"/>
      <c r="REO61" s="12"/>
      <c r="REP61" s="12"/>
      <c r="RFG61" s="12"/>
      <c r="RFH61" s="12"/>
      <c r="RFY61" s="12"/>
      <c r="RFZ61" s="12"/>
      <c r="RGQ61" s="12"/>
      <c r="RGR61" s="12"/>
      <c r="RHI61" s="12"/>
      <c r="RHJ61" s="12"/>
      <c r="RIA61" s="12"/>
      <c r="RIB61" s="12"/>
      <c r="RIS61" s="12"/>
      <c r="RIT61" s="12"/>
      <c r="RJK61" s="12"/>
      <c r="RJL61" s="12"/>
      <c r="RKC61" s="12"/>
      <c r="RKD61" s="12"/>
      <c r="RKU61" s="12"/>
      <c r="RKV61" s="12"/>
      <c r="RLM61" s="12"/>
      <c r="RLN61" s="12"/>
      <c r="RME61" s="12"/>
      <c r="RMF61" s="12"/>
      <c r="RMW61" s="12"/>
      <c r="RMX61" s="12"/>
      <c r="RNO61" s="12"/>
      <c r="RNP61" s="12"/>
      <c r="ROG61" s="12"/>
      <c r="ROH61" s="12"/>
      <c r="ROY61" s="12"/>
      <c r="ROZ61" s="12"/>
      <c r="RPQ61" s="12"/>
      <c r="RPR61" s="12"/>
      <c r="RQI61" s="12"/>
      <c r="RQJ61" s="12"/>
      <c r="RRA61" s="12"/>
      <c r="RRB61" s="12"/>
      <c r="RRS61" s="12"/>
      <c r="RRT61" s="12"/>
      <c r="RSK61" s="12"/>
      <c r="RSL61" s="12"/>
      <c r="RTC61" s="12"/>
      <c r="RTD61" s="12"/>
      <c r="RTU61" s="12"/>
      <c r="RTV61" s="12"/>
      <c r="RUM61" s="12"/>
      <c r="RUN61" s="12"/>
      <c r="RVE61" s="12"/>
      <c r="RVF61" s="12"/>
      <c r="RVW61" s="12"/>
      <c r="RVX61" s="12"/>
      <c r="RWO61" s="12"/>
      <c r="RWP61" s="12"/>
      <c r="RXG61" s="12"/>
      <c r="RXH61" s="12"/>
      <c r="RXY61" s="12"/>
      <c r="RXZ61" s="12"/>
      <c r="RYQ61" s="12"/>
      <c r="RYR61" s="12"/>
      <c r="RZI61" s="12"/>
      <c r="RZJ61" s="12"/>
      <c r="SAA61" s="12"/>
      <c r="SAB61" s="12"/>
      <c r="SAS61" s="12"/>
      <c r="SAT61" s="12"/>
      <c r="SBK61" s="12"/>
      <c r="SBL61" s="12"/>
      <c r="SCC61" s="12"/>
      <c r="SCD61" s="12"/>
      <c r="SCU61" s="12"/>
      <c r="SCV61" s="12"/>
      <c r="SDM61" s="12"/>
      <c r="SDN61" s="12"/>
      <c r="SEE61" s="12"/>
      <c r="SEF61" s="12"/>
      <c r="SEW61" s="12"/>
      <c r="SEX61" s="12"/>
      <c r="SFO61" s="12"/>
      <c r="SFP61" s="12"/>
      <c r="SGG61" s="12"/>
      <c r="SGH61" s="12"/>
      <c r="SGY61" s="12"/>
      <c r="SGZ61" s="12"/>
      <c r="SHQ61" s="12"/>
      <c r="SHR61" s="12"/>
      <c r="SII61" s="12"/>
      <c r="SIJ61" s="12"/>
      <c r="SJA61" s="12"/>
      <c r="SJB61" s="12"/>
      <c r="SJS61" s="12"/>
      <c r="SJT61" s="12"/>
      <c r="SKK61" s="12"/>
      <c r="SKL61" s="12"/>
      <c r="SLC61" s="12"/>
      <c r="SLD61" s="12"/>
      <c r="SLU61" s="12"/>
      <c r="SLV61" s="12"/>
      <c r="SMM61" s="12"/>
      <c r="SMN61" s="12"/>
      <c r="SNE61" s="12"/>
      <c r="SNF61" s="12"/>
      <c r="SNW61" s="12"/>
      <c r="SNX61" s="12"/>
      <c r="SOO61" s="12"/>
      <c r="SOP61" s="12"/>
      <c r="SPG61" s="12"/>
      <c r="SPH61" s="12"/>
      <c r="SPY61" s="12"/>
      <c r="SPZ61" s="12"/>
      <c r="SQQ61" s="12"/>
      <c r="SQR61" s="12"/>
      <c r="SRI61" s="12"/>
      <c r="SRJ61" s="12"/>
      <c r="SSA61" s="12"/>
      <c r="SSB61" s="12"/>
      <c r="SSS61" s="12"/>
      <c r="SST61" s="12"/>
      <c r="STK61" s="12"/>
      <c r="STL61" s="12"/>
      <c r="SUC61" s="12"/>
      <c r="SUD61" s="12"/>
      <c r="SUU61" s="12"/>
      <c r="SUV61" s="12"/>
      <c r="SVM61" s="12"/>
      <c r="SVN61" s="12"/>
      <c r="SWE61" s="12"/>
      <c r="SWF61" s="12"/>
      <c r="SWW61" s="12"/>
      <c r="SWX61" s="12"/>
      <c r="SXO61" s="12"/>
      <c r="SXP61" s="12"/>
      <c r="SYG61" s="12"/>
      <c r="SYH61" s="12"/>
      <c r="SYY61" s="12"/>
      <c r="SYZ61" s="12"/>
      <c r="SZQ61" s="12"/>
      <c r="SZR61" s="12"/>
      <c r="TAI61" s="12"/>
      <c r="TAJ61" s="12"/>
      <c r="TBA61" s="12"/>
      <c r="TBB61" s="12"/>
      <c r="TBS61" s="12"/>
      <c r="TBT61" s="12"/>
      <c r="TCK61" s="12"/>
      <c r="TCL61" s="12"/>
      <c r="TDC61" s="12"/>
      <c r="TDD61" s="12"/>
      <c r="TDU61" s="12"/>
      <c r="TDV61" s="12"/>
      <c r="TEM61" s="12"/>
      <c r="TEN61" s="12"/>
      <c r="TFE61" s="12"/>
      <c r="TFF61" s="12"/>
      <c r="TFW61" s="12"/>
      <c r="TFX61" s="12"/>
      <c r="TGO61" s="12"/>
      <c r="TGP61" s="12"/>
      <c r="THG61" s="12"/>
      <c r="THH61" s="12"/>
      <c r="THY61" s="12"/>
      <c r="THZ61" s="12"/>
      <c r="TIQ61" s="12"/>
      <c r="TIR61" s="12"/>
      <c r="TJI61" s="12"/>
      <c r="TJJ61" s="12"/>
      <c r="TKA61" s="12"/>
      <c r="TKB61" s="12"/>
      <c r="TKS61" s="12"/>
      <c r="TKT61" s="12"/>
      <c r="TLK61" s="12"/>
      <c r="TLL61" s="12"/>
      <c r="TMC61" s="12"/>
      <c r="TMD61" s="12"/>
      <c r="TMU61" s="12"/>
      <c r="TMV61" s="12"/>
      <c r="TNM61" s="12"/>
      <c r="TNN61" s="12"/>
      <c r="TOE61" s="12"/>
      <c r="TOF61" s="12"/>
      <c r="TOW61" s="12"/>
      <c r="TOX61" s="12"/>
      <c r="TPO61" s="12"/>
      <c r="TPP61" s="12"/>
      <c r="TQG61" s="12"/>
      <c r="TQH61" s="12"/>
      <c r="TQY61" s="12"/>
      <c r="TQZ61" s="12"/>
      <c r="TRQ61" s="12"/>
      <c r="TRR61" s="12"/>
      <c r="TSI61" s="12"/>
      <c r="TSJ61" s="12"/>
      <c r="TTA61" s="12"/>
      <c r="TTB61" s="12"/>
      <c r="TTS61" s="12"/>
      <c r="TTT61" s="12"/>
      <c r="TUK61" s="12"/>
      <c r="TUL61" s="12"/>
      <c r="TVC61" s="12"/>
      <c r="TVD61" s="12"/>
      <c r="TVU61" s="12"/>
      <c r="TVV61" s="12"/>
      <c r="TWM61" s="12"/>
      <c r="TWN61" s="12"/>
      <c r="TXE61" s="12"/>
      <c r="TXF61" s="12"/>
      <c r="TXW61" s="12"/>
      <c r="TXX61" s="12"/>
      <c r="TYO61" s="12"/>
      <c r="TYP61" s="12"/>
      <c r="TZG61" s="12"/>
      <c r="TZH61" s="12"/>
      <c r="TZY61" s="12"/>
      <c r="TZZ61" s="12"/>
      <c r="UAQ61" s="12"/>
      <c r="UAR61" s="12"/>
      <c r="UBI61" s="12"/>
      <c r="UBJ61" s="12"/>
      <c r="UCA61" s="12"/>
      <c r="UCB61" s="12"/>
      <c r="UCS61" s="12"/>
      <c r="UCT61" s="12"/>
      <c r="UDK61" s="12"/>
      <c r="UDL61" s="12"/>
      <c r="UEC61" s="12"/>
      <c r="UED61" s="12"/>
      <c r="UEU61" s="12"/>
      <c r="UEV61" s="12"/>
      <c r="UFM61" s="12"/>
      <c r="UFN61" s="12"/>
      <c r="UGE61" s="12"/>
      <c r="UGF61" s="12"/>
      <c r="UGW61" s="12"/>
      <c r="UGX61" s="12"/>
      <c r="UHO61" s="12"/>
      <c r="UHP61" s="12"/>
      <c r="UIG61" s="12"/>
      <c r="UIH61" s="12"/>
      <c r="UIY61" s="12"/>
      <c r="UIZ61" s="12"/>
      <c r="UJQ61" s="12"/>
      <c r="UJR61" s="12"/>
      <c r="UKI61" s="12"/>
      <c r="UKJ61" s="12"/>
      <c r="ULA61" s="12"/>
      <c r="ULB61" s="12"/>
      <c r="ULS61" s="12"/>
      <c r="ULT61" s="12"/>
      <c r="UMK61" s="12"/>
      <c r="UML61" s="12"/>
      <c r="UNC61" s="12"/>
      <c r="UND61" s="12"/>
      <c r="UNU61" s="12"/>
      <c r="UNV61" s="12"/>
      <c r="UOM61" s="12"/>
      <c r="UON61" s="12"/>
      <c r="UPE61" s="12"/>
      <c r="UPF61" s="12"/>
      <c r="UPW61" s="12"/>
      <c r="UPX61" s="12"/>
      <c r="UQO61" s="12"/>
      <c r="UQP61" s="12"/>
      <c r="URG61" s="12"/>
      <c r="URH61" s="12"/>
      <c r="URY61" s="12"/>
      <c r="URZ61" s="12"/>
      <c r="USQ61" s="12"/>
      <c r="USR61" s="12"/>
      <c r="UTI61" s="12"/>
      <c r="UTJ61" s="12"/>
      <c r="UUA61" s="12"/>
      <c r="UUB61" s="12"/>
      <c r="UUS61" s="12"/>
      <c r="UUT61" s="12"/>
      <c r="UVK61" s="12"/>
      <c r="UVL61" s="12"/>
      <c r="UWC61" s="12"/>
      <c r="UWD61" s="12"/>
      <c r="UWU61" s="12"/>
      <c r="UWV61" s="12"/>
      <c r="UXM61" s="12"/>
      <c r="UXN61" s="12"/>
      <c r="UYE61" s="12"/>
      <c r="UYF61" s="12"/>
      <c r="UYW61" s="12"/>
      <c r="UYX61" s="12"/>
      <c r="UZO61" s="12"/>
      <c r="UZP61" s="12"/>
      <c r="VAG61" s="12"/>
      <c r="VAH61" s="12"/>
      <c r="VAY61" s="12"/>
      <c r="VAZ61" s="12"/>
      <c r="VBQ61" s="12"/>
      <c r="VBR61" s="12"/>
      <c r="VCI61" s="12"/>
      <c r="VCJ61" s="12"/>
      <c r="VDA61" s="12"/>
      <c r="VDB61" s="12"/>
      <c r="VDS61" s="12"/>
      <c r="VDT61" s="12"/>
      <c r="VEK61" s="12"/>
      <c r="VEL61" s="12"/>
      <c r="VFC61" s="12"/>
      <c r="VFD61" s="12"/>
      <c r="VFU61" s="12"/>
      <c r="VFV61" s="12"/>
      <c r="VGM61" s="12"/>
      <c r="VGN61" s="12"/>
      <c r="VHE61" s="12"/>
      <c r="VHF61" s="12"/>
      <c r="VHW61" s="12"/>
      <c r="VHX61" s="12"/>
      <c r="VIO61" s="12"/>
      <c r="VIP61" s="12"/>
      <c r="VJG61" s="12"/>
      <c r="VJH61" s="12"/>
      <c r="VJY61" s="12"/>
      <c r="VJZ61" s="12"/>
      <c r="VKQ61" s="12"/>
      <c r="VKR61" s="12"/>
      <c r="VLI61" s="12"/>
      <c r="VLJ61" s="12"/>
      <c r="VMA61" s="12"/>
      <c r="VMB61" s="12"/>
      <c r="VMS61" s="12"/>
      <c r="VMT61" s="12"/>
      <c r="VNK61" s="12"/>
      <c r="VNL61" s="12"/>
      <c r="VOC61" s="12"/>
      <c r="VOD61" s="12"/>
      <c r="VOU61" s="12"/>
      <c r="VOV61" s="12"/>
      <c r="VPM61" s="12"/>
      <c r="VPN61" s="12"/>
      <c r="VQE61" s="12"/>
      <c r="VQF61" s="12"/>
      <c r="VQW61" s="12"/>
      <c r="VQX61" s="12"/>
      <c r="VRO61" s="12"/>
      <c r="VRP61" s="12"/>
      <c r="VSG61" s="12"/>
      <c r="VSH61" s="12"/>
      <c r="VSY61" s="12"/>
      <c r="VSZ61" s="12"/>
      <c r="VTQ61" s="12"/>
      <c r="VTR61" s="12"/>
      <c r="VUI61" s="12"/>
      <c r="VUJ61" s="12"/>
      <c r="VVA61" s="12"/>
      <c r="VVB61" s="12"/>
      <c r="VVS61" s="12"/>
      <c r="VVT61" s="12"/>
      <c r="VWK61" s="12"/>
      <c r="VWL61" s="12"/>
      <c r="VXC61" s="12"/>
      <c r="VXD61" s="12"/>
      <c r="VXU61" s="12"/>
      <c r="VXV61" s="12"/>
      <c r="VYM61" s="12"/>
      <c r="VYN61" s="12"/>
      <c r="VZE61" s="12"/>
      <c r="VZF61" s="12"/>
      <c r="VZW61" s="12"/>
      <c r="VZX61" s="12"/>
      <c r="WAO61" s="12"/>
      <c r="WAP61" s="12"/>
      <c r="WBG61" s="12"/>
      <c r="WBH61" s="12"/>
      <c r="WBY61" s="12"/>
      <c r="WBZ61" s="12"/>
      <c r="WCQ61" s="12"/>
      <c r="WCR61" s="12"/>
      <c r="WDI61" s="12"/>
      <c r="WDJ61" s="12"/>
      <c r="WEA61" s="12"/>
      <c r="WEB61" s="12"/>
      <c r="WES61" s="12"/>
      <c r="WET61" s="12"/>
      <c r="WFK61" s="12"/>
      <c r="WFL61" s="12"/>
      <c r="WGC61" s="12"/>
      <c r="WGD61" s="12"/>
      <c r="WGU61" s="12"/>
      <c r="WGV61" s="12"/>
      <c r="WHM61" s="12"/>
      <c r="WHN61" s="12"/>
      <c r="WIE61" s="12"/>
      <c r="WIF61" s="12"/>
      <c r="WIW61" s="12"/>
      <c r="WIX61" s="12"/>
      <c r="WJO61" s="12"/>
      <c r="WJP61" s="12"/>
      <c r="WKG61" s="12"/>
      <c r="WKH61" s="12"/>
      <c r="WKY61" s="12"/>
      <c r="WKZ61" s="12"/>
      <c r="WLQ61" s="12"/>
      <c r="WLR61" s="12"/>
      <c r="WMI61" s="12"/>
      <c r="WMJ61" s="12"/>
      <c r="WNA61" s="12"/>
      <c r="WNB61" s="12"/>
      <c r="WNS61" s="12"/>
      <c r="WNT61" s="12"/>
      <c r="WOK61" s="12"/>
      <c r="WOL61" s="12"/>
      <c r="WPC61" s="12"/>
      <c r="WPD61" s="12"/>
      <c r="WPU61" s="12"/>
      <c r="WPV61" s="12"/>
      <c r="WQM61" s="12"/>
      <c r="WQN61" s="12"/>
      <c r="WRE61" s="12"/>
      <c r="WRF61" s="12"/>
      <c r="WRW61" s="12"/>
      <c r="WRX61" s="12"/>
      <c r="WSO61" s="12"/>
      <c r="WSP61" s="12"/>
      <c r="WTG61" s="12"/>
      <c r="WTH61" s="12"/>
      <c r="WTY61" s="12"/>
      <c r="WTZ61" s="12"/>
      <c r="WUQ61" s="12"/>
      <c r="WUR61" s="12"/>
      <c r="WVI61" s="12"/>
      <c r="WVJ61" s="12"/>
      <c r="WWA61" s="12"/>
      <c r="WWB61" s="12"/>
      <c r="WWS61" s="12"/>
      <c r="WWT61" s="12"/>
      <c r="WXK61" s="12"/>
      <c r="WXL61" s="12"/>
      <c r="WYC61" s="12"/>
      <c r="WYD61" s="12"/>
      <c r="WYU61" s="12"/>
      <c r="WYV61" s="12"/>
      <c r="WZM61" s="12"/>
      <c r="WZN61" s="12"/>
      <c r="XAE61" s="12"/>
      <c r="XAF61" s="12"/>
      <c r="XAW61" s="12"/>
      <c r="XAX61" s="12"/>
      <c r="XBO61" s="12"/>
      <c r="XBP61" s="12"/>
      <c r="XCG61" s="12"/>
      <c r="XCH61" s="12"/>
      <c r="XCY61" s="12"/>
      <c r="XCZ61" s="12"/>
      <c r="XDQ61" s="12"/>
      <c r="XDR61" s="12"/>
      <c r="XEI61" s="12"/>
      <c r="XEJ61" s="12"/>
      <c r="XFA61" s="12"/>
      <c r="XFB61" s="12"/>
    </row>
    <row r="62" spans="1:1010 1027:2036 2053:3062 3079:4088 4105:5114 5131:6140 6157:7166 7183:8192 8209:9200 9217:10226 10243:11252 11269:12278 12295:13304 13321:14330 14347:15356 15373:16382" x14ac:dyDescent="0.35">
      <c r="A62" s="477" t="str">
        <f>'Income - GAAP'!A62</f>
        <v>Net Income Avail to Common, GAAP</v>
      </c>
      <c r="B62" s="477" t="str">
        <f>'Income - GAAP'!B62</f>
        <v>EARN_FOR_COMMON</v>
      </c>
      <c r="C62" s="478">
        <f>IF('Income - GAAP'!C62="",0,'Income - GAAP'!C62)/'Income - GAAP'!C$9</f>
        <v>3.9245871989558707E-2</v>
      </c>
      <c r="D62" s="478">
        <f>IF('Income - GAAP'!D62="",0,'Income - GAAP'!D62)/'Income - GAAP'!D$9</f>
        <v>4.4748400050194502E-2</v>
      </c>
      <c r="E62" s="478">
        <f>IF('Income - GAAP'!E62="",0,'Income - GAAP'!E62)/'Income - GAAP'!E$9</f>
        <v>3.7021754411590183E-2</v>
      </c>
      <c r="F62" s="478">
        <f>IF('Income - GAAP'!F62="",0,'Income - GAAP'!F62)/'Income - GAAP'!F$9</f>
        <v>4.8910987407447442E-3</v>
      </c>
      <c r="G62" s="478">
        <f>IF('Income - GAAP'!G62="",0,'Income - GAAP'!G62)/'Income - GAAP'!G$9</f>
        <v>8.1376977071448434E-2</v>
      </c>
      <c r="H62" s="478">
        <f>IF('Income - GAAP'!H62="",0,'Income - GAAP'!H62)/'Income - GAAP'!H$9</f>
        <v>7.4997445591090228E-2</v>
      </c>
      <c r="I62" s="478">
        <f>IF('Income - GAAP'!I62="",0,'Income - GAAP'!I62)/'Income - GAAP'!I$9</f>
        <v>8.4942711124200918E-2</v>
      </c>
      <c r="J62" s="478">
        <f>IF('Income - GAAP'!J62="",0,'Income - GAAP'!J62)/'Income - GAAP'!J$9</f>
        <v>0.10737385845087558</v>
      </c>
      <c r="K62" s="478">
        <f>IF('Income - GAAP'!K62="",0,'Income - GAAP'!K62)/'Income - GAAP'!K$9</f>
        <v>0.10914155440687628</v>
      </c>
      <c r="L62" s="478">
        <f>IF('Income - GAAP'!L62="",0,'Income - GAAP'!L62)/'Income - GAAP'!L$9</f>
        <v>0.1094847775175644</v>
      </c>
      <c r="M62" s="128"/>
      <c r="N62" s="128"/>
      <c r="O62" s="128"/>
      <c r="P62" s="128"/>
      <c r="Q62" s="128"/>
      <c r="R62" s="128"/>
      <c r="S62" s="37"/>
      <c r="T62" s="37"/>
      <c r="U62" s="37"/>
      <c r="V62" s="37"/>
      <c r="W62" s="37"/>
      <c r="X62" s="37"/>
      <c r="Y62" s="37"/>
      <c r="Z62" s="37"/>
      <c r="AA62" s="37"/>
      <c r="AB62" s="37"/>
      <c r="AC62" s="37"/>
      <c r="AD62" s="37"/>
      <c r="AE62" s="37"/>
      <c r="AF62" s="37"/>
      <c r="AG62" s="37"/>
      <c r="AH62" s="37"/>
      <c r="AI62" s="37"/>
      <c r="AJ62" s="37"/>
      <c r="AK62" s="3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B82"/>
  <sheetViews>
    <sheetView zoomScaleNormal="100" workbookViewId="0">
      <pane xSplit="2" ySplit="8" topLeftCell="C9" activePane="bottomRight" state="frozen"/>
      <selection pane="topRight" activeCell="C1" sqref="C1"/>
      <selection pane="bottomLeft" activeCell="A9" sqref="A9"/>
      <selection pane="bottomRight"/>
    </sheetView>
  </sheetViews>
  <sheetFormatPr defaultColWidth="8.7265625" defaultRowHeight="14.5" x14ac:dyDescent="0.35"/>
  <cols>
    <col min="1" max="1" width="35.7265625" customWidth="1"/>
    <col min="2" max="2" width="37.54296875" hidden="1" customWidth="1"/>
    <col min="3" max="12" width="11.81640625" customWidth="1"/>
    <col min="13" max="13" width="19.26953125" bestFit="1" customWidth="1"/>
    <col min="14" max="18" width="11.81640625" customWidth="1"/>
  </cols>
  <sheetData>
    <row r="1" spans="1:1010 1027:2036 2053:3062 3079:4088 4105:5114 5131:6140 6157:7166 7183:8192 8209:9200 9217:10226 10243:11252 11269:12278 12295:13304 13321:14330 14347:15356 15373:16382" x14ac:dyDescent="0.35">
      <c r="A1" t="s">
        <v>0</v>
      </c>
      <c r="C1" s="2" t="str">
        <f>IF('Balance Sheet - Standardized'!C1="","",'Balance Sheet - Standardized'!C1)</f>
        <v>LNN</v>
      </c>
      <c r="D1" t="str">
        <f>'Balance Sheet - Standardized'!D1</f>
        <v>US</v>
      </c>
      <c r="M1" s="180" t="s">
        <v>3</v>
      </c>
      <c r="N1">
        <f t="array" ref="N1">SUM(--ISERROR($C$16:$L$16),--ISERROR($C$22:$L$22),--ISERROR($C$25:$L$25),--ISERROR($C$34:$L$34),--ISERROR($C$38:$L$38),--ISERROR($C$43:$L$43),--ISERROR($C$47:$L$47),--ISERROR($C$54:$L$54),--ISERROR($C$58:$L$58),--ISERROR($C$62:$L$62),--ISERROR($C$68:$L$68), COUNT($C$16:$L$16) - COUNTIFS($C$16:$L$16,"&gt;-.1",$C$16:$L$16,"&lt;.1"), COUNT($C$22:$L$22) - COUNTIFS($C$22:$L$22,"&gt;-.1", $C$22:$L$22,"&lt;.1"), COUNT($C$25:$L$25) - COUNTIFS($C$25:$L$25,"&gt;-.1", $C$25:$L$25,"&lt;.1"), COUNT($C$34:$L$34) - COUNTIFS($C$34:$L$34,"&gt;-.1", $C$34:$L$34,"&lt;.1"), COUNT($C$38:$L$38) - COUNTIFS($C$38:$L$38,"&gt;-.1", $C$38:$L$38,"&lt;.1"), COUNT($C$43:$L$43) - COUNTIFS($C$43:$L$43,"&gt;-.1", $C$43:$L$43,"&lt;.1"), COUNT($C$47:$L$47) - COUNTIFS($C$47:$L$47,"&gt;-.1", $C$47:$L$47,"&lt;.1"),COUNT($C$54:$L$54) - COUNTIFS($C$54:$L$54,"&gt;-.1", $C$54:$L$54,"&lt;.1"),COUNT($C$58:$L$58) - COUNTIFS($C$58:$L$58,"&gt;-.1", $C$58:$L$58,"&lt;.1"),COUNT($C$62:$L$62) - COUNTIFS($C$62:$L$62,"&gt;-.1", $C$62:$L$62,"&lt;.1"),COUNT($C$68:$L$68) - COUNTIFS($C$68:$L$68,"&gt;-.1", $C$68:$L$68,"&lt;.1"))</f>
        <v>0</v>
      </c>
    </row>
    <row r="2" spans="1:1010 1027:2036 2053:3062 3079:4088 4105:5114 5131:6140 6157:7166 7183:8192 8209:9200 9217:10226 10243:11252 11269:12278 12295:13304 13321:14330 14347:15356 15373:16382" x14ac:dyDescent="0.35">
      <c r="A2" t="s">
        <v>4</v>
      </c>
      <c r="C2" s="2" t="str">
        <f>'Balance Sheet - Standardized'!C2</f>
        <v>FY 2016</v>
      </c>
    </row>
    <row r="3" spans="1:1010 1027:2036 2053:3062 3079:4088 4105:5114 5131:6140 6157:7166 7183:8192 8209:9200 9217:10226 10243:11252 11269:12278 12295:13304 13321:14330 14347:15356 15373:16382" x14ac:dyDescent="0.35">
      <c r="A3" t="s">
        <v>5</v>
      </c>
      <c r="C3" s="2" t="str">
        <f>'Balance Sheet - Standardized'!C3</f>
        <v>FY 2025</v>
      </c>
    </row>
    <row r="4" spans="1:1010 1027:2036 2053:3062 3079:4088 4105:5114 5131:6140 6157:7166 7183:8192 8209:9200 9217:10226 10243:11252 11269:12278 12295:13304 13321:14330 14347:15356 15373:16382" x14ac:dyDescent="0.35">
      <c r="C4" s="20"/>
      <c r="D4" s="20"/>
      <c r="E4" s="20"/>
      <c r="F4" s="20"/>
      <c r="G4" s="20"/>
      <c r="H4" s="20"/>
      <c r="I4" s="20"/>
      <c r="J4" s="20"/>
      <c r="K4" s="20"/>
      <c r="L4" s="20"/>
      <c r="M4" s="20"/>
      <c r="N4" s="20"/>
      <c r="O4" s="20"/>
      <c r="P4" s="20"/>
    </row>
    <row r="5" spans="1:1010 1027:2036 2053:3062 3079:4088 4105:5114 5131:6140 6157:7166 7183:8192 8209:9200 9217:10226 10243:11252 11269:12278 12295:13304 13321:14330 14347:15356 15373:16382" hidden="1" x14ac:dyDescent="0.35">
      <c r="C5" s="20"/>
      <c r="D5" s="20"/>
      <c r="E5" s="20"/>
      <c r="F5" s="20"/>
      <c r="G5" s="20"/>
      <c r="H5" s="20"/>
      <c r="I5" s="20"/>
      <c r="J5" s="20"/>
      <c r="K5" s="20"/>
      <c r="L5" s="20"/>
      <c r="M5" s="20"/>
      <c r="N5" s="20"/>
      <c r="O5" s="20"/>
      <c r="P5" s="20"/>
    </row>
    <row r="6" spans="1:1010 1027:2036 2053:3062 3079:4088 4105:5114 5131:6140 6157:7166 7183:8192 8209:9200 9217:10226 10243:11252 11269:12278 12295:13304 13321:14330 14347:15356 15373:16382" hidden="1" x14ac:dyDescent="0.35"/>
    <row r="7" spans="1:1010 1027:2036 2053:3062 3079:4088 4105:5114 5131:6140 6157:7166 7183:8192 8209:9200 9217:10226 10243:11252 11269:12278 12295:13304 13321:14330 14347:15356 15373:16382" x14ac:dyDescent="0.35">
      <c r="A7" s="19" t="s">
        <v>20</v>
      </c>
      <c r="B7" s="19"/>
      <c r="C7" s="18" t="str">
        <f>'Balance Sheet - Standardized'!C7</f>
        <v>FY 2016</v>
      </c>
      <c r="D7" s="18" t="str">
        <f>'Balance Sheet - Standardized'!D7</f>
        <v>FY 2017</v>
      </c>
      <c r="E7" s="18" t="str">
        <f>'Balance Sheet - Standardized'!E7</f>
        <v>FY 2018</v>
      </c>
      <c r="F7" s="18" t="str">
        <f>'Balance Sheet - Standardized'!F7</f>
        <v>FY 2019</v>
      </c>
      <c r="G7" s="18" t="str">
        <f>'Balance Sheet - Standardized'!G7</f>
        <v>FY 2020</v>
      </c>
      <c r="H7" s="18" t="str">
        <f>'Balance Sheet - Standardized'!H7</f>
        <v>FY 2021</v>
      </c>
      <c r="I7" s="18" t="str">
        <f>'Balance Sheet - Standardized'!I7</f>
        <v>FY 2022</v>
      </c>
      <c r="J7" s="18" t="str">
        <f>'Balance Sheet - Standardized'!J7</f>
        <v>FY 2023</v>
      </c>
      <c r="K7" s="18" t="str">
        <f>'Balance Sheet - Standardized'!K7</f>
        <v>FY 2024</v>
      </c>
      <c r="L7" s="18" t="str">
        <f>'Balance Sheet - Standardized'!L7</f>
        <v>FY 2025</v>
      </c>
      <c r="M7" s="114"/>
      <c r="N7" s="114"/>
      <c r="O7" s="114"/>
      <c r="P7" s="114"/>
      <c r="Q7" s="114"/>
      <c r="R7" s="114"/>
    </row>
    <row r="8" spans="1:1010 1027:2036 2053:3062 3079:4088 4105:5114 5131:6140 6157:7166 7183:8192 8209:9200 9217:10226 10243:11252 11269:12278 12295:13304 13321:14330 14347:15356 15373:16382" x14ac:dyDescent="0.35">
      <c r="A8" s="17" t="s">
        <v>21</v>
      </c>
      <c r="B8" s="17"/>
      <c r="C8" s="16">
        <f>'Balance Sheet - Standardized'!C8</f>
        <v>42613</v>
      </c>
      <c r="D8" s="16">
        <f>'Balance Sheet - Standardized'!D8</f>
        <v>42978</v>
      </c>
      <c r="E8" s="16">
        <f>'Balance Sheet - Standardized'!E8</f>
        <v>43343</v>
      </c>
      <c r="F8" s="16">
        <f>'Balance Sheet - Standardized'!F8</f>
        <v>43708</v>
      </c>
      <c r="G8" s="16">
        <f>'Balance Sheet - Standardized'!G8</f>
        <v>44074</v>
      </c>
      <c r="H8" s="16">
        <f>'Balance Sheet - Standardized'!H8</f>
        <v>44439</v>
      </c>
      <c r="I8" s="16">
        <f>'Balance Sheet - Standardized'!I8</f>
        <v>44804</v>
      </c>
      <c r="J8" s="16">
        <f>'Balance Sheet - Standardized'!J8</f>
        <v>45169</v>
      </c>
      <c r="K8" s="16">
        <f>'Balance Sheet - Standardized'!K8</f>
        <v>45535</v>
      </c>
      <c r="L8" s="16">
        <f>'Balance Sheet - Standardized'!L8</f>
        <v>45900</v>
      </c>
      <c r="M8" s="126"/>
      <c r="N8" s="126"/>
      <c r="O8" s="126"/>
      <c r="P8" s="126"/>
      <c r="Q8" s="126"/>
      <c r="R8" s="126"/>
    </row>
    <row r="9" spans="1:1010 1027:2036 2053:3062 3079:4088 4105:5114 5131:6140 6157:7166 7183:8192 8209:9200 9217:10226 10243:11252 11269:12278 12295:13304 13321:14330 14347:15356 15373:16382" s="152" customFormat="1" x14ac:dyDescent="0.35">
      <c r="A9" s="187" t="s">
        <v>347</v>
      </c>
      <c r="B9" s="196"/>
      <c r="C9" s="196">
        <v>33.125</v>
      </c>
      <c r="D9" s="196">
        <v>39.448999999999998</v>
      </c>
      <c r="E9" s="196">
        <v>33.933999999999997</v>
      </c>
      <c r="F9" s="196">
        <v>3.7970000000000002</v>
      </c>
      <c r="G9" s="196">
        <v>46.033999999999999</v>
      </c>
      <c r="H9" s="196">
        <v>43.968000000000004</v>
      </c>
      <c r="I9" s="196">
        <v>3.048</v>
      </c>
      <c r="J9" s="196">
        <v>119.70699999999999</v>
      </c>
      <c r="K9" s="196">
        <v>95.760999999999996</v>
      </c>
      <c r="L9" s="196">
        <v>132.91</v>
      </c>
      <c r="M9" s="312">
        <f>IF(OR(K9=0,K9=""),"",L9/K9-1)</f>
        <v>0.38793454537859873</v>
      </c>
      <c r="N9" s="201"/>
      <c r="O9" s="201"/>
      <c r="P9" s="201"/>
      <c r="Q9" s="201"/>
      <c r="R9" s="201"/>
    </row>
    <row r="10" spans="1:1010 1027:2036 2053:3062 3079:4088 4105:5114 5131:6140 6157:7166 7183:8192 8209:9200 9217:10226 10243:11252 11269:12278 12295:13304 13321:14330 14347:15356 15373:16382" s="204" customFormat="1" x14ac:dyDescent="0.35">
      <c r="A10" s="183" t="s">
        <v>348</v>
      </c>
      <c r="B10" s="293" t="s">
        <v>349</v>
      </c>
      <c r="C10" s="184">
        <v>20.266999999999999</v>
      </c>
      <c r="D10" s="184">
        <v>23.178999999999998</v>
      </c>
      <c r="E10" s="184">
        <v>20.277000000000001</v>
      </c>
      <c r="F10" s="184">
        <v>2.1720000000000002</v>
      </c>
      <c r="G10" s="184">
        <v>38.628999999999998</v>
      </c>
      <c r="H10" s="184">
        <v>42.572000000000003</v>
      </c>
      <c r="I10" s="184">
        <v>65.468999999999994</v>
      </c>
      <c r="J10" s="184">
        <v>72.379000000000005</v>
      </c>
      <c r="K10" s="184">
        <v>66.257000000000005</v>
      </c>
      <c r="L10" s="184">
        <v>74.052000000000007</v>
      </c>
      <c r="M10" s="312"/>
      <c r="S10" s="203"/>
      <c r="T10" s="203"/>
      <c r="AK10" s="203"/>
      <c r="AL10" s="203"/>
      <c r="BC10" s="203"/>
      <c r="BD10" s="203"/>
      <c r="BU10" s="203"/>
      <c r="BV10" s="203"/>
      <c r="CM10" s="203"/>
      <c r="CN10" s="203"/>
      <c r="DE10" s="203"/>
      <c r="DF10" s="203"/>
      <c r="DW10" s="203"/>
      <c r="DX10" s="203"/>
      <c r="EO10" s="203"/>
      <c r="EP10" s="203"/>
      <c r="FG10" s="203"/>
      <c r="FH10" s="203"/>
      <c r="FY10" s="203"/>
      <c r="FZ10" s="203"/>
      <c r="GQ10" s="203"/>
      <c r="GR10" s="203"/>
      <c r="HI10" s="203"/>
      <c r="HJ10" s="203"/>
      <c r="IA10" s="203"/>
      <c r="IB10" s="203"/>
      <c r="IS10" s="203"/>
      <c r="IT10" s="203"/>
      <c r="JK10" s="203"/>
      <c r="JL10" s="203"/>
      <c r="KC10" s="203"/>
      <c r="KD10" s="203"/>
      <c r="KU10" s="203"/>
      <c r="KV10" s="203"/>
      <c r="LM10" s="203"/>
      <c r="LN10" s="203"/>
      <c r="ME10" s="203"/>
      <c r="MF10" s="203"/>
      <c r="MW10" s="203"/>
      <c r="MX10" s="203"/>
      <c r="NO10" s="203"/>
      <c r="NP10" s="203"/>
      <c r="OG10" s="203"/>
      <c r="OH10" s="203"/>
      <c r="OY10" s="203"/>
      <c r="OZ10" s="203"/>
      <c r="PQ10" s="203"/>
      <c r="PR10" s="203"/>
      <c r="QI10" s="203"/>
      <c r="QJ10" s="203"/>
      <c r="RA10" s="203"/>
      <c r="RB10" s="203"/>
      <c r="RS10" s="203"/>
      <c r="RT10" s="203"/>
      <c r="SK10" s="203"/>
      <c r="SL10" s="203"/>
      <c r="TC10" s="203"/>
      <c r="TD10" s="203"/>
      <c r="TU10" s="203"/>
      <c r="TV10" s="203"/>
      <c r="UM10" s="203"/>
      <c r="UN10" s="203"/>
      <c r="VE10" s="203"/>
      <c r="VF10" s="203"/>
      <c r="VW10" s="203"/>
      <c r="VX10" s="203"/>
      <c r="WO10" s="203"/>
      <c r="WP10" s="203"/>
      <c r="XG10" s="203"/>
      <c r="XH10" s="203"/>
      <c r="XY10" s="203"/>
      <c r="XZ10" s="203"/>
      <c r="YQ10" s="203"/>
      <c r="YR10" s="203"/>
      <c r="ZI10" s="203"/>
      <c r="ZJ10" s="203"/>
      <c r="AAA10" s="203"/>
      <c r="AAB10" s="203"/>
      <c r="AAS10" s="203"/>
      <c r="AAT10" s="203"/>
      <c r="ABK10" s="203"/>
      <c r="ABL10" s="203"/>
      <c r="ACC10" s="203"/>
      <c r="ACD10" s="203"/>
      <c r="ACU10" s="203"/>
      <c r="ACV10" s="203"/>
      <c r="ADM10" s="203"/>
      <c r="ADN10" s="203"/>
      <c r="AEE10" s="203"/>
      <c r="AEF10" s="203"/>
      <c r="AEW10" s="203"/>
      <c r="AEX10" s="203"/>
      <c r="AFO10" s="203"/>
      <c r="AFP10" s="203"/>
      <c r="AGG10" s="203"/>
      <c r="AGH10" s="203"/>
      <c r="AGY10" s="203"/>
      <c r="AGZ10" s="203"/>
      <c r="AHQ10" s="203"/>
      <c r="AHR10" s="203"/>
      <c r="AII10" s="203"/>
      <c r="AIJ10" s="203"/>
      <c r="AJA10" s="203"/>
      <c r="AJB10" s="203"/>
      <c r="AJS10" s="203"/>
      <c r="AJT10" s="203"/>
      <c r="AKK10" s="203"/>
      <c r="AKL10" s="203"/>
      <c r="ALC10" s="203"/>
      <c r="ALD10" s="203"/>
      <c r="ALU10" s="203"/>
      <c r="ALV10" s="203"/>
      <c r="AMM10" s="203"/>
      <c r="AMN10" s="203"/>
      <c r="ANE10" s="203"/>
      <c r="ANF10" s="203"/>
      <c r="ANW10" s="203"/>
      <c r="ANX10" s="203"/>
      <c r="AOO10" s="203"/>
      <c r="AOP10" s="203"/>
      <c r="APG10" s="203"/>
      <c r="APH10" s="203"/>
      <c r="APY10" s="203"/>
      <c r="APZ10" s="203"/>
      <c r="AQQ10" s="203"/>
      <c r="AQR10" s="203"/>
      <c r="ARI10" s="203"/>
      <c r="ARJ10" s="203"/>
      <c r="ASA10" s="203"/>
      <c r="ASB10" s="203"/>
      <c r="ASS10" s="203"/>
      <c r="AST10" s="203"/>
      <c r="ATK10" s="203"/>
      <c r="ATL10" s="203"/>
      <c r="AUC10" s="203"/>
      <c r="AUD10" s="203"/>
      <c r="AUU10" s="203"/>
      <c r="AUV10" s="203"/>
      <c r="AVM10" s="203"/>
      <c r="AVN10" s="203"/>
      <c r="AWE10" s="203"/>
      <c r="AWF10" s="203"/>
      <c r="AWW10" s="203"/>
      <c r="AWX10" s="203"/>
      <c r="AXO10" s="203"/>
      <c r="AXP10" s="203"/>
      <c r="AYG10" s="203"/>
      <c r="AYH10" s="203"/>
      <c r="AYY10" s="203"/>
      <c r="AYZ10" s="203"/>
      <c r="AZQ10" s="203"/>
      <c r="AZR10" s="203"/>
      <c r="BAI10" s="203"/>
      <c r="BAJ10" s="203"/>
      <c r="BBA10" s="203"/>
      <c r="BBB10" s="203"/>
      <c r="BBS10" s="203"/>
      <c r="BBT10" s="203"/>
      <c r="BCK10" s="203"/>
      <c r="BCL10" s="203"/>
      <c r="BDC10" s="203"/>
      <c r="BDD10" s="203"/>
      <c r="BDU10" s="203"/>
      <c r="BDV10" s="203"/>
      <c r="BEM10" s="203"/>
      <c r="BEN10" s="203"/>
      <c r="BFE10" s="203"/>
      <c r="BFF10" s="203"/>
      <c r="BFW10" s="203"/>
      <c r="BFX10" s="203"/>
      <c r="BGO10" s="203"/>
      <c r="BGP10" s="203"/>
      <c r="BHG10" s="203"/>
      <c r="BHH10" s="203"/>
      <c r="BHY10" s="203"/>
      <c r="BHZ10" s="203"/>
      <c r="BIQ10" s="203"/>
      <c r="BIR10" s="203"/>
      <c r="BJI10" s="203"/>
      <c r="BJJ10" s="203"/>
      <c r="BKA10" s="203"/>
      <c r="BKB10" s="203"/>
      <c r="BKS10" s="203"/>
      <c r="BKT10" s="203"/>
      <c r="BLK10" s="203"/>
      <c r="BLL10" s="203"/>
      <c r="BMC10" s="203"/>
      <c r="BMD10" s="203"/>
      <c r="BMU10" s="203"/>
      <c r="BMV10" s="203"/>
      <c r="BNM10" s="203"/>
      <c r="BNN10" s="203"/>
      <c r="BOE10" s="203"/>
      <c r="BOF10" s="203"/>
      <c r="BOW10" s="203"/>
      <c r="BOX10" s="203"/>
      <c r="BPO10" s="203"/>
      <c r="BPP10" s="203"/>
      <c r="BQG10" s="203"/>
      <c r="BQH10" s="203"/>
      <c r="BQY10" s="203"/>
      <c r="BQZ10" s="203"/>
      <c r="BRQ10" s="203"/>
      <c r="BRR10" s="203"/>
      <c r="BSI10" s="203"/>
      <c r="BSJ10" s="203"/>
      <c r="BTA10" s="203"/>
      <c r="BTB10" s="203"/>
      <c r="BTS10" s="203"/>
      <c r="BTT10" s="203"/>
      <c r="BUK10" s="203"/>
      <c r="BUL10" s="203"/>
      <c r="BVC10" s="203"/>
      <c r="BVD10" s="203"/>
      <c r="BVU10" s="203"/>
      <c r="BVV10" s="203"/>
      <c r="BWM10" s="203"/>
      <c r="BWN10" s="203"/>
      <c r="BXE10" s="203"/>
      <c r="BXF10" s="203"/>
      <c r="BXW10" s="203"/>
      <c r="BXX10" s="203"/>
      <c r="BYO10" s="203"/>
      <c r="BYP10" s="203"/>
      <c r="BZG10" s="203"/>
      <c r="BZH10" s="203"/>
      <c r="BZY10" s="203"/>
      <c r="BZZ10" s="203"/>
      <c r="CAQ10" s="203"/>
      <c r="CAR10" s="203"/>
      <c r="CBI10" s="203"/>
      <c r="CBJ10" s="203"/>
      <c r="CCA10" s="203"/>
      <c r="CCB10" s="203"/>
      <c r="CCS10" s="203"/>
      <c r="CCT10" s="203"/>
      <c r="CDK10" s="203"/>
      <c r="CDL10" s="203"/>
      <c r="CEC10" s="203"/>
      <c r="CED10" s="203"/>
      <c r="CEU10" s="203"/>
      <c r="CEV10" s="203"/>
      <c r="CFM10" s="203"/>
      <c r="CFN10" s="203"/>
      <c r="CGE10" s="203"/>
      <c r="CGF10" s="203"/>
      <c r="CGW10" s="203"/>
      <c r="CGX10" s="203"/>
      <c r="CHO10" s="203"/>
      <c r="CHP10" s="203"/>
      <c r="CIG10" s="203"/>
      <c r="CIH10" s="203"/>
      <c r="CIY10" s="203"/>
      <c r="CIZ10" s="203"/>
      <c r="CJQ10" s="203"/>
      <c r="CJR10" s="203"/>
      <c r="CKI10" s="203"/>
      <c r="CKJ10" s="203"/>
      <c r="CLA10" s="203"/>
      <c r="CLB10" s="203"/>
      <c r="CLS10" s="203"/>
      <c r="CLT10" s="203"/>
      <c r="CMK10" s="203"/>
      <c r="CML10" s="203"/>
      <c r="CNC10" s="203"/>
      <c r="CND10" s="203"/>
      <c r="CNU10" s="203"/>
      <c r="CNV10" s="203"/>
      <c r="COM10" s="203"/>
      <c r="CON10" s="203"/>
      <c r="CPE10" s="203"/>
      <c r="CPF10" s="203"/>
      <c r="CPW10" s="203"/>
      <c r="CPX10" s="203"/>
      <c r="CQO10" s="203"/>
      <c r="CQP10" s="203"/>
      <c r="CRG10" s="203"/>
      <c r="CRH10" s="203"/>
      <c r="CRY10" s="203"/>
      <c r="CRZ10" s="203"/>
      <c r="CSQ10" s="203"/>
      <c r="CSR10" s="203"/>
      <c r="CTI10" s="203"/>
      <c r="CTJ10" s="203"/>
      <c r="CUA10" s="203"/>
      <c r="CUB10" s="203"/>
      <c r="CUS10" s="203"/>
      <c r="CUT10" s="203"/>
      <c r="CVK10" s="203"/>
      <c r="CVL10" s="203"/>
      <c r="CWC10" s="203"/>
      <c r="CWD10" s="203"/>
      <c r="CWU10" s="203"/>
      <c r="CWV10" s="203"/>
      <c r="CXM10" s="203"/>
      <c r="CXN10" s="203"/>
      <c r="CYE10" s="203"/>
      <c r="CYF10" s="203"/>
      <c r="CYW10" s="203"/>
      <c r="CYX10" s="203"/>
      <c r="CZO10" s="203"/>
      <c r="CZP10" s="203"/>
      <c r="DAG10" s="203"/>
      <c r="DAH10" s="203"/>
      <c r="DAY10" s="203"/>
      <c r="DAZ10" s="203"/>
      <c r="DBQ10" s="203"/>
      <c r="DBR10" s="203"/>
      <c r="DCI10" s="203"/>
      <c r="DCJ10" s="203"/>
      <c r="DDA10" s="203"/>
      <c r="DDB10" s="203"/>
      <c r="DDS10" s="203"/>
      <c r="DDT10" s="203"/>
      <c r="DEK10" s="203"/>
      <c r="DEL10" s="203"/>
      <c r="DFC10" s="203"/>
      <c r="DFD10" s="203"/>
      <c r="DFU10" s="203"/>
      <c r="DFV10" s="203"/>
      <c r="DGM10" s="203"/>
      <c r="DGN10" s="203"/>
      <c r="DHE10" s="203"/>
      <c r="DHF10" s="203"/>
      <c r="DHW10" s="203"/>
      <c r="DHX10" s="203"/>
      <c r="DIO10" s="203"/>
      <c r="DIP10" s="203"/>
      <c r="DJG10" s="203"/>
      <c r="DJH10" s="203"/>
      <c r="DJY10" s="203"/>
      <c r="DJZ10" s="203"/>
      <c r="DKQ10" s="203"/>
      <c r="DKR10" s="203"/>
      <c r="DLI10" s="203"/>
      <c r="DLJ10" s="203"/>
      <c r="DMA10" s="203"/>
      <c r="DMB10" s="203"/>
      <c r="DMS10" s="203"/>
      <c r="DMT10" s="203"/>
      <c r="DNK10" s="203"/>
      <c r="DNL10" s="203"/>
      <c r="DOC10" s="203"/>
      <c r="DOD10" s="203"/>
      <c r="DOU10" s="203"/>
      <c r="DOV10" s="203"/>
      <c r="DPM10" s="203"/>
      <c r="DPN10" s="203"/>
      <c r="DQE10" s="203"/>
      <c r="DQF10" s="203"/>
      <c r="DQW10" s="203"/>
      <c r="DQX10" s="203"/>
      <c r="DRO10" s="203"/>
      <c r="DRP10" s="203"/>
      <c r="DSG10" s="203"/>
      <c r="DSH10" s="203"/>
      <c r="DSY10" s="203"/>
      <c r="DSZ10" s="203"/>
      <c r="DTQ10" s="203"/>
      <c r="DTR10" s="203"/>
      <c r="DUI10" s="203"/>
      <c r="DUJ10" s="203"/>
      <c r="DVA10" s="203"/>
      <c r="DVB10" s="203"/>
      <c r="DVS10" s="203"/>
      <c r="DVT10" s="203"/>
      <c r="DWK10" s="203"/>
      <c r="DWL10" s="203"/>
      <c r="DXC10" s="203"/>
      <c r="DXD10" s="203"/>
      <c r="DXU10" s="203"/>
      <c r="DXV10" s="203"/>
      <c r="DYM10" s="203"/>
      <c r="DYN10" s="203"/>
      <c r="DZE10" s="203"/>
      <c r="DZF10" s="203"/>
      <c r="DZW10" s="203"/>
      <c r="DZX10" s="203"/>
      <c r="EAO10" s="203"/>
      <c r="EAP10" s="203"/>
      <c r="EBG10" s="203"/>
      <c r="EBH10" s="203"/>
      <c r="EBY10" s="203"/>
      <c r="EBZ10" s="203"/>
      <c r="ECQ10" s="203"/>
      <c r="ECR10" s="203"/>
      <c r="EDI10" s="203"/>
      <c r="EDJ10" s="203"/>
      <c r="EEA10" s="203"/>
      <c r="EEB10" s="203"/>
      <c r="EES10" s="203"/>
      <c r="EET10" s="203"/>
      <c r="EFK10" s="203"/>
      <c r="EFL10" s="203"/>
      <c r="EGC10" s="203"/>
      <c r="EGD10" s="203"/>
      <c r="EGU10" s="203"/>
      <c r="EGV10" s="203"/>
      <c r="EHM10" s="203"/>
      <c r="EHN10" s="203"/>
      <c r="EIE10" s="203"/>
      <c r="EIF10" s="203"/>
      <c r="EIW10" s="203"/>
      <c r="EIX10" s="203"/>
      <c r="EJO10" s="203"/>
      <c r="EJP10" s="203"/>
      <c r="EKG10" s="203"/>
      <c r="EKH10" s="203"/>
      <c r="EKY10" s="203"/>
      <c r="EKZ10" s="203"/>
      <c r="ELQ10" s="203"/>
      <c r="ELR10" s="203"/>
      <c r="EMI10" s="203"/>
      <c r="EMJ10" s="203"/>
      <c r="ENA10" s="203"/>
      <c r="ENB10" s="203"/>
      <c r="ENS10" s="203"/>
      <c r="ENT10" s="203"/>
      <c r="EOK10" s="203"/>
      <c r="EOL10" s="203"/>
      <c r="EPC10" s="203"/>
      <c r="EPD10" s="203"/>
      <c r="EPU10" s="203"/>
      <c r="EPV10" s="203"/>
      <c r="EQM10" s="203"/>
      <c r="EQN10" s="203"/>
      <c r="ERE10" s="203"/>
      <c r="ERF10" s="203"/>
      <c r="ERW10" s="203"/>
      <c r="ERX10" s="203"/>
      <c r="ESO10" s="203"/>
      <c r="ESP10" s="203"/>
      <c r="ETG10" s="203"/>
      <c r="ETH10" s="203"/>
      <c r="ETY10" s="203"/>
      <c r="ETZ10" s="203"/>
      <c r="EUQ10" s="203"/>
      <c r="EUR10" s="203"/>
      <c r="EVI10" s="203"/>
      <c r="EVJ10" s="203"/>
      <c r="EWA10" s="203"/>
      <c r="EWB10" s="203"/>
      <c r="EWS10" s="203"/>
      <c r="EWT10" s="203"/>
      <c r="EXK10" s="203"/>
      <c r="EXL10" s="203"/>
      <c r="EYC10" s="203"/>
      <c r="EYD10" s="203"/>
      <c r="EYU10" s="203"/>
      <c r="EYV10" s="203"/>
      <c r="EZM10" s="203"/>
      <c r="EZN10" s="203"/>
      <c r="FAE10" s="203"/>
      <c r="FAF10" s="203"/>
      <c r="FAW10" s="203"/>
      <c r="FAX10" s="203"/>
      <c r="FBO10" s="203"/>
      <c r="FBP10" s="203"/>
      <c r="FCG10" s="203"/>
      <c r="FCH10" s="203"/>
      <c r="FCY10" s="203"/>
      <c r="FCZ10" s="203"/>
      <c r="FDQ10" s="203"/>
      <c r="FDR10" s="203"/>
      <c r="FEI10" s="203"/>
      <c r="FEJ10" s="203"/>
      <c r="FFA10" s="203"/>
      <c r="FFB10" s="203"/>
      <c r="FFS10" s="203"/>
      <c r="FFT10" s="203"/>
      <c r="FGK10" s="203"/>
      <c r="FGL10" s="203"/>
      <c r="FHC10" s="203"/>
      <c r="FHD10" s="203"/>
      <c r="FHU10" s="203"/>
      <c r="FHV10" s="203"/>
      <c r="FIM10" s="203"/>
      <c r="FIN10" s="203"/>
      <c r="FJE10" s="203"/>
      <c r="FJF10" s="203"/>
      <c r="FJW10" s="203"/>
      <c r="FJX10" s="203"/>
      <c r="FKO10" s="203"/>
      <c r="FKP10" s="203"/>
      <c r="FLG10" s="203"/>
      <c r="FLH10" s="203"/>
      <c r="FLY10" s="203"/>
      <c r="FLZ10" s="203"/>
      <c r="FMQ10" s="203"/>
      <c r="FMR10" s="203"/>
      <c r="FNI10" s="203"/>
      <c r="FNJ10" s="203"/>
      <c r="FOA10" s="203"/>
      <c r="FOB10" s="203"/>
      <c r="FOS10" s="203"/>
      <c r="FOT10" s="203"/>
      <c r="FPK10" s="203"/>
      <c r="FPL10" s="203"/>
      <c r="FQC10" s="203"/>
      <c r="FQD10" s="203"/>
      <c r="FQU10" s="203"/>
      <c r="FQV10" s="203"/>
      <c r="FRM10" s="203"/>
      <c r="FRN10" s="203"/>
      <c r="FSE10" s="203"/>
      <c r="FSF10" s="203"/>
      <c r="FSW10" s="203"/>
      <c r="FSX10" s="203"/>
      <c r="FTO10" s="203"/>
      <c r="FTP10" s="203"/>
      <c r="FUG10" s="203"/>
      <c r="FUH10" s="203"/>
      <c r="FUY10" s="203"/>
      <c r="FUZ10" s="203"/>
      <c r="FVQ10" s="203"/>
      <c r="FVR10" s="203"/>
      <c r="FWI10" s="203"/>
      <c r="FWJ10" s="203"/>
      <c r="FXA10" s="203"/>
      <c r="FXB10" s="203"/>
      <c r="FXS10" s="203"/>
      <c r="FXT10" s="203"/>
      <c r="FYK10" s="203"/>
      <c r="FYL10" s="203"/>
      <c r="FZC10" s="203"/>
      <c r="FZD10" s="203"/>
      <c r="FZU10" s="203"/>
      <c r="FZV10" s="203"/>
      <c r="GAM10" s="203"/>
      <c r="GAN10" s="203"/>
      <c r="GBE10" s="203"/>
      <c r="GBF10" s="203"/>
      <c r="GBW10" s="203"/>
      <c r="GBX10" s="203"/>
      <c r="GCO10" s="203"/>
      <c r="GCP10" s="203"/>
      <c r="GDG10" s="203"/>
      <c r="GDH10" s="203"/>
      <c r="GDY10" s="203"/>
      <c r="GDZ10" s="203"/>
      <c r="GEQ10" s="203"/>
      <c r="GER10" s="203"/>
      <c r="GFI10" s="203"/>
      <c r="GFJ10" s="203"/>
      <c r="GGA10" s="203"/>
      <c r="GGB10" s="203"/>
      <c r="GGS10" s="203"/>
      <c r="GGT10" s="203"/>
      <c r="GHK10" s="203"/>
      <c r="GHL10" s="203"/>
      <c r="GIC10" s="203"/>
      <c r="GID10" s="203"/>
      <c r="GIU10" s="203"/>
      <c r="GIV10" s="203"/>
      <c r="GJM10" s="203"/>
      <c r="GJN10" s="203"/>
      <c r="GKE10" s="203"/>
      <c r="GKF10" s="203"/>
      <c r="GKW10" s="203"/>
      <c r="GKX10" s="203"/>
      <c r="GLO10" s="203"/>
      <c r="GLP10" s="203"/>
      <c r="GMG10" s="203"/>
      <c r="GMH10" s="203"/>
      <c r="GMY10" s="203"/>
      <c r="GMZ10" s="203"/>
      <c r="GNQ10" s="203"/>
      <c r="GNR10" s="203"/>
      <c r="GOI10" s="203"/>
      <c r="GOJ10" s="203"/>
      <c r="GPA10" s="203"/>
      <c r="GPB10" s="203"/>
      <c r="GPS10" s="203"/>
      <c r="GPT10" s="203"/>
      <c r="GQK10" s="203"/>
      <c r="GQL10" s="203"/>
      <c r="GRC10" s="203"/>
      <c r="GRD10" s="203"/>
      <c r="GRU10" s="203"/>
      <c r="GRV10" s="203"/>
      <c r="GSM10" s="203"/>
      <c r="GSN10" s="203"/>
      <c r="GTE10" s="203"/>
      <c r="GTF10" s="203"/>
      <c r="GTW10" s="203"/>
      <c r="GTX10" s="203"/>
      <c r="GUO10" s="203"/>
      <c r="GUP10" s="203"/>
      <c r="GVG10" s="203"/>
      <c r="GVH10" s="203"/>
      <c r="GVY10" s="203"/>
      <c r="GVZ10" s="203"/>
      <c r="GWQ10" s="203"/>
      <c r="GWR10" s="203"/>
      <c r="GXI10" s="203"/>
      <c r="GXJ10" s="203"/>
      <c r="GYA10" s="203"/>
      <c r="GYB10" s="203"/>
      <c r="GYS10" s="203"/>
      <c r="GYT10" s="203"/>
      <c r="GZK10" s="203"/>
      <c r="GZL10" s="203"/>
      <c r="HAC10" s="203"/>
      <c r="HAD10" s="203"/>
      <c r="HAU10" s="203"/>
      <c r="HAV10" s="203"/>
      <c r="HBM10" s="203"/>
      <c r="HBN10" s="203"/>
      <c r="HCE10" s="203"/>
      <c r="HCF10" s="203"/>
      <c r="HCW10" s="203"/>
      <c r="HCX10" s="203"/>
      <c r="HDO10" s="203"/>
      <c r="HDP10" s="203"/>
      <c r="HEG10" s="203"/>
      <c r="HEH10" s="203"/>
      <c r="HEY10" s="203"/>
      <c r="HEZ10" s="203"/>
      <c r="HFQ10" s="203"/>
      <c r="HFR10" s="203"/>
      <c r="HGI10" s="203"/>
      <c r="HGJ10" s="203"/>
      <c r="HHA10" s="203"/>
      <c r="HHB10" s="203"/>
      <c r="HHS10" s="203"/>
      <c r="HHT10" s="203"/>
      <c r="HIK10" s="203"/>
      <c r="HIL10" s="203"/>
      <c r="HJC10" s="203"/>
      <c r="HJD10" s="203"/>
      <c r="HJU10" s="203"/>
      <c r="HJV10" s="203"/>
      <c r="HKM10" s="203"/>
      <c r="HKN10" s="203"/>
      <c r="HLE10" s="203"/>
      <c r="HLF10" s="203"/>
      <c r="HLW10" s="203"/>
      <c r="HLX10" s="203"/>
      <c r="HMO10" s="203"/>
      <c r="HMP10" s="203"/>
      <c r="HNG10" s="203"/>
      <c r="HNH10" s="203"/>
      <c r="HNY10" s="203"/>
      <c r="HNZ10" s="203"/>
      <c r="HOQ10" s="203"/>
      <c r="HOR10" s="203"/>
      <c r="HPI10" s="203"/>
      <c r="HPJ10" s="203"/>
      <c r="HQA10" s="203"/>
      <c r="HQB10" s="203"/>
      <c r="HQS10" s="203"/>
      <c r="HQT10" s="203"/>
      <c r="HRK10" s="203"/>
      <c r="HRL10" s="203"/>
      <c r="HSC10" s="203"/>
      <c r="HSD10" s="203"/>
      <c r="HSU10" s="203"/>
      <c r="HSV10" s="203"/>
      <c r="HTM10" s="203"/>
      <c r="HTN10" s="203"/>
      <c r="HUE10" s="203"/>
      <c r="HUF10" s="203"/>
      <c r="HUW10" s="203"/>
      <c r="HUX10" s="203"/>
      <c r="HVO10" s="203"/>
      <c r="HVP10" s="203"/>
      <c r="HWG10" s="203"/>
      <c r="HWH10" s="203"/>
      <c r="HWY10" s="203"/>
      <c r="HWZ10" s="203"/>
      <c r="HXQ10" s="203"/>
      <c r="HXR10" s="203"/>
      <c r="HYI10" s="203"/>
      <c r="HYJ10" s="203"/>
      <c r="HZA10" s="203"/>
      <c r="HZB10" s="203"/>
      <c r="HZS10" s="203"/>
      <c r="HZT10" s="203"/>
      <c r="IAK10" s="203"/>
      <c r="IAL10" s="203"/>
      <c r="IBC10" s="203"/>
      <c r="IBD10" s="203"/>
      <c r="IBU10" s="203"/>
      <c r="IBV10" s="203"/>
      <c r="ICM10" s="203"/>
      <c r="ICN10" s="203"/>
      <c r="IDE10" s="203"/>
      <c r="IDF10" s="203"/>
      <c r="IDW10" s="203"/>
      <c r="IDX10" s="203"/>
      <c r="IEO10" s="203"/>
      <c r="IEP10" s="203"/>
      <c r="IFG10" s="203"/>
      <c r="IFH10" s="203"/>
      <c r="IFY10" s="203"/>
      <c r="IFZ10" s="203"/>
      <c r="IGQ10" s="203"/>
      <c r="IGR10" s="203"/>
      <c r="IHI10" s="203"/>
      <c r="IHJ10" s="203"/>
      <c r="IIA10" s="203"/>
      <c r="IIB10" s="203"/>
      <c r="IIS10" s="203"/>
      <c r="IIT10" s="203"/>
      <c r="IJK10" s="203"/>
      <c r="IJL10" s="203"/>
      <c r="IKC10" s="203"/>
      <c r="IKD10" s="203"/>
      <c r="IKU10" s="203"/>
      <c r="IKV10" s="203"/>
      <c r="ILM10" s="203"/>
      <c r="ILN10" s="203"/>
      <c r="IME10" s="203"/>
      <c r="IMF10" s="203"/>
      <c r="IMW10" s="203"/>
      <c r="IMX10" s="203"/>
      <c r="INO10" s="203"/>
      <c r="INP10" s="203"/>
      <c r="IOG10" s="203"/>
      <c r="IOH10" s="203"/>
      <c r="IOY10" s="203"/>
      <c r="IOZ10" s="203"/>
      <c r="IPQ10" s="203"/>
      <c r="IPR10" s="203"/>
      <c r="IQI10" s="203"/>
      <c r="IQJ10" s="203"/>
      <c r="IRA10" s="203"/>
      <c r="IRB10" s="203"/>
      <c r="IRS10" s="203"/>
      <c r="IRT10" s="203"/>
      <c r="ISK10" s="203"/>
      <c r="ISL10" s="203"/>
      <c r="ITC10" s="203"/>
      <c r="ITD10" s="203"/>
      <c r="ITU10" s="203"/>
      <c r="ITV10" s="203"/>
      <c r="IUM10" s="203"/>
      <c r="IUN10" s="203"/>
      <c r="IVE10" s="203"/>
      <c r="IVF10" s="203"/>
      <c r="IVW10" s="203"/>
      <c r="IVX10" s="203"/>
      <c r="IWO10" s="203"/>
      <c r="IWP10" s="203"/>
      <c r="IXG10" s="203"/>
      <c r="IXH10" s="203"/>
      <c r="IXY10" s="203"/>
      <c r="IXZ10" s="203"/>
      <c r="IYQ10" s="203"/>
      <c r="IYR10" s="203"/>
      <c r="IZI10" s="203"/>
      <c r="IZJ10" s="203"/>
      <c r="JAA10" s="203"/>
      <c r="JAB10" s="203"/>
      <c r="JAS10" s="203"/>
      <c r="JAT10" s="203"/>
      <c r="JBK10" s="203"/>
      <c r="JBL10" s="203"/>
      <c r="JCC10" s="203"/>
      <c r="JCD10" s="203"/>
      <c r="JCU10" s="203"/>
      <c r="JCV10" s="203"/>
      <c r="JDM10" s="203"/>
      <c r="JDN10" s="203"/>
      <c r="JEE10" s="203"/>
      <c r="JEF10" s="203"/>
      <c r="JEW10" s="203"/>
      <c r="JEX10" s="203"/>
      <c r="JFO10" s="203"/>
      <c r="JFP10" s="203"/>
      <c r="JGG10" s="203"/>
      <c r="JGH10" s="203"/>
      <c r="JGY10" s="203"/>
      <c r="JGZ10" s="203"/>
      <c r="JHQ10" s="203"/>
      <c r="JHR10" s="203"/>
      <c r="JII10" s="203"/>
      <c r="JIJ10" s="203"/>
      <c r="JJA10" s="203"/>
      <c r="JJB10" s="203"/>
      <c r="JJS10" s="203"/>
      <c r="JJT10" s="203"/>
      <c r="JKK10" s="203"/>
      <c r="JKL10" s="203"/>
      <c r="JLC10" s="203"/>
      <c r="JLD10" s="203"/>
      <c r="JLU10" s="203"/>
      <c r="JLV10" s="203"/>
      <c r="JMM10" s="203"/>
      <c r="JMN10" s="203"/>
      <c r="JNE10" s="203"/>
      <c r="JNF10" s="203"/>
      <c r="JNW10" s="203"/>
      <c r="JNX10" s="203"/>
      <c r="JOO10" s="203"/>
      <c r="JOP10" s="203"/>
      <c r="JPG10" s="203"/>
      <c r="JPH10" s="203"/>
      <c r="JPY10" s="203"/>
      <c r="JPZ10" s="203"/>
      <c r="JQQ10" s="203"/>
      <c r="JQR10" s="203"/>
      <c r="JRI10" s="203"/>
      <c r="JRJ10" s="203"/>
      <c r="JSA10" s="203"/>
      <c r="JSB10" s="203"/>
      <c r="JSS10" s="203"/>
      <c r="JST10" s="203"/>
      <c r="JTK10" s="203"/>
      <c r="JTL10" s="203"/>
      <c r="JUC10" s="203"/>
      <c r="JUD10" s="203"/>
      <c r="JUU10" s="203"/>
      <c r="JUV10" s="203"/>
      <c r="JVM10" s="203"/>
      <c r="JVN10" s="203"/>
      <c r="JWE10" s="203"/>
      <c r="JWF10" s="203"/>
      <c r="JWW10" s="203"/>
      <c r="JWX10" s="203"/>
      <c r="JXO10" s="203"/>
      <c r="JXP10" s="203"/>
      <c r="JYG10" s="203"/>
      <c r="JYH10" s="203"/>
      <c r="JYY10" s="203"/>
      <c r="JYZ10" s="203"/>
      <c r="JZQ10" s="203"/>
      <c r="JZR10" s="203"/>
      <c r="KAI10" s="203"/>
      <c r="KAJ10" s="203"/>
      <c r="KBA10" s="203"/>
      <c r="KBB10" s="203"/>
      <c r="KBS10" s="203"/>
      <c r="KBT10" s="203"/>
      <c r="KCK10" s="203"/>
      <c r="KCL10" s="203"/>
      <c r="KDC10" s="203"/>
      <c r="KDD10" s="203"/>
      <c r="KDU10" s="203"/>
      <c r="KDV10" s="203"/>
      <c r="KEM10" s="203"/>
      <c r="KEN10" s="203"/>
      <c r="KFE10" s="203"/>
      <c r="KFF10" s="203"/>
      <c r="KFW10" s="203"/>
      <c r="KFX10" s="203"/>
      <c r="KGO10" s="203"/>
      <c r="KGP10" s="203"/>
      <c r="KHG10" s="203"/>
      <c r="KHH10" s="203"/>
      <c r="KHY10" s="203"/>
      <c r="KHZ10" s="203"/>
      <c r="KIQ10" s="203"/>
      <c r="KIR10" s="203"/>
      <c r="KJI10" s="203"/>
      <c r="KJJ10" s="203"/>
      <c r="KKA10" s="203"/>
      <c r="KKB10" s="203"/>
      <c r="KKS10" s="203"/>
      <c r="KKT10" s="203"/>
      <c r="KLK10" s="203"/>
      <c r="KLL10" s="203"/>
      <c r="KMC10" s="203"/>
      <c r="KMD10" s="203"/>
      <c r="KMU10" s="203"/>
      <c r="KMV10" s="203"/>
      <c r="KNM10" s="203"/>
      <c r="KNN10" s="203"/>
      <c r="KOE10" s="203"/>
      <c r="KOF10" s="203"/>
      <c r="KOW10" s="203"/>
      <c r="KOX10" s="203"/>
      <c r="KPO10" s="203"/>
      <c r="KPP10" s="203"/>
      <c r="KQG10" s="203"/>
      <c r="KQH10" s="203"/>
      <c r="KQY10" s="203"/>
      <c r="KQZ10" s="203"/>
      <c r="KRQ10" s="203"/>
      <c r="KRR10" s="203"/>
      <c r="KSI10" s="203"/>
      <c r="KSJ10" s="203"/>
      <c r="KTA10" s="203"/>
      <c r="KTB10" s="203"/>
      <c r="KTS10" s="203"/>
      <c r="KTT10" s="203"/>
      <c r="KUK10" s="203"/>
      <c r="KUL10" s="203"/>
      <c r="KVC10" s="203"/>
      <c r="KVD10" s="203"/>
      <c r="KVU10" s="203"/>
      <c r="KVV10" s="203"/>
      <c r="KWM10" s="203"/>
      <c r="KWN10" s="203"/>
      <c r="KXE10" s="203"/>
      <c r="KXF10" s="203"/>
      <c r="KXW10" s="203"/>
      <c r="KXX10" s="203"/>
      <c r="KYO10" s="203"/>
      <c r="KYP10" s="203"/>
      <c r="KZG10" s="203"/>
      <c r="KZH10" s="203"/>
      <c r="KZY10" s="203"/>
      <c r="KZZ10" s="203"/>
      <c r="LAQ10" s="203"/>
      <c r="LAR10" s="203"/>
      <c r="LBI10" s="203"/>
      <c r="LBJ10" s="203"/>
      <c r="LCA10" s="203"/>
      <c r="LCB10" s="203"/>
      <c r="LCS10" s="203"/>
      <c r="LCT10" s="203"/>
      <c r="LDK10" s="203"/>
      <c r="LDL10" s="203"/>
      <c r="LEC10" s="203"/>
      <c r="LED10" s="203"/>
      <c r="LEU10" s="203"/>
      <c r="LEV10" s="203"/>
      <c r="LFM10" s="203"/>
      <c r="LFN10" s="203"/>
      <c r="LGE10" s="203"/>
      <c r="LGF10" s="203"/>
      <c r="LGW10" s="203"/>
      <c r="LGX10" s="203"/>
      <c r="LHO10" s="203"/>
      <c r="LHP10" s="203"/>
      <c r="LIG10" s="203"/>
      <c r="LIH10" s="203"/>
      <c r="LIY10" s="203"/>
      <c r="LIZ10" s="203"/>
      <c r="LJQ10" s="203"/>
      <c r="LJR10" s="203"/>
      <c r="LKI10" s="203"/>
      <c r="LKJ10" s="203"/>
      <c r="LLA10" s="203"/>
      <c r="LLB10" s="203"/>
      <c r="LLS10" s="203"/>
      <c r="LLT10" s="203"/>
      <c r="LMK10" s="203"/>
      <c r="LML10" s="203"/>
      <c r="LNC10" s="203"/>
      <c r="LND10" s="203"/>
      <c r="LNU10" s="203"/>
      <c r="LNV10" s="203"/>
      <c r="LOM10" s="203"/>
      <c r="LON10" s="203"/>
      <c r="LPE10" s="203"/>
      <c r="LPF10" s="203"/>
      <c r="LPW10" s="203"/>
      <c r="LPX10" s="203"/>
      <c r="LQO10" s="203"/>
      <c r="LQP10" s="203"/>
      <c r="LRG10" s="203"/>
      <c r="LRH10" s="203"/>
      <c r="LRY10" s="203"/>
      <c r="LRZ10" s="203"/>
      <c r="LSQ10" s="203"/>
      <c r="LSR10" s="203"/>
      <c r="LTI10" s="203"/>
      <c r="LTJ10" s="203"/>
      <c r="LUA10" s="203"/>
      <c r="LUB10" s="203"/>
      <c r="LUS10" s="203"/>
      <c r="LUT10" s="203"/>
      <c r="LVK10" s="203"/>
      <c r="LVL10" s="203"/>
      <c r="LWC10" s="203"/>
      <c r="LWD10" s="203"/>
      <c r="LWU10" s="203"/>
      <c r="LWV10" s="203"/>
      <c r="LXM10" s="203"/>
      <c r="LXN10" s="203"/>
      <c r="LYE10" s="203"/>
      <c r="LYF10" s="203"/>
      <c r="LYW10" s="203"/>
      <c r="LYX10" s="203"/>
      <c r="LZO10" s="203"/>
      <c r="LZP10" s="203"/>
      <c r="MAG10" s="203"/>
      <c r="MAH10" s="203"/>
      <c r="MAY10" s="203"/>
      <c r="MAZ10" s="203"/>
      <c r="MBQ10" s="203"/>
      <c r="MBR10" s="203"/>
      <c r="MCI10" s="203"/>
      <c r="MCJ10" s="203"/>
      <c r="MDA10" s="203"/>
      <c r="MDB10" s="203"/>
      <c r="MDS10" s="203"/>
      <c r="MDT10" s="203"/>
      <c r="MEK10" s="203"/>
      <c r="MEL10" s="203"/>
      <c r="MFC10" s="203"/>
      <c r="MFD10" s="203"/>
      <c r="MFU10" s="203"/>
      <c r="MFV10" s="203"/>
      <c r="MGM10" s="203"/>
      <c r="MGN10" s="203"/>
      <c r="MHE10" s="203"/>
      <c r="MHF10" s="203"/>
      <c r="MHW10" s="203"/>
      <c r="MHX10" s="203"/>
      <c r="MIO10" s="203"/>
      <c r="MIP10" s="203"/>
      <c r="MJG10" s="203"/>
      <c r="MJH10" s="203"/>
      <c r="MJY10" s="203"/>
      <c r="MJZ10" s="203"/>
      <c r="MKQ10" s="203"/>
      <c r="MKR10" s="203"/>
      <c r="MLI10" s="203"/>
      <c r="MLJ10" s="203"/>
      <c r="MMA10" s="203"/>
      <c r="MMB10" s="203"/>
      <c r="MMS10" s="203"/>
      <c r="MMT10" s="203"/>
      <c r="MNK10" s="203"/>
      <c r="MNL10" s="203"/>
      <c r="MOC10" s="203"/>
      <c r="MOD10" s="203"/>
      <c r="MOU10" s="203"/>
      <c r="MOV10" s="203"/>
      <c r="MPM10" s="203"/>
      <c r="MPN10" s="203"/>
      <c r="MQE10" s="203"/>
      <c r="MQF10" s="203"/>
      <c r="MQW10" s="203"/>
      <c r="MQX10" s="203"/>
      <c r="MRO10" s="203"/>
      <c r="MRP10" s="203"/>
      <c r="MSG10" s="203"/>
      <c r="MSH10" s="203"/>
      <c r="MSY10" s="203"/>
      <c r="MSZ10" s="203"/>
      <c r="MTQ10" s="203"/>
      <c r="MTR10" s="203"/>
      <c r="MUI10" s="203"/>
      <c r="MUJ10" s="203"/>
      <c r="MVA10" s="203"/>
      <c r="MVB10" s="203"/>
      <c r="MVS10" s="203"/>
      <c r="MVT10" s="203"/>
      <c r="MWK10" s="203"/>
      <c r="MWL10" s="203"/>
      <c r="MXC10" s="203"/>
      <c r="MXD10" s="203"/>
      <c r="MXU10" s="203"/>
      <c r="MXV10" s="203"/>
      <c r="MYM10" s="203"/>
      <c r="MYN10" s="203"/>
      <c r="MZE10" s="203"/>
      <c r="MZF10" s="203"/>
      <c r="MZW10" s="203"/>
      <c r="MZX10" s="203"/>
      <c r="NAO10" s="203"/>
      <c r="NAP10" s="203"/>
      <c r="NBG10" s="203"/>
      <c r="NBH10" s="203"/>
      <c r="NBY10" s="203"/>
      <c r="NBZ10" s="203"/>
      <c r="NCQ10" s="203"/>
      <c r="NCR10" s="203"/>
      <c r="NDI10" s="203"/>
      <c r="NDJ10" s="203"/>
      <c r="NEA10" s="203"/>
      <c r="NEB10" s="203"/>
      <c r="NES10" s="203"/>
      <c r="NET10" s="203"/>
      <c r="NFK10" s="203"/>
      <c r="NFL10" s="203"/>
      <c r="NGC10" s="203"/>
      <c r="NGD10" s="203"/>
      <c r="NGU10" s="203"/>
      <c r="NGV10" s="203"/>
      <c r="NHM10" s="203"/>
      <c r="NHN10" s="203"/>
      <c r="NIE10" s="203"/>
      <c r="NIF10" s="203"/>
      <c r="NIW10" s="203"/>
      <c r="NIX10" s="203"/>
      <c r="NJO10" s="203"/>
      <c r="NJP10" s="203"/>
      <c r="NKG10" s="203"/>
      <c r="NKH10" s="203"/>
      <c r="NKY10" s="203"/>
      <c r="NKZ10" s="203"/>
      <c r="NLQ10" s="203"/>
      <c r="NLR10" s="203"/>
      <c r="NMI10" s="203"/>
      <c r="NMJ10" s="203"/>
      <c r="NNA10" s="203"/>
      <c r="NNB10" s="203"/>
      <c r="NNS10" s="203"/>
      <c r="NNT10" s="203"/>
      <c r="NOK10" s="203"/>
      <c r="NOL10" s="203"/>
      <c r="NPC10" s="203"/>
      <c r="NPD10" s="203"/>
      <c r="NPU10" s="203"/>
      <c r="NPV10" s="203"/>
      <c r="NQM10" s="203"/>
      <c r="NQN10" s="203"/>
      <c r="NRE10" s="203"/>
      <c r="NRF10" s="203"/>
      <c r="NRW10" s="203"/>
      <c r="NRX10" s="203"/>
      <c r="NSO10" s="203"/>
      <c r="NSP10" s="203"/>
      <c r="NTG10" s="203"/>
      <c r="NTH10" s="203"/>
      <c r="NTY10" s="203"/>
      <c r="NTZ10" s="203"/>
      <c r="NUQ10" s="203"/>
      <c r="NUR10" s="203"/>
      <c r="NVI10" s="203"/>
      <c r="NVJ10" s="203"/>
      <c r="NWA10" s="203"/>
      <c r="NWB10" s="203"/>
      <c r="NWS10" s="203"/>
      <c r="NWT10" s="203"/>
      <c r="NXK10" s="203"/>
      <c r="NXL10" s="203"/>
      <c r="NYC10" s="203"/>
      <c r="NYD10" s="203"/>
      <c r="NYU10" s="203"/>
      <c r="NYV10" s="203"/>
      <c r="NZM10" s="203"/>
      <c r="NZN10" s="203"/>
      <c r="OAE10" s="203"/>
      <c r="OAF10" s="203"/>
      <c r="OAW10" s="203"/>
      <c r="OAX10" s="203"/>
      <c r="OBO10" s="203"/>
      <c r="OBP10" s="203"/>
      <c r="OCG10" s="203"/>
      <c r="OCH10" s="203"/>
      <c r="OCY10" s="203"/>
      <c r="OCZ10" s="203"/>
      <c r="ODQ10" s="203"/>
      <c r="ODR10" s="203"/>
      <c r="OEI10" s="203"/>
      <c r="OEJ10" s="203"/>
      <c r="OFA10" s="203"/>
      <c r="OFB10" s="203"/>
      <c r="OFS10" s="203"/>
      <c r="OFT10" s="203"/>
      <c r="OGK10" s="203"/>
      <c r="OGL10" s="203"/>
      <c r="OHC10" s="203"/>
      <c r="OHD10" s="203"/>
      <c r="OHU10" s="203"/>
      <c r="OHV10" s="203"/>
      <c r="OIM10" s="203"/>
      <c r="OIN10" s="203"/>
      <c r="OJE10" s="203"/>
      <c r="OJF10" s="203"/>
      <c r="OJW10" s="203"/>
      <c r="OJX10" s="203"/>
      <c r="OKO10" s="203"/>
      <c r="OKP10" s="203"/>
      <c r="OLG10" s="203"/>
      <c r="OLH10" s="203"/>
      <c r="OLY10" s="203"/>
      <c r="OLZ10" s="203"/>
      <c r="OMQ10" s="203"/>
      <c r="OMR10" s="203"/>
      <c r="ONI10" s="203"/>
      <c r="ONJ10" s="203"/>
      <c r="OOA10" s="203"/>
      <c r="OOB10" s="203"/>
      <c r="OOS10" s="203"/>
      <c r="OOT10" s="203"/>
      <c r="OPK10" s="203"/>
      <c r="OPL10" s="203"/>
      <c r="OQC10" s="203"/>
      <c r="OQD10" s="203"/>
      <c r="OQU10" s="203"/>
      <c r="OQV10" s="203"/>
      <c r="ORM10" s="203"/>
      <c r="ORN10" s="203"/>
      <c r="OSE10" s="203"/>
      <c r="OSF10" s="203"/>
      <c r="OSW10" s="203"/>
      <c r="OSX10" s="203"/>
      <c r="OTO10" s="203"/>
      <c r="OTP10" s="203"/>
      <c r="OUG10" s="203"/>
      <c r="OUH10" s="203"/>
      <c r="OUY10" s="203"/>
      <c r="OUZ10" s="203"/>
      <c r="OVQ10" s="203"/>
      <c r="OVR10" s="203"/>
      <c r="OWI10" s="203"/>
      <c r="OWJ10" s="203"/>
      <c r="OXA10" s="203"/>
      <c r="OXB10" s="203"/>
      <c r="OXS10" s="203"/>
      <c r="OXT10" s="203"/>
      <c r="OYK10" s="203"/>
      <c r="OYL10" s="203"/>
      <c r="OZC10" s="203"/>
      <c r="OZD10" s="203"/>
      <c r="OZU10" s="203"/>
      <c r="OZV10" s="203"/>
      <c r="PAM10" s="203"/>
      <c r="PAN10" s="203"/>
      <c r="PBE10" s="203"/>
      <c r="PBF10" s="203"/>
      <c r="PBW10" s="203"/>
      <c r="PBX10" s="203"/>
      <c r="PCO10" s="203"/>
      <c r="PCP10" s="203"/>
      <c r="PDG10" s="203"/>
      <c r="PDH10" s="203"/>
      <c r="PDY10" s="203"/>
      <c r="PDZ10" s="203"/>
      <c r="PEQ10" s="203"/>
      <c r="PER10" s="203"/>
      <c r="PFI10" s="203"/>
      <c r="PFJ10" s="203"/>
      <c r="PGA10" s="203"/>
      <c r="PGB10" s="203"/>
      <c r="PGS10" s="203"/>
      <c r="PGT10" s="203"/>
      <c r="PHK10" s="203"/>
      <c r="PHL10" s="203"/>
      <c r="PIC10" s="203"/>
      <c r="PID10" s="203"/>
      <c r="PIU10" s="203"/>
      <c r="PIV10" s="203"/>
      <c r="PJM10" s="203"/>
      <c r="PJN10" s="203"/>
      <c r="PKE10" s="203"/>
      <c r="PKF10" s="203"/>
      <c r="PKW10" s="203"/>
      <c r="PKX10" s="203"/>
      <c r="PLO10" s="203"/>
      <c r="PLP10" s="203"/>
      <c r="PMG10" s="203"/>
      <c r="PMH10" s="203"/>
      <c r="PMY10" s="203"/>
      <c r="PMZ10" s="203"/>
      <c r="PNQ10" s="203"/>
      <c r="PNR10" s="203"/>
      <c r="POI10" s="203"/>
      <c r="POJ10" s="203"/>
      <c r="PPA10" s="203"/>
      <c r="PPB10" s="203"/>
      <c r="PPS10" s="203"/>
      <c r="PPT10" s="203"/>
      <c r="PQK10" s="203"/>
      <c r="PQL10" s="203"/>
      <c r="PRC10" s="203"/>
      <c r="PRD10" s="203"/>
      <c r="PRU10" s="203"/>
      <c r="PRV10" s="203"/>
      <c r="PSM10" s="203"/>
      <c r="PSN10" s="203"/>
      <c r="PTE10" s="203"/>
      <c r="PTF10" s="203"/>
      <c r="PTW10" s="203"/>
      <c r="PTX10" s="203"/>
      <c r="PUO10" s="203"/>
      <c r="PUP10" s="203"/>
      <c r="PVG10" s="203"/>
      <c r="PVH10" s="203"/>
      <c r="PVY10" s="203"/>
      <c r="PVZ10" s="203"/>
      <c r="PWQ10" s="203"/>
      <c r="PWR10" s="203"/>
      <c r="PXI10" s="203"/>
      <c r="PXJ10" s="203"/>
      <c r="PYA10" s="203"/>
      <c r="PYB10" s="203"/>
      <c r="PYS10" s="203"/>
      <c r="PYT10" s="203"/>
      <c r="PZK10" s="203"/>
      <c r="PZL10" s="203"/>
      <c r="QAC10" s="203"/>
      <c r="QAD10" s="203"/>
      <c r="QAU10" s="203"/>
      <c r="QAV10" s="203"/>
      <c r="QBM10" s="203"/>
      <c r="QBN10" s="203"/>
      <c r="QCE10" s="203"/>
      <c r="QCF10" s="203"/>
      <c r="QCW10" s="203"/>
      <c r="QCX10" s="203"/>
      <c r="QDO10" s="203"/>
      <c r="QDP10" s="203"/>
      <c r="QEG10" s="203"/>
      <c r="QEH10" s="203"/>
      <c r="QEY10" s="203"/>
      <c r="QEZ10" s="203"/>
      <c r="QFQ10" s="203"/>
      <c r="QFR10" s="203"/>
      <c r="QGI10" s="203"/>
      <c r="QGJ10" s="203"/>
      <c r="QHA10" s="203"/>
      <c r="QHB10" s="203"/>
      <c r="QHS10" s="203"/>
      <c r="QHT10" s="203"/>
      <c r="QIK10" s="203"/>
      <c r="QIL10" s="203"/>
      <c r="QJC10" s="203"/>
      <c r="QJD10" s="203"/>
      <c r="QJU10" s="203"/>
      <c r="QJV10" s="203"/>
      <c r="QKM10" s="203"/>
      <c r="QKN10" s="203"/>
      <c r="QLE10" s="203"/>
      <c r="QLF10" s="203"/>
      <c r="QLW10" s="203"/>
      <c r="QLX10" s="203"/>
      <c r="QMO10" s="203"/>
      <c r="QMP10" s="203"/>
      <c r="QNG10" s="203"/>
      <c r="QNH10" s="203"/>
      <c r="QNY10" s="203"/>
      <c r="QNZ10" s="203"/>
      <c r="QOQ10" s="203"/>
      <c r="QOR10" s="203"/>
      <c r="QPI10" s="203"/>
      <c r="QPJ10" s="203"/>
      <c r="QQA10" s="203"/>
      <c r="QQB10" s="203"/>
      <c r="QQS10" s="203"/>
      <c r="QQT10" s="203"/>
      <c r="QRK10" s="203"/>
      <c r="QRL10" s="203"/>
      <c r="QSC10" s="203"/>
      <c r="QSD10" s="203"/>
      <c r="QSU10" s="203"/>
      <c r="QSV10" s="203"/>
      <c r="QTM10" s="203"/>
      <c r="QTN10" s="203"/>
      <c r="QUE10" s="203"/>
      <c r="QUF10" s="203"/>
      <c r="QUW10" s="203"/>
      <c r="QUX10" s="203"/>
      <c r="QVO10" s="203"/>
      <c r="QVP10" s="203"/>
      <c r="QWG10" s="203"/>
      <c r="QWH10" s="203"/>
      <c r="QWY10" s="203"/>
      <c r="QWZ10" s="203"/>
      <c r="QXQ10" s="203"/>
      <c r="QXR10" s="203"/>
      <c r="QYI10" s="203"/>
      <c r="QYJ10" s="203"/>
      <c r="QZA10" s="203"/>
      <c r="QZB10" s="203"/>
      <c r="QZS10" s="203"/>
      <c r="QZT10" s="203"/>
      <c r="RAK10" s="203"/>
      <c r="RAL10" s="203"/>
      <c r="RBC10" s="203"/>
      <c r="RBD10" s="203"/>
      <c r="RBU10" s="203"/>
      <c r="RBV10" s="203"/>
      <c r="RCM10" s="203"/>
      <c r="RCN10" s="203"/>
      <c r="RDE10" s="203"/>
      <c r="RDF10" s="203"/>
      <c r="RDW10" s="203"/>
      <c r="RDX10" s="203"/>
      <c r="REO10" s="203"/>
      <c r="REP10" s="203"/>
      <c r="RFG10" s="203"/>
      <c r="RFH10" s="203"/>
      <c r="RFY10" s="203"/>
      <c r="RFZ10" s="203"/>
      <c r="RGQ10" s="203"/>
      <c r="RGR10" s="203"/>
      <c r="RHI10" s="203"/>
      <c r="RHJ10" s="203"/>
      <c r="RIA10" s="203"/>
      <c r="RIB10" s="203"/>
      <c r="RIS10" s="203"/>
      <c r="RIT10" s="203"/>
      <c r="RJK10" s="203"/>
      <c r="RJL10" s="203"/>
      <c r="RKC10" s="203"/>
      <c r="RKD10" s="203"/>
      <c r="RKU10" s="203"/>
      <c r="RKV10" s="203"/>
      <c r="RLM10" s="203"/>
      <c r="RLN10" s="203"/>
      <c r="RME10" s="203"/>
      <c r="RMF10" s="203"/>
      <c r="RMW10" s="203"/>
      <c r="RMX10" s="203"/>
      <c r="RNO10" s="203"/>
      <c r="RNP10" s="203"/>
      <c r="ROG10" s="203"/>
      <c r="ROH10" s="203"/>
      <c r="ROY10" s="203"/>
      <c r="ROZ10" s="203"/>
      <c r="RPQ10" s="203"/>
      <c r="RPR10" s="203"/>
      <c r="RQI10" s="203"/>
      <c r="RQJ10" s="203"/>
      <c r="RRA10" s="203"/>
      <c r="RRB10" s="203"/>
      <c r="RRS10" s="203"/>
      <c r="RRT10" s="203"/>
      <c r="RSK10" s="203"/>
      <c r="RSL10" s="203"/>
      <c r="RTC10" s="203"/>
      <c r="RTD10" s="203"/>
      <c r="RTU10" s="203"/>
      <c r="RTV10" s="203"/>
      <c r="RUM10" s="203"/>
      <c r="RUN10" s="203"/>
      <c r="RVE10" s="203"/>
      <c r="RVF10" s="203"/>
      <c r="RVW10" s="203"/>
      <c r="RVX10" s="203"/>
      <c r="RWO10" s="203"/>
      <c r="RWP10" s="203"/>
      <c r="RXG10" s="203"/>
      <c r="RXH10" s="203"/>
      <c r="RXY10" s="203"/>
      <c r="RXZ10" s="203"/>
      <c r="RYQ10" s="203"/>
      <c r="RYR10" s="203"/>
      <c r="RZI10" s="203"/>
      <c r="RZJ10" s="203"/>
      <c r="SAA10" s="203"/>
      <c r="SAB10" s="203"/>
      <c r="SAS10" s="203"/>
      <c r="SAT10" s="203"/>
      <c r="SBK10" s="203"/>
      <c r="SBL10" s="203"/>
      <c r="SCC10" s="203"/>
      <c r="SCD10" s="203"/>
      <c r="SCU10" s="203"/>
      <c r="SCV10" s="203"/>
      <c r="SDM10" s="203"/>
      <c r="SDN10" s="203"/>
      <c r="SEE10" s="203"/>
      <c r="SEF10" s="203"/>
      <c r="SEW10" s="203"/>
      <c r="SEX10" s="203"/>
      <c r="SFO10" s="203"/>
      <c r="SFP10" s="203"/>
      <c r="SGG10" s="203"/>
      <c r="SGH10" s="203"/>
      <c r="SGY10" s="203"/>
      <c r="SGZ10" s="203"/>
      <c r="SHQ10" s="203"/>
      <c r="SHR10" s="203"/>
      <c r="SII10" s="203"/>
      <c r="SIJ10" s="203"/>
      <c r="SJA10" s="203"/>
      <c r="SJB10" s="203"/>
      <c r="SJS10" s="203"/>
      <c r="SJT10" s="203"/>
      <c r="SKK10" s="203"/>
      <c r="SKL10" s="203"/>
      <c r="SLC10" s="203"/>
      <c r="SLD10" s="203"/>
      <c r="SLU10" s="203"/>
      <c r="SLV10" s="203"/>
      <c r="SMM10" s="203"/>
      <c r="SMN10" s="203"/>
      <c r="SNE10" s="203"/>
      <c r="SNF10" s="203"/>
      <c r="SNW10" s="203"/>
      <c r="SNX10" s="203"/>
      <c r="SOO10" s="203"/>
      <c r="SOP10" s="203"/>
      <c r="SPG10" s="203"/>
      <c r="SPH10" s="203"/>
      <c r="SPY10" s="203"/>
      <c r="SPZ10" s="203"/>
      <c r="SQQ10" s="203"/>
      <c r="SQR10" s="203"/>
      <c r="SRI10" s="203"/>
      <c r="SRJ10" s="203"/>
      <c r="SSA10" s="203"/>
      <c r="SSB10" s="203"/>
      <c r="SSS10" s="203"/>
      <c r="SST10" s="203"/>
      <c r="STK10" s="203"/>
      <c r="STL10" s="203"/>
      <c r="SUC10" s="203"/>
      <c r="SUD10" s="203"/>
      <c r="SUU10" s="203"/>
      <c r="SUV10" s="203"/>
      <c r="SVM10" s="203"/>
      <c r="SVN10" s="203"/>
      <c r="SWE10" s="203"/>
      <c r="SWF10" s="203"/>
      <c r="SWW10" s="203"/>
      <c r="SWX10" s="203"/>
      <c r="SXO10" s="203"/>
      <c r="SXP10" s="203"/>
      <c r="SYG10" s="203"/>
      <c r="SYH10" s="203"/>
      <c r="SYY10" s="203"/>
      <c r="SYZ10" s="203"/>
      <c r="SZQ10" s="203"/>
      <c r="SZR10" s="203"/>
      <c r="TAI10" s="203"/>
      <c r="TAJ10" s="203"/>
      <c r="TBA10" s="203"/>
      <c r="TBB10" s="203"/>
      <c r="TBS10" s="203"/>
      <c r="TBT10" s="203"/>
      <c r="TCK10" s="203"/>
      <c r="TCL10" s="203"/>
      <c r="TDC10" s="203"/>
      <c r="TDD10" s="203"/>
      <c r="TDU10" s="203"/>
      <c r="TDV10" s="203"/>
      <c r="TEM10" s="203"/>
      <c r="TEN10" s="203"/>
      <c r="TFE10" s="203"/>
      <c r="TFF10" s="203"/>
      <c r="TFW10" s="203"/>
      <c r="TFX10" s="203"/>
      <c r="TGO10" s="203"/>
      <c r="TGP10" s="203"/>
      <c r="THG10" s="203"/>
      <c r="THH10" s="203"/>
      <c r="THY10" s="203"/>
      <c r="THZ10" s="203"/>
      <c r="TIQ10" s="203"/>
      <c r="TIR10" s="203"/>
      <c r="TJI10" s="203"/>
      <c r="TJJ10" s="203"/>
      <c r="TKA10" s="203"/>
      <c r="TKB10" s="203"/>
      <c r="TKS10" s="203"/>
      <c r="TKT10" s="203"/>
      <c r="TLK10" s="203"/>
      <c r="TLL10" s="203"/>
      <c r="TMC10" s="203"/>
      <c r="TMD10" s="203"/>
      <c r="TMU10" s="203"/>
      <c r="TMV10" s="203"/>
      <c r="TNM10" s="203"/>
      <c r="TNN10" s="203"/>
      <c r="TOE10" s="203"/>
      <c r="TOF10" s="203"/>
      <c r="TOW10" s="203"/>
      <c r="TOX10" s="203"/>
      <c r="TPO10" s="203"/>
      <c r="TPP10" s="203"/>
      <c r="TQG10" s="203"/>
      <c r="TQH10" s="203"/>
      <c r="TQY10" s="203"/>
      <c r="TQZ10" s="203"/>
      <c r="TRQ10" s="203"/>
      <c r="TRR10" s="203"/>
      <c r="TSI10" s="203"/>
      <c r="TSJ10" s="203"/>
      <c r="TTA10" s="203"/>
      <c r="TTB10" s="203"/>
      <c r="TTS10" s="203"/>
      <c r="TTT10" s="203"/>
      <c r="TUK10" s="203"/>
      <c r="TUL10" s="203"/>
      <c r="TVC10" s="203"/>
      <c r="TVD10" s="203"/>
      <c r="TVU10" s="203"/>
      <c r="TVV10" s="203"/>
      <c r="TWM10" s="203"/>
      <c r="TWN10" s="203"/>
      <c r="TXE10" s="203"/>
      <c r="TXF10" s="203"/>
      <c r="TXW10" s="203"/>
      <c r="TXX10" s="203"/>
      <c r="TYO10" s="203"/>
      <c r="TYP10" s="203"/>
      <c r="TZG10" s="203"/>
      <c r="TZH10" s="203"/>
      <c r="TZY10" s="203"/>
      <c r="TZZ10" s="203"/>
      <c r="UAQ10" s="203"/>
      <c r="UAR10" s="203"/>
      <c r="UBI10" s="203"/>
      <c r="UBJ10" s="203"/>
      <c r="UCA10" s="203"/>
      <c r="UCB10" s="203"/>
      <c r="UCS10" s="203"/>
      <c r="UCT10" s="203"/>
      <c r="UDK10" s="203"/>
      <c r="UDL10" s="203"/>
      <c r="UEC10" s="203"/>
      <c r="UED10" s="203"/>
      <c r="UEU10" s="203"/>
      <c r="UEV10" s="203"/>
      <c r="UFM10" s="203"/>
      <c r="UFN10" s="203"/>
      <c r="UGE10" s="203"/>
      <c r="UGF10" s="203"/>
      <c r="UGW10" s="203"/>
      <c r="UGX10" s="203"/>
      <c r="UHO10" s="203"/>
      <c r="UHP10" s="203"/>
      <c r="UIG10" s="203"/>
      <c r="UIH10" s="203"/>
      <c r="UIY10" s="203"/>
      <c r="UIZ10" s="203"/>
      <c r="UJQ10" s="203"/>
      <c r="UJR10" s="203"/>
      <c r="UKI10" s="203"/>
      <c r="UKJ10" s="203"/>
      <c r="ULA10" s="203"/>
      <c r="ULB10" s="203"/>
      <c r="ULS10" s="203"/>
      <c r="ULT10" s="203"/>
      <c r="UMK10" s="203"/>
      <c r="UML10" s="203"/>
      <c r="UNC10" s="203"/>
      <c r="UND10" s="203"/>
      <c r="UNU10" s="203"/>
      <c r="UNV10" s="203"/>
      <c r="UOM10" s="203"/>
      <c r="UON10" s="203"/>
      <c r="UPE10" s="203"/>
      <c r="UPF10" s="203"/>
      <c r="UPW10" s="203"/>
      <c r="UPX10" s="203"/>
      <c r="UQO10" s="203"/>
      <c r="UQP10" s="203"/>
      <c r="URG10" s="203"/>
      <c r="URH10" s="203"/>
      <c r="URY10" s="203"/>
      <c r="URZ10" s="203"/>
      <c r="USQ10" s="203"/>
      <c r="USR10" s="203"/>
      <c r="UTI10" s="203"/>
      <c r="UTJ10" s="203"/>
      <c r="UUA10" s="203"/>
      <c r="UUB10" s="203"/>
      <c r="UUS10" s="203"/>
      <c r="UUT10" s="203"/>
      <c r="UVK10" s="203"/>
      <c r="UVL10" s="203"/>
      <c r="UWC10" s="203"/>
      <c r="UWD10" s="203"/>
      <c r="UWU10" s="203"/>
      <c r="UWV10" s="203"/>
      <c r="UXM10" s="203"/>
      <c r="UXN10" s="203"/>
      <c r="UYE10" s="203"/>
      <c r="UYF10" s="203"/>
      <c r="UYW10" s="203"/>
      <c r="UYX10" s="203"/>
      <c r="UZO10" s="203"/>
      <c r="UZP10" s="203"/>
      <c r="VAG10" s="203"/>
      <c r="VAH10" s="203"/>
      <c r="VAY10" s="203"/>
      <c r="VAZ10" s="203"/>
      <c r="VBQ10" s="203"/>
      <c r="VBR10" s="203"/>
      <c r="VCI10" s="203"/>
      <c r="VCJ10" s="203"/>
      <c r="VDA10" s="203"/>
      <c r="VDB10" s="203"/>
      <c r="VDS10" s="203"/>
      <c r="VDT10" s="203"/>
      <c r="VEK10" s="203"/>
      <c r="VEL10" s="203"/>
      <c r="VFC10" s="203"/>
      <c r="VFD10" s="203"/>
      <c r="VFU10" s="203"/>
      <c r="VFV10" s="203"/>
      <c r="VGM10" s="203"/>
      <c r="VGN10" s="203"/>
      <c r="VHE10" s="203"/>
      <c r="VHF10" s="203"/>
      <c r="VHW10" s="203"/>
      <c r="VHX10" s="203"/>
      <c r="VIO10" s="203"/>
      <c r="VIP10" s="203"/>
      <c r="VJG10" s="203"/>
      <c r="VJH10" s="203"/>
      <c r="VJY10" s="203"/>
      <c r="VJZ10" s="203"/>
      <c r="VKQ10" s="203"/>
      <c r="VKR10" s="203"/>
      <c r="VLI10" s="203"/>
      <c r="VLJ10" s="203"/>
      <c r="VMA10" s="203"/>
      <c r="VMB10" s="203"/>
      <c r="VMS10" s="203"/>
      <c r="VMT10" s="203"/>
      <c r="VNK10" s="203"/>
      <c r="VNL10" s="203"/>
      <c r="VOC10" s="203"/>
      <c r="VOD10" s="203"/>
      <c r="VOU10" s="203"/>
      <c r="VOV10" s="203"/>
      <c r="VPM10" s="203"/>
      <c r="VPN10" s="203"/>
      <c r="VQE10" s="203"/>
      <c r="VQF10" s="203"/>
      <c r="VQW10" s="203"/>
      <c r="VQX10" s="203"/>
      <c r="VRO10" s="203"/>
      <c r="VRP10" s="203"/>
      <c r="VSG10" s="203"/>
      <c r="VSH10" s="203"/>
      <c r="VSY10" s="203"/>
      <c r="VSZ10" s="203"/>
      <c r="VTQ10" s="203"/>
      <c r="VTR10" s="203"/>
      <c r="VUI10" s="203"/>
      <c r="VUJ10" s="203"/>
      <c r="VVA10" s="203"/>
      <c r="VVB10" s="203"/>
      <c r="VVS10" s="203"/>
      <c r="VVT10" s="203"/>
      <c r="VWK10" s="203"/>
      <c r="VWL10" s="203"/>
      <c r="VXC10" s="203"/>
      <c r="VXD10" s="203"/>
      <c r="VXU10" s="203"/>
      <c r="VXV10" s="203"/>
      <c r="VYM10" s="203"/>
      <c r="VYN10" s="203"/>
      <c r="VZE10" s="203"/>
      <c r="VZF10" s="203"/>
      <c r="VZW10" s="203"/>
      <c r="VZX10" s="203"/>
      <c r="WAO10" s="203"/>
      <c r="WAP10" s="203"/>
      <c r="WBG10" s="203"/>
      <c r="WBH10" s="203"/>
      <c r="WBY10" s="203"/>
      <c r="WBZ10" s="203"/>
      <c r="WCQ10" s="203"/>
      <c r="WCR10" s="203"/>
      <c r="WDI10" s="203"/>
      <c r="WDJ10" s="203"/>
      <c r="WEA10" s="203"/>
      <c r="WEB10" s="203"/>
      <c r="WES10" s="203"/>
      <c r="WET10" s="203"/>
      <c r="WFK10" s="203"/>
      <c r="WFL10" s="203"/>
      <c r="WGC10" s="203"/>
      <c r="WGD10" s="203"/>
      <c r="WGU10" s="203"/>
      <c r="WGV10" s="203"/>
      <c r="WHM10" s="203"/>
      <c r="WHN10" s="203"/>
      <c r="WIE10" s="203"/>
      <c r="WIF10" s="203"/>
      <c r="WIW10" s="203"/>
      <c r="WIX10" s="203"/>
      <c r="WJO10" s="203"/>
      <c r="WJP10" s="203"/>
      <c r="WKG10" s="203"/>
      <c r="WKH10" s="203"/>
      <c r="WKY10" s="203"/>
      <c r="WKZ10" s="203"/>
      <c r="WLQ10" s="203"/>
      <c r="WLR10" s="203"/>
      <c r="WMI10" s="203"/>
      <c r="WMJ10" s="203"/>
      <c r="WNA10" s="203"/>
      <c r="WNB10" s="203"/>
      <c r="WNS10" s="203"/>
      <c r="WNT10" s="203"/>
      <c r="WOK10" s="203"/>
      <c r="WOL10" s="203"/>
      <c r="WPC10" s="203"/>
      <c r="WPD10" s="203"/>
      <c r="WPU10" s="203"/>
      <c r="WPV10" s="203"/>
      <c r="WQM10" s="203"/>
      <c r="WQN10" s="203"/>
      <c r="WRE10" s="203"/>
      <c r="WRF10" s="203"/>
      <c r="WRW10" s="203"/>
      <c r="WRX10" s="203"/>
      <c r="WSO10" s="203"/>
      <c r="WSP10" s="203"/>
      <c r="WTG10" s="203"/>
      <c r="WTH10" s="203"/>
      <c r="WTY10" s="203"/>
      <c r="WTZ10" s="203"/>
      <c r="WUQ10" s="203"/>
      <c r="WUR10" s="203"/>
      <c r="WVI10" s="203"/>
      <c r="WVJ10" s="203"/>
      <c r="WWA10" s="203"/>
      <c r="WWB10" s="203"/>
      <c r="WWS10" s="203"/>
      <c r="WWT10" s="203"/>
      <c r="WXK10" s="203"/>
      <c r="WXL10" s="203"/>
      <c r="WYC10" s="203"/>
      <c r="WYD10" s="203"/>
      <c r="WYU10" s="203"/>
      <c r="WYV10" s="203"/>
      <c r="WZM10" s="203"/>
      <c r="WZN10" s="203"/>
      <c r="XAE10" s="203"/>
      <c r="XAF10" s="203"/>
      <c r="XAW10" s="203"/>
      <c r="XAX10" s="203"/>
      <c r="XBO10" s="203"/>
      <c r="XBP10" s="203"/>
      <c r="XCG10" s="203"/>
      <c r="XCH10" s="203"/>
      <c r="XCY10" s="203"/>
      <c r="XCZ10" s="203"/>
      <c r="XDQ10" s="203"/>
      <c r="XDR10" s="203"/>
      <c r="XEI10" s="203"/>
      <c r="XEJ10" s="203"/>
      <c r="XFA10" s="203"/>
      <c r="XFB10" s="203"/>
    </row>
    <row r="11" spans="1:1010 1027:2036 2053:3062 3079:4088 4105:5114 5131:6140 6157:7166 7183:8192 8209:9200 9217:10226 10243:11252 11269:12278 12295:13304 13321:14330 14347:15356 15373:16382" s="204" customFormat="1" x14ac:dyDescent="0.35">
      <c r="A11" s="183" t="s">
        <v>350</v>
      </c>
      <c r="B11" s="293" t="s">
        <v>351</v>
      </c>
      <c r="C11" s="184">
        <v>16.881</v>
      </c>
      <c r="D11" s="184">
        <v>16.678000000000001</v>
      </c>
      <c r="E11" s="184">
        <v>16.513999999999999</v>
      </c>
      <c r="F11" s="184">
        <v>14.018000000000001</v>
      </c>
      <c r="G11" s="184">
        <v>19.396000000000001</v>
      </c>
      <c r="H11" s="184">
        <v>19.177</v>
      </c>
      <c r="I11" s="184">
        <v>20.178000000000001</v>
      </c>
      <c r="J11" s="184">
        <v>19.282</v>
      </c>
      <c r="K11" s="184">
        <v>21.2</v>
      </c>
      <c r="L11" s="184">
        <v>20.896000000000001</v>
      </c>
      <c r="S11" s="203"/>
      <c r="T11" s="203"/>
      <c r="AK11" s="203"/>
      <c r="AL11" s="203"/>
      <c r="BC11" s="203"/>
      <c r="BD11" s="203"/>
      <c r="BU11" s="203"/>
      <c r="BV11" s="203"/>
      <c r="CM11" s="203"/>
      <c r="CN11" s="203"/>
      <c r="DE11" s="203"/>
      <c r="DF11" s="203"/>
      <c r="DW11" s="203"/>
      <c r="DX11" s="203"/>
      <c r="EO11" s="203"/>
      <c r="EP11" s="203"/>
      <c r="FG11" s="203"/>
      <c r="FH11" s="203"/>
      <c r="FY11" s="203"/>
      <c r="FZ11" s="203"/>
      <c r="GQ11" s="203"/>
      <c r="GR11" s="203"/>
      <c r="HI11" s="203"/>
      <c r="HJ11" s="203"/>
      <c r="IA11" s="203"/>
      <c r="IB11" s="203"/>
      <c r="IS11" s="203"/>
      <c r="IT11" s="203"/>
      <c r="JK11" s="203"/>
      <c r="JL11" s="203"/>
      <c r="KC11" s="203"/>
      <c r="KD11" s="203"/>
      <c r="KU11" s="203"/>
      <c r="KV11" s="203"/>
      <c r="LM11" s="203"/>
      <c r="LN11" s="203"/>
      <c r="ME11" s="203"/>
      <c r="MF11" s="203"/>
      <c r="MW11" s="203"/>
      <c r="MX11" s="203"/>
      <c r="NO11" s="203"/>
      <c r="NP11" s="203"/>
      <c r="OG11" s="203"/>
      <c r="OH11" s="203"/>
      <c r="OY11" s="203"/>
      <c r="OZ11" s="203"/>
      <c r="PQ11" s="203"/>
      <c r="PR11" s="203"/>
      <c r="QI11" s="203"/>
      <c r="QJ11" s="203"/>
      <c r="RA11" s="203"/>
      <c r="RB11" s="203"/>
      <c r="RS11" s="203"/>
      <c r="RT11" s="203"/>
      <c r="SK11" s="203"/>
      <c r="SL11" s="203"/>
      <c r="TC11" s="203"/>
      <c r="TD11" s="203"/>
      <c r="TU11" s="203"/>
      <c r="TV11" s="203"/>
      <c r="UM11" s="203"/>
      <c r="UN11" s="203"/>
      <c r="VE11" s="203"/>
      <c r="VF11" s="203"/>
      <c r="VW11" s="203"/>
      <c r="VX11" s="203"/>
      <c r="WO11" s="203"/>
      <c r="WP11" s="203"/>
      <c r="XG11" s="203"/>
      <c r="XH11" s="203"/>
      <c r="XY11" s="203"/>
      <c r="XZ11" s="203"/>
      <c r="YQ11" s="203"/>
      <c r="YR11" s="203"/>
      <c r="ZI11" s="203"/>
      <c r="ZJ11" s="203"/>
      <c r="AAA11" s="203"/>
      <c r="AAB11" s="203"/>
      <c r="AAS11" s="203"/>
      <c r="AAT11" s="203"/>
      <c r="ABK11" s="203"/>
      <c r="ABL11" s="203"/>
      <c r="ACC11" s="203"/>
      <c r="ACD11" s="203"/>
      <c r="ACU11" s="203"/>
      <c r="ACV11" s="203"/>
      <c r="ADM11" s="203"/>
      <c r="ADN11" s="203"/>
      <c r="AEE11" s="203"/>
      <c r="AEF11" s="203"/>
      <c r="AEW11" s="203"/>
      <c r="AEX11" s="203"/>
      <c r="AFO11" s="203"/>
      <c r="AFP11" s="203"/>
      <c r="AGG11" s="203"/>
      <c r="AGH11" s="203"/>
      <c r="AGY11" s="203"/>
      <c r="AGZ11" s="203"/>
      <c r="AHQ11" s="203"/>
      <c r="AHR11" s="203"/>
      <c r="AII11" s="203"/>
      <c r="AIJ11" s="203"/>
      <c r="AJA11" s="203"/>
      <c r="AJB11" s="203"/>
      <c r="AJS11" s="203"/>
      <c r="AJT11" s="203"/>
      <c r="AKK11" s="203"/>
      <c r="AKL11" s="203"/>
      <c r="ALC11" s="203"/>
      <c r="ALD11" s="203"/>
      <c r="ALU11" s="203"/>
      <c r="ALV11" s="203"/>
      <c r="AMM11" s="203"/>
      <c r="AMN11" s="203"/>
      <c r="ANE11" s="203"/>
      <c r="ANF11" s="203"/>
      <c r="ANW11" s="203"/>
      <c r="ANX11" s="203"/>
      <c r="AOO11" s="203"/>
      <c r="AOP11" s="203"/>
      <c r="APG11" s="203"/>
      <c r="APH11" s="203"/>
      <c r="APY11" s="203"/>
      <c r="APZ11" s="203"/>
      <c r="AQQ11" s="203"/>
      <c r="AQR11" s="203"/>
      <c r="ARI11" s="203"/>
      <c r="ARJ11" s="203"/>
      <c r="ASA11" s="203"/>
      <c r="ASB11" s="203"/>
      <c r="ASS11" s="203"/>
      <c r="AST11" s="203"/>
      <c r="ATK11" s="203"/>
      <c r="ATL11" s="203"/>
      <c r="AUC11" s="203"/>
      <c r="AUD11" s="203"/>
      <c r="AUU11" s="203"/>
      <c r="AUV11" s="203"/>
      <c r="AVM11" s="203"/>
      <c r="AVN11" s="203"/>
      <c r="AWE11" s="203"/>
      <c r="AWF11" s="203"/>
      <c r="AWW11" s="203"/>
      <c r="AWX11" s="203"/>
      <c r="AXO11" s="203"/>
      <c r="AXP11" s="203"/>
      <c r="AYG11" s="203"/>
      <c r="AYH11" s="203"/>
      <c r="AYY11" s="203"/>
      <c r="AYZ11" s="203"/>
      <c r="AZQ11" s="203"/>
      <c r="AZR11" s="203"/>
      <c r="BAI11" s="203"/>
      <c r="BAJ11" s="203"/>
      <c r="BBA11" s="203"/>
      <c r="BBB11" s="203"/>
      <c r="BBS11" s="203"/>
      <c r="BBT11" s="203"/>
      <c r="BCK11" s="203"/>
      <c r="BCL11" s="203"/>
      <c r="BDC11" s="203"/>
      <c r="BDD11" s="203"/>
      <c r="BDU11" s="203"/>
      <c r="BDV11" s="203"/>
      <c r="BEM11" s="203"/>
      <c r="BEN11" s="203"/>
      <c r="BFE11" s="203"/>
      <c r="BFF11" s="203"/>
      <c r="BFW11" s="203"/>
      <c r="BFX11" s="203"/>
      <c r="BGO11" s="203"/>
      <c r="BGP11" s="203"/>
      <c r="BHG11" s="203"/>
      <c r="BHH11" s="203"/>
      <c r="BHY11" s="203"/>
      <c r="BHZ11" s="203"/>
      <c r="BIQ11" s="203"/>
      <c r="BIR11" s="203"/>
      <c r="BJI11" s="203"/>
      <c r="BJJ11" s="203"/>
      <c r="BKA11" s="203"/>
      <c r="BKB11" s="203"/>
      <c r="BKS11" s="203"/>
      <c r="BKT11" s="203"/>
      <c r="BLK11" s="203"/>
      <c r="BLL11" s="203"/>
      <c r="BMC11" s="203"/>
      <c r="BMD11" s="203"/>
      <c r="BMU11" s="203"/>
      <c r="BMV11" s="203"/>
      <c r="BNM11" s="203"/>
      <c r="BNN11" s="203"/>
      <c r="BOE11" s="203"/>
      <c r="BOF11" s="203"/>
      <c r="BOW11" s="203"/>
      <c r="BOX11" s="203"/>
      <c r="BPO11" s="203"/>
      <c r="BPP11" s="203"/>
      <c r="BQG11" s="203"/>
      <c r="BQH11" s="203"/>
      <c r="BQY11" s="203"/>
      <c r="BQZ11" s="203"/>
      <c r="BRQ11" s="203"/>
      <c r="BRR11" s="203"/>
      <c r="BSI11" s="203"/>
      <c r="BSJ11" s="203"/>
      <c r="BTA11" s="203"/>
      <c r="BTB11" s="203"/>
      <c r="BTS11" s="203"/>
      <c r="BTT11" s="203"/>
      <c r="BUK11" s="203"/>
      <c r="BUL11" s="203"/>
      <c r="BVC11" s="203"/>
      <c r="BVD11" s="203"/>
      <c r="BVU11" s="203"/>
      <c r="BVV11" s="203"/>
      <c r="BWM11" s="203"/>
      <c r="BWN11" s="203"/>
      <c r="BXE11" s="203"/>
      <c r="BXF11" s="203"/>
      <c r="BXW11" s="203"/>
      <c r="BXX11" s="203"/>
      <c r="BYO11" s="203"/>
      <c r="BYP11" s="203"/>
      <c r="BZG11" s="203"/>
      <c r="BZH11" s="203"/>
      <c r="BZY11" s="203"/>
      <c r="BZZ11" s="203"/>
      <c r="CAQ11" s="203"/>
      <c r="CAR11" s="203"/>
      <c r="CBI11" s="203"/>
      <c r="CBJ11" s="203"/>
      <c r="CCA11" s="203"/>
      <c r="CCB11" s="203"/>
      <c r="CCS11" s="203"/>
      <c r="CCT11" s="203"/>
      <c r="CDK11" s="203"/>
      <c r="CDL11" s="203"/>
      <c r="CEC11" s="203"/>
      <c r="CED11" s="203"/>
      <c r="CEU11" s="203"/>
      <c r="CEV11" s="203"/>
      <c r="CFM11" s="203"/>
      <c r="CFN11" s="203"/>
      <c r="CGE11" s="203"/>
      <c r="CGF11" s="203"/>
      <c r="CGW11" s="203"/>
      <c r="CGX11" s="203"/>
      <c r="CHO11" s="203"/>
      <c r="CHP11" s="203"/>
      <c r="CIG11" s="203"/>
      <c r="CIH11" s="203"/>
      <c r="CIY11" s="203"/>
      <c r="CIZ11" s="203"/>
      <c r="CJQ11" s="203"/>
      <c r="CJR11" s="203"/>
      <c r="CKI11" s="203"/>
      <c r="CKJ11" s="203"/>
      <c r="CLA11" s="203"/>
      <c r="CLB11" s="203"/>
      <c r="CLS11" s="203"/>
      <c r="CLT11" s="203"/>
      <c r="CMK11" s="203"/>
      <c r="CML11" s="203"/>
      <c r="CNC11" s="203"/>
      <c r="CND11" s="203"/>
      <c r="CNU11" s="203"/>
      <c r="CNV11" s="203"/>
      <c r="COM11" s="203"/>
      <c r="CON11" s="203"/>
      <c r="CPE11" s="203"/>
      <c r="CPF11" s="203"/>
      <c r="CPW11" s="203"/>
      <c r="CPX11" s="203"/>
      <c r="CQO11" s="203"/>
      <c r="CQP11" s="203"/>
      <c r="CRG11" s="203"/>
      <c r="CRH11" s="203"/>
      <c r="CRY11" s="203"/>
      <c r="CRZ11" s="203"/>
      <c r="CSQ11" s="203"/>
      <c r="CSR11" s="203"/>
      <c r="CTI11" s="203"/>
      <c r="CTJ11" s="203"/>
      <c r="CUA11" s="203"/>
      <c r="CUB11" s="203"/>
      <c r="CUS11" s="203"/>
      <c r="CUT11" s="203"/>
      <c r="CVK11" s="203"/>
      <c r="CVL11" s="203"/>
      <c r="CWC11" s="203"/>
      <c r="CWD11" s="203"/>
      <c r="CWU11" s="203"/>
      <c r="CWV11" s="203"/>
      <c r="CXM11" s="203"/>
      <c r="CXN11" s="203"/>
      <c r="CYE11" s="203"/>
      <c r="CYF11" s="203"/>
      <c r="CYW11" s="203"/>
      <c r="CYX11" s="203"/>
      <c r="CZO11" s="203"/>
      <c r="CZP11" s="203"/>
      <c r="DAG11" s="203"/>
      <c r="DAH11" s="203"/>
      <c r="DAY11" s="203"/>
      <c r="DAZ11" s="203"/>
      <c r="DBQ11" s="203"/>
      <c r="DBR11" s="203"/>
      <c r="DCI11" s="203"/>
      <c r="DCJ11" s="203"/>
      <c r="DDA11" s="203"/>
      <c r="DDB11" s="203"/>
      <c r="DDS11" s="203"/>
      <c r="DDT11" s="203"/>
      <c r="DEK11" s="203"/>
      <c r="DEL11" s="203"/>
      <c r="DFC11" s="203"/>
      <c r="DFD11" s="203"/>
      <c r="DFU11" s="203"/>
      <c r="DFV11" s="203"/>
      <c r="DGM11" s="203"/>
      <c r="DGN11" s="203"/>
      <c r="DHE11" s="203"/>
      <c r="DHF11" s="203"/>
      <c r="DHW11" s="203"/>
      <c r="DHX11" s="203"/>
      <c r="DIO11" s="203"/>
      <c r="DIP11" s="203"/>
      <c r="DJG11" s="203"/>
      <c r="DJH11" s="203"/>
      <c r="DJY11" s="203"/>
      <c r="DJZ11" s="203"/>
      <c r="DKQ11" s="203"/>
      <c r="DKR11" s="203"/>
      <c r="DLI11" s="203"/>
      <c r="DLJ11" s="203"/>
      <c r="DMA11" s="203"/>
      <c r="DMB11" s="203"/>
      <c r="DMS11" s="203"/>
      <c r="DMT11" s="203"/>
      <c r="DNK11" s="203"/>
      <c r="DNL11" s="203"/>
      <c r="DOC11" s="203"/>
      <c r="DOD11" s="203"/>
      <c r="DOU11" s="203"/>
      <c r="DOV11" s="203"/>
      <c r="DPM11" s="203"/>
      <c r="DPN11" s="203"/>
      <c r="DQE11" s="203"/>
      <c r="DQF11" s="203"/>
      <c r="DQW11" s="203"/>
      <c r="DQX11" s="203"/>
      <c r="DRO11" s="203"/>
      <c r="DRP11" s="203"/>
      <c r="DSG11" s="203"/>
      <c r="DSH11" s="203"/>
      <c r="DSY11" s="203"/>
      <c r="DSZ11" s="203"/>
      <c r="DTQ11" s="203"/>
      <c r="DTR11" s="203"/>
      <c r="DUI11" s="203"/>
      <c r="DUJ11" s="203"/>
      <c r="DVA11" s="203"/>
      <c r="DVB11" s="203"/>
      <c r="DVS11" s="203"/>
      <c r="DVT11" s="203"/>
      <c r="DWK11" s="203"/>
      <c r="DWL11" s="203"/>
      <c r="DXC11" s="203"/>
      <c r="DXD11" s="203"/>
      <c r="DXU11" s="203"/>
      <c r="DXV11" s="203"/>
      <c r="DYM11" s="203"/>
      <c r="DYN11" s="203"/>
      <c r="DZE11" s="203"/>
      <c r="DZF11" s="203"/>
      <c r="DZW11" s="203"/>
      <c r="DZX11" s="203"/>
      <c r="EAO11" s="203"/>
      <c r="EAP11" s="203"/>
      <c r="EBG11" s="203"/>
      <c r="EBH11" s="203"/>
      <c r="EBY11" s="203"/>
      <c r="EBZ11" s="203"/>
      <c r="ECQ11" s="203"/>
      <c r="ECR11" s="203"/>
      <c r="EDI11" s="203"/>
      <c r="EDJ11" s="203"/>
      <c r="EEA11" s="203"/>
      <c r="EEB11" s="203"/>
      <c r="EES11" s="203"/>
      <c r="EET11" s="203"/>
      <c r="EFK11" s="203"/>
      <c r="EFL11" s="203"/>
      <c r="EGC11" s="203"/>
      <c r="EGD11" s="203"/>
      <c r="EGU11" s="203"/>
      <c r="EGV11" s="203"/>
      <c r="EHM11" s="203"/>
      <c r="EHN11" s="203"/>
      <c r="EIE11" s="203"/>
      <c r="EIF11" s="203"/>
      <c r="EIW11" s="203"/>
      <c r="EIX11" s="203"/>
      <c r="EJO11" s="203"/>
      <c r="EJP11" s="203"/>
      <c r="EKG11" s="203"/>
      <c r="EKH11" s="203"/>
      <c r="EKY11" s="203"/>
      <c r="EKZ11" s="203"/>
      <c r="ELQ11" s="203"/>
      <c r="ELR11" s="203"/>
      <c r="EMI11" s="203"/>
      <c r="EMJ11" s="203"/>
      <c r="ENA11" s="203"/>
      <c r="ENB11" s="203"/>
      <c r="ENS11" s="203"/>
      <c r="ENT11" s="203"/>
      <c r="EOK11" s="203"/>
      <c r="EOL11" s="203"/>
      <c r="EPC11" s="203"/>
      <c r="EPD11" s="203"/>
      <c r="EPU11" s="203"/>
      <c r="EPV11" s="203"/>
      <c r="EQM11" s="203"/>
      <c r="EQN11" s="203"/>
      <c r="ERE11" s="203"/>
      <c r="ERF11" s="203"/>
      <c r="ERW11" s="203"/>
      <c r="ERX11" s="203"/>
      <c r="ESO11" s="203"/>
      <c r="ESP11" s="203"/>
      <c r="ETG11" s="203"/>
      <c r="ETH11" s="203"/>
      <c r="ETY11" s="203"/>
      <c r="ETZ11" s="203"/>
      <c r="EUQ11" s="203"/>
      <c r="EUR11" s="203"/>
      <c r="EVI11" s="203"/>
      <c r="EVJ11" s="203"/>
      <c r="EWA11" s="203"/>
      <c r="EWB11" s="203"/>
      <c r="EWS11" s="203"/>
      <c r="EWT11" s="203"/>
      <c r="EXK11" s="203"/>
      <c r="EXL11" s="203"/>
      <c r="EYC11" s="203"/>
      <c r="EYD11" s="203"/>
      <c r="EYU11" s="203"/>
      <c r="EYV11" s="203"/>
      <c r="EZM11" s="203"/>
      <c r="EZN11" s="203"/>
      <c r="FAE11" s="203"/>
      <c r="FAF11" s="203"/>
      <c r="FAW11" s="203"/>
      <c r="FAX11" s="203"/>
      <c r="FBO11" s="203"/>
      <c r="FBP11" s="203"/>
      <c r="FCG11" s="203"/>
      <c r="FCH11" s="203"/>
      <c r="FCY11" s="203"/>
      <c r="FCZ11" s="203"/>
      <c r="FDQ11" s="203"/>
      <c r="FDR11" s="203"/>
      <c r="FEI11" s="203"/>
      <c r="FEJ11" s="203"/>
      <c r="FFA11" s="203"/>
      <c r="FFB11" s="203"/>
      <c r="FFS11" s="203"/>
      <c r="FFT11" s="203"/>
      <c r="FGK11" s="203"/>
      <c r="FGL11" s="203"/>
      <c r="FHC11" s="203"/>
      <c r="FHD11" s="203"/>
      <c r="FHU11" s="203"/>
      <c r="FHV11" s="203"/>
      <c r="FIM11" s="203"/>
      <c r="FIN11" s="203"/>
      <c r="FJE11" s="203"/>
      <c r="FJF11" s="203"/>
      <c r="FJW11" s="203"/>
      <c r="FJX11" s="203"/>
      <c r="FKO11" s="203"/>
      <c r="FKP11" s="203"/>
      <c r="FLG11" s="203"/>
      <c r="FLH11" s="203"/>
      <c r="FLY11" s="203"/>
      <c r="FLZ11" s="203"/>
      <c r="FMQ11" s="203"/>
      <c r="FMR11" s="203"/>
      <c r="FNI11" s="203"/>
      <c r="FNJ11" s="203"/>
      <c r="FOA11" s="203"/>
      <c r="FOB11" s="203"/>
      <c r="FOS11" s="203"/>
      <c r="FOT11" s="203"/>
      <c r="FPK11" s="203"/>
      <c r="FPL11" s="203"/>
      <c r="FQC11" s="203"/>
      <c r="FQD11" s="203"/>
      <c r="FQU11" s="203"/>
      <c r="FQV11" s="203"/>
      <c r="FRM11" s="203"/>
      <c r="FRN11" s="203"/>
      <c r="FSE11" s="203"/>
      <c r="FSF11" s="203"/>
      <c r="FSW11" s="203"/>
      <c r="FSX11" s="203"/>
      <c r="FTO11" s="203"/>
      <c r="FTP11" s="203"/>
      <c r="FUG11" s="203"/>
      <c r="FUH11" s="203"/>
      <c r="FUY11" s="203"/>
      <c r="FUZ11" s="203"/>
      <c r="FVQ11" s="203"/>
      <c r="FVR11" s="203"/>
      <c r="FWI11" s="203"/>
      <c r="FWJ11" s="203"/>
      <c r="FXA11" s="203"/>
      <c r="FXB11" s="203"/>
      <c r="FXS11" s="203"/>
      <c r="FXT11" s="203"/>
      <c r="FYK11" s="203"/>
      <c r="FYL11" s="203"/>
      <c r="FZC11" s="203"/>
      <c r="FZD11" s="203"/>
      <c r="FZU11" s="203"/>
      <c r="FZV11" s="203"/>
      <c r="GAM11" s="203"/>
      <c r="GAN11" s="203"/>
      <c r="GBE11" s="203"/>
      <c r="GBF11" s="203"/>
      <c r="GBW11" s="203"/>
      <c r="GBX11" s="203"/>
      <c r="GCO11" s="203"/>
      <c r="GCP11" s="203"/>
      <c r="GDG11" s="203"/>
      <c r="GDH11" s="203"/>
      <c r="GDY11" s="203"/>
      <c r="GDZ11" s="203"/>
      <c r="GEQ11" s="203"/>
      <c r="GER11" s="203"/>
      <c r="GFI11" s="203"/>
      <c r="GFJ11" s="203"/>
      <c r="GGA11" s="203"/>
      <c r="GGB11" s="203"/>
      <c r="GGS11" s="203"/>
      <c r="GGT11" s="203"/>
      <c r="GHK11" s="203"/>
      <c r="GHL11" s="203"/>
      <c r="GIC11" s="203"/>
      <c r="GID11" s="203"/>
      <c r="GIU11" s="203"/>
      <c r="GIV11" s="203"/>
      <c r="GJM11" s="203"/>
      <c r="GJN11" s="203"/>
      <c r="GKE11" s="203"/>
      <c r="GKF11" s="203"/>
      <c r="GKW11" s="203"/>
      <c r="GKX11" s="203"/>
      <c r="GLO11" s="203"/>
      <c r="GLP11" s="203"/>
      <c r="GMG11" s="203"/>
      <c r="GMH11" s="203"/>
      <c r="GMY11" s="203"/>
      <c r="GMZ11" s="203"/>
      <c r="GNQ11" s="203"/>
      <c r="GNR11" s="203"/>
      <c r="GOI11" s="203"/>
      <c r="GOJ11" s="203"/>
      <c r="GPA11" s="203"/>
      <c r="GPB11" s="203"/>
      <c r="GPS11" s="203"/>
      <c r="GPT11" s="203"/>
      <c r="GQK11" s="203"/>
      <c r="GQL11" s="203"/>
      <c r="GRC11" s="203"/>
      <c r="GRD11" s="203"/>
      <c r="GRU11" s="203"/>
      <c r="GRV11" s="203"/>
      <c r="GSM11" s="203"/>
      <c r="GSN11" s="203"/>
      <c r="GTE11" s="203"/>
      <c r="GTF11" s="203"/>
      <c r="GTW11" s="203"/>
      <c r="GTX11" s="203"/>
      <c r="GUO11" s="203"/>
      <c r="GUP11" s="203"/>
      <c r="GVG11" s="203"/>
      <c r="GVH11" s="203"/>
      <c r="GVY11" s="203"/>
      <c r="GVZ11" s="203"/>
      <c r="GWQ11" s="203"/>
      <c r="GWR11" s="203"/>
      <c r="GXI11" s="203"/>
      <c r="GXJ11" s="203"/>
      <c r="GYA11" s="203"/>
      <c r="GYB11" s="203"/>
      <c r="GYS11" s="203"/>
      <c r="GYT11" s="203"/>
      <c r="GZK11" s="203"/>
      <c r="GZL11" s="203"/>
      <c r="HAC11" s="203"/>
      <c r="HAD11" s="203"/>
      <c r="HAU11" s="203"/>
      <c r="HAV11" s="203"/>
      <c r="HBM11" s="203"/>
      <c r="HBN11" s="203"/>
      <c r="HCE11" s="203"/>
      <c r="HCF11" s="203"/>
      <c r="HCW11" s="203"/>
      <c r="HCX11" s="203"/>
      <c r="HDO11" s="203"/>
      <c r="HDP11" s="203"/>
      <c r="HEG11" s="203"/>
      <c r="HEH11" s="203"/>
      <c r="HEY11" s="203"/>
      <c r="HEZ11" s="203"/>
      <c r="HFQ11" s="203"/>
      <c r="HFR11" s="203"/>
      <c r="HGI11" s="203"/>
      <c r="HGJ11" s="203"/>
      <c r="HHA11" s="203"/>
      <c r="HHB11" s="203"/>
      <c r="HHS11" s="203"/>
      <c r="HHT11" s="203"/>
      <c r="HIK11" s="203"/>
      <c r="HIL11" s="203"/>
      <c r="HJC11" s="203"/>
      <c r="HJD11" s="203"/>
      <c r="HJU11" s="203"/>
      <c r="HJV11" s="203"/>
      <c r="HKM11" s="203"/>
      <c r="HKN11" s="203"/>
      <c r="HLE11" s="203"/>
      <c r="HLF11" s="203"/>
      <c r="HLW11" s="203"/>
      <c r="HLX11" s="203"/>
      <c r="HMO11" s="203"/>
      <c r="HMP11" s="203"/>
      <c r="HNG11" s="203"/>
      <c r="HNH11" s="203"/>
      <c r="HNY11" s="203"/>
      <c r="HNZ11" s="203"/>
      <c r="HOQ11" s="203"/>
      <c r="HOR11" s="203"/>
      <c r="HPI11" s="203"/>
      <c r="HPJ11" s="203"/>
      <c r="HQA11" s="203"/>
      <c r="HQB11" s="203"/>
      <c r="HQS11" s="203"/>
      <c r="HQT11" s="203"/>
      <c r="HRK11" s="203"/>
      <c r="HRL11" s="203"/>
      <c r="HSC11" s="203"/>
      <c r="HSD11" s="203"/>
      <c r="HSU11" s="203"/>
      <c r="HSV11" s="203"/>
      <c r="HTM11" s="203"/>
      <c r="HTN11" s="203"/>
      <c r="HUE11" s="203"/>
      <c r="HUF11" s="203"/>
      <c r="HUW11" s="203"/>
      <c r="HUX11" s="203"/>
      <c r="HVO11" s="203"/>
      <c r="HVP11" s="203"/>
      <c r="HWG11" s="203"/>
      <c r="HWH11" s="203"/>
      <c r="HWY11" s="203"/>
      <c r="HWZ11" s="203"/>
      <c r="HXQ11" s="203"/>
      <c r="HXR11" s="203"/>
      <c r="HYI11" s="203"/>
      <c r="HYJ11" s="203"/>
      <c r="HZA11" s="203"/>
      <c r="HZB11" s="203"/>
      <c r="HZS11" s="203"/>
      <c r="HZT11" s="203"/>
      <c r="IAK11" s="203"/>
      <c r="IAL11" s="203"/>
      <c r="IBC11" s="203"/>
      <c r="IBD11" s="203"/>
      <c r="IBU11" s="203"/>
      <c r="IBV11" s="203"/>
      <c r="ICM11" s="203"/>
      <c r="ICN11" s="203"/>
      <c r="IDE11" s="203"/>
      <c r="IDF11" s="203"/>
      <c r="IDW11" s="203"/>
      <c r="IDX11" s="203"/>
      <c r="IEO11" s="203"/>
      <c r="IEP11" s="203"/>
      <c r="IFG11" s="203"/>
      <c r="IFH11" s="203"/>
      <c r="IFY11" s="203"/>
      <c r="IFZ11" s="203"/>
      <c r="IGQ11" s="203"/>
      <c r="IGR11" s="203"/>
      <c r="IHI11" s="203"/>
      <c r="IHJ11" s="203"/>
      <c r="IIA11" s="203"/>
      <c r="IIB11" s="203"/>
      <c r="IIS11" s="203"/>
      <c r="IIT11" s="203"/>
      <c r="IJK11" s="203"/>
      <c r="IJL11" s="203"/>
      <c r="IKC11" s="203"/>
      <c r="IKD11" s="203"/>
      <c r="IKU11" s="203"/>
      <c r="IKV11" s="203"/>
      <c r="ILM11" s="203"/>
      <c r="ILN11" s="203"/>
      <c r="IME11" s="203"/>
      <c r="IMF11" s="203"/>
      <c r="IMW11" s="203"/>
      <c r="IMX11" s="203"/>
      <c r="INO11" s="203"/>
      <c r="INP11" s="203"/>
      <c r="IOG11" s="203"/>
      <c r="IOH11" s="203"/>
      <c r="IOY11" s="203"/>
      <c r="IOZ11" s="203"/>
      <c r="IPQ11" s="203"/>
      <c r="IPR11" s="203"/>
      <c r="IQI11" s="203"/>
      <c r="IQJ11" s="203"/>
      <c r="IRA11" s="203"/>
      <c r="IRB11" s="203"/>
      <c r="IRS11" s="203"/>
      <c r="IRT11" s="203"/>
      <c r="ISK11" s="203"/>
      <c r="ISL11" s="203"/>
      <c r="ITC11" s="203"/>
      <c r="ITD11" s="203"/>
      <c r="ITU11" s="203"/>
      <c r="ITV11" s="203"/>
      <c r="IUM11" s="203"/>
      <c r="IUN11" s="203"/>
      <c r="IVE11" s="203"/>
      <c r="IVF11" s="203"/>
      <c r="IVW11" s="203"/>
      <c r="IVX11" s="203"/>
      <c r="IWO11" s="203"/>
      <c r="IWP11" s="203"/>
      <c r="IXG11" s="203"/>
      <c r="IXH11" s="203"/>
      <c r="IXY11" s="203"/>
      <c r="IXZ11" s="203"/>
      <c r="IYQ11" s="203"/>
      <c r="IYR11" s="203"/>
      <c r="IZI11" s="203"/>
      <c r="IZJ11" s="203"/>
      <c r="JAA11" s="203"/>
      <c r="JAB11" s="203"/>
      <c r="JAS11" s="203"/>
      <c r="JAT11" s="203"/>
      <c r="JBK11" s="203"/>
      <c r="JBL11" s="203"/>
      <c r="JCC11" s="203"/>
      <c r="JCD11" s="203"/>
      <c r="JCU11" s="203"/>
      <c r="JCV11" s="203"/>
      <c r="JDM11" s="203"/>
      <c r="JDN11" s="203"/>
      <c r="JEE11" s="203"/>
      <c r="JEF11" s="203"/>
      <c r="JEW11" s="203"/>
      <c r="JEX11" s="203"/>
      <c r="JFO11" s="203"/>
      <c r="JFP11" s="203"/>
      <c r="JGG11" s="203"/>
      <c r="JGH11" s="203"/>
      <c r="JGY11" s="203"/>
      <c r="JGZ11" s="203"/>
      <c r="JHQ11" s="203"/>
      <c r="JHR11" s="203"/>
      <c r="JII11" s="203"/>
      <c r="JIJ11" s="203"/>
      <c r="JJA11" s="203"/>
      <c r="JJB11" s="203"/>
      <c r="JJS11" s="203"/>
      <c r="JJT11" s="203"/>
      <c r="JKK11" s="203"/>
      <c r="JKL11" s="203"/>
      <c r="JLC11" s="203"/>
      <c r="JLD11" s="203"/>
      <c r="JLU11" s="203"/>
      <c r="JLV11" s="203"/>
      <c r="JMM11" s="203"/>
      <c r="JMN11" s="203"/>
      <c r="JNE11" s="203"/>
      <c r="JNF11" s="203"/>
      <c r="JNW11" s="203"/>
      <c r="JNX11" s="203"/>
      <c r="JOO11" s="203"/>
      <c r="JOP11" s="203"/>
      <c r="JPG11" s="203"/>
      <c r="JPH11" s="203"/>
      <c r="JPY11" s="203"/>
      <c r="JPZ11" s="203"/>
      <c r="JQQ11" s="203"/>
      <c r="JQR11" s="203"/>
      <c r="JRI11" s="203"/>
      <c r="JRJ11" s="203"/>
      <c r="JSA11" s="203"/>
      <c r="JSB11" s="203"/>
      <c r="JSS11" s="203"/>
      <c r="JST11" s="203"/>
      <c r="JTK11" s="203"/>
      <c r="JTL11" s="203"/>
      <c r="JUC11" s="203"/>
      <c r="JUD11" s="203"/>
      <c r="JUU11" s="203"/>
      <c r="JUV11" s="203"/>
      <c r="JVM11" s="203"/>
      <c r="JVN11" s="203"/>
      <c r="JWE11" s="203"/>
      <c r="JWF11" s="203"/>
      <c r="JWW11" s="203"/>
      <c r="JWX11" s="203"/>
      <c r="JXO11" s="203"/>
      <c r="JXP11" s="203"/>
      <c r="JYG11" s="203"/>
      <c r="JYH11" s="203"/>
      <c r="JYY11" s="203"/>
      <c r="JYZ11" s="203"/>
      <c r="JZQ11" s="203"/>
      <c r="JZR11" s="203"/>
      <c r="KAI11" s="203"/>
      <c r="KAJ11" s="203"/>
      <c r="KBA11" s="203"/>
      <c r="KBB11" s="203"/>
      <c r="KBS11" s="203"/>
      <c r="KBT11" s="203"/>
      <c r="KCK11" s="203"/>
      <c r="KCL11" s="203"/>
      <c r="KDC11" s="203"/>
      <c r="KDD11" s="203"/>
      <c r="KDU11" s="203"/>
      <c r="KDV11" s="203"/>
      <c r="KEM11" s="203"/>
      <c r="KEN11" s="203"/>
      <c r="KFE11" s="203"/>
      <c r="KFF11" s="203"/>
      <c r="KFW11" s="203"/>
      <c r="KFX11" s="203"/>
      <c r="KGO11" s="203"/>
      <c r="KGP11" s="203"/>
      <c r="KHG11" s="203"/>
      <c r="KHH11" s="203"/>
      <c r="KHY11" s="203"/>
      <c r="KHZ11" s="203"/>
      <c r="KIQ11" s="203"/>
      <c r="KIR11" s="203"/>
      <c r="KJI11" s="203"/>
      <c r="KJJ11" s="203"/>
      <c r="KKA11" s="203"/>
      <c r="KKB11" s="203"/>
      <c r="KKS11" s="203"/>
      <c r="KKT11" s="203"/>
      <c r="KLK11" s="203"/>
      <c r="KLL11" s="203"/>
      <c r="KMC11" s="203"/>
      <c r="KMD11" s="203"/>
      <c r="KMU11" s="203"/>
      <c r="KMV11" s="203"/>
      <c r="KNM11" s="203"/>
      <c r="KNN11" s="203"/>
      <c r="KOE11" s="203"/>
      <c r="KOF11" s="203"/>
      <c r="KOW11" s="203"/>
      <c r="KOX11" s="203"/>
      <c r="KPO11" s="203"/>
      <c r="KPP11" s="203"/>
      <c r="KQG11" s="203"/>
      <c r="KQH11" s="203"/>
      <c r="KQY11" s="203"/>
      <c r="KQZ11" s="203"/>
      <c r="KRQ11" s="203"/>
      <c r="KRR11" s="203"/>
      <c r="KSI11" s="203"/>
      <c r="KSJ11" s="203"/>
      <c r="KTA11" s="203"/>
      <c r="KTB11" s="203"/>
      <c r="KTS11" s="203"/>
      <c r="KTT11" s="203"/>
      <c r="KUK11" s="203"/>
      <c r="KUL11" s="203"/>
      <c r="KVC11" s="203"/>
      <c r="KVD11" s="203"/>
      <c r="KVU11" s="203"/>
      <c r="KVV11" s="203"/>
      <c r="KWM11" s="203"/>
      <c r="KWN11" s="203"/>
      <c r="KXE11" s="203"/>
      <c r="KXF11" s="203"/>
      <c r="KXW11" s="203"/>
      <c r="KXX11" s="203"/>
      <c r="KYO11" s="203"/>
      <c r="KYP11" s="203"/>
      <c r="KZG11" s="203"/>
      <c r="KZH11" s="203"/>
      <c r="KZY11" s="203"/>
      <c r="KZZ11" s="203"/>
      <c r="LAQ11" s="203"/>
      <c r="LAR11" s="203"/>
      <c r="LBI11" s="203"/>
      <c r="LBJ11" s="203"/>
      <c r="LCA11" s="203"/>
      <c r="LCB11" s="203"/>
      <c r="LCS11" s="203"/>
      <c r="LCT11" s="203"/>
      <c r="LDK11" s="203"/>
      <c r="LDL11" s="203"/>
      <c r="LEC11" s="203"/>
      <c r="LED11" s="203"/>
      <c r="LEU11" s="203"/>
      <c r="LEV11" s="203"/>
      <c r="LFM11" s="203"/>
      <c r="LFN11" s="203"/>
      <c r="LGE11" s="203"/>
      <c r="LGF11" s="203"/>
      <c r="LGW11" s="203"/>
      <c r="LGX11" s="203"/>
      <c r="LHO11" s="203"/>
      <c r="LHP11" s="203"/>
      <c r="LIG11" s="203"/>
      <c r="LIH11" s="203"/>
      <c r="LIY11" s="203"/>
      <c r="LIZ11" s="203"/>
      <c r="LJQ11" s="203"/>
      <c r="LJR11" s="203"/>
      <c r="LKI11" s="203"/>
      <c r="LKJ11" s="203"/>
      <c r="LLA11" s="203"/>
      <c r="LLB11" s="203"/>
      <c r="LLS11" s="203"/>
      <c r="LLT11" s="203"/>
      <c r="LMK11" s="203"/>
      <c r="LML11" s="203"/>
      <c r="LNC11" s="203"/>
      <c r="LND11" s="203"/>
      <c r="LNU11" s="203"/>
      <c r="LNV11" s="203"/>
      <c r="LOM11" s="203"/>
      <c r="LON11" s="203"/>
      <c r="LPE11" s="203"/>
      <c r="LPF11" s="203"/>
      <c r="LPW11" s="203"/>
      <c r="LPX11" s="203"/>
      <c r="LQO11" s="203"/>
      <c r="LQP11" s="203"/>
      <c r="LRG11" s="203"/>
      <c r="LRH11" s="203"/>
      <c r="LRY11" s="203"/>
      <c r="LRZ11" s="203"/>
      <c r="LSQ11" s="203"/>
      <c r="LSR11" s="203"/>
      <c r="LTI11" s="203"/>
      <c r="LTJ11" s="203"/>
      <c r="LUA11" s="203"/>
      <c r="LUB11" s="203"/>
      <c r="LUS11" s="203"/>
      <c r="LUT11" s="203"/>
      <c r="LVK11" s="203"/>
      <c r="LVL11" s="203"/>
      <c r="LWC11" s="203"/>
      <c r="LWD11" s="203"/>
      <c r="LWU11" s="203"/>
      <c r="LWV11" s="203"/>
      <c r="LXM11" s="203"/>
      <c r="LXN11" s="203"/>
      <c r="LYE11" s="203"/>
      <c r="LYF11" s="203"/>
      <c r="LYW11" s="203"/>
      <c r="LYX11" s="203"/>
      <c r="LZO11" s="203"/>
      <c r="LZP11" s="203"/>
      <c r="MAG11" s="203"/>
      <c r="MAH11" s="203"/>
      <c r="MAY11" s="203"/>
      <c r="MAZ11" s="203"/>
      <c r="MBQ11" s="203"/>
      <c r="MBR11" s="203"/>
      <c r="MCI11" s="203"/>
      <c r="MCJ11" s="203"/>
      <c r="MDA11" s="203"/>
      <c r="MDB11" s="203"/>
      <c r="MDS11" s="203"/>
      <c r="MDT11" s="203"/>
      <c r="MEK11" s="203"/>
      <c r="MEL11" s="203"/>
      <c r="MFC11" s="203"/>
      <c r="MFD11" s="203"/>
      <c r="MFU11" s="203"/>
      <c r="MFV11" s="203"/>
      <c r="MGM11" s="203"/>
      <c r="MGN11" s="203"/>
      <c r="MHE11" s="203"/>
      <c r="MHF11" s="203"/>
      <c r="MHW11" s="203"/>
      <c r="MHX11" s="203"/>
      <c r="MIO11" s="203"/>
      <c r="MIP11" s="203"/>
      <c r="MJG11" s="203"/>
      <c r="MJH11" s="203"/>
      <c r="MJY11" s="203"/>
      <c r="MJZ11" s="203"/>
      <c r="MKQ11" s="203"/>
      <c r="MKR11" s="203"/>
      <c r="MLI11" s="203"/>
      <c r="MLJ11" s="203"/>
      <c r="MMA11" s="203"/>
      <c r="MMB11" s="203"/>
      <c r="MMS11" s="203"/>
      <c r="MMT11" s="203"/>
      <c r="MNK11" s="203"/>
      <c r="MNL11" s="203"/>
      <c r="MOC11" s="203"/>
      <c r="MOD11" s="203"/>
      <c r="MOU11" s="203"/>
      <c r="MOV11" s="203"/>
      <c r="MPM11" s="203"/>
      <c r="MPN11" s="203"/>
      <c r="MQE11" s="203"/>
      <c r="MQF11" s="203"/>
      <c r="MQW11" s="203"/>
      <c r="MQX11" s="203"/>
      <c r="MRO11" s="203"/>
      <c r="MRP11" s="203"/>
      <c r="MSG11" s="203"/>
      <c r="MSH11" s="203"/>
      <c r="MSY11" s="203"/>
      <c r="MSZ11" s="203"/>
      <c r="MTQ11" s="203"/>
      <c r="MTR11" s="203"/>
      <c r="MUI11" s="203"/>
      <c r="MUJ11" s="203"/>
      <c r="MVA11" s="203"/>
      <c r="MVB11" s="203"/>
      <c r="MVS11" s="203"/>
      <c r="MVT11" s="203"/>
      <c r="MWK11" s="203"/>
      <c r="MWL11" s="203"/>
      <c r="MXC11" s="203"/>
      <c r="MXD11" s="203"/>
      <c r="MXU11" s="203"/>
      <c r="MXV11" s="203"/>
      <c r="MYM11" s="203"/>
      <c r="MYN11" s="203"/>
      <c r="MZE11" s="203"/>
      <c r="MZF11" s="203"/>
      <c r="MZW11" s="203"/>
      <c r="MZX11" s="203"/>
      <c r="NAO11" s="203"/>
      <c r="NAP11" s="203"/>
      <c r="NBG11" s="203"/>
      <c r="NBH11" s="203"/>
      <c r="NBY11" s="203"/>
      <c r="NBZ11" s="203"/>
      <c r="NCQ11" s="203"/>
      <c r="NCR11" s="203"/>
      <c r="NDI11" s="203"/>
      <c r="NDJ11" s="203"/>
      <c r="NEA11" s="203"/>
      <c r="NEB11" s="203"/>
      <c r="NES11" s="203"/>
      <c r="NET11" s="203"/>
      <c r="NFK11" s="203"/>
      <c r="NFL11" s="203"/>
      <c r="NGC11" s="203"/>
      <c r="NGD11" s="203"/>
      <c r="NGU11" s="203"/>
      <c r="NGV11" s="203"/>
      <c r="NHM11" s="203"/>
      <c r="NHN11" s="203"/>
      <c r="NIE11" s="203"/>
      <c r="NIF11" s="203"/>
      <c r="NIW11" s="203"/>
      <c r="NIX11" s="203"/>
      <c r="NJO11" s="203"/>
      <c r="NJP11" s="203"/>
      <c r="NKG11" s="203"/>
      <c r="NKH11" s="203"/>
      <c r="NKY11" s="203"/>
      <c r="NKZ11" s="203"/>
      <c r="NLQ11" s="203"/>
      <c r="NLR11" s="203"/>
      <c r="NMI11" s="203"/>
      <c r="NMJ11" s="203"/>
      <c r="NNA11" s="203"/>
      <c r="NNB11" s="203"/>
      <c r="NNS11" s="203"/>
      <c r="NNT11" s="203"/>
      <c r="NOK11" s="203"/>
      <c r="NOL11" s="203"/>
      <c r="NPC11" s="203"/>
      <c r="NPD11" s="203"/>
      <c r="NPU11" s="203"/>
      <c r="NPV11" s="203"/>
      <c r="NQM11" s="203"/>
      <c r="NQN11" s="203"/>
      <c r="NRE11" s="203"/>
      <c r="NRF11" s="203"/>
      <c r="NRW11" s="203"/>
      <c r="NRX11" s="203"/>
      <c r="NSO11" s="203"/>
      <c r="NSP11" s="203"/>
      <c r="NTG11" s="203"/>
      <c r="NTH11" s="203"/>
      <c r="NTY11" s="203"/>
      <c r="NTZ11" s="203"/>
      <c r="NUQ11" s="203"/>
      <c r="NUR11" s="203"/>
      <c r="NVI11" s="203"/>
      <c r="NVJ11" s="203"/>
      <c r="NWA11" s="203"/>
      <c r="NWB11" s="203"/>
      <c r="NWS11" s="203"/>
      <c r="NWT11" s="203"/>
      <c r="NXK11" s="203"/>
      <c r="NXL11" s="203"/>
      <c r="NYC11" s="203"/>
      <c r="NYD11" s="203"/>
      <c r="NYU11" s="203"/>
      <c r="NYV11" s="203"/>
      <c r="NZM11" s="203"/>
      <c r="NZN11" s="203"/>
      <c r="OAE11" s="203"/>
      <c r="OAF11" s="203"/>
      <c r="OAW11" s="203"/>
      <c r="OAX11" s="203"/>
      <c r="OBO11" s="203"/>
      <c r="OBP11" s="203"/>
      <c r="OCG11" s="203"/>
      <c r="OCH11" s="203"/>
      <c r="OCY11" s="203"/>
      <c r="OCZ11" s="203"/>
      <c r="ODQ11" s="203"/>
      <c r="ODR11" s="203"/>
      <c r="OEI11" s="203"/>
      <c r="OEJ11" s="203"/>
      <c r="OFA11" s="203"/>
      <c r="OFB11" s="203"/>
      <c r="OFS11" s="203"/>
      <c r="OFT11" s="203"/>
      <c r="OGK11" s="203"/>
      <c r="OGL11" s="203"/>
      <c r="OHC11" s="203"/>
      <c r="OHD11" s="203"/>
      <c r="OHU11" s="203"/>
      <c r="OHV11" s="203"/>
      <c r="OIM11" s="203"/>
      <c r="OIN11" s="203"/>
      <c r="OJE11" s="203"/>
      <c r="OJF11" s="203"/>
      <c r="OJW11" s="203"/>
      <c r="OJX11" s="203"/>
      <c r="OKO11" s="203"/>
      <c r="OKP11" s="203"/>
      <c r="OLG11" s="203"/>
      <c r="OLH11" s="203"/>
      <c r="OLY11" s="203"/>
      <c r="OLZ11" s="203"/>
      <c r="OMQ11" s="203"/>
      <c r="OMR11" s="203"/>
      <c r="ONI11" s="203"/>
      <c r="ONJ11" s="203"/>
      <c r="OOA11" s="203"/>
      <c r="OOB11" s="203"/>
      <c r="OOS11" s="203"/>
      <c r="OOT11" s="203"/>
      <c r="OPK11" s="203"/>
      <c r="OPL11" s="203"/>
      <c r="OQC11" s="203"/>
      <c r="OQD11" s="203"/>
      <c r="OQU11" s="203"/>
      <c r="OQV11" s="203"/>
      <c r="ORM11" s="203"/>
      <c r="ORN11" s="203"/>
      <c r="OSE11" s="203"/>
      <c r="OSF11" s="203"/>
      <c r="OSW11" s="203"/>
      <c r="OSX11" s="203"/>
      <c r="OTO11" s="203"/>
      <c r="OTP11" s="203"/>
      <c r="OUG11" s="203"/>
      <c r="OUH11" s="203"/>
      <c r="OUY11" s="203"/>
      <c r="OUZ11" s="203"/>
      <c r="OVQ11" s="203"/>
      <c r="OVR11" s="203"/>
      <c r="OWI11" s="203"/>
      <c r="OWJ11" s="203"/>
      <c r="OXA11" s="203"/>
      <c r="OXB11" s="203"/>
      <c r="OXS11" s="203"/>
      <c r="OXT11" s="203"/>
      <c r="OYK11" s="203"/>
      <c r="OYL11" s="203"/>
      <c r="OZC11" s="203"/>
      <c r="OZD11" s="203"/>
      <c r="OZU11" s="203"/>
      <c r="OZV11" s="203"/>
      <c r="PAM11" s="203"/>
      <c r="PAN11" s="203"/>
      <c r="PBE11" s="203"/>
      <c r="PBF11" s="203"/>
      <c r="PBW11" s="203"/>
      <c r="PBX11" s="203"/>
      <c r="PCO11" s="203"/>
      <c r="PCP11" s="203"/>
      <c r="PDG11" s="203"/>
      <c r="PDH11" s="203"/>
      <c r="PDY11" s="203"/>
      <c r="PDZ11" s="203"/>
      <c r="PEQ11" s="203"/>
      <c r="PER11" s="203"/>
      <c r="PFI11" s="203"/>
      <c r="PFJ11" s="203"/>
      <c r="PGA11" s="203"/>
      <c r="PGB11" s="203"/>
      <c r="PGS11" s="203"/>
      <c r="PGT11" s="203"/>
      <c r="PHK11" s="203"/>
      <c r="PHL11" s="203"/>
      <c r="PIC11" s="203"/>
      <c r="PID11" s="203"/>
      <c r="PIU11" s="203"/>
      <c r="PIV11" s="203"/>
      <c r="PJM11" s="203"/>
      <c r="PJN11" s="203"/>
      <c r="PKE11" s="203"/>
      <c r="PKF11" s="203"/>
      <c r="PKW11" s="203"/>
      <c r="PKX11" s="203"/>
      <c r="PLO11" s="203"/>
      <c r="PLP11" s="203"/>
      <c r="PMG11" s="203"/>
      <c r="PMH11" s="203"/>
      <c r="PMY11" s="203"/>
      <c r="PMZ11" s="203"/>
      <c r="PNQ11" s="203"/>
      <c r="PNR11" s="203"/>
      <c r="POI11" s="203"/>
      <c r="POJ11" s="203"/>
      <c r="PPA11" s="203"/>
      <c r="PPB11" s="203"/>
      <c r="PPS11" s="203"/>
      <c r="PPT11" s="203"/>
      <c r="PQK11" s="203"/>
      <c r="PQL11" s="203"/>
      <c r="PRC11" s="203"/>
      <c r="PRD11" s="203"/>
      <c r="PRU11" s="203"/>
      <c r="PRV11" s="203"/>
      <c r="PSM11" s="203"/>
      <c r="PSN11" s="203"/>
      <c r="PTE11" s="203"/>
      <c r="PTF11" s="203"/>
      <c r="PTW11" s="203"/>
      <c r="PTX11" s="203"/>
      <c r="PUO11" s="203"/>
      <c r="PUP11" s="203"/>
      <c r="PVG11" s="203"/>
      <c r="PVH11" s="203"/>
      <c r="PVY11" s="203"/>
      <c r="PVZ11" s="203"/>
      <c r="PWQ11" s="203"/>
      <c r="PWR11" s="203"/>
      <c r="PXI11" s="203"/>
      <c r="PXJ11" s="203"/>
      <c r="PYA11" s="203"/>
      <c r="PYB11" s="203"/>
      <c r="PYS11" s="203"/>
      <c r="PYT11" s="203"/>
      <c r="PZK11" s="203"/>
      <c r="PZL11" s="203"/>
      <c r="QAC11" s="203"/>
      <c r="QAD11" s="203"/>
      <c r="QAU11" s="203"/>
      <c r="QAV11" s="203"/>
      <c r="QBM11" s="203"/>
      <c r="QBN11" s="203"/>
      <c r="QCE11" s="203"/>
      <c r="QCF11" s="203"/>
      <c r="QCW11" s="203"/>
      <c r="QCX11" s="203"/>
      <c r="QDO11" s="203"/>
      <c r="QDP11" s="203"/>
      <c r="QEG11" s="203"/>
      <c r="QEH11" s="203"/>
      <c r="QEY11" s="203"/>
      <c r="QEZ11" s="203"/>
      <c r="QFQ11" s="203"/>
      <c r="QFR11" s="203"/>
      <c r="QGI11" s="203"/>
      <c r="QGJ11" s="203"/>
      <c r="QHA11" s="203"/>
      <c r="QHB11" s="203"/>
      <c r="QHS11" s="203"/>
      <c r="QHT11" s="203"/>
      <c r="QIK11" s="203"/>
      <c r="QIL11" s="203"/>
      <c r="QJC11" s="203"/>
      <c r="QJD11" s="203"/>
      <c r="QJU11" s="203"/>
      <c r="QJV11" s="203"/>
      <c r="QKM11" s="203"/>
      <c r="QKN11" s="203"/>
      <c r="QLE11" s="203"/>
      <c r="QLF11" s="203"/>
      <c r="QLW11" s="203"/>
      <c r="QLX11" s="203"/>
      <c r="QMO11" s="203"/>
      <c r="QMP11" s="203"/>
      <c r="QNG11" s="203"/>
      <c r="QNH11" s="203"/>
      <c r="QNY11" s="203"/>
      <c r="QNZ11" s="203"/>
      <c r="QOQ11" s="203"/>
      <c r="QOR11" s="203"/>
      <c r="QPI11" s="203"/>
      <c r="QPJ11" s="203"/>
      <c r="QQA11" s="203"/>
      <c r="QQB11" s="203"/>
      <c r="QQS11" s="203"/>
      <c r="QQT11" s="203"/>
      <c r="QRK11" s="203"/>
      <c r="QRL11" s="203"/>
      <c r="QSC11" s="203"/>
      <c r="QSD11" s="203"/>
      <c r="QSU11" s="203"/>
      <c r="QSV11" s="203"/>
      <c r="QTM11" s="203"/>
      <c r="QTN11" s="203"/>
      <c r="QUE11" s="203"/>
      <c r="QUF11" s="203"/>
      <c r="QUW11" s="203"/>
      <c r="QUX11" s="203"/>
      <c r="QVO11" s="203"/>
      <c r="QVP11" s="203"/>
      <c r="QWG11" s="203"/>
      <c r="QWH11" s="203"/>
      <c r="QWY11" s="203"/>
      <c r="QWZ11" s="203"/>
      <c r="QXQ11" s="203"/>
      <c r="QXR11" s="203"/>
      <c r="QYI11" s="203"/>
      <c r="QYJ11" s="203"/>
      <c r="QZA11" s="203"/>
      <c r="QZB11" s="203"/>
      <c r="QZS11" s="203"/>
      <c r="QZT11" s="203"/>
      <c r="RAK11" s="203"/>
      <c r="RAL11" s="203"/>
      <c r="RBC11" s="203"/>
      <c r="RBD11" s="203"/>
      <c r="RBU11" s="203"/>
      <c r="RBV11" s="203"/>
      <c r="RCM11" s="203"/>
      <c r="RCN11" s="203"/>
      <c r="RDE11" s="203"/>
      <c r="RDF11" s="203"/>
      <c r="RDW11" s="203"/>
      <c r="RDX11" s="203"/>
      <c r="REO11" s="203"/>
      <c r="REP11" s="203"/>
      <c r="RFG11" s="203"/>
      <c r="RFH11" s="203"/>
      <c r="RFY11" s="203"/>
      <c r="RFZ11" s="203"/>
      <c r="RGQ11" s="203"/>
      <c r="RGR11" s="203"/>
      <c r="RHI11" s="203"/>
      <c r="RHJ11" s="203"/>
      <c r="RIA11" s="203"/>
      <c r="RIB11" s="203"/>
      <c r="RIS11" s="203"/>
      <c r="RIT11" s="203"/>
      <c r="RJK11" s="203"/>
      <c r="RJL11" s="203"/>
      <c r="RKC11" s="203"/>
      <c r="RKD11" s="203"/>
      <c r="RKU11" s="203"/>
      <c r="RKV11" s="203"/>
      <c r="RLM11" s="203"/>
      <c r="RLN11" s="203"/>
      <c r="RME11" s="203"/>
      <c r="RMF11" s="203"/>
      <c r="RMW11" s="203"/>
      <c r="RMX11" s="203"/>
      <c r="RNO11" s="203"/>
      <c r="RNP11" s="203"/>
      <c r="ROG11" s="203"/>
      <c r="ROH11" s="203"/>
      <c r="ROY11" s="203"/>
      <c r="ROZ11" s="203"/>
      <c r="RPQ11" s="203"/>
      <c r="RPR11" s="203"/>
      <c r="RQI11" s="203"/>
      <c r="RQJ11" s="203"/>
      <c r="RRA11" s="203"/>
      <c r="RRB11" s="203"/>
      <c r="RRS11" s="203"/>
      <c r="RRT11" s="203"/>
      <c r="RSK11" s="203"/>
      <c r="RSL11" s="203"/>
      <c r="RTC11" s="203"/>
      <c r="RTD11" s="203"/>
      <c r="RTU11" s="203"/>
      <c r="RTV11" s="203"/>
      <c r="RUM11" s="203"/>
      <c r="RUN11" s="203"/>
      <c r="RVE11" s="203"/>
      <c r="RVF11" s="203"/>
      <c r="RVW11" s="203"/>
      <c r="RVX11" s="203"/>
      <c r="RWO11" s="203"/>
      <c r="RWP11" s="203"/>
      <c r="RXG11" s="203"/>
      <c r="RXH11" s="203"/>
      <c r="RXY11" s="203"/>
      <c r="RXZ11" s="203"/>
      <c r="RYQ11" s="203"/>
      <c r="RYR11" s="203"/>
      <c r="RZI11" s="203"/>
      <c r="RZJ11" s="203"/>
      <c r="SAA11" s="203"/>
      <c r="SAB11" s="203"/>
      <c r="SAS11" s="203"/>
      <c r="SAT11" s="203"/>
      <c r="SBK11" s="203"/>
      <c r="SBL11" s="203"/>
      <c r="SCC11" s="203"/>
      <c r="SCD11" s="203"/>
      <c r="SCU11" s="203"/>
      <c r="SCV11" s="203"/>
      <c r="SDM11" s="203"/>
      <c r="SDN11" s="203"/>
      <c r="SEE11" s="203"/>
      <c r="SEF11" s="203"/>
      <c r="SEW11" s="203"/>
      <c r="SEX11" s="203"/>
      <c r="SFO11" s="203"/>
      <c r="SFP11" s="203"/>
      <c r="SGG11" s="203"/>
      <c r="SGH11" s="203"/>
      <c r="SGY11" s="203"/>
      <c r="SGZ11" s="203"/>
      <c r="SHQ11" s="203"/>
      <c r="SHR11" s="203"/>
      <c r="SII11" s="203"/>
      <c r="SIJ11" s="203"/>
      <c r="SJA11" s="203"/>
      <c r="SJB11" s="203"/>
      <c r="SJS11" s="203"/>
      <c r="SJT11" s="203"/>
      <c r="SKK11" s="203"/>
      <c r="SKL11" s="203"/>
      <c r="SLC11" s="203"/>
      <c r="SLD11" s="203"/>
      <c r="SLU11" s="203"/>
      <c r="SLV11" s="203"/>
      <c r="SMM11" s="203"/>
      <c r="SMN11" s="203"/>
      <c r="SNE11" s="203"/>
      <c r="SNF11" s="203"/>
      <c r="SNW11" s="203"/>
      <c r="SNX11" s="203"/>
      <c r="SOO11" s="203"/>
      <c r="SOP11" s="203"/>
      <c r="SPG11" s="203"/>
      <c r="SPH11" s="203"/>
      <c r="SPY11" s="203"/>
      <c r="SPZ11" s="203"/>
      <c r="SQQ11" s="203"/>
      <c r="SQR11" s="203"/>
      <c r="SRI11" s="203"/>
      <c r="SRJ11" s="203"/>
      <c r="SSA11" s="203"/>
      <c r="SSB11" s="203"/>
      <c r="SSS11" s="203"/>
      <c r="SST11" s="203"/>
      <c r="STK11" s="203"/>
      <c r="STL11" s="203"/>
      <c r="SUC11" s="203"/>
      <c r="SUD11" s="203"/>
      <c r="SUU11" s="203"/>
      <c r="SUV11" s="203"/>
      <c r="SVM11" s="203"/>
      <c r="SVN11" s="203"/>
      <c r="SWE11" s="203"/>
      <c r="SWF11" s="203"/>
      <c r="SWW11" s="203"/>
      <c r="SWX11" s="203"/>
      <c r="SXO11" s="203"/>
      <c r="SXP11" s="203"/>
      <c r="SYG11" s="203"/>
      <c r="SYH11" s="203"/>
      <c r="SYY11" s="203"/>
      <c r="SYZ11" s="203"/>
      <c r="SZQ11" s="203"/>
      <c r="SZR11" s="203"/>
      <c r="TAI11" s="203"/>
      <c r="TAJ11" s="203"/>
      <c r="TBA11" s="203"/>
      <c r="TBB11" s="203"/>
      <c r="TBS11" s="203"/>
      <c r="TBT11" s="203"/>
      <c r="TCK11" s="203"/>
      <c r="TCL11" s="203"/>
      <c r="TDC11" s="203"/>
      <c r="TDD11" s="203"/>
      <c r="TDU11" s="203"/>
      <c r="TDV11" s="203"/>
      <c r="TEM11" s="203"/>
      <c r="TEN11" s="203"/>
      <c r="TFE11" s="203"/>
      <c r="TFF11" s="203"/>
      <c r="TFW11" s="203"/>
      <c r="TFX11" s="203"/>
      <c r="TGO11" s="203"/>
      <c r="TGP11" s="203"/>
      <c r="THG11" s="203"/>
      <c r="THH11" s="203"/>
      <c r="THY11" s="203"/>
      <c r="THZ11" s="203"/>
      <c r="TIQ11" s="203"/>
      <c r="TIR11" s="203"/>
      <c r="TJI11" s="203"/>
      <c r="TJJ11" s="203"/>
      <c r="TKA11" s="203"/>
      <c r="TKB11" s="203"/>
      <c r="TKS11" s="203"/>
      <c r="TKT11" s="203"/>
      <c r="TLK11" s="203"/>
      <c r="TLL11" s="203"/>
      <c r="TMC11" s="203"/>
      <c r="TMD11" s="203"/>
      <c r="TMU11" s="203"/>
      <c r="TMV11" s="203"/>
      <c r="TNM11" s="203"/>
      <c r="TNN11" s="203"/>
      <c r="TOE11" s="203"/>
      <c r="TOF11" s="203"/>
      <c r="TOW11" s="203"/>
      <c r="TOX11" s="203"/>
      <c r="TPO11" s="203"/>
      <c r="TPP11" s="203"/>
      <c r="TQG11" s="203"/>
      <c r="TQH11" s="203"/>
      <c r="TQY11" s="203"/>
      <c r="TQZ11" s="203"/>
      <c r="TRQ11" s="203"/>
      <c r="TRR11" s="203"/>
      <c r="TSI11" s="203"/>
      <c r="TSJ11" s="203"/>
      <c r="TTA11" s="203"/>
      <c r="TTB11" s="203"/>
      <c r="TTS11" s="203"/>
      <c r="TTT11" s="203"/>
      <c r="TUK11" s="203"/>
      <c r="TUL11" s="203"/>
      <c r="TVC11" s="203"/>
      <c r="TVD11" s="203"/>
      <c r="TVU11" s="203"/>
      <c r="TVV11" s="203"/>
      <c r="TWM11" s="203"/>
      <c r="TWN11" s="203"/>
      <c r="TXE11" s="203"/>
      <c r="TXF11" s="203"/>
      <c r="TXW11" s="203"/>
      <c r="TXX11" s="203"/>
      <c r="TYO11" s="203"/>
      <c r="TYP11" s="203"/>
      <c r="TZG11" s="203"/>
      <c r="TZH11" s="203"/>
      <c r="TZY11" s="203"/>
      <c r="TZZ11" s="203"/>
      <c r="UAQ11" s="203"/>
      <c r="UAR11" s="203"/>
      <c r="UBI11" s="203"/>
      <c r="UBJ11" s="203"/>
      <c r="UCA11" s="203"/>
      <c r="UCB11" s="203"/>
      <c r="UCS11" s="203"/>
      <c r="UCT11" s="203"/>
      <c r="UDK11" s="203"/>
      <c r="UDL11" s="203"/>
      <c r="UEC11" s="203"/>
      <c r="UED11" s="203"/>
      <c r="UEU11" s="203"/>
      <c r="UEV11" s="203"/>
      <c r="UFM11" s="203"/>
      <c r="UFN11" s="203"/>
      <c r="UGE11" s="203"/>
      <c r="UGF11" s="203"/>
      <c r="UGW11" s="203"/>
      <c r="UGX11" s="203"/>
      <c r="UHO11" s="203"/>
      <c r="UHP11" s="203"/>
      <c r="UIG11" s="203"/>
      <c r="UIH11" s="203"/>
      <c r="UIY11" s="203"/>
      <c r="UIZ11" s="203"/>
      <c r="UJQ11" s="203"/>
      <c r="UJR11" s="203"/>
      <c r="UKI11" s="203"/>
      <c r="UKJ11" s="203"/>
      <c r="ULA11" s="203"/>
      <c r="ULB11" s="203"/>
      <c r="ULS11" s="203"/>
      <c r="ULT11" s="203"/>
      <c r="UMK11" s="203"/>
      <c r="UML11" s="203"/>
      <c r="UNC11" s="203"/>
      <c r="UND11" s="203"/>
      <c r="UNU11" s="203"/>
      <c r="UNV11" s="203"/>
      <c r="UOM11" s="203"/>
      <c r="UON11" s="203"/>
      <c r="UPE11" s="203"/>
      <c r="UPF11" s="203"/>
      <c r="UPW11" s="203"/>
      <c r="UPX11" s="203"/>
      <c r="UQO11" s="203"/>
      <c r="UQP11" s="203"/>
      <c r="URG11" s="203"/>
      <c r="URH11" s="203"/>
      <c r="URY11" s="203"/>
      <c r="URZ11" s="203"/>
      <c r="USQ11" s="203"/>
      <c r="USR11" s="203"/>
      <c r="UTI11" s="203"/>
      <c r="UTJ11" s="203"/>
      <c r="UUA11" s="203"/>
      <c r="UUB11" s="203"/>
      <c r="UUS11" s="203"/>
      <c r="UUT11" s="203"/>
      <c r="UVK11" s="203"/>
      <c r="UVL11" s="203"/>
      <c r="UWC11" s="203"/>
      <c r="UWD11" s="203"/>
      <c r="UWU11" s="203"/>
      <c r="UWV11" s="203"/>
      <c r="UXM11" s="203"/>
      <c r="UXN11" s="203"/>
      <c r="UYE11" s="203"/>
      <c r="UYF11" s="203"/>
      <c r="UYW11" s="203"/>
      <c r="UYX11" s="203"/>
      <c r="UZO11" s="203"/>
      <c r="UZP11" s="203"/>
      <c r="VAG11" s="203"/>
      <c r="VAH11" s="203"/>
      <c r="VAY11" s="203"/>
      <c r="VAZ11" s="203"/>
      <c r="VBQ11" s="203"/>
      <c r="VBR11" s="203"/>
      <c r="VCI11" s="203"/>
      <c r="VCJ11" s="203"/>
      <c r="VDA11" s="203"/>
      <c r="VDB11" s="203"/>
      <c r="VDS11" s="203"/>
      <c r="VDT11" s="203"/>
      <c r="VEK11" s="203"/>
      <c r="VEL11" s="203"/>
      <c r="VFC11" s="203"/>
      <c r="VFD11" s="203"/>
      <c r="VFU11" s="203"/>
      <c r="VFV11" s="203"/>
      <c r="VGM11" s="203"/>
      <c r="VGN11" s="203"/>
      <c r="VHE11" s="203"/>
      <c r="VHF11" s="203"/>
      <c r="VHW11" s="203"/>
      <c r="VHX11" s="203"/>
      <c r="VIO11" s="203"/>
      <c r="VIP11" s="203"/>
      <c r="VJG11" s="203"/>
      <c r="VJH11" s="203"/>
      <c r="VJY11" s="203"/>
      <c r="VJZ11" s="203"/>
      <c r="VKQ11" s="203"/>
      <c r="VKR11" s="203"/>
      <c r="VLI11" s="203"/>
      <c r="VLJ11" s="203"/>
      <c r="VMA11" s="203"/>
      <c r="VMB11" s="203"/>
      <c r="VMS11" s="203"/>
      <c r="VMT11" s="203"/>
      <c r="VNK11" s="203"/>
      <c r="VNL11" s="203"/>
      <c r="VOC11" s="203"/>
      <c r="VOD11" s="203"/>
      <c r="VOU11" s="203"/>
      <c r="VOV11" s="203"/>
      <c r="VPM11" s="203"/>
      <c r="VPN11" s="203"/>
      <c r="VQE11" s="203"/>
      <c r="VQF11" s="203"/>
      <c r="VQW11" s="203"/>
      <c r="VQX11" s="203"/>
      <c r="VRO11" s="203"/>
      <c r="VRP11" s="203"/>
      <c r="VSG11" s="203"/>
      <c r="VSH11" s="203"/>
      <c r="VSY11" s="203"/>
      <c r="VSZ11" s="203"/>
      <c r="VTQ11" s="203"/>
      <c r="VTR11" s="203"/>
      <c r="VUI11" s="203"/>
      <c r="VUJ11" s="203"/>
      <c r="VVA11" s="203"/>
      <c r="VVB11" s="203"/>
      <c r="VVS11" s="203"/>
      <c r="VVT11" s="203"/>
      <c r="VWK11" s="203"/>
      <c r="VWL11" s="203"/>
      <c r="VXC11" s="203"/>
      <c r="VXD11" s="203"/>
      <c r="VXU11" s="203"/>
      <c r="VXV11" s="203"/>
      <c r="VYM11" s="203"/>
      <c r="VYN11" s="203"/>
      <c r="VZE11" s="203"/>
      <c r="VZF11" s="203"/>
      <c r="VZW11" s="203"/>
      <c r="VZX11" s="203"/>
      <c r="WAO11" s="203"/>
      <c r="WAP11" s="203"/>
      <c r="WBG11" s="203"/>
      <c r="WBH11" s="203"/>
      <c r="WBY11" s="203"/>
      <c r="WBZ11" s="203"/>
      <c r="WCQ11" s="203"/>
      <c r="WCR11" s="203"/>
      <c r="WDI11" s="203"/>
      <c r="WDJ11" s="203"/>
      <c r="WEA11" s="203"/>
      <c r="WEB11" s="203"/>
      <c r="WES11" s="203"/>
      <c r="WET11" s="203"/>
      <c r="WFK11" s="203"/>
      <c r="WFL11" s="203"/>
      <c r="WGC11" s="203"/>
      <c r="WGD11" s="203"/>
      <c r="WGU11" s="203"/>
      <c r="WGV11" s="203"/>
      <c r="WHM11" s="203"/>
      <c r="WHN11" s="203"/>
      <c r="WIE11" s="203"/>
      <c r="WIF11" s="203"/>
      <c r="WIW11" s="203"/>
      <c r="WIX11" s="203"/>
      <c r="WJO11" s="203"/>
      <c r="WJP11" s="203"/>
      <c r="WKG11" s="203"/>
      <c r="WKH11" s="203"/>
      <c r="WKY11" s="203"/>
      <c r="WKZ11" s="203"/>
      <c r="WLQ11" s="203"/>
      <c r="WLR11" s="203"/>
      <c r="WMI11" s="203"/>
      <c r="WMJ11" s="203"/>
      <c r="WNA11" s="203"/>
      <c r="WNB11" s="203"/>
      <c r="WNS11" s="203"/>
      <c r="WNT11" s="203"/>
      <c r="WOK11" s="203"/>
      <c r="WOL11" s="203"/>
      <c r="WPC11" s="203"/>
      <c r="WPD11" s="203"/>
      <c r="WPU11" s="203"/>
      <c r="WPV11" s="203"/>
      <c r="WQM11" s="203"/>
      <c r="WQN11" s="203"/>
      <c r="WRE11" s="203"/>
      <c r="WRF11" s="203"/>
      <c r="WRW11" s="203"/>
      <c r="WRX11" s="203"/>
      <c r="WSO11" s="203"/>
      <c r="WSP11" s="203"/>
      <c r="WTG11" s="203"/>
      <c r="WTH11" s="203"/>
      <c r="WTY11" s="203"/>
      <c r="WTZ11" s="203"/>
      <c r="WUQ11" s="203"/>
      <c r="WUR11" s="203"/>
      <c r="WVI11" s="203"/>
      <c r="WVJ11" s="203"/>
      <c r="WWA11" s="203"/>
      <c r="WWB11" s="203"/>
      <c r="WWS11" s="203"/>
      <c r="WWT11" s="203"/>
      <c r="WXK11" s="203"/>
      <c r="WXL11" s="203"/>
      <c r="WYC11" s="203"/>
      <c r="WYD11" s="203"/>
      <c r="WYU11" s="203"/>
      <c r="WYV11" s="203"/>
      <c r="WZM11" s="203"/>
      <c r="WZN11" s="203"/>
      <c r="XAE11" s="203"/>
      <c r="XAF11" s="203"/>
      <c r="XAW11" s="203"/>
      <c r="XAX11" s="203"/>
      <c r="XBO11" s="203"/>
      <c r="XBP11" s="203"/>
      <c r="XCG11" s="203"/>
      <c r="XCH11" s="203"/>
      <c r="XCY11" s="203"/>
      <c r="XCZ11" s="203"/>
      <c r="XDQ11" s="203"/>
      <c r="XDR11" s="203"/>
      <c r="XEI11" s="203"/>
      <c r="XEJ11" s="203"/>
      <c r="XFA11" s="203"/>
      <c r="XFB11" s="203"/>
    </row>
    <row r="12" spans="1:1010 1027:2036 2053:3062 3079:4088 4105:5114 5131:6140 6157:7166 7183:8192 8209:9200 9217:10226 10243:11252 11269:12278 12295:13304 13321:14330 14347:15356 15373:16382" s="204" customFormat="1" x14ac:dyDescent="0.35">
      <c r="A12" s="183" t="s">
        <v>352</v>
      </c>
      <c r="B12" s="293" t="s">
        <v>353</v>
      </c>
      <c r="C12" s="184">
        <v>8.5679999999999996</v>
      </c>
      <c r="D12" s="184">
        <v>-3.1110000000000002</v>
      </c>
      <c r="E12" s="184">
        <v>6.35</v>
      </c>
      <c r="F12" s="184">
        <v>6.8419999999999996</v>
      </c>
      <c r="G12" s="184">
        <v>2.2010000000000001</v>
      </c>
      <c r="H12" s="184">
        <v>3.6179999999999999</v>
      </c>
      <c r="I12" s="184">
        <v>3.48</v>
      </c>
      <c r="J12" s="184">
        <v>11.734</v>
      </c>
      <c r="K12" s="184">
        <v>9.2919999999999998</v>
      </c>
      <c r="L12" s="184">
        <v>9.5150000000000006</v>
      </c>
      <c r="S12" s="203"/>
      <c r="T12" s="203"/>
      <c r="AK12" s="203"/>
      <c r="AL12" s="203"/>
      <c r="BC12" s="203"/>
      <c r="BD12" s="203"/>
      <c r="BU12" s="203"/>
      <c r="BV12" s="203"/>
      <c r="CM12" s="203"/>
      <c r="CN12" s="203"/>
      <c r="DE12" s="203"/>
      <c r="DF12" s="203"/>
      <c r="DW12" s="203"/>
      <c r="DX12" s="203"/>
      <c r="EO12" s="203"/>
      <c r="EP12" s="203"/>
      <c r="FG12" s="203"/>
      <c r="FH12" s="203"/>
      <c r="FY12" s="203"/>
      <c r="FZ12" s="203"/>
      <c r="GQ12" s="203"/>
      <c r="GR12" s="203"/>
      <c r="HI12" s="203"/>
      <c r="HJ12" s="203"/>
      <c r="IA12" s="203"/>
      <c r="IB12" s="203"/>
      <c r="IS12" s="203"/>
      <c r="IT12" s="203"/>
      <c r="JK12" s="203"/>
      <c r="JL12" s="203"/>
      <c r="KC12" s="203"/>
      <c r="KD12" s="203"/>
      <c r="KU12" s="203"/>
      <c r="KV12" s="203"/>
      <c r="LM12" s="203"/>
      <c r="LN12" s="203"/>
      <c r="ME12" s="203"/>
      <c r="MF12" s="203"/>
      <c r="MW12" s="203"/>
      <c r="MX12" s="203"/>
      <c r="NO12" s="203"/>
      <c r="NP12" s="203"/>
      <c r="OG12" s="203"/>
      <c r="OH12" s="203"/>
      <c r="OY12" s="203"/>
      <c r="OZ12" s="203"/>
      <c r="PQ12" s="203"/>
      <c r="PR12" s="203"/>
      <c r="QI12" s="203"/>
      <c r="QJ12" s="203"/>
      <c r="RA12" s="203"/>
      <c r="RB12" s="203"/>
      <c r="RS12" s="203"/>
      <c r="RT12" s="203"/>
      <c r="SK12" s="203"/>
      <c r="SL12" s="203"/>
      <c r="TC12" s="203"/>
      <c r="TD12" s="203"/>
      <c r="TU12" s="203"/>
      <c r="TV12" s="203"/>
      <c r="UM12" s="203"/>
      <c r="UN12" s="203"/>
      <c r="VE12" s="203"/>
      <c r="VF12" s="203"/>
      <c r="VW12" s="203"/>
      <c r="VX12" s="203"/>
      <c r="WO12" s="203"/>
      <c r="WP12" s="203"/>
      <c r="XG12" s="203"/>
      <c r="XH12" s="203"/>
      <c r="XY12" s="203"/>
      <c r="XZ12" s="203"/>
      <c r="YQ12" s="203"/>
      <c r="YR12" s="203"/>
      <c r="ZI12" s="203"/>
      <c r="ZJ12" s="203"/>
      <c r="AAA12" s="203"/>
      <c r="AAB12" s="203"/>
      <c r="AAS12" s="203"/>
      <c r="AAT12" s="203"/>
      <c r="ABK12" s="203"/>
      <c r="ABL12" s="203"/>
      <c r="ACC12" s="203"/>
      <c r="ACD12" s="203"/>
      <c r="ACU12" s="203"/>
      <c r="ACV12" s="203"/>
      <c r="ADM12" s="203"/>
      <c r="ADN12" s="203"/>
      <c r="AEE12" s="203"/>
      <c r="AEF12" s="203"/>
      <c r="AEW12" s="203"/>
      <c r="AEX12" s="203"/>
      <c r="AFO12" s="203"/>
      <c r="AFP12" s="203"/>
      <c r="AGG12" s="203"/>
      <c r="AGH12" s="203"/>
      <c r="AGY12" s="203"/>
      <c r="AGZ12" s="203"/>
      <c r="AHQ12" s="203"/>
      <c r="AHR12" s="203"/>
      <c r="AII12" s="203"/>
      <c r="AIJ12" s="203"/>
      <c r="AJA12" s="203"/>
      <c r="AJB12" s="203"/>
      <c r="AJS12" s="203"/>
      <c r="AJT12" s="203"/>
      <c r="AKK12" s="203"/>
      <c r="AKL12" s="203"/>
      <c r="ALC12" s="203"/>
      <c r="ALD12" s="203"/>
      <c r="ALU12" s="203"/>
      <c r="ALV12" s="203"/>
      <c r="AMM12" s="203"/>
      <c r="AMN12" s="203"/>
      <c r="ANE12" s="203"/>
      <c r="ANF12" s="203"/>
      <c r="ANW12" s="203"/>
      <c r="ANX12" s="203"/>
      <c r="AOO12" s="203"/>
      <c r="AOP12" s="203"/>
      <c r="APG12" s="203"/>
      <c r="APH12" s="203"/>
      <c r="APY12" s="203"/>
      <c r="APZ12" s="203"/>
      <c r="AQQ12" s="203"/>
      <c r="AQR12" s="203"/>
      <c r="ARI12" s="203"/>
      <c r="ARJ12" s="203"/>
      <c r="ASA12" s="203"/>
      <c r="ASB12" s="203"/>
      <c r="ASS12" s="203"/>
      <c r="AST12" s="203"/>
      <c r="ATK12" s="203"/>
      <c r="ATL12" s="203"/>
      <c r="AUC12" s="203"/>
      <c r="AUD12" s="203"/>
      <c r="AUU12" s="203"/>
      <c r="AUV12" s="203"/>
      <c r="AVM12" s="203"/>
      <c r="AVN12" s="203"/>
      <c r="AWE12" s="203"/>
      <c r="AWF12" s="203"/>
      <c r="AWW12" s="203"/>
      <c r="AWX12" s="203"/>
      <c r="AXO12" s="203"/>
      <c r="AXP12" s="203"/>
      <c r="AYG12" s="203"/>
      <c r="AYH12" s="203"/>
      <c r="AYY12" s="203"/>
      <c r="AYZ12" s="203"/>
      <c r="AZQ12" s="203"/>
      <c r="AZR12" s="203"/>
      <c r="BAI12" s="203"/>
      <c r="BAJ12" s="203"/>
      <c r="BBA12" s="203"/>
      <c r="BBB12" s="203"/>
      <c r="BBS12" s="203"/>
      <c r="BBT12" s="203"/>
      <c r="BCK12" s="203"/>
      <c r="BCL12" s="203"/>
      <c r="BDC12" s="203"/>
      <c r="BDD12" s="203"/>
      <c r="BDU12" s="203"/>
      <c r="BDV12" s="203"/>
      <c r="BEM12" s="203"/>
      <c r="BEN12" s="203"/>
      <c r="BFE12" s="203"/>
      <c r="BFF12" s="203"/>
      <c r="BFW12" s="203"/>
      <c r="BFX12" s="203"/>
      <c r="BGO12" s="203"/>
      <c r="BGP12" s="203"/>
      <c r="BHG12" s="203"/>
      <c r="BHH12" s="203"/>
      <c r="BHY12" s="203"/>
      <c r="BHZ12" s="203"/>
      <c r="BIQ12" s="203"/>
      <c r="BIR12" s="203"/>
      <c r="BJI12" s="203"/>
      <c r="BJJ12" s="203"/>
      <c r="BKA12" s="203"/>
      <c r="BKB12" s="203"/>
      <c r="BKS12" s="203"/>
      <c r="BKT12" s="203"/>
      <c r="BLK12" s="203"/>
      <c r="BLL12" s="203"/>
      <c r="BMC12" s="203"/>
      <c r="BMD12" s="203"/>
      <c r="BMU12" s="203"/>
      <c r="BMV12" s="203"/>
      <c r="BNM12" s="203"/>
      <c r="BNN12" s="203"/>
      <c r="BOE12" s="203"/>
      <c r="BOF12" s="203"/>
      <c r="BOW12" s="203"/>
      <c r="BOX12" s="203"/>
      <c r="BPO12" s="203"/>
      <c r="BPP12" s="203"/>
      <c r="BQG12" s="203"/>
      <c r="BQH12" s="203"/>
      <c r="BQY12" s="203"/>
      <c r="BQZ12" s="203"/>
      <c r="BRQ12" s="203"/>
      <c r="BRR12" s="203"/>
      <c r="BSI12" s="203"/>
      <c r="BSJ12" s="203"/>
      <c r="BTA12" s="203"/>
      <c r="BTB12" s="203"/>
      <c r="BTS12" s="203"/>
      <c r="BTT12" s="203"/>
      <c r="BUK12" s="203"/>
      <c r="BUL12" s="203"/>
      <c r="BVC12" s="203"/>
      <c r="BVD12" s="203"/>
      <c r="BVU12" s="203"/>
      <c r="BVV12" s="203"/>
      <c r="BWM12" s="203"/>
      <c r="BWN12" s="203"/>
      <c r="BXE12" s="203"/>
      <c r="BXF12" s="203"/>
      <c r="BXW12" s="203"/>
      <c r="BXX12" s="203"/>
      <c r="BYO12" s="203"/>
      <c r="BYP12" s="203"/>
      <c r="BZG12" s="203"/>
      <c r="BZH12" s="203"/>
      <c r="BZY12" s="203"/>
      <c r="BZZ12" s="203"/>
      <c r="CAQ12" s="203"/>
      <c r="CAR12" s="203"/>
      <c r="CBI12" s="203"/>
      <c r="CBJ12" s="203"/>
      <c r="CCA12" s="203"/>
      <c r="CCB12" s="203"/>
      <c r="CCS12" s="203"/>
      <c r="CCT12" s="203"/>
      <c r="CDK12" s="203"/>
      <c r="CDL12" s="203"/>
      <c r="CEC12" s="203"/>
      <c r="CED12" s="203"/>
      <c r="CEU12" s="203"/>
      <c r="CEV12" s="203"/>
      <c r="CFM12" s="203"/>
      <c r="CFN12" s="203"/>
      <c r="CGE12" s="203"/>
      <c r="CGF12" s="203"/>
      <c r="CGW12" s="203"/>
      <c r="CGX12" s="203"/>
      <c r="CHO12" s="203"/>
      <c r="CHP12" s="203"/>
      <c r="CIG12" s="203"/>
      <c r="CIH12" s="203"/>
      <c r="CIY12" s="203"/>
      <c r="CIZ12" s="203"/>
      <c r="CJQ12" s="203"/>
      <c r="CJR12" s="203"/>
      <c r="CKI12" s="203"/>
      <c r="CKJ12" s="203"/>
      <c r="CLA12" s="203"/>
      <c r="CLB12" s="203"/>
      <c r="CLS12" s="203"/>
      <c r="CLT12" s="203"/>
      <c r="CMK12" s="203"/>
      <c r="CML12" s="203"/>
      <c r="CNC12" s="203"/>
      <c r="CND12" s="203"/>
      <c r="CNU12" s="203"/>
      <c r="CNV12" s="203"/>
      <c r="COM12" s="203"/>
      <c r="CON12" s="203"/>
      <c r="CPE12" s="203"/>
      <c r="CPF12" s="203"/>
      <c r="CPW12" s="203"/>
      <c r="CPX12" s="203"/>
      <c r="CQO12" s="203"/>
      <c r="CQP12" s="203"/>
      <c r="CRG12" s="203"/>
      <c r="CRH12" s="203"/>
      <c r="CRY12" s="203"/>
      <c r="CRZ12" s="203"/>
      <c r="CSQ12" s="203"/>
      <c r="CSR12" s="203"/>
      <c r="CTI12" s="203"/>
      <c r="CTJ12" s="203"/>
      <c r="CUA12" s="203"/>
      <c r="CUB12" s="203"/>
      <c r="CUS12" s="203"/>
      <c r="CUT12" s="203"/>
      <c r="CVK12" s="203"/>
      <c r="CVL12" s="203"/>
      <c r="CWC12" s="203"/>
      <c r="CWD12" s="203"/>
      <c r="CWU12" s="203"/>
      <c r="CWV12" s="203"/>
      <c r="CXM12" s="203"/>
      <c r="CXN12" s="203"/>
      <c r="CYE12" s="203"/>
      <c r="CYF12" s="203"/>
      <c r="CYW12" s="203"/>
      <c r="CYX12" s="203"/>
      <c r="CZO12" s="203"/>
      <c r="CZP12" s="203"/>
      <c r="DAG12" s="203"/>
      <c r="DAH12" s="203"/>
      <c r="DAY12" s="203"/>
      <c r="DAZ12" s="203"/>
      <c r="DBQ12" s="203"/>
      <c r="DBR12" s="203"/>
      <c r="DCI12" s="203"/>
      <c r="DCJ12" s="203"/>
      <c r="DDA12" s="203"/>
      <c r="DDB12" s="203"/>
      <c r="DDS12" s="203"/>
      <c r="DDT12" s="203"/>
      <c r="DEK12" s="203"/>
      <c r="DEL12" s="203"/>
      <c r="DFC12" s="203"/>
      <c r="DFD12" s="203"/>
      <c r="DFU12" s="203"/>
      <c r="DFV12" s="203"/>
      <c r="DGM12" s="203"/>
      <c r="DGN12" s="203"/>
      <c r="DHE12" s="203"/>
      <c r="DHF12" s="203"/>
      <c r="DHW12" s="203"/>
      <c r="DHX12" s="203"/>
      <c r="DIO12" s="203"/>
      <c r="DIP12" s="203"/>
      <c r="DJG12" s="203"/>
      <c r="DJH12" s="203"/>
      <c r="DJY12" s="203"/>
      <c r="DJZ12" s="203"/>
      <c r="DKQ12" s="203"/>
      <c r="DKR12" s="203"/>
      <c r="DLI12" s="203"/>
      <c r="DLJ12" s="203"/>
      <c r="DMA12" s="203"/>
      <c r="DMB12" s="203"/>
      <c r="DMS12" s="203"/>
      <c r="DMT12" s="203"/>
      <c r="DNK12" s="203"/>
      <c r="DNL12" s="203"/>
      <c r="DOC12" s="203"/>
      <c r="DOD12" s="203"/>
      <c r="DOU12" s="203"/>
      <c r="DOV12" s="203"/>
      <c r="DPM12" s="203"/>
      <c r="DPN12" s="203"/>
      <c r="DQE12" s="203"/>
      <c r="DQF12" s="203"/>
      <c r="DQW12" s="203"/>
      <c r="DQX12" s="203"/>
      <c r="DRO12" s="203"/>
      <c r="DRP12" s="203"/>
      <c r="DSG12" s="203"/>
      <c r="DSH12" s="203"/>
      <c r="DSY12" s="203"/>
      <c r="DSZ12" s="203"/>
      <c r="DTQ12" s="203"/>
      <c r="DTR12" s="203"/>
      <c r="DUI12" s="203"/>
      <c r="DUJ12" s="203"/>
      <c r="DVA12" s="203"/>
      <c r="DVB12" s="203"/>
      <c r="DVS12" s="203"/>
      <c r="DVT12" s="203"/>
      <c r="DWK12" s="203"/>
      <c r="DWL12" s="203"/>
      <c r="DXC12" s="203"/>
      <c r="DXD12" s="203"/>
      <c r="DXU12" s="203"/>
      <c r="DXV12" s="203"/>
      <c r="DYM12" s="203"/>
      <c r="DYN12" s="203"/>
      <c r="DZE12" s="203"/>
      <c r="DZF12" s="203"/>
      <c r="DZW12" s="203"/>
      <c r="DZX12" s="203"/>
      <c r="EAO12" s="203"/>
      <c r="EAP12" s="203"/>
      <c r="EBG12" s="203"/>
      <c r="EBH12" s="203"/>
      <c r="EBY12" s="203"/>
      <c r="EBZ12" s="203"/>
      <c r="ECQ12" s="203"/>
      <c r="ECR12" s="203"/>
      <c r="EDI12" s="203"/>
      <c r="EDJ12" s="203"/>
      <c r="EEA12" s="203"/>
      <c r="EEB12" s="203"/>
      <c r="EES12" s="203"/>
      <c r="EET12" s="203"/>
      <c r="EFK12" s="203"/>
      <c r="EFL12" s="203"/>
      <c r="EGC12" s="203"/>
      <c r="EGD12" s="203"/>
      <c r="EGU12" s="203"/>
      <c r="EGV12" s="203"/>
      <c r="EHM12" s="203"/>
      <c r="EHN12" s="203"/>
      <c r="EIE12" s="203"/>
      <c r="EIF12" s="203"/>
      <c r="EIW12" s="203"/>
      <c r="EIX12" s="203"/>
      <c r="EJO12" s="203"/>
      <c r="EJP12" s="203"/>
      <c r="EKG12" s="203"/>
      <c r="EKH12" s="203"/>
      <c r="EKY12" s="203"/>
      <c r="EKZ12" s="203"/>
      <c r="ELQ12" s="203"/>
      <c r="ELR12" s="203"/>
      <c r="EMI12" s="203"/>
      <c r="EMJ12" s="203"/>
      <c r="ENA12" s="203"/>
      <c r="ENB12" s="203"/>
      <c r="ENS12" s="203"/>
      <c r="ENT12" s="203"/>
      <c r="EOK12" s="203"/>
      <c r="EOL12" s="203"/>
      <c r="EPC12" s="203"/>
      <c r="EPD12" s="203"/>
      <c r="EPU12" s="203"/>
      <c r="EPV12" s="203"/>
      <c r="EQM12" s="203"/>
      <c r="EQN12" s="203"/>
      <c r="ERE12" s="203"/>
      <c r="ERF12" s="203"/>
      <c r="ERW12" s="203"/>
      <c r="ERX12" s="203"/>
      <c r="ESO12" s="203"/>
      <c r="ESP12" s="203"/>
      <c r="ETG12" s="203"/>
      <c r="ETH12" s="203"/>
      <c r="ETY12" s="203"/>
      <c r="ETZ12" s="203"/>
      <c r="EUQ12" s="203"/>
      <c r="EUR12" s="203"/>
      <c r="EVI12" s="203"/>
      <c r="EVJ12" s="203"/>
      <c r="EWA12" s="203"/>
      <c r="EWB12" s="203"/>
      <c r="EWS12" s="203"/>
      <c r="EWT12" s="203"/>
      <c r="EXK12" s="203"/>
      <c r="EXL12" s="203"/>
      <c r="EYC12" s="203"/>
      <c r="EYD12" s="203"/>
      <c r="EYU12" s="203"/>
      <c r="EYV12" s="203"/>
      <c r="EZM12" s="203"/>
      <c r="EZN12" s="203"/>
      <c r="FAE12" s="203"/>
      <c r="FAF12" s="203"/>
      <c r="FAW12" s="203"/>
      <c r="FAX12" s="203"/>
      <c r="FBO12" s="203"/>
      <c r="FBP12" s="203"/>
      <c r="FCG12" s="203"/>
      <c r="FCH12" s="203"/>
      <c r="FCY12" s="203"/>
      <c r="FCZ12" s="203"/>
      <c r="FDQ12" s="203"/>
      <c r="FDR12" s="203"/>
      <c r="FEI12" s="203"/>
      <c r="FEJ12" s="203"/>
      <c r="FFA12" s="203"/>
      <c r="FFB12" s="203"/>
      <c r="FFS12" s="203"/>
      <c r="FFT12" s="203"/>
      <c r="FGK12" s="203"/>
      <c r="FGL12" s="203"/>
      <c r="FHC12" s="203"/>
      <c r="FHD12" s="203"/>
      <c r="FHU12" s="203"/>
      <c r="FHV12" s="203"/>
      <c r="FIM12" s="203"/>
      <c r="FIN12" s="203"/>
      <c r="FJE12" s="203"/>
      <c r="FJF12" s="203"/>
      <c r="FJW12" s="203"/>
      <c r="FJX12" s="203"/>
      <c r="FKO12" s="203"/>
      <c r="FKP12" s="203"/>
      <c r="FLG12" s="203"/>
      <c r="FLH12" s="203"/>
      <c r="FLY12" s="203"/>
      <c r="FLZ12" s="203"/>
      <c r="FMQ12" s="203"/>
      <c r="FMR12" s="203"/>
      <c r="FNI12" s="203"/>
      <c r="FNJ12" s="203"/>
      <c r="FOA12" s="203"/>
      <c r="FOB12" s="203"/>
      <c r="FOS12" s="203"/>
      <c r="FOT12" s="203"/>
      <c r="FPK12" s="203"/>
      <c r="FPL12" s="203"/>
      <c r="FQC12" s="203"/>
      <c r="FQD12" s="203"/>
      <c r="FQU12" s="203"/>
      <c r="FQV12" s="203"/>
      <c r="FRM12" s="203"/>
      <c r="FRN12" s="203"/>
      <c r="FSE12" s="203"/>
      <c r="FSF12" s="203"/>
      <c r="FSW12" s="203"/>
      <c r="FSX12" s="203"/>
      <c r="FTO12" s="203"/>
      <c r="FTP12" s="203"/>
      <c r="FUG12" s="203"/>
      <c r="FUH12" s="203"/>
      <c r="FUY12" s="203"/>
      <c r="FUZ12" s="203"/>
      <c r="FVQ12" s="203"/>
      <c r="FVR12" s="203"/>
      <c r="FWI12" s="203"/>
      <c r="FWJ12" s="203"/>
      <c r="FXA12" s="203"/>
      <c r="FXB12" s="203"/>
      <c r="FXS12" s="203"/>
      <c r="FXT12" s="203"/>
      <c r="FYK12" s="203"/>
      <c r="FYL12" s="203"/>
      <c r="FZC12" s="203"/>
      <c r="FZD12" s="203"/>
      <c r="FZU12" s="203"/>
      <c r="FZV12" s="203"/>
      <c r="GAM12" s="203"/>
      <c r="GAN12" s="203"/>
      <c r="GBE12" s="203"/>
      <c r="GBF12" s="203"/>
      <c r="GBW12" s="203"/>
      <c r="GBX12" s="203"/>
      <c r="GCO12" s="203"/>
      <c r="GCP12" s="203"/>
      <c r="GDG12" s="203"/>
      <c r="GDH12" s="203"/>
      <c r="GDY12" s="203"/>
      <c r="GDZ12" s="203"/>
      <c r="GEQ12" s="203"/>
      <c r="GER12" s="203"/>
      <c r="GFI12" s="203"/>
      <c r="GFJ12" s="203"/>
      <c r="GGA12" s="203"/>
      <c r="GGB12" s="203"/>
      <c r="GGS12" s="203"/>
      <c r="GGT12" s="203"/>
      <c r="GHK12" s="203"/>
      <c r="GHL12" s="203"/>
      <c r="GIC12" s="203"/>
      <c r="GID12" s="203"/>
      <c r="GIU12" s="203"/>
      <c r="GIV12" s="203"/>
      <c r="GJM12" s="203"/>
      <c r="GJN12" s="203"/>
      <c r="GKE12" s="203"/>
      <c r="GKF12" s="203"/>
      <c r="GKW12" s="203"/>
      <c r="GKX12" s="203"/>
      <c r="GLO12" s="203"/>
      <c r="GLP12" s="203"/>
      <c r="GMG12" s="203"/>
      <c r="GMH12" s="203"/>
      <c r="GMY12" s="203"/>
      <c r="GMZ12" s="203"/>
      <c r="GNQ12" s="203"/>
      <c r="GNR12" s="203"/>
      <c r="GOI12" s="203"/>
      <c r="GOJ12" s="203"/>
      <c r="GPA12" s="203"/>
      <c r="GPB12" s="203"/>
      <c r="GPS12" s="203"/>
      <c r="GPT12" s="203"/>
      <c r="GQK12" s="203"/>
      <c r="GQL12" s="203"/>
      <c r="GRC12" s="203"/>
      <c r="GRD12" s="203"/>
      <c r="GRU12" s="203"/>
      <c r="GRV12" s="203"/>
      <c r="GSM12" s="203"/>
      <c r="GSN12" s="203"/>
      <c r="GTE12" s="203"/>
      <c r="GTF12" s="203"/>
      <c r="GTW12" s="203"/>
      <c r="GTX12" s="203"/>
      <c r="GUO12" s="203"/>
      <c r="GUP12" s="203"/>
      <c r="GVG12" s="203"/>
      <c r="GVH12" s="203"/>
      <c r="GVY12" s="203"/>
      <c r="GVZ12" s="203"/>
      <c r="GWQ12" s="203"/>
      <c r="GWR12" s="203"/>
      <c r="GXI12" s="203"/>
      <c r="GXJ12" s="203"/>
      <c r="GYA12" s="203"/>
      <c r="GYB12" s="203"/>
      <c r="GYS12" s="203"/>
      <c r="GYT12" s="203"/>
      <c r="GZK12" s="203"/>
      <c r="GZL12" s="203"/>
      <c r="HAC12" s="203"/>
      <c r="HAD12" s="203"/>
      <c r="HAU12" s="203"/>
      <c r="HAV12" s="203"/>
      <c r="HBM12" s="203"/>
      <c r="HBN12" s="203"/>
      <c r="HCE12" s="203"/>
      <c r="HCF12" s="203"/>
      <c r="HCW12" s="203"/>
      <c r="HCX12" s="203"/>
      <c r="HDO12" s="203"/>
      <c r="HDP12" s="203"/>
      <c r="HEG12" s="203"/>
      <c r="HEH12" s="203"/>
      <c r="HEY12" s="203"/>
      <c r="HEZ12" s="203"/>
      <c r="HFQ12" s="203"/>
      <c r="HFR12" s="203"/>
      <c r="HGI12" s="203"/>
      <c r="HGJ12" s="203"/>
      <c r="HHA12" s="203"/>
      <c r="HHB12" s="203"/>
      <c r="HHS12" s="203"/>
      <c r="HHT12" s="203"/>
      <c r="HIK12" s="203"/>
      <c r="HIL12" s="203"/>
      <c r="HJC12" s="203"/>
      <c r="HJD12" s="203"/>
      <c r="HJU12" s="203"/>
      <c r="HJV12" s="203"/>
      <c r="HKM12" s="203"/>
      <c r="HKN12" s="203"/>
      <c r="HLE12" s="203"/>
      <c r="HLF12" s="203"/>
      <c r="HLW12" s="203"/>
      <c r="HLX12" s="203"/>
      <c r="HMO12" s="203"/>
      <c r="HMP12" s="203"/>
      <c r="HNG12" s="203"/>
      <c r="HNH12" s="203"/>
      <c r="HNY12" s="203"/>
      <c r="HNZ12" s="203"/>
      <c r="HOQ12" s="203"/>
      <c r="HOR12" s="203"/>
      <c r="HPI12" s="203"/>
      <c r="HPJ12" s="203"/>
      <c r="HQA12" s="203"/>
      <c r="HQB12" s="203"/>
      <c r="HQS12" s="203"/>
      <c r="HQT12" s="203"/>
      <c r="HRK12" s="203"/>
      <c r="HRL12" s="203"/>
      <c r="HSC12" s="203"/>
      <c r="HSD12" s="203"/>
      <c r="HSU12" s="203"/>
      <c r="HSV12" s="203"/>
      <c r="HTM12" s="203"/>
      <c r="HTN12" s="203"/>
      <c r="HUE12" s="203"/>
      <c r="HUF12" s="203"/>
      <c r="HUW12" s="203"/>
      <c r="HUX12" s="203"/>
      <c r="HVO12" s="203"/>
      <c r="HVP12" s="203"/>
      <c r="HWG12" s="203"/>
      <c r="HWH12" s="203"/>
      <c r="HWY12" s="203"/>
      <c r="HWZ12" s="203"/>
      <c r="HXQ12" s="203"/>
      <c r="HXR12" s="203"/>
      <c r="HYI12" s="203"/>
      <c r="HYJ12" s="203"/>
      <c r="HZA12" s="203"/>
      <c r="HZB12" s="203"/>
      <c r="HZS12" s="203"/>
      <c r="HZT12" s="203"/>
      <c r="IAK12" s="203"/>
      <c r="IAL12" s="203"/>
      <c r="IBC12" s="203"/>
      <c r="IBD12" s="203"/>
      <c r="IBU12" s="203"/>
      <c r="IBV12" s="203"/>
      <c r="ICM12" s="203"/>
      <c r="ICN12" s="203"/>
      <c r="IDE12" s="203"/>
      <c r="IDF12" s="203"/>
      <c r="IDW12" s="203"/>
      <c r="IDX12" s="203"/>
      <c r="IEO12" s="203"/>
      <c r="IEP12" s="203"/>
      <c r="IFG12" s="203"/>
      <c r="IFH12" s="203"/>
      <c r="IFY12" s="203"/>
      <c r="IFZ12" s="203"/>
      <c r="IGQ12" s="203"/>
      <c r="IGR12" s="203"/>
      <c r="IHI12" s="203"/>
      <c r="IHJ12" s="203"/>
      <c r="IIA12" s="203"/>
      <c r="IIB12" s="203"/>
      <c r="IIS12" s="203"/>
      <c r="IIT12" s="203"/>
      <c r="IJK12" s="203"/>
      <c r="IJL12" s="203"/>
      <c r="IKC12" s="203"/>
      <c r="IKD12" s="203"/>
      <c r="IKU12" s="203"/>
      <c r="IKV12" s="203"/>
      <c r="ILM12" s="203"/>
      <c r="ILN12" s="203"/>
      <c r="IME12" s="203"/>
      <c r="IMF12" s="203"/>
      <c r="IMW12" s="203"/>
      <c r="IMX12" s="203"/>
      <c r="INO12" s="203"/>
      <c r="INP12" s="203"/>
      <c r="IOG12" s="203"/>
      <c r="IOH12" s="203"/>
      <c r="IOY12" s="203"/>
      <c r="IOZ12" s="203"/>
      <c r="IPQ12" s="203"/>
      <c r="IPR12" s="203"/>
      <c r="IQI12" s="203"/>
      <c r="IQJ12" s="203"/>
      <c r="IRA12" s="203"/>
      <c r="IRB12" s="203"/>
      <c r="IRS12" s="203"/>
      <c r="IRT12" s="203"/>
      <c r="ISK12" s="203"/>
      <c r="ISL12" s="203"/>
      <c r="ITC12" s="203"/>
      <c r="ITD12" s="203"/>
      <c r="ITU12" s="203"/>
      <c r="ITV12" s="203"/>
      <c r="IUM12" s="203"/>
      <c r="IUN12" s="203"/>
      <c r="IVE12" s="203"/>
      <c r="IVF12" s="203"/>
      <c r="IVW12" s="203"/>
      <c r="IVX12" s="203"/>
      <c r="IWO12" s="203"/>
      <c r="IWP12" s="203"/>
      <c r="IXG12" s="203"/>
      <c r="IXH12" s="203"/>
      <c r="IXY12" s="203"/>
      <c r="IXZ12" s="203"/>
      <c r="IYQ12" s="203"/>
      <c r="IYR12" s="203"/>
      <c r="IZI12" s="203"/>
      <c r="IZJ12" s="203"/>
      <c r="JAA12" s="203"/>
      <c r="JAB12" s="203"/>
      <c r="JAS12" s="203"/>
      <c r="JAT12" s="203"/>
      <c r="JBK12" s="203"/>
      <c r="JBL12" s="203"/>
      <c r="JCC12" s="203"/>
      <c r="JCD12" s="203"/>
      <c r="JCU12" s="203"/>
      <c r="JCV12" s="203"/>
      <c r="JDM12" s="203"/>
      <c r="JDN12" s="203"/>
      <c r="JEE12" s="203"/>
      <c r="JEF12" s="203"/>
      <c r="JEW12" s="203"/>
      <c r="JEX12" s="203"/>
      <c r="JFO12" s="203"/>
      <c r="JFP12" s="203"/>
      <c r="JGG12" s="203"/>
      <c r="JGH12" s="203"/>
      <c r="JGY12" s="203"/>
      <c r="JGZ12" s="203"/>
      <c r="JHQ12" s="203"/>
      <c r="JHR12" s="203"/>
      <c r="JII12" s="203"/>
      <c r="JIJ12" s="203"/>
      <c r="JJA12" s="203"/>
      <c r="JJB12" s="203"/>
      <c r="JJS12" s="203"/>
      <c r="JJT12" s="203"/>
      <c r="JKK12" s="203"/>
      <c r="JKL12" s="203"/>
      <c r="JLC12" s="203"/>
      <c r="JLD12" s="203"/>
      <c r="JLU12" s="203"/>
      <c r="JLV12" s="203"/>
      <c r="JMM12" s="203"/>
      <c r="JMN12" s="203"/>
      <c r="JNE12" s="203"/>
      <c r="JNF12" s="203"/>
      <c r="JNW12" s="203"/>
      <c r="JNX12" s="203"/>
      <c r="JOO12" s="203"/>
      <c r="JOP12" s="203"/>
      <c r="JPG12" s="203"/>
      <c r="JPH12" s="203"/>
      <c r="JPY12" s="203"/>
      <c r="JPZ12" s="203"/>
      <c r="JQQ12" s="203"/>
      <c r="JQR12" s="203"/>
      <c r="JRI12" s="203"/>
      <c r="JRJ12" s="203"/>
      <c r="JSA12" s="203"/>
      <c r="JSB12" s="203"/>
      <c r="JSS12" s="203"/>
      <c r="JST12" s="203"/>
      <c r="JTK12" s="203"/>
      <c r="JTL12" s="203"/>
      <c r="JUC12" s="203"/>
      <c r="JUD12" s="203"/>
      <c r="JUU12" s="203"/>
      <c r="JUV12" s="203"/>
      <c r="JVM12" s="203"/>
      <c r="JVN12" s="203"/>
      <c r="JWE12" s="203"/>
      <c r="JWF12" s="203"/>
      <c r="JWW12" s="203"/>
      <c r="JWX12" s="203"/>
      <c r="JXO12" s="203"/>
      <c r="JXP12" s="203"/>
      <c r="JYG12" s="203"/>
      <c r="JYH12" s="203"/>
      <c r="JYY12" s="203"/>
      <c r="JYZ12" s="203"/>
      <c r="JZQ12" s="203"/>
      <c r="JZR12" s="203"/>
      <c r="KAI12" s="203"/>
      <c r="KAJ12" s="203"/>
      <c r="KBA12" s="203"/>
      <c r="KBB12" s="203"/>
      <c r="KBS12" s="203"/>
      <c r="KBT12" s="203"/>
      <c r="KCK12" s="203"/>
      <c r="KCL12" s="203"/>
      <c r="KDC12" s="203"/>
      <c r="KDD12" s="203"/>
      <c r="KDU12" s="203"/>
      <c r="KDV12" s="203"/>
      <c r="KEM12" s="203"/>
      <c r="KEN12" s="203"/>
      <c r="KFE12" s="203"/>
      <c r="KFF12" s="203"/>
      <c r="KFW12" s="203"/>
      <c r="KFX12" s="203"/>
      <c r="KGO12" s="203"/>
      <c r="KGP12" s="203"/>
      <c r="KHG12" s="203"/>
      <c r="KHH12" s="203"/>
      <c r="KHY12" s="203"/>
      <c r="KHZ12" s="203"/>
      <c r="KIQ12" s="203"/>
      <c r="KIR12" s="203"/>
      <c r="KJI12" s="203"/>
      <c r="KJJ12" s="203"/>
      <c r="KKA12" s="203"/>
      <c r="KKB12" s="203"/>
      <c r="KKS12" s="203"/>
      <c r="KKT12" s="203"/>
      <c r="KLK12" s="203"/>
      <c r="KLL12" s="203"/>
      <c r="KMC12" s="203"/>
      <c r="KMD12" s="203"/>
      <c r="KMU12" s="203"/>
      <c r="KMV12" s="203"/>
      <c r="KNM12" s="203"/>
      <c r="KNN12" s="203"/>
      <c r="KOE12" s="203"/>
      <c r="KOF12" s="203"/>
      <c r="KOW12" s="203"/>
      <c r="KOX12" s="203"/>
      <c r="KPO12" s="203"/>
      <c r="KPP12" s="203"/>
      <c r="KQG12" s="203"/>
      <c r="KQH12" s="203"/>
      <c r="KQY12" s="203"/>
      <c r="KQZ12" s="203"/>
      <c r="KRQ12" s="203"/>
      <c r="KRR12" s="203"/>
      <c r="KSI12" s="203"/>
      <c r="KSJ12" s="203"/>
      <c r="KTA12" s="203"/>
      <c r="KTB12" s="203"/>
      <c r="KTS12" s="203"/>
      <c r="KTT12" s="203"/>
      <c r="KUK12" s="203"/>
      <c r="KUL12" s="203"/>
      <c r="KVC12" s="203"/>
      <c r="KVD12" s="203"/>
      <c r="KVU12" s="203"/>
      <c r="KVV12" s="203"/>
      <c r="KWM12" s="203"/>
      <c r="KWN12" s="203"/>
      <c r="KXE12" s="203"/>
      <c r="KXF12" s="203"/>
      <c r="KXW12" s="203"/>
      <c r="KXX12" s="203"/>
      <c r="KYO12" s="203"/>
      <c r="KYP12" s="203"/>
      <c r="KZG12" s="203"/>
      <c r="KZH12" s="203"/>
      <c r="KZY12" s="203"/>
      <c r="KZZ12" s="203"/>
      <c r="LAQ12" s="203"/>
      <c r="LAR12" s="203"/>
      <c r="LBI12" s="203"/>
      <c r="LBJ12" s="203"/>
      <c r="LCA12" s="203"/>
      <c r="LCB12" s="203"/>
      <c r="LCS12" s="203"/>
      <c r="LCT12" s="203"/>
      <c r="LDK12" s="203"/>
      <c r="LDL12" s="203"/>
      <c r="LEC12" s="203"/>
      <c r="LED12" s="203"/>
      <c r="LEU12" s="203"/>
      <c r="LEV12" s="203"/>
      <c r="LFM12" s="203"/>
      <c r="LFN12" s="203"/>
      <c r="LGE12" s="203"/>
      <c r="LGF12" s="203"/>
      <c r="LGW12" s="203"/>
      <c r="LGX12" s="203"/>
      <c r="LHO12" s="203"/>
      <c r="LHP12" s="203"/>
      <c r="LIG12" s="203"/>
      <c r="LIH12" s="203"/>
      <c r="LIY12" s="203"/>
      <c r="LIZ12" s="203"/>
      <c r="LJQ12" s="203"/>
      <c r="LJR12" s="203"/>
      <c r="LKI12" s="203"/>
      <c r="LKJ12" s="203"/>
      <c r="LLA12" s="203"/>
      <c r="LLB12" s="203"/>
      <c r="LLS12" s="203"/>
      <c r="LLT12" s="203"/>
      <c r="LMK12" s="203"/>
      <c r="LML12" s="203"/>
      <c r="LNC12" s="203"/>
      <c r="LND12" s="203"/>
      <c r="LNU12" s="203"/>
      <c r="LNV12" s="203"/>
      <c r="LOM12" s="203"/>
      <c r="LON12" s="203"/>
      <c r="LPE12" s="203"/>
      <c r="LPF12" s="203"/>
      <c r="LPW12" s="203"/>
      <c r="LPX12" s="203"/>
      <c r="LQO12" s="203"/>
      <c r="LQP12" s="203"/>
      <c r="LRG12" s="203"/>
      <c r="LRH12" s="203"/>
      <c r="LRY12" s="203"/>
      <c r="LRZ12" s="203"/>
      <c r="LSQ12" s="203"/>
      <c r="LSR12" s="203"/>
      <c r="LTI12" s="203"/>
      <c r="LTJ12" s="203"/>
      <c r="LUA12" s="203"/>
      <c r="LUB12" s="203"/>
      <c r="LUS12" s="203"/>
      <c r="LUT12" s="203"/>
      <c r="LVK12" s="203"/>
      <c r="LVL12" s="203"/>
      <c r="LWC12" s="203"/>
      <c r="LWD12" s="203"/>
      <c r="LWU12" s="203"/>
      <c r="LWV12" s="203"/>
      <c r="LXM12" s="203"/>
      <c r="LXN12" s="203"/>
      <c r="LYE12" s="203"/>
      <c r="LYF12" s="203"/>
      <c r="LYW12" s="203"/>
      <c r="LYX12" s="203"/>
      <c r="LZO12" s="203"/>
      <c r="LZP12" s="203"/>
      <c r="MAG12" s="203"/>
      <c r="MAH12" s="203"/>
      <c r="MAY12" s="203"/>
      <c r="MAZ12" s="203"/>
      <c r="MBQ12" s="203"/>
      <c r="MBR12" s="203"/>
      <c r="MCI12" s="203"/>
      <c r="MCJ12" s="203"/>
      <c r="MDA12" s="203"/>
      <c r="MDB12" s="203"/>
      <c r="MDS12" s="203"/>
      <c r="MDT12" s="203"/>
      <c r="MEK12" s="203"/>
      <c r="MEL12" s="203"/>
      <c r="MFC12" s="203"/>
      <c r="MFD12" s="203"/>
      <c r="MFU12" s="203"/>
      <c r="MFV12" s="203"/>
      <c r="MGM12" s="203"/>
      <c r="MGN12" s="203"/>
      <c r="MHE12" s="203"/>
      <c r="MHF12" s="203"/>
      <c r="MHW12" s="203"/>
      <c r="MHX12" s="203"/>
      <c r="MIO12" s="203"/>
      <c r="MIP12" s="203"/>
      <c r="MJG12" s="203"/>
      <c r="MJH12" s="203"/>
      <c r="MJY12" s="203"/>
      <c r="MJZ12" s="203"/>
      <c r="MKQ12" s="203"/>
      <c r="MKR12" s="203"/>
      <c r="MLI12" s="203"/>
      <c r="MLJ12" s="203"/>
      <c r="MMA12" s="203"/>
      <c r="MMB12" s="203"/>
      <c r="MMS12" s="203"/>
      <c r="MMT12" s="203"/>
      <c r="MNK12" s="203"/>
      <c r="MNL12" s="203"/>
      <c r="MOC12" s="203"/>
      <c r="MOD12" s="203"/>
      <c r="MOU12" s="203"/>
      <c r="MOV12" s="203"/>
      <c r="MPM12" s="203"/>
      <c r="MPN12" s="203"/>
      <c r="MQE12" s="203"/>
      <c r="MQF12" s="203"/>
      <c r="MQW12" s="203"/>
      <c r="MQX12" s="203"/>
      <c r="MRO12" s="203"/>
      <c r="MRP12" s="203"/>
      <c r="MSG12" s="203"/>
      <c r="MSH12" s="203"/>
      <c r="MSY12" s="203"/>
      <c r="MSZ12" s="203"/>
      <c r="MTQ12" s="203"/>
      <c r="MTR12" s="203"/>
      <c r="MUI12" s="203"/>
      <c r="MUJ12" s="203"/>
      <c r="MVA12" s="203"/>
      <c r="MVB12" s="203"/>
      <c r="MVS12" s="203"/>
      <c r="MVT12" s="203"/>
      <c r="MWK12" s="203"/>
      <c r="MWL12" s="203"/>
      <c r="MXC12" s="203"/>
      <c r="MXD12" s="203"/>
      <c r="MXU12" s="203"/>
      <c r="MXV12" s="203"/>
      <c r="MYM12" s="203"/>
      <c r="MYN12" s="203"/>
      <c r="MZE12" s="203"/>
      <c r="MZF12" s="203"/>
      <c r="MZW12" s="203"/>
      <c r="MZX12" s="203"/>
      <c r="NAO12" s="203"/>
      <c r="NAP12" s="203"/>
      <c r="NBG12" s="203"/>
      <c r="NBH12" s="203"/>
      <c r="NBY12" s="203"/>
      <c r="NBZ12" s="203"/>
      <c r="NCQ12" s="203"/>
      <c r="NCR12" s="203"/>
      <c r="NDI12" s="203"/>
      <c r="NDJ12" s="203"/>
      <c r="NEA12" s="203"/>
      <c r="NEB12" s="203"/>
      <c r="NES12" s="203"/>
      <c r="NET12" s="203"/>
      <c r="NFK12" s="203"/>
      <c r="NFL12" s="203"/>
      <c r="NGC12" s="203"/>
      <c r="NGD12" s="203"/>
      <c r="NGU12" s="203"/>
      <c r="NGV12" s="203"/>
      <c r="NHM12" s="203"/>
      <c r="NHN12" s="203"/>
      <c r="NIE12" s="203"/>
      <c r="NIF12" s="203"/>
      <c r="NIW12" s="203"/>
      <c r="NIX12" s="203"/>
      <c r="NJO12" s="203"/>
      <c r="NJP12" s="203"/>
      <c r="NKG12" s="203"/>
      <c r="NKH12" s="203"/>
      <c r="NKY12" s="203"/>
      <c r="NKZ12" s="203"/>
      <c r="NLQ12" s="203"/>
      <c r="NLR12" s="203"/>
      <c r="NMI12" s="203"/>
      <c r="NMJ12" s="203"/>
      <c r="NNA12" s="203"/>
      <c r="NNB12" s="203"/>
      <c r="NNS12" s="203"/>
      <c r="NNT12" s="203"/>
      <c r="NOK12" s="203"/>
      <c r="NOL12" s="203"/>
      <c r="NPC12" s="203"/>
      <c r="NPD12" s="203"/>
      <c r="NPU12" s="203"/>
      <c r="NPV12" s="203"/>
      <c r="NQM12" s="203"/>
      <c r="NQN12" s="203"/>
      <c r="NRE12" s="203"/>
      <c r="NRF12" s="203"/>
      <c r="NRW12" s="203"/>
      <c r="NRX12" s="203"/>
      <c r="NSO12" s="203"/>
      <c r="NSP12" s="203"/>
      <c r="NTG12" s="203"/>
      <c r="NTH12" s="203"/>
      <c r="NTY12" s="203"/>
      <c r="NTZ12" s="203"/>
      <c r="NUQ12" s="203"/>
      <c r="NUR12" s="203"/>
      <c r="NVI12" s="203"/>
      <c r="NVJ12" s="203"/>
      <c r="NWA12" s="203"/>
      <c r="NWB12" s="203"/>
      <c r="NWS12" s="203"/>
      <c r="NWT12" s="203"/>
      <c r="NXK12" s="203"/>
      <c r="NXL12" s="203"/>
      <c r="NYC12" s="203"/>
      <c r="NYD12" s="203"/>
      <c r="NYU12" s="203"/>
      <c r="NYV12" s="203"/>
      <c r="NZM12" s="203"/>
      <c r="NZN12" s="203"/>
      <c r="OAE12" s="203"/>
      <c r="OAF12" s="203"/>
      <c r="OAW12" s="203"/>
      <c r="OAX12" s="203"/>
      <c r="OBO12" s="203"/>
      <c r="OBP12" s="203"/>
      <c r="OCG12" s="203"/>
      <c r="OCH12" s="203"/>
      <c r="OCY12" s="203"/>
      <c r="OCZ12" s="203"/>
      <c r="ODQ12" s="203"/>
      <c r="ODR12" s="203"/>
      <c r="OEI12" s="203"/>
      <c r="OEJ12" s="203"/>
      <c r="OFA12" s="203"/>
      <c r="OFB12" s="203"/>
      <c r="OFS12" s="203"/>
      <c r="OFT12" s="203"/>
      <c r="OGK12" s="203"/>
      <c r="OGL12" s="203"/>
      <c r="OHC12" s="203"/>
      <c r="OHD12" s="203"/>
      <c r="OHU12" s="203"/>
      <c r="OHV12" s="203"/>
      <c r="OIM12" s="203"/>
      <c r="OIN12" s="203"/>
      <c r="OJE12" s="203"/>
      <c r="OJF12" s="203"/>
      <c r="OJW12" s="203"/>
      <c r="OJX12" s="203"/>
      <c r="OKO12" s="203"/>
      <c r="OKP12" s="203"/>
      <c r="OLG12" s="203"/>
      <c r="OLH12" s="203"/>
      <c r="OLY12" s="203"/>
      <c r="OLZ12" s="203"/>
      <c r="OMQ12" s="203"/>
      <c r="OMR12" s="203"/>
      <c r="ONI12" s="203"/>
      <c r="ONJ12" s="203"/>
      <c r="OOA12" s="203"/>
      <c r="OOB12" s="203"/>
      <c r="OOS12" s="203"/>
      <c r="OOT12" s="203"/>
      <c r="OPK12" s="203"/>
      <c r="OPL12" s="203"/>
      <c r="OQC12" s="203"/>
      <c r="OQD12" s="203"/>
      <c r="OQU12" s="203"/>
      <c r="OQV12" s="203"/>
      <c r="ORM12" s="203"/>
      <c r="ORN12" s="203"/>
      <c r="OSE12" s="203"/>
      <c r="OSF12" s="203"/>
      <c r="OSW12" s="203"/>
      <c r="OSX12" s="203"/>
      <c r="OTO12" s="203"/>
      <c r="OTP12" s="203"/>
      <c r="OUG12" s="203"/>
      <c r="OUH12" s="203"/>
      <c r="OUY12" s="203"/>
      <c r="OUZ12" s="203"/>
      <c r="OVQ12" s="203"/>
      <c r="OVR12" s="203"/>
      <c r="OWI12" s="203"/>
      <c r="OWJ12" s="203"/>
      <c r="OXA12" s="203"/>
      <c r="OXB12" s="203"/>
      <c r="OXS12" s="203"/>
      <c r="OXT12" s="203"/>
      <c r="OYK12" s="203"/>
      <c r="OYL12" s="203"/>
      <c r="OZC12" s="203"/>
      <c r="OZD12" s="203"/>
      <c r="OZU12" s="203"/>
      <c r="OZV12" s="203"/>
      <c r="PAM12" s="203"/>
      <c r="PAN12" s="203"/>
      <c r="PBE12" s="203"/>
      <c r="PBF12" s="203"/>
      <c r="PBW12" s="203"/>
      <c r="PBX12" s="203"/>
      <c r="PCO12" s="203"/>
      <c r="PCP12" s="203"/>
      <c r="PDG12" s="203"/>
      <c r="PDH12" s="203"/>
      <c r="PDY12" s="203"/>
      <c r="PDZ12" s="203"/>
      <c r="PEQ12" s="203"/>
      <c r="PER12" s="203"/>
      <c r="PFI12" s="203"/>
      <c r="PFJ12" s="203"/>
      <c r="PGA12" s="203"/>
      <c r="PGB12" s="203"/>
      <c r="PGS12" s="203"/>
      <c r="PGT12" s="203"/>
      <c r="PHK12" s="203"/>
      <c r="PHL12" s="203"/>
      <c r="PIC12" s="203"/>
      <c r="PID12" s="203"/>
      <c r="PIU12" s="203"/>
      <c r="PIV12" s="203"/>
      <c r="PJM12" s="203"/>
      <c r="PJN12" s="203"/>
      <c r="PKE12" s="203"/>
      <c r="PKF12" s="203"/>
      <c r="PKW12" s="203"/>
      <c r="PKX12" s="203"/>
      <c r="PLO12" s="203"/>
      <c r="PLP12" s="203"/>
      <c r="PMG12" s="203"/>
      <c r="PMH12" s="203"/>
      <c r="PMY12" s="203"/>
      <c r="PMZ12" s="203"/>
      <c r="PNQ12" s="203"/>
      <c r="PNR12" s="203"/>
      <c r="POI12" s="203"/>
      <c r="POJ12" s="203"/>
      <c r="PPA12" s="203"/>
      <c r="PPB12" s="203"/>
      <c r="PPS12" s="203"/>
      <c r="PPT12" s="203"/>
      <c r="PQK12" s="203"/>
      <c r="PQL12" s="203"/>
      <c r="PRC12" s="203"/>
      <c r="PRD12" s="203"/>
      <c r="PRU12" s="203"/>
      <c r="PRV12" s="203"/>
      <c r="PSM12" s="203"/>
      <c r="PSN12" s="203"/>
      <c r="PTE12" s="203"/>
      <c r="PTF12" s="203"/>
      <c r="PTW12" s="203"/>
      <c r="PTX12" s="203"/>
      <c r="PUO12" s="203"/>
      <c r="PUP12" s="203"/>
      <c r="PVG12" s="203"/>
      <c r="PVH12" s="203"/>
      <c r="PVY12" s="203"/>
      <c r="PVZ12" s="203"/>
      <c r="PWQ12" s="203"/>
      <c r="PWR12" s="203"/>
      <c r="PXI12" s="203"/>
      <c r="PXJ12" s="203"/>
      <c r="PYA12" s="203"/>
      <c r="PYB12" s="203"/>
      <c r="PYS12" s="203"/>
      <c r="PYT12" s="203"/>
      <c r="PZK12" s="203"/>
      <c r="PZL12" s="203"/>
      <c r="QAC12" s="203"/>
      <c r="QAD12" s="203"/>
      <c r="QAU12" s="203"/>
      <c r="QAV12" s="203"/>
      <c r="QBM12" s="203"/>
      <c r="QBN12" s="203"/>
      <c r="QCE12" s="203"/>
      <c r="QCF12" s="203"/>
      <c r="QCW12" s="203"/>
      <c r="QCX12" s="203"/>
      <c r="QDO12" s="203"/>
      <c r="QDP12" s="203"/>
      <c r="QEG12" s="203"/>
      <c r="QEH12" s="203"/>
      <c r="QEY12" s="203"/>
      <c r="QEZ12" s="203"/>
      <c r="QFQ12" s="203"/>
      <c r="QFR12" s="203"/>
      <c r="QGI12" s="203"/>
      <c r="QGJ12" s="203"/>
      <c r="QHA12" s="203"/>
      <c r="QHB12" s="203"/>
      <c r="QHS12" s="203"/>
      <c r="QHT12" s="203"/>
      <c r="QIK12" s="203"/>
      <c r="QIL12" s="203"/>
      <c r="QJC12" s="203"/>
      <c r="QJD12" s="203"/>
      <c r="QJU12" s="203"/>
      <c r="QJV12" s="203"/>
      <c r="QKM12" s="203"/>
      <c r="QKN12" s="203"/>
      <c r="QLE12" s="203"/>
      <c r="QLF12" s="203"/>
      <c r="QLW12" s="203"/>
      <c r="QLX12" s="203"/>
      <c r="QMO12" s="203"/>
      <c r="QMP12" s="203"/>
      <c r="QNG12" s="203"/>
      <c r="QNH12" s="203"/>
      <c r="QNY12" s="203"/>
      <c r="QNZ12" s="203"/>
      <c r="QOQ12" s="203"/>
      <c r="QOR12" s="203"/>
      <c r="QPI12" s="203"/>
      <c r="QPJ12" s="203"/>
      <c r="QQA12" s="203"/>
      <c r="QQB12" s="203"/>
      <c r="QQS12" s="203"/>
      <c r="QQT12" s="203"/>
      <c r="QRK12" s="203"/>
      <c r="QRL12" s="203"/>
      <c r="QSC12" s="203"/>
      <c r="QSD12" s="203"/>
      <c r="QSU12" s="203"/>
      <c r="QSV12" s="203"/>
      <c r="QTM12" s="203"/>
      <c r="QTN12" s="203"/>
      <c r="QUE12" s="203"/>
      <c r="QUF12" s="203"/>
      <c r="QUW12" s="203"/>
      <c r="QUX12" s="203"/>
      <c r="QVO12" s="203"/>
      <c r="QVP12" s="203"/>
      <c r="QWG12" s="203"/>
      <c r="QWH12" s="203"/>
      <c r="QWY12" s="203"/>
      <c r="QWZ12" s="203"/>
      <c r="QXQ12" s="203"/>
      <c r="QXR12" s="203"/>
      <c r="QYI12" s="203"/>
      <c r="QYJ12" s="203"/>
      <c r="QZA12" s="203"/>
      <c r="QZB12" s="203"/>
      <c r="QZS12" s="203"/>
      <c r="QZT12" s="203"/>
      <c r="RAK12" s="203"/>
      <c r="RAL12" s="203"/>
      <c r="RBC12" s="203"/>
      <c r="RBD12" s="203"/>
      <c r="RBU12" s="203"/>
      <c r="RBV12" s="203"/>
      <c r="RCM12" s="203"/>
      <c r="RCN12" s="203"/>
      <c r="RDE12" s="203"/>
      <c r="RDF12" s="203"/>
      <c r="RDW12" s="203"/>
      <c r="RDX12" s="203"/>
      <c r="REO12" s="203"/>
      <c r="REP12" s="203"/>
      <c r="RFG12" s="203"/>
      <c r="RFH12" s="203"/>
      <c r="RFY12" s="203"/>
      <c r="RFZ12" s="203"/>
      <c r="RGQ12" s="203"/>
      <c r="RGR12" s="203"/>
      <c r="RHI12" s="203"/>
      <c r="RHJ12" s="203"/>
      <c r="RIA12" s="203"/>
      <c r="RIB12" s="203"/>
      <c r="RIS12" s="203"/>
      <c r="RIT12" s="203"/>
      <c r="RJK12" s="203"/>
      <c r="RJL12" s="203"/>
      <c r="RKC12" s="203"/>
      <c r="RKD12" s="203"/>
      <c r="RKU12" s="203"/>
      <c r="RKV12" s="203"/>
      <c r="RLM12" s="203"/>
      <c r="RLN12" s="203"/>
      <c r="RME12" s="203"/>
      <c r="RMF12" s="203"/>
      <c r="RMW12" s="203"/>
      <c r="RMX12" s="203"/>
      <c r="RNO12" s="203"/>
      <c r="RNP12" s="203"/>
      <c r="ROG12" s="203"/>
      <c r="ROH12" s="203"/>
      <c r="ROY12" s="203"/>
      <c r="ROZ12" s="203"/>
      <c r="RPQ12" s="203"/>
      <c r="RPR12" s="203"/>
      <c r="RQI12" s="203"/>
      <c r="RQJ12" s="203"/>
      <c r="RRA12" s="203"/>
      <c r="RRB12" s="203"/>
      <c r="RRS12" s="203"/>
      <c r="RRT12" s="203"/>
      <c r="RSK12" s="203"/>
      <c r="RSL12" s="203"/>
      <c r="RTC12" s="203"/>
      <c r="RTD12" s="203"/>
      <c r="RTU12" s="203"/>
      <c r="RTV12" s="203"/>
      <c r="RUM12" s="203"/>
      <c r="RUN12" s="203"/>
      <c r="RVE12" s="203"/>
      <c r="RVF12" s="203"/>
      <c r="RVW12" s="203"/>
      <c r="RVX12" s="203"/>
      <c r="RWO12" s="203"/>
      <c r="RWP12" s="203"/>
      <c r="RXG12" s="203"/>
      <c r="RXH12" s="203"/>
      <c r="RXY12" s="203"/>
      <c r="RXZ12" s="203"/>
      <c r="RYQ12" s="203"/>
      <c r="RYR12" s="203"/>
      <c r="RZI12" s="203"/>
      <c r="RZJ12" s="203"/>
      <c r="SAA12" s="203"/>
      <c r="SAB12" s="203"/>
      <c r="SAS12" s="203"/>
      <c r="SAT12" s="203"/>
      <c r="SBK12" s="203"/>
      <c r="SBL12" s="203"/>
      <c r="SCC12" s="203"/>
      <c r="SCD12" s="203"/>
      <c r="SCU12" s="203"/>
      <c r="SCV12" s="203"/>
      <c r="SDM12" s="203"/>
      <c r="SDN12" s="203"/>
      <c r="SEE12" s="203"/>
      <c r="SEF12" s="203"/>
      <c r="SEW12" s="203"/>
      <c r="SEX12" s="203"/>
      <c r="SFO12" s="203"/>
      <c r="SFP12" s="203"/>
      <c r="SGG12" s="203"/>
      <c r="SGH12" s="203"/>
      <c r="SGY12" s="203"/>
      <c r="SGZ12" s="203"/>
      <c r="SHQ12" s="203"/>
      <c r="SHR12" s="203"/>
      <c r="SII12" s="203"/>
      <c r="SIJ12" s="203"/>
      <c r="SJA12" s="203"/>
      <c r="SJB12" s="203"/>
      <c r="SJS12" s="203"/>
      <c r="SJT12" s="203"/>
      <c r="SKK12" s="203"/>
      <c r="SKL12" s="203"/>
      <c r="SLC12" s="203"/>
      <c r="SLD12" s="203"/>
      <c r="SLU12" s="203"/>
      <c r="SLV12" s="203"/>
      <c r="SMM12" s="203"/>
      <c r="SMN12" s="203"/>
      <c r="SNE12" s="203"/>
      <c r="SNF12" s="203"/>
      <c r="SNW12" s="203"/>
      <c r="SNX12" s="203"/>
      <c r="SOO12" s="203"/>
      <c r="SOP12" s="203"/>
      <c r="SPG12" s="203"/>
      <c r="SPH12" s="203"/>
      <c r="SPY12" s="203"/>
      <c r="SPZ12" s="203"/>
      <c r="SQQ12" s="203"/>
      <c r="SQR12" s="203"/>
      <c r="SRI12" s="203"/>
      <c r="SRJ12" s="203"/>
      <c r="SSA12" s="203"/>
      <c r="SSB12" s="203"/>
      <c r="SSS12" s="203"/>
      <c r="SST12" s="203"/>
      <c r="STK12" s="203"/>
      <c r="STL12" s="203"/>
      <c r="SUC12" s="203"/>
      <c r="SUD12" s="203"/>
      <c r="SUU12" s="203"/>
      <c r="SUV12" s="203"/>
      <c r="SVM12" s="203"/>
      <c r="SVN12" s="203"/>
      <c r="SWE12" s="203"/>
      <c r="SWF12" s="203"/>
      <c r="SWW12" s="203"/>
      <c r="SWX12" s="203"/>
      <c r="SXO12" s="203"/>
      <c r="SXP12" s="203"/>
      <c r="SYG12" s="203"/>
      <c r="SYH12" s="203"/>
      <c r="SYY12" s="203"/>
      <c r="SYZ12" s="203"/>
      <c r="SZQ12" s="203"/>
      <c r="SZR12" s="203"/>
      <c r="TAI12" s="203"/>
      <c r="TAJ12" s="203"/>
      <c r="TBA12" s="203"/>
      <c r="TBB12" s="203"/>
      <c r="TBS12" s="203"/>
      <c r="TBT12" s="203"/>
      <c r="TCK12" s="203"/>
      <c r="TCL12" s="203"/>
      <c r="TDC12" s="203"/>
      <c r="TDD12" s="203"/>
      <c r="TDU12" s="203"/>
      <c r="TDV12" s="203"/>
      <c r="TEM12" s="203"/>
      <c r="TEN12" s="203"/>
      <c r="TFE12" s="203"/>
      <c r="TFF12" s="203"/>
      <c r="TFW12" s="203"/>
      <c r="TFX12" s="203"/>
      <c r="TGO12" s="203"/>
      <c r="TGP12" s="203"/>
      <c r="THG12" s="203"/>
      <c r="THH12" s="203"/>
      <c r="THY12" s="203"/>
      <c r="THZ12" s="203"/>
      <c r="TIQ12" s="203"/>
      <c r="TIR12" s="203"/>
      <c r="TJI12" s="203"/>
      <c r="TJJ12" s="203"/>
      <c r="TKA12" s="203"/>
      <c r="TKB12" s="203"/>
      <c r="TKS12" s="203"/>
      <c r="TKT12" s="203"/>
      <c r="TLK12" s="203"/>
      <c r="TLL12" s="203"/>
      <c r="TMC12" s="203"/>
      <c r="TMD12" s="203"/>
      <c r="TMU12" s="203"/>
      <c r="TMV12" s="203"/>
      <c r="TNM12" s="203"/>
      <c r="TNN12" s="203"/>
      <c r="TOE12" s="203"/>
      <c r="TOF12" s="203"/>
      <c r="TOW12" s="203"/>
      <c r="TOX12" s="203"/>
      <c r="TPO12" s="203"/>
      <c r="TPP12" s="203"/>
      <c r="TQG12" s="203"/>
      <c r="TQH12" s="203"/>
      <c r="TQY12" s="203"/>
      <c r="TQZ12" s="203"/>
      <c r="TRQ12" s="203"/>
      <c r="TRR12" s="203"/>
      <c r="TSI12" s="203"/>
      <c r="TSJ12" s="203"/>
      <c r="TTA12" s="203"/>
      <c r="TTB12" s="203"/>
      <c r="TTS12" s="203"/>
      <c r="TTT12" s="203"/>
      <c r="TUK12" s="203"/>
      <c r="TUL12" s="203"/>
      <c r="TVC12" s="203"/>
      <c r="TVD12" s="203"/>
      <c r="TVU12" s="203"/>
      <c r="TVV12" s="203"/>
      <c r="TWM12" s="203"/>
      <c r="TWN12" s="203"/>
      <c r="TXE12" s="203"/>
      <c r="TXF12" s="203"/>
      <c r="TXW12" s="203"/>
      <c r="TXX12" s="203"/>
      <c r="TYO12" s="203"/>
      <c r="TYP12" s="203"/>
      <c r="TZG12" s="203"/>
      <c r="TZH12" s="203"/>
      <c r="TZY12" s="203"/>
      <c r="TZZ12" s="203"/>
      <c r="UAQ12" s="203"/>
      <c r="UAR12" s="203"/>
      <c r="UBI12" s="203"/>
      <c r="UBJ12" s="203"/>
      <c r="UCA12" s="203"/>
      <c r="UCB12" s="203"/>
      <c r="UCS12" s="203"/>
      <c r="UCT12" s="203"/>
      <c r="UDK12" s="203"/>
      <c r="UDL12" s="203"/>
      <c r="UEC12" s="203"/>
      <c r="UED12" s="203"/>
      <c r="UEU12" s="203"/>
      <c r="UEV12" s="203"/>
      <c r="UFM12" s="203"/>
      <c r="UFN12" s="203"/>
      <c r="UGE12" s="203"/>
      <c r="UGF12" s="203"/>
      <c r="UGW12" s="203"/>
      <c r="UGX12" s="203"/>
      <c r="UHO12" s="203"/>
      <c r="UHP12" s="203"/>
      <c r="UIG12" s="203"/>
      <c r="UIH12" s="203"/>
      <c r="UIY12" s="203"/>
      <c r="UIZ12" s="203"/>
      <c r="UJQ12" s="203"/>
      <c r="UJR12" s="203"/>
      <c r="UKI12" s="203"/>
      <c r="UKJ12" s="203"/>
      <c r="ULA12" s="203"/>
      <c r="ULB12" s="203"/>
      <c r="ULS12" s="203"/>
      <c r="ULT12" s="203"/>
      <c r="UMK12" s="203"/>
      <c r="UML12" s="203"/>
      <c r="UNC12" s="203"/>
      <c r="UND12" s="203"/>
      <c r="UNU12" s="203"/>
      <c r="UNV12" s="203"/>
      <c r="UOM12" s="203"/>
      <c r="UON12" s="203"/>
      <c r="UPE12" s="203"/>
      <c r="UPF12" s="203"/>
      <c r="UPW12" s="203"/>
      <c r="UPX12" s="203"/>
      <c r="UQO12" s="203"/>
      <c r="UQP12" s="203"/>
      <c r="URG12" s="203"/>
      <c r="URH12" s="203"/>
      <c r="URY12" s="203"/>
      <c r="URZ12" s="203"/>
      <c r="USQ12" s="203"/>
      <c r="USR12" s="203"/>
      <c r="UTI12" s="203"/>
      <c r="UTJ12" s="203"/>
      <c r="UUA12" s="203"/>
      <c r="UUB12" s="203"/>
      <c r="UUS12" s="203"/>
      <c r="UUT12" s="203"/>
      <c r="UVK12" s="203"/>
      <c r="UVL12" s="203"/>
      <c r="UWC12" s="203"/>
      <c r="UWD12" s="203"/>
      <c r="UWU12" s="203"/>
      <c r="UWV12" s="203"/>
      <c r="UXM12" s="203"/>
      <c r="UXN12" s="203"/>
      <c r="UYE12" s="203"/>
      <c r="UYF12" s="203"/>
      <c r="UYW12" s="203"/>
      <c r="UYX12" s="203"/>
      <c r="UZO12" s="203"/>
      <c r="UZP12" s="203"/>
      <c r="VAG12" s="203"/>
      <c r="VAH12" s="203"/>
      <c r="VAY12" s="203"/>
      <c r="VAZ12" s="203"/>
      <c r="VBQ12" s="203"/>
      <c r="VBR12" s="203"/>
      <c r="VCI12" s="203"/>
      <c r="VCJ12" s="203"/>
      <c r="VDA12" s="203"/>
      <c r="VDB12" s="203"/>
      <c r="VDS12" s="203"/>
      <c r="VDT12" s="203"/>
      <c r="VEK12" s="203"/>
      <c r="VEL12" s="203"/>
      <c r="VFC12" s="203"/>
      <c r="VFD12" s="203"/>
      <c r="VFU12" s="203"/>
      <c r="VFV12" s="203"/>
      <c r="VGM12" s="203"/>
      <c r="VGN12" s="203"/>
      <c r="VHE12" s="203"/>
      <c r="VHF12" s="203"/>
      <c r="VHW12" s="203"/>
      <c r="VHX12" s="203"/>
      <c r="VIO12" s="203"/>
      <c r="VIP12" s="203"/>
      <c r="VJG12" s="203"/>
      <c r="VJH12" s="203"/>
      <c r="VJY12" s="203"/>
      <c r="VJZ12" s="203"/>
      <c r="VKQ12" s="203"/>
      <c r="VKR12" s="203"/>
      <c r="VLI12" s="203"/>
      <c r="VLJ12" s="203"/>
      <c r="VMA12" s="203"/>
      <c r="VMB12" s="203"/>
      <c r="VMS12" s="203"/>
      <c r="VMT12" s="203"/>
      <c r="VNK12" s="203"/>
      <c r="VNL12" s="203"/>
      <c r="VOC12" s="203"/>
      <c r="VOD12" s="203"/>
      <c r="VOU12" s="203"/>
      <c r="VOV12" s="203"/>
      <c r="VPM12" s="203"/>
      <c r="VPN12" s="203"/>
      <c r="VQE12" s="203"/>
      <c r="VQF12" s="203"/>
      <c r="VQW12" s="203"/>
      <c r="VQX12" s="203"/>
      <c r="VRO12" s="203"/>
      <c r="VRP12" s="203"/>
      <c r="VSG12" s="203"/>
      <c r="VSH12" s="203"/>
      <c r="VSY12" s="203"/>
      <c r="VSZ12" s="203"/>
      <c r="VTQ12" s="203"/>
      <c r="VTR12" s="203"/>
      <c r="VUI12" s="203"/>
      <c r="VUJ12" s="203"/>
      <c r="VVA12" s="203"/>
      <c r="VVB12" s="203"/>
      <c r="VVS12" s="203"/>
      <c r="VVT12" s="203"/>
      <c r="VWK12" s="203"/>
      <c r="VWL12" s="203"/>
      <c r="VXC12" s="203"/>
      <c r="VXD12" s="203"/>
      <c r="VXU12" s="203"/>
      <c r="VXV12" s="203"/>
      <c r="VYM12" s="203"/>
      <c r="VYN12" s="203"/>
      <c r="VZE12" s="203"/>
      <c r="VZF12" s="203"/>
      <c r="VZW12" s="203"/>
      <c r="VZX12" s="203"/>
      <c r="WAO12" s="203"/>
      <c r="WAP12" s="203"/>
      <c r="WBG12" s="203"/>
      <c r="WBH12" s="203"/>
      <c r="WBY12" s="203"/>
      <c r="WBZ12" s="203"/>
      <c r="WCQ12" s="203"/>
      <c r="WCR12" s="203"/>
      <c r="WDI12" s="203"/>
      <c r="WDJ12" s="203"/>
      <c r="WEA12" s="203"/>
      <c r="WEB12" s="203"/>
      <c r="WES12" s="203"/>
      <c r="WET12" s="203"/>
      <c r="WFK12" s="203"/>
      <c r="WFL12" s="203"/>
      <c r="WGC12" s="203"/>
      <c r="WGD12" s="203"/>
      <c r="WGU12" s="203"/>
      <c r="WGV12" s="203"/>
      <c r="WHM12" s="203"/>
      <c r="WHN12" s="203"/>
      <c r="WIE12" s="203"/>
      <c r="WIF12" s="203"/>
      <c r="WIW12" s="203"/>
      <c r="WIX12" s="203"/>
      <c r="WJO12" s="203"/>
      <c r="WJP12" s="203"/>
      <c r="WKG12" s="203"/>
      <c r="WKH12" s="203"/>
      <c r="WKY12" s="203"/>
      <c r="WKZ12" s="203"/>
      <c r="WLQ12" s="203"/>
      <c r="WLR12" s="203"/>
      <c r="WMI12" s="203"/>
      <c r="WMJ12" s="203"/>
      <c r="WNA12" s="203"/>
      <c r="WNB12" s="203"/>
      <c r="WNS12" s="203"/>
      <c r="WNT12" s="203"/>
      <c r="WOK12" s="203"/>
      <c r="WOL12" s="203"/>
      <c r="WPC12" s="203"/>
      <c r="WPD12" s="203"/>
      <c r="WPU12" s="203"/>
      <c r="WPV12" s="203"/>
      <c r="WQM12" s="203"/>
      <c r="WQN12" s="203"/>
      <c r="WRE12" s="203"/>
      <c r="WRF12" s="203"/>
      <c r="WRW12" s="203"/>
      <c r="WRX12" s="203"/>
      <c r="WSO12" s="203"/>
      <c r="WSP12" s="203"/>
      <c r="WTG12" s="203"/>
      <c r="WTH12" s="203"/>
      <c r="WTY12" s="203"/>
      <c r="WTZ12" s="203"/>
      <c r="WUQ12" s="203"/>
      <c r="WUR12" s="203"/>
      <c r="WVI12" s="203"/>
      <c r="WVJ12" s="203"/>
      <c r="WWA12" s="203"/>
      <c r="WWB12" s="203"/>
      <c r="WWS12" s="203"/>
      <c r="WWT12" s="203"/>
      <c r="WXK12" s="203"/>
      <c r="WXL12" s="203"/>
      <c r="WYC12" s="203"/>
      <c r="WYD12" s="203"/>
      <c r="WYU12" s="203"/>
      <c r="WYV12" s="203"/>
      <c r="WZM12" s="203"/>
      <c r="WZN12" s="203"/>
      <c r="XAE12" s="203"/>
      <c r="XAF12" s="203"/>
      <c r="XAW12" s="203"/>
      <c r="XAX12" s="203"/>
      <c r="XBO12" s="203"/>
      <c r="XBP12" s="203"/>
      <c r="XCG12" s="203"/>
      <c r="XCH12" s="203"/>
      <c r="XCY12" s="203"/>
      <c r="XCZ12" s="203"/>
      <c r="XDQ12" s="203"/>
      <c r="XDR12" s="203"/>
      <c r="XEI12" s="203"/>
      <c r="XEJ12" s="203"/>
      <c r="XFA12" s="203"/>
      <c r="XFB12" s="203"/>
    </row>
    <row r="13" spans="1:1010 1027:2036 2053:3062 3079:4088 4105:5114 5131:6140 6157:7166 7183:8192 8209:9200 9217:10226 10243:11252 11269:12278 12295:13304 13321:14330 14347:15356 15373:16382" s="152" customFormat="1" x14ac:dyDescent="0.35">
      <c r="A13" s="181" t="s">
        <v>354</v>
      </c>
      <c r="B13" s="294" t="s">
        <v>355</v>
      </c>
      <c r="C13" s="198">
        <v>3.06</v>
      </c>
      <c r="D13" s="198">
        <v>3.5979999999999999</v>
      </c>
      <c r="E13" s="198">
        <v>3.891</v>
      </c>
      <c r="F13" s="198">
        <v>4.1950000000000003</v>
      </c>
      <c r="G13" s="198">
        <v>5.6159999999999997</v>
      </c>
      <c r="H13" s="198">
        <v>6.1859999999999999</v>
      </c>
      <c r="I13" s="198">
        <v>5.4580000000000002</v>
      </c>
      <c r="J13" s="198">
        <v>6.5289999999999999</v>
      </c>
      <c r="K13" s="198">
        <v>6.3920000000000003</v>
      </c>
      <c r="L13" s="198">
        <v>8.0589999999999993</v>
      </c>
      <c r="M13" s="204"/>
      <c r="N13" s="204"/>
      <c r="O13" s="204"/>
      <c r="P13" s="204"/>
      <c r="Q13" s="204"/>
      <c r="R13" s="204"/>
    </row>
    <row r="14" spans="1:1010 1027:2036 2053:3062 3079:4088 4105:5114 5131:6140 6157:7166 7183:8192 8209:9200 9217:10226 10243:11252 11269:12278 12295:13304 13321:14330 14347:15356 15373:16382" s="152" customFormat="1" x14ac:dyDescent="0.35">
      <c r="A14" s="181" t="s">
        <v>356</v>
      </c>
      <c r="B14" s="294" t="s">
        <v>357</v>
      </c>
      <c r="C14" s="198">
        <v>-5.7549999999999999</v>
      </c>
      <c r="D14" s="198">
        <v>-0.90300000000000002</v>
      </c>
      <c r="E14" s="198">
        <v>-0.05</v>
      </c>
      <c r="F14" s="198">
        <v>-5.6859999999999999</v>
      </c>
      <c r="G14" s="198">
        <v>1.3839999999999999</v>
      </c>
      <c r="H14" s="198">
        <v>1.911</v>
      </c>
      <c r="I14" s="198">
        <v>-2.0630000000000002</v>
      </c>
      <c r="J14" s="198">
        <v>0</v>
      </c>
      <c r="K14" s="198">
        <v>-3.895</v>
      </c>
      <c r="L14" s="198">
        <v>-1.4330000000000001</v>
      </c>
      <c r="M14" s="312"/>
      <c r="N14" s="204"/>
      <c r="O14" s="204"/>
      <c r="P14" s="204"/>
      <c r="Q14" s="204"/>
      <c r="R14" s="204"/>
    </row>
    <row r="15" spans="1:1010 1027:2036 2053:3062 3079:4088 4105:5114 5131:6140 6157:7166 7183:8192 8209:9200 9217:10226 10243:11252 11269:12278 12295:13304 13321:14330 14347:15356 15373:16382" s="152" customFormat="1" x14ac:dyDescent="0.35">
      <c r="A15" s="181" t="s">
        <v>358</v>
      </c>
      <c r="B15" s="294" t="s">
        <v>359</v>
      </c>
      <c r="C15" s="198">
        <v>11.263</v>
      </c>
      <c r="D15" s="198">
        <v>-5.806</v>
      </c>
      <c r="E15" s="198">
        <v>2.5089999999999999</v>
      </c>
      <c r="F15" s="198">
        <v>8.3330000000000002</v>
      </c>
      <c r="G15" s="198">
        <v>-4.7990000000000004</v>
      </c>
      <c r="H15" s="198">
        <v>-4.4790000000000001</v>
      </c>
      <c r="I15" s="198">
        <v>8.5000000000000006E-2</v>
      </c>
      <c r="J15" s="198">
        <v>5.2050000000000001</v>
      </c>
      <c r="K15" s="198">
        <v>6.7949999999999999</v>
      </c>
      <c r="L15" s="198">
        <v>2.8889999999999998</v>
      </c>
      <c r="M15" s="204"/>
      <c r="N15" s="204"/>
      <c r="O15" s="204"/>
      <c r="P15" s="204"/>
      <c r="Q15" s="204"/>
      <c r="R15" s="204"/>
    </row>
    <row r="16" spans="1:1010 1027:2036 2053:3062 3079:4088 4105:5114 5131:6140 6157:7166 7183:8192 8209:9200 9217:10226 10243:11252 11269:12278 12295:13304 13321:14330 14347:15356 15373:16382" x14ac:dyDescent="0.35">
      <c r="A16" s="23" t="s">
        <v>29</v>
      </c>
      <c r="B16" s="295"/>
      <c r="C16" s="321">
        <f t="shared" ref="C16:L16" si="0">ROUND(SUM(C13:C15)-IF(C12="",0,C12),1)</f>
        <v>0</v>
      </c>
      <c r="D16" s="321">
        <f t="shared" si="0"/>
        <v>0</v>
      </c>
      <c r="E16" s="321">
        <f t="shared" si="0"/>
        <v>0</v>
      </c>
      <c r="F16" s="321">
        <f t="shared" si="0"/>
        <v>0</v>
      </c>
      <c r="G16" s="321">
        <f t="shared" si="0"/>
        <v>0</v>
      </c>
      <c r="H16" s="321">
        <f t="shared" si="0"/>
        <v>0</v>
      </c>
      <c r="I16" s="321">
        <f t="shared" si="0"/>
        <v>0</v>
      </c>
      <c r="J16" s="321">
        <f t="shared" si="0"/>
        <v>0</v>
      </c>
      <c r="K16" s="321">
        <f t="shared" si="0"/>
        <v>0</v>
      </c>
      <c r="L16" s="321">
        <f t="shared" si="0"/>
        <v>0</v>
      </c>
      <c r="M16" s="118"/>
      <c r="N16" s="118"/>
      <c r="O16" s="118"/>
      <c r="P16" s="118"/>
      <c r="Q16" s="118"/>
      <c r="R16" s="118"/>
    </row>
    <row r="17" spans="1:1010 1027:2036 2053:3062 3079:4088 4105:5114 5131:6140 6157:7166 7183:8192 8209:9200 9217:10226 10243:11252 11269:12278 12295:13304 13321:14330 14347:15356 15373:16382" s="11" customFormat="1" x14ac:dyDescent="0.35">
      <c r="A17" s="183" t="s">
        <v>360</v>
      </c>
      <c r="B17" s="293" t="s">
        <v>361</v>
      </c>
      <c r="C17" s="184">
        <v>-12.590999999999999</v>
      </c>
      <c r="D17" s="184">
        <v>2.7029999999999998</v>
      </c>
      <c r="E17" s="184">
        <v>-9.2070000000000007</v>
      </c>
      <c r="F17" s="184">
        <v>-19.234999999999999</v>
      </c>
      <c r="G17" s="184">
        <v>-14.192</v>
      </c>
      <c r="H17" s="184">
        <v>-21.399000000000001</v>
      </c>
      <c r="I17" s="184">
        <v>-86.078999999999994</v>
      </c>
      <c r="J17" s="184">
        <v>16.312000000000001</v>
      </c>
      <c r="K17" s="184">
        <v>-0.98799999999999999</v>
      </c>
      <c r="L17" s="184">
        <v>28.446999999999999</v>
      </c>
      <c r="S17" s="12"/>
      <c r="T17" s="12"/>
      <c r="AK17" s="12"/>
      <c r="AL17" s="12"/>
      <c r="BC17" s="12"/>
      <c r="BD17" s="12"/>
      <c r="BU17" s="12"/>
      <c r="BV17" s="12"/>
      <c r="CM17" s="12"/>
      <c r="CN17" s="12"/>
      <c r="DE17" s="12"/>
      <c r="DF17" s="12"/>
      <c r="DW17" s="12"/>
      <c r="DX17" s="12"/>
      <c r="EO17" s="12"/>
      <c r="EP17" s="12"/>
      <c r="FG17" s="12"/>
      <c r="FH17" s="12"/>
      <c r="FY17" s="12"/>
      <c r="FZ17" s="12"/>
      <c r="GQ17" s="12"/>
      <c r="GR17" s="12"/>
      <c r="HI17" s="12"/>
      <c r="HJ17" s="12"/>
      <c r="IA17" s="12"/>
      <c r="IB17" s="12"/>
      <c r="IS17" s="12"/>
      <c r="IT17" s="12"/>
      <c r="JK17" s="12"/>
      <c r="JL17" s="12"/>
      <c r="KC17" s="12"/>
      <c r="KD17" s="12"/>
      <c r="KU17" s="12"/>
      <c r="KV17" s="12"/>
      <c r="LM17" s="12"/>
      <c r="LN17" s="12"/>
      <c r="ME17" s="12"/>
      <c r="MF17" s="12"/>
      <c r="MW17" s="12"/>
      <c r="MX17" s="12"/>
      <c r="NO17" s="12"/>
      <c r="NP17" s="12"/>
      <c r="OG17" s="12"/>
      <c r="OH17" s="12"/>
      <c r="OY17" s="12"/>
      <c r="OZ17" s="12"/>
      <c r="PQ17" s="12"/>
      <c r="PR17" s="12"/>
      <c r="QI17" s="12"/>
      <c r="QJ17" s="12"/>
      <c r="RA17" s="12"/>
      <c r="RB17" s="12"/>
      <c r="RS17" s="12"/>
      <c r="RT17" s="12"/>
      <c r="SK17" s="12"/>
      <c r="SL17" s="12"/>
      <c r="TC17" s="12"/>
      <c r="TD17" s="12"/>
      <c r="TU17" s="12"/>
      <c r="TV17" s="12"/>
      <c r="UM17" s="12"/>
      <c r="UN17" s="12"/>
      <c r="VE17" s="12"/>
      <c r="VF17" s="12"/>
      <c r="VW17" s="12"/>
      <c r="VX17" s="12"/>
      <c r="WO17" s="12"/>
      <c r="WP17" s="12"/>
      <c r="XG17" s="12"/>
      <c r="XH17" s="12"/>
      <c r="XY17" s="12"/>
      <c r="XZ17" s="12"/>
      <c r="YQ17" s="12"/>
      <c r="YR17" s="12"/>
      <c r="ZI17" s="12"/>
      <c r="ZJ17" s="12"/>
      <c r="AAA17" s="12"/>
      <c r="AAB17" s="12"/>
      <c r="AAS17" s="12"/>
      <c r="AAT17" s="12"/>
      <c r="ABK17" s="12"/>
      <c r="ABL17" s="12"/>
      <c r="ACC17" s="12"/>
      <c r="ACD17" s="12"/>
      <c r="ACU17" s="12"/>
      <c r="ACV17" s="12"/>
      <c r="ADM17" s="12"/>
      <c r="ADN17" s="12"/>
      <c r="AEE17" s="12"/>
      <c r="AEF17" s="12"/>
      <c r="AEW17" s="12"/>
      <c r="AEX17" s="12"/>
      <c r="AFO17" s="12"/>
      <c r="AFP17" s="12"/>
      <c r="AGG17" s="12"/>
      <c r="AGH17" s="12"/>
      <c r="AGY17" s="12"/>
      <c r="AGZ17" s="12"/>
      <c r="AHQ17" s="12"/>
      <c r="AHR17" s="12"/>
      <c r="AII17" s="12"/>
      <c r="AIJ17" s="12"/>
      <c r="AJA17" s="12"/>
      <c r="AJB17" s="12"/>
      <c r="AJS17" s="12"/>
      <c r="AJT17" s="12"/>
      <c r="AKK17" s="12"/>
      <c r="AKL17" s="12"/>
      <c r="ALC17" s="12"/>
      <c r="ALD17" s="12"/>
      <c r="ALU17" s="12"/>
      <c r="ALV17" s="12"/>
      <c r="AMM17" s="12"/>
      <c r="AMN17" s="12"/>
      <c r="ANE17" s="12"/>
      <c r="ANF17" s="12"/>
      <c r="ANW17" s="12"/>
      <c r="ANX17" s="12"/>
      <c r="AOO17" s="12"/>
      <c r="AOP17" s="12"/>
      <c r="APG17" s="12"/>
      <c r="APH17" s="12"/>
      <c r="APY17" s="12"/>
      <c r="APZ17" s="12"/>
      <c r="AQQ17" s="12"/>
      <c r="AQR17" s="12"/>
      <c r="ARI17" s="12"/>
      <c r="ARJ17" s="12"/>
      <c r="ASA17" s="12"/>
      <c r="ASB17" s="12"/>
      <c r="ASS17" s="12"/>
      <c r="AST17" s="12"/>
      <c r="ATK17" s="12"/>
      <c r="ATL17" s="12"/>
      <c r="AUC17" s="12"/>
      <c r="AUD17" s="12"/>
      <c r="AUU17" s="12"/>
      <c r="AUV17" s="12"/>
      <c r="AVM17" s="12"/>
      <c r="AVN17" s="12"/>
      <c r="AWE17" s="12"/>
      <c r="AWF17" s="12"/>
      <c r="AWW17" s="12"/>
      <c r="AWX17" s="12"/>
      <c r="AXO17" s="12"/>
      <c r="AXP17" s="12"/>
      <c r="AYG17" s="12"/>
      <c r="AYH17" s="12"/>
      <c r="AYY17" s="12"/>
      <c r="AYZ17" s="12"/>
      <c r="AZQ17" s="12"/>
      <c r="AZR17" s="12"/>
      <c r="BAI17" s="12"/>
      <c r="BAJ17" s="12"/>
      <c r="BBA17" s="12"/>
      <c r="BBB17" s="12"/>
      <c r="BBS17" s="12"/>
      <c r="BBT17" s="12"/>
      <c r="BCK17" s="12"/>
      <c r="BCL17" s="12"/>
      <c r="BDC17" s="12"/>
      <c r="BDD17" s="12"/>
      <c r="BDU17" s="12"/>
      <c r="BDV17" s="12"/>
      <c r="BEM17" s="12"/>
      <c r="BEN17" s="12"/>
      <c r="BFE17" s="12"/>
      <c r="BFF17" s="12"/>
      <c r="BFW17" s="12"/>
      <c r="BFX17" s="12"/>
      <c r="BGO17" s="12"/>
      <c r="BGP17" s="12"/>
      <c r="BHG17" s="12"/>
      <c r="BHH17" s="12"/>
      <c r="BHY17" s="12"/>
      <c r="BHZ17" s="12"/>
      <c r="BIQ17" s="12"/>
      <c r="BIR17" s="12"/>
      <c r="BJI17" s="12"/>
      <c r="BJJ17" s="12"/>
      <c r="BKA17" s="12"/>
      <c r="BKB17" s="12"/>
      <c r="BKS17" s="12"/>
      <c r="BKT17" s="12"/>
      <c r="BLK17" s="12"/>
      <c r="BLL17" s="12"/>
      <c r="BMC17" s="12"/>
      <c r="BMD17" s="12"/>
      <c r="BMU17" s="12"/>
      <c r="BMV17" s="12"/>
      <c r="BNM17" s="12"/>
      <c r="BNN17" s="12"/>
      <c r="BOE17" s="12"/>
      <c r="BOF17" s="12"/>
      <c r="BOW17" s="12"/>
      <c r="BOX17" s="12"/>
      <c r="BPO17" s="12"/>
      <c r="BPP17" s="12"/>
      <c r="BQG17" s="12"/>
      <c r="BQH17" s="12"/>
      <c r="BQY17" s="12"/>
      <c r="BQZ17" s="12"/>
      <c r="BRQ17" s="12"/>
      <c r="BRR17" s="12"/>
      <c r="BSI17" s="12"/>
      <c r="BSJ17" s="12"/>
      <c r="BTA17" s="12"/>
      <c r="BTB17" s="12"/>
      <c r="BTS17" s="12"/>
      <c r="BTT17" s="12"/>
      <c r="BUK17" s="12"/>
      <c r="BUL17" s="12"/>
      <c r="BVC17" s="12"/>
      <c r="BVD17" s="12"/>
      <c r="BVU17" s="12"/>
      <c r="BVV17" s="12"/>
      <c r="BWM17" s="12"/>
      <c r="BWN17" s="12"/>
      <c r="BXE17" s="12"/>
      <c r="BXF17" s="12"/>
      <c r="BXW17" s="12"/>
      <c r="BXX17" s="12"/>
      <c r="BYO17" s="12"/>
      <c r="BYP17" s="12"/>
      <c r="BZG17" s="12"/>
      <c r="BZH17" s="12"/>
      <c r="BZY17" s="12"/>
      <c r="BZZ17" s="12"/>
      <c r="CAQ17" s="12"/>
      <c r="CAR17" s="12"/>
      <c r="CBI17" s="12"/>
      <c r="CBJ17" s="12"/>
      <c r="CCA17" s="12"/>
      <c r="CCB17" s="12"/>
      <c r="CCS17" s="12"/>
      <c r="CCT17" s="12"/>
      <c r="CDK17" s="12"/>
      <c r="CDL17" s="12"/>
      <c r="CEC17" s="12"/>
      <c r="CED17" s="12"/>
      <c r="CEU17" s="12"/>
      <c r="CEV17" s="12"/>
      <c r="CFM17" s="12"/>
      <c r="CFN17" s="12"/>
      <c r="CGE17" s="12"/>
      <c r="CGF17" s="12"/>
      <c r="CGW17" s="12"/>
      <c r="CGX17" s="12"/>
      <c r="CHO17" s="12"/>
      <c r="CHP17" s="12"/>
      <c r="CIG17" s="12"/>
      <c r="CIH17" s="12"/>
      <c r="CIY17" s="12"/>
      <c r="CIZ17" s="12"/>
      <c r="CJQ17" s="12"/>
      <c r="CJR17" s="12"/>
      <c r="CKI17" s="12"/>
      <c r="CKJ17" s="12"/>
      <c r="CLA17" s="12"/>
      <c r="CLB17" s="12"/>
      <c r="CLS17" s="12"/>
      <c r="CLT17" s="12"/>
      <c r="CMK17" s="12"/>
      <c r="CML17" s="12"/>
      <c r="CNC17" s="12"/>
      <c r="CND17" s="12"/>
      <c r="CNU17" s="12"/>
      <c r="CNV17" s="12"/>
      <c r="COM17" s="12"/>
      <c r="CON17" s="12"/>
      <c r="CPE17" s="12"/>
      <c r="CPF17" s="12"/>
      <c r="CPW17" s="12"/>
      <c r="CPX17" s="12"/>
      <c r="CQO17" s="12"/>
      <c r="CQP17" s="12"/>
      <c r="CRG17" s="12"/>
      <c r="CRH17" s="12"/>
      <c r="CRY17" s="12"/>
      <c r="CRZ17" s="12"/>
      <c r="CSQ17" s="12"/>
      <c r="CSR17" s="12"/>
      <c r="CTI17" s="12"/>
      <c r="CTJ17" s="12"/>
      <c r="CUA17" s="12"/>
      <c r="CUB17" s="12"/>
      <c r="CUS17" s="12"/>
      <c r="CUT17" s="12"/>
      <c r="CVK17" s="12"/>
      <c r="CVL17" s="12"/>
      <c r="CWC17" s="12"/>
      <c r="CWD17" s="12"/>
      <c r="CWU17" s="12"/>
      <c r="CWV17" s="12"/>
      <c r="CXM17" s="12"/>
      <c r="CXN17" s="12"/>
      <c r="CYE17" s="12"/>
      <c r="CYF17" s="12"/>
      <c r="CYW17" s="12"/>
      <c r="CYX17" s="12"/>
      <c r="CZO17" s="12"/>
      <c r="CZP17" s="12"/>
      <c r="DAG17" s="12"/>
      <c r="DAH17" s="12"/>
      <c r="DAY17" s="12"/>
      <c r="DAZ17" s="12"/>
      <c r="DBQ17" s="12"/>
      <c r="DBR17" s="12"/>
      <c r="DCI17" s="12"/>
      <c r="DCJ17" s="12"/>
      <c r="DDA17" s="12"/>
      <c r="DDB17" s="12"/>
      <c r="DDS17" s="12"/>
      <c r="DDT17" s="12"/>
      <c r="DEK17" s="12"/>
      <c r="DEL17" s="12"/>
      <c r="DFC17" s="12"/>
      <c r="DFD17" s="12"/>
      <c r="DFU17" s="12"/>
      <c r="DFV17" s="12"/>
      <c r="DGM17" s="12"/>
      <c r="DGN17" s="12"/>
      <c r="DHE17" s="12"/>
      <c r="DHF17" s="12"/>
      <c r="DHW17" s="12"/>
      <c r="DHX17" s="12"/>
      <c r="DIO17" s="12"/>
      <c r="DIP17" s="12"/>
      <c r="DJG17" s="12"/>
      <c r="DJH17" s="12"/>
      <c r="DJY17" s="12"/>
      <c r="DJZ17" s="12"/>
      <c r="DKQ17" s="12"/>
      <c r="DKR17" s="12"/>
      <c r="DLI17" s="12"/>
      <c r="DLJ17" s="12"/>
      <c r="DMA17" s="12"/>
      <c r="DMB17" s="12"/>
      <c r="DMS17" s="12"/>
      <c r="DMT17" s="12"/>
      <c r="DNK17" s="12"/>
      <c r="DNL17" s="12"/>
      <c r="DOC17" s="12"/>
      <c r="DOD17" s="12"/>
      <c r="DOU17" s="12"/>
      <c r="DOV17" s="12"/>
      <c r="DPM17" s="12"/>
      <c r="DPN17" s="12"/>
      <c r="DQE17" s="12"/>
      <c r="DQF17" s="12"/>
      <c r="DQW17" s="12"/>
      <c r="DQX17" s="12"/>
      <c r="DRO17" s="12"/>
      <c r="DRP17" s="12"/>
      <c r="DSG17" s="12"/>
      <c r="DSH17" s="12"/>
      <c r="DSY17" s="12"/>
      <c r="DSZ17" s="12"/>
      <c r="DTQ17" s="12"/>
      <c r="DTR17" s="12"/>
      <c r="DUI17" s="12"/>
      <c r="DUJ17" s="12"/>
      <c r="DVA17" s="12"/>
      <c r="DVB17" s="12"/>
      <c r="DVS17" s="12"/>
      <c r="DVT17" s="12"/>
      <c r="DWK17" s="12"/>
      <c r="DWL17" s="12"/>
      <c r="DXC17" s="12"/>
      <c r="DXD17" s="12"/>
      <c r="DXU17" s="12"/>
      <c r="DXV17" s="12"/>
      <c r="DYM17" s="12"/>
      <c r="DYN17" s="12"/>
      <c r="DZE17" s="12"/>
      <c r="DZF17" s="12"/>
      <c r="DZW17" s="12"/>
      <c r="DZX17" s="12"/>
      <c r="EAO17" s="12"/>
      <c r="EAP17" s="12"/>
      <c r="EBG17" s="12"/>
      <c r="EBH17" s="12"/>
      <c r="EBY17" s="12"/>
      <c r="EBZ17" s="12"/>
      <c r="ECQ17" s="12"/>
      <c r="ECR17" s="12"/>
      <c r="EDI17" s="12"/>
      <c r="EDJ17" s="12"/>
      <c r="EEA17" s="12"/>
      <c r="EEB17" s="12"/>
      <c r="EES17" s="12"/>
      <c r="EET17" s="12"/>
      <c r="EFK17" s="12"/>
      <c r="EFL17" s="12"/>
      <c r="EGC17" s="12"/>
      <c r="EGD17" s="12"/>
      <c r="EGU17" s="12"/>
      <c r="EGV17" s="12"/>
      <c r="EHM17" s="12"/>
      <c r="EHN17" s="12"/>
      <c r="EIE17" s="12"/>
      <c r="EIF17" s="12"/>
      <c r="EIW17" s="12"/>
      <c r="EIX17" s="12"/>
      <c r="EJO17" s="12"/>
      <c r="EJP17" s="12"/>
      <c r="EKG17" s="12"/>
      <c r="EKH17" s="12"/>
      <c r="EKY17" s="12"/>
      <c r="EKZ17" s="12"/>
      <c r="ELQ17" s="12"/>
      <c r="ELR17" s="12"/>
      <c r="EMI17" s="12"/>
      <c r="EMJ17" s="12"/>
      <c r="ENA17" s="12"/>
      <c r="ENB17" s="12"/>
      <c r="ENS17" s="12"/>
      <c r="ENT17" s="12"/>
      <c r="EOK17" s="12"/>
      <c r="EOL17" s="12"/>
      <c r="EPC17" s="12"/>
      <c r="EPD17" s="12"/>
      <c r="EPU17" s="12"/>
      <c r="EPV17" s="12"/>
      <c r="EQM17" s="12"/>
      <c r="EQN17" s="12"/>
      <c r="ERE17" s="12"/>
      <c r="ERF17" s="12"/>
      <c r="ERW17" s="12"/>
      <c r="ERX17" s="12"/>
      <c r="ESO17" s="12"/>
      <c r="ESP17" s="12"/>
      <c r="ETG17" s="12"/>
      <c r="ETH17" s="12"/>
      <c r="ETY17" s="12"/>
      <c r="ETZ17" s="12"/>
      <c r="EUQ17" s="12"/>
      <c r="EUR17" s="12"/>
      <c r="EVI17" s="12"/>
      <c r="EVJ17" s="12"/>
      <c r="EWA17" s="12"/>
      <c r="EWB17" s="12"/>
      <c r="EWS17" s="12"/>
      <c r="EWT17" s="12"/>
      <c r="EXK17" s="12"/>
      <c r="EXL17" s="12"/>
      <c r="EYC17" s="12"/>
      <c r="EYD17" s="12"/>
      <c r="EYU17" s="12"/>
      <c r="EYV17" s="12"/>
      <c r="EZM17" s="12"/>
      <c r="EZN17" s="12"/>
      <c r="FAE17" s="12"/>
      <c r="FAF17" s="12"/>
      <c r="FAW17" s="12"/>
      <c r="FAX17" s="12"/>
      <c r="FBO17" s="12"/>
      <c r="FBP17" s="12"/>
      <c r="FCG17" s="12"/>
      <c r="FCH17" s="12"/>
      <c r="FCY17" s="12"/>
      <c r="FCZ17" s="12"/>
      <c r="FDQ17" s="12"/>
      <c r="FDR17" s="12"/>
      <c r="FEI17" s="12"/>
      <c r="FEJ17" s="12"/>
      <c r="FFA17" s="12"/>
      <c r="FFB17" s="12"/>
      <c r="FFS17" s="12"/>
      <c r="FFT17" s="12"/>
      <c r="FGK17" s="12"/>
      <c r="FGL17" s="12"/>
      <c r="FHC17" s="12"/>
      <c r="FHD17" s="12"/>
      <c r="FHU17" s="12"/>
      <c r="FHV17" s="12"/>
      <c r="FIM17" s="12"/>
      <c r="FIN17" s="12"/>
      <c r="FJE17" s="12"/>
      <c r="FJF17" s="12"/>
      <c r="FJW17" s="12"/>
      <c r="FJX17" s="12"/>
      <c r="FKO17" s="12"/>
      <c r="FKP17" s="12"/>
      <c r="FLG17" s="12"/>
      <c r="FLH17" s="12"/>
      <c r="FLY17" s="12"/>
      <c r="FLZ17" s="12"/>
      <c r="FMQ17" s="12"/>
      <c r="FMR17" s="12"/>
      <c r="FNI17" s="12"/>
      <c r="FNJ17" s="12"/>
      <c r="FOA17" s="12"/>
      <c r="FOB17" s="12"/>
      <c r="FOS17" s="12"/>
      <c r="FOT17" s="12"/>
      <c r="FPK17" s="12"/>
      <c r="FPL17" s="12"/>
      <c r="FQC17" s="12"/>
      <c r="FQD17" s="12"/>
      <c r="FQU17" s="12"/>
      <c r="FQV17" s="12"/>
      <c r="FRM17" s="12"/>
      <c r="FRN17" s="12"/>
      <c r="FSE17" s="12"/>
      <c r="FSF17" s="12"/>
      <c r="FSW17" s="12"/>
      <c r="FSX17" s="12"/>
      <c r="FTO17" s="12"/>
      <c r="FTP17" s="12"/>
      <c r="FUG17" s="12"/>
      <c r="FUH17" s="12"/>
      <c r="FUY17" s="12"/>
      <c r="FUZ17" s="12"/>
      <c r="FVQ17" s="12"/>
      <c r="FVR17" s="12"/>
      <c r="FWI17" s="12"/>
      <c r="FWJ17" s="12"/>
      <c r="FXA17" s="12"/>
      <c r="FXB17" s="12"/>
      <c r="FXS17" s="12"/>
      <c r="FXT17" s="12"/>
      <c r="FYK17" s="12"/>
      <c r="FYL17" s="12"/>
      <c r="FZC17" s="12"/>
      <c r="FZD17" s="12"/>
      <c r="FZU17" s="12"/>
      <c r="FZV17" s="12"/>
      <c r="GAM17" s="12"/>
      <c r="GAN17" s="12"/>
      <c r="GBE17" s="12"/>
      <c r="GBF17" s="12"/>
      <c r="GBW17" s="12"/>
      <c r="GBX17" s="12"/>
      <c r="GCO17" s="12"/>
      <c r="GCP17" s="12"/>
      <c r="GDG17" s="12"/>
      <c r="GDH17" s="12"/>
      <c r="GDY17" s="12"/>
      <c r="GDZ17" s="12"/>
      <c r="GEQ17" s="12"/>
      <c r="GER17" s="12"/>
      <c r="GFI17" s="12"/>
      <c r="GFJ17" s="12"/>
      <c r="GGA17" s="12"/>
      <c r="GGB17" s="12"/>
      <c r="GGS17" s="12"/>
      <c r="GGT17" s="12"/>
      <c r="GHK17" s="12"/>
      <c r="GHL17" s="12"/>
      <c r="GIC17" s="12"/>
      <c r="GID17" s="12"/>
      <c r="GIU17" s="12"/>
      <c r="GIV17" s="12"/>
      <c r="GJM17" s="12"/>
      <c r="GJN17" s="12"/>
      <c r="GKE17" s="12"/>
      <c r="GKF17" s="12"/>
      <c r="GKW17" s="12"/>
      <c r="GKX17" s="12"/>
      <c r="GLO17" s="12"/>
      <c r="GLP17" s="12"/>
      <c r="GMG17" s="12"/>
      <c r="GMH17" s="12"/>
      <c r="GMY17" s="12"/>
      <c r="GMZ17" s="12"/>
      <c r="GNQ17" s="12"/>
      <c r="GNR17" s="12"/>
      <c r="GOI17" s="12"/>
      <c r="GOJ17" s="12"/>
      <c r="GPA17" s="12"/>
      <c r="GPB17" s="12"/>
      <c r="GPS17" s="12"/>
      <c r="GPT17" s="12"/>
      <c r="GQK17" s="12"/>
      <c r="GQL17" s="12"/>
      <c r="GRC17" s="12"/>
      <c r="GRD17" s="12"/>
      <c r="GRU17" s="12"/>
      <c r="GRV17" s="12"/>
      <c r="GSM17" s="12"/>
      <c r="GSN17" s="12"/>
      <c r="GTE17" s="12"/>
      <c r="GTF17" s="12"/>
      <c r="GTW17" s="12"/>
      <c r="GTX17" s="12"/>
      <c r="GUO17" s="12"/>
      <c r="GUP17" s="12"/>
      <c r="GVG17" s="12"/>
      <c r="GVH17" s="12"/>
      <c r="GVY17" s="12"/>
      <c r="GVZ17" s="12"/>
      <c r="GWQ17" s="12"/>
      <c r="GWR17" s="12"/>
      <c r="GXI17" s="12"/>
      <c r="GXJ17" s="12"/>
      <c r="GYA17" s="12"/>
      <c r="GYB17" s="12"/>
      <c r="GYS17" s="12"/>
      <c r="GYT17" s="12"/>
      <c r="GZK17" s="12"/>
      <c r="GZL17" s="12"/>
      <c r="HAC17" s="12"/>
      <c r="HAD17" s="12"/>
      <c r="HAU17" s="12"/>
      <c r="HAV17" s="12"/>
      <c r="HBM17" s="12"/>
      <c r="HBN17" s="12"/>
      <c r="HCE17" s="12"/>
      <c r="HCF17" s="12"/>
      <c r="HCW17" s="12"/>
      <c r="HCX17" s="12"/>
      <c r="HDO17" s="12"/>
      <c r="HDP17" s="12"/>
      <c r="HEG17" s="12"/>
      <c r="HEH17" s="12"/>
      <c r="HEY17" s="12"/>
      <c r="HEZ17" s="12"/>
      <c r="HFQ17" s="12"/>
      <c r="HFR17" s="12"/>
      <c r="HGI17" s="12"/>
      <c r="HGJ17" s="12"/>
      <c r="HHA17" s="12"/>
      <c r="HHB17" s="12"/>
      <c r="HHS17" s="12"/>
      <c r="HHT17" s="12"/>
      <c r="HIK17" s="12"/>
      <c r="HIL17" s="12"/>
      <c r="HJC17" s="12"/>
      <c r="HJD17" s="12"/>
      <c r="HJU17" s="12"/>
      <c r="HJV17" s="12"/>
      <c r="HKM17" s="12"/>
      <c r="HKN17" s="12"/>
      <c r="HLE17" s="12"/>
      <c r="HLF17" s="12"/>
      <c r="HLW17" s="12"/>
      <c r="HLX17" s="12"/>
      <c r="HMO17" s="12"/>
      <c r="HMP17" s="12"/>
      <c r="HNG17" s="12"/>
      <c r="HNH17" s="12"/>
      <c r="HNY17" s="12"/>
      <c r="HNZ17" s="12"/>
      <c r="HOQ17" s="12"/>
      <c r="HOR17" s="12"/>
      <c r="HPI17" s="12"/>
      <c r="HPJ17" s="12"/>
      <c r="HQA17" s="12"/>
      <c r="HQB17" s="12"/>
      <c r="HQS17" s="12"/>
      <c r="HQT17" s="12"/>
      <c r="HRK17" s="12"/>
      <c r="HRL17" s="12"/>
      <c r="HSC17" s="12"/>
      <c r="HSD17" s="12"/>
      <c r="HSU17" s="12"/>
      <c r="HSV17" s="12"/>
      <c r="HTM17" s="12"/>
      <c r="HTN17" s="12"/>
      <c r="HUE17" s="12"/>
      <c r="HUF17" s="12"/>
      <c r="HUW17" s="12"/>
      <c r="HUX17" s="12"/>
      <c r="HVO17" s="12"/>
      <c r="HVP17" s="12"/>
      <c r="HWG17" s="12"/>
      <c r="HWH17" s="12"/>
      <c r="HWY17" s="12"/>
      <c r="HWZ17" s="12"/>
      <c r="HXQ17" s="12"/>
      <c r="HXR17" s="12"/>
      <c r="HYI17" s="12"/>
      <c r="HYJ17" s="12"/>
      <c r="HZA17" s="12"/>
      <c r="HZB17" s="12"/>
      <c r="HZS17" s="12"/>
      <c r="HZT17" s="12"/>
      <c r="IAK17" s="12"/>
      <c r="IAL17" s="12"/>
      <c r="IBC17" s="12"/>
      <c r="IBD17" s="12"/>
      <c r="IBU17" s="12"/>
      <c r="IBV17" s="12"/>
      <c r="ICM17" s="12"/>
      <c r="ICN17" s="12"/>
      <c r="IDE17" s="12"/>
      <c r="IDF17" s="12"/>
      <c r="IDW17" s="12"/>
      <c r="IDX17" s="12"/>
      <c r="IEO17" s="12"/>
      <c r="IEP17" s="12"/>
      <c r="IFG17" s="12"/>
      <c r="IFH17" s="12"/>
      <c r="IFY17" s="12"/>
      <c r="IFZ17" s="12"/>
      <c r="IGQ17" s="12"/>
      <c r="IGR17" s="12"/>
      <c r="IHI17" s="12"/>
      <c r="IHJ17" s="12"/>
      <c r="IIA17" s="12"/>
      <c r="IIB17" s="12"/>
      <c r="IIS17" s="12"/>
      <c r="IIT17" s="12"/>
      <c r="IJK17" s="12"/>
      <c r="IJL17" s="12"/>
      <c r="IKC17" s="12"/>
      <c r="IKD17" s="12"/>
      <c r="IKU17" s="12"/>
      <c r="IKV17" s="12"/>
      <c r="ILM17" s="12"/>
      <c r="ILN17" s="12"/>
      <c r="IME17" s="12"/>
      <c r="IMF17" s="12"/>
      <c r="IMW17" s="12"/>
      <c r="IMX17" s="12"/>
      <c r="INO17" s="12"/>
      <c r="INP17" s="12"/>
      <c r="IOG17" s="12"/>
      <c r="IOH17" s="12"/>
      <c r="IOY17" s="12"/>
      <c r="IOZ17" s="12"/>
      <c r="IPQ17" s="12"/>
      <c r="IPR17" s="12"/>
      <c r="IQI17" s="12"/>
      <c r="IQJ17" s="12"/>
      <c r="IRA17" s="12"/>
      <c r="IRB17" s="12"/>
      <c r="IRS17" s="12"/>
      <c r="IRT17" s="12"/>
      <c r="ISK17" s="12"/>
      <c r="ISL17" s="12"/>
      <c r="ITC17" s="12"/>
      <c r="ITD17" s="12"/>
      <c r="ITU17" s="12"/>
      <c r="ITV17" s="12"/>
      <c r="IUM17" s="12"/>
      <c r="IUN17" s="12"/>
      <c r="IVE17" s="12"/>
      <c r="IVF17" s="12"/>
      <c r="IVW17" s="12"/>
      <c r="IVX17" s="12"/>
      <c r="IWO17" s="12"/>
      <c r="IWP17" s="12"/>
      <c r="IXG17" s="12"/>
      <c r="IXH17" s="12"/>
      <c r="IXY17" s="12"/>
      <c r="IXZ17" s="12"/>
      <c r="IYQ17" s="12"/>
      <c r="IYR17" s="12"/>
      <c r="IZI17" s="12"/>
      <c r="IZJ17" s="12"/>
      <c r="JAA17" s="12"/>
      <c r="JAB17" s="12"/>
      <c r="JAS17" s="12"/>
      <c r="JAT17" s="12"/>
      <c r="JBK17" s="12"/>
      <c r="JBL17" s="12"/>
      <c r="JCC17" s="12"/>
      <c r="JCD17" s="12"/>
      <c r="JCU17" s="12"/>
      <c r="JCV17" s="12"/>
      <c r="JDM17" s="12"/>
      <c r="JDN17" s="12"/>
      <c r="JEE17" s="12"/>
      <c r="JEF17" s="12"/>
      <c r="JEW17" s="12"/>
      <c r="JEX17" s="12"/>
      <c r="JFO17" s="12"/>
      <c r="JFP17" s="12"/>
      <c r="JGG17" s="12"/>
      <c r="JGH17" s="12"/>
      <c r="JGY17" s="12"/>
      <c r="JGZ17" s="12"/>
      <c r="JHQ17" s="12"/>
      <c r="JHR17" s="12"/>
      <c r="JII17" s="12"/>
      <c r="JIJ17" s="12"/>
      <c r="JJA17" s="12"/>
      <c r="JJB17" s="12"/>
      <c r="JJS17" s="12"/>
      <c r="JJT17" s="12"/>
      <c r="JKK17" s="12"/>
      <c r="JKL17" s="12"/>
      <c r="JLC17" s="12"/>
      <c r="JLD17" s="12"/>
      <c r="JLU17" s="12"/>
      <c r="JLV17" s="12"/>
      <c r="JMM17" s="12"/>
      <c r="JMN17" s="12"/>
      <c r="JNE17" s="12"/>
      <c r="JNF17" s="12"/>
      <c r="JNW17" s="12"/>
      <c r="JNX17" s="12"/>
      <c r="JOO17" s="12"/>
      <c r="JOP17" s="12"/>
      <c r="JPG17" s="12"/>
      <c r="JPH17" s="12"/>
      <c r="JPY17" s="12"/>
      <c r="JPZ17" s="12"/>
      <c r="JQQ17" s="12"/>
      <c r="JQR17" s="12"/>
      <c r="JRI17" s="12"/>
      <c r="JRJ17" s="12"/>
      <c r="JSA17" s="12"/>
      <c r="JSB17" s="12"/>
      <c r="JSS17" s="12"/>
      <c r="JST17" s="12"/>
      <c r="JTK17" s="12"/>
      <c r="JTL17" s="12"/>
      <c r="JUC17" s="12"/>
      <c r="JUD17" s="12"/>
      <c r="JUU17" s="12"/>
      <c r="JUV17" s="12"/>
      <c r="JVM17" s="12"/>
      <c r="JVN17" s="12"/>
      <c r="JWE17" s="12"/>
      <c r="JWF17" s="12"/>
      <c r="JWW17" s="12"/>
      <c r="JWX17" s="12"/>
      <c r="JXO17" s="12"/>
      <c r="JXP17" s="12"/>
      <c r="JYG17" s="12"/>
      <c r="JYH17" s="12"/>
      <c r="JYY17" s="12"/>
      <c r="JYZ17" s="12"/>
      <c r="JZQ17" s="12"/>
      <c r="JZR17" s="12"/>
      <c r="KAI17" s="12"/>
      <c r="KAJ17" s="12"/>
      <c r="KBA17" s="12"/>
      <c r="KBB17" s="12"/>
      <c r="KBS17" s="12"/>
      <c r="KBT17" s="12"/>
      <c r="KCK17" s="12"/>
      <c r="KCL17" s="12"/>
      <c r="KDC17" s="12"/>
      <c r="KDD17" s="12"/>
      <c r="KDU17" s="12"/>
      <c r="KDV17" s="12"/>
      <c r="KEM17" s="12"/>
      <c r="KEN17" s="12"/>
      <c r="KFE17" s="12"/>
      <c r="KFF17" s="12"/>
      <c r="KFW17" s="12"/>
      <c r="KFX17" s="12"/>
      <c r="KGO17" s="12"/>
      <c r="KGP17" s="12"/>
      <c r="KHG17" s="12"/>
      <c r="KHH17" s="12"/>
      <c r="KHY17" s="12"/>
      <c r="KHZ17" s="12"/>
      <c r="KIQ17" s="12"/>
      <c r="KIR17" s="12"/>
      <c r="KJI17" s="12"/>
      <c r="KJJ17" s="12"/>
      <c r="KKA17" s="12"/>
      <c r="KKB17" s="12"/>
      <c r="KKS17" s="12"/>
      <c r="KKT17" s="12"/>
      <c r="KLK17" s="12"/>
      <c r="KLL17" s="12"/>
      <c r="KMC17" s="12"/>
      <c r="KMD17" s="12"/>
      <c r="KMU17" s="12"/>
      <c r="KMV17" s="12"/>
      <c r="KNM17" s="12"/>
      <c r="KNN17" s="12"/>
      <c r="KOE17" s="12"/>
      <c r="KOF17" s="12"/>
      <c r="KOW17" s="12"/>
      <c r="KOX17" s="12"/>
      <c r="KPO17" s="12"/>
      <c r="KPP17" s="12"/>
      <c r="KQG17" s="12"/>
      <c r="KQH17" s="12"/>
      <c r="KQY17" s="12"/>
      <c r="KQZ17" s="12"/>
      <c r="KRQ17" s="12"/>
      <c r="KRR17" s="12"/>
      <c r="KSI17" s="12"/>
      <c r="KSJ17" s="12"/>
      <c r="KTA17" s="12"/>
      <c r="KTB17" s="12"/>
      <c r="KTS17" s="12"/>
      <c r="KTT17" s="12"/>
      <c r="KUK17" s="12"/>
      <c r="KUL17" s="12"/>
      <c r="KVC17" s="12"/>
      <c r="KVD17" s="12"/>
      <c r="KVU17" s="12"/>
      <c r="KVV17" s="12"/>
      <c r="KWM17" s="12"/>
      <c r="KWN17" s="12"/>
      <c r="KXE17" s="12"/>
      <c r="KXF17" s="12"/>
      <c r="KXW17" s="12"/>
      <c r="KXX17" s="12"/>
      <c r="KYO17" s="12"/>
      <c r="KYP17" s="12"/>
      <c r="KZG17" s="12"/>
      <c r="KZH17" s="12"/>
      <c r="KZY17" s="12"/>
      <c r="KZZ17" s="12"/>
      <c r="LAQ17" s="12"/>
      <c r="LAR17" s="12"/>
      <c r="LBI17" s="12"/>
      <c r="LBJ17" s="12"/>
      <c r="LCA17" s="12"/>
      <c r="LCB17" s="12"/>
      <c r="LCS17" s="12"/>
      <c r="LCT17" s="12"/>
      <c r="LDK17" s="12"/>
      <c r="LDL17" s="12"/>
      <c r="LEC17" s="12"/>
      <c r="LED17" s="12"/>
      <c r="LEU17" s="12"/>
      <c r="LEV17" s="12"/>
      <c r="LFM17" s="12"/>
      <c r="LFN17" s="12"/>
      <c r="LGE17" s="12"/>
      <c r="LGF17" s="12"/>
      <c r="LGW17" s="12"/>
      <c r="LGX17" s="12"/>
      <c r="LHO17" s="12"/>
      <c r="LHP17" s="12"/>
      <c r="LIG17" s="12"/>
      <c r="LIH17" s="12"/>
      <c r="LIY17" s="12"/>
      <c r="LIZ17" s="12"/>
      <c r="LJQ17" s="12"/>
      <c r="LJR17" s="12"/>
      <c r="LKI17" s="12"/>
      <c r="LKJ17" s="12"/>
      <c r="LLA17" s="12"/>
      <c r="LLB17" s="12"/>
      <c r="LLS17" s="12"/>
      <c r="LLT17" s="12"/>
      <c r="LMK17" s="12"/>
      <c r="LML17" s="12"/>
      <c r="LNC17" s="12"/>
      <c r="LND17" s="12"/>
      <c r="LNU17" s="12"/>
      <c r="LNV17" s="12"/>
      <c r="LOM17" s="12"/>
      <c r="LON17" s="12"/>
      <c r="LPE17" s="12"/>
      <c r="LPF17" s="12"/>
      <c r="LPW17" s="12"/>
      <c r="LPX17" s="12"/>
      <c r="LQO17" s="12"/>
      <c r="LQP17" s="12"/>
      <c r="LRG17" s="12"/>
      <c r="LRH17" s="12"/>
      <c r="LRY17" s="12"/>
      <c r="LRZ17" s="12"/>
      <c r="LSQ17" s="12"/>
      <c r="LSR17" s="12"/>
      <c r="LTI17" s="12"/>
      <c r="LTJ17" s="12"/>
      <c r="LUA17" s="12"/>
      <c r="LUB17" s="12"/>
      <c r="LUS17" s="12"/>
      <c r="LUT17" s="12"/>
      <c r="LVK17" s="12"/>
      <c r="LVL17" s="12"/>
      <c r="LWC17" s="12"/>
      <c r="LWD17" s="12"/>
      <c r="LWU17" s="12"/>
      <c r="LWV17" s="12"/>
      <c r="LXM17" s="12"/>
      <c r="LXN17" s="12"/>
      <c r="LYE17" s="12"/>
      <c r="LYF17" s="12"/>
      <c r="LYW17" s="12"/>
      <c r="LYX17" s="12"/>
      <c r="LZO17" s="12"/>
      <c r="LZP17" s="12"/>
      <c r="MAG17" s="12"/>
      <c r="MAH17" s="12"/>
      <c r="MAY17" s="12"/>
      <c r="MAZ17" s="12"/>
      <c r="MBQ17" s="12"/>
      <c r="MBR17" s="12"/>
      <c r="MCI17" s="12"/>
      <c r="MCJ17" s="12"/>
      <c r="MDA17" s="12"/>
      <c r="MDB17" s="12"/>
      <c r="MDS17" s="12"/>
      <c r="MDT17" s="12"/>
      <c r="MEK17" s="12"/>
      <c r="MEL17" s="12"/>
      <c r="MFC17" s="12"/>
      <c r="MFD17" s="12"/>
      <c r="MFU17" s="12"/>
      <c r="MFV17" s="12"/>
      <c r="MGM17" s="12"/>
      <c r="MGN17" s="12"/>
      <c r="MHE17" s="12"/>
      <c r="MHF17" s="12"/>
      <c r="MHW17" s="12"/>
      <c r="MHX17" s="12"/>
      <c r="MIO17" s="12"/>
      <c r="MIP17" s="12"/>
      <c r="MJG17" s="12"/>
      <c r="MJH17" s="12"/>
      <c r="MJY17" s="12"/>
      <c r="MJZ17" s="12"/>
      <c r="MKQ17" s="12"/>
      <c r="MKR17" s="12"/>
      <c r="MLI17" s="12"/>
      <c r="MLJ17" s="12"/>
      <c r="MMA17" s="12"/>
      <c r="MMB17" s="12"/>
      <c r="MMS17" s="12"/>
      <c r="MMT17" s="12"/>
      <c r="MNK17" s="12"/>
      <c r="MNL17" s="12"/>
      <c r="MOC17" s="12"/>
      <c r="MOD17" s="12"/>
      <c r="MOU17" s="12"/>
      <c r="MOV17" s="12"/>
      <c r="MPM17" s="12"/>
      <c r="MPN17" s="12"/>
      <c r="MQE17" s="12"/>
      <c r="MQF17" s="12"/>
      <c r="MQW17" s="12"/>
      <c r="MQX17" s="12"/>
      <c r="MRO17" s="12"/>
      <c r="MRP17" s="12"/>
      <c r="MSG17" s="12"/>
      <c r="MSH17" s="12"/>
      <c r="MSY17" s="12"/>
      <c r="MSZ17" s="12"/>
      <c r="MTQ17" s="12"/>
      <c r="MTR17" s="12"/>
      <c r="MUI17" s="12"/>
      <c r="MUJ17" s="12"/>
      <c r="MVA17" s="12"/>
      <c r="MVB17" s="12"/>
      <c r="MVS17" s="12"/>
      <c r="MVT17" s="12"/>
      <c r="MWK17" s="12"/>
      <c r="MWL17" s="12"/>
      <c r="MXC17" s="12"/>
      <c r="MXD17" s="12"/>
      <c r="MXU17" s="12"/>
      <c r="MXV17" s="12"/>
      <c r="MYM17" s="12"/>
      <c r="MYN17" s="12"/>
      <c r="MZE17" s="12"/>
      <c r="MZF17" s="12"/>
      <c r="MZW17" s="12"/>
      <c r="MZX17" s="12"/>
      <c r="NAO17" s="12"/>
      <c r="NAP17" s="12"/>
      <c r="NBG17" s="12"/>
      <c r="NBH17" s="12"/>
      <c r="NBY17" s="12"/>
      <c r="NBZ17" s="12"/>
      <c r="NCQ17" s="12"/>
      <c r="NCR17" s="12"/>
      <c r="NDI17" s="12"/>
      <c r="NDJ17" s="12"/>
      <c r="NEA17" s="12"/>
      <c r="NEB17" s="12"/>
      <c r="NES17" s="12"/>
      <c r="NET17" s="12"/>
      <c r="NFK17" s="12"/>
      <c r="NFL17" s="12"/>
      <c r="NGC17" s="12"/>
      <c r="NGD17" s="12"/>
      <c r="NGU17" s="12"/>
      <c r="NGV17" s="12"/>
      <c r="NHM17" s="12"/>
      <c r="NHN17" s="12"/>
      <c r="NIE17" s="12"/>
      <c r="NIF17" s="12"/>
      <c r="NIW17" s="12"/>
      <c r="NIX17" s="12"/>
      <c r="NJO17" s="12"/>
      <c r="NJP17" s="12"/>
      <c r="NKG17" s="12"/>
      <c r="NKH17" s="12"/>
      <c r="NKY17" s="12"/>
      <c r="NKZ17" s="12"/>
      <c r="NLQ17" s="12"/>
      <c r="NLR17" s="12"/>
      <c r="NMI17" s="12"/>
      <c r="NMJ17" s="12"/>
      <c r="NNA17" s="12"/>
      <c r="NNB17" s="12"/>
      <c r="NNS17" s="12"/>
      <c r="NNT17" s="12"/>
      <c r="NOK17" s="12"/>
      <c r="NOL17" s="12"/>
      <c r="NPC17" s="12"/>
      <c r="NPD17" s="12"/>
      <c r="NPU17" s="12"/>
      <c r="NPV17" s="12"/>
      <c r="NQM17" s="12"/>
      <c r="NQN17" s="12"/>
      <c r="NRE17" s="12"/>
      <c r="NRF17" s="12"/>
      <c r="NRW17" s="12"/>
      <c r="NRX17" s="12"/>
      <c r="NSO17" s="12"/>
      <c r="NSP17" s="12"/>
      <c r="NTG17" s="12"/>
      <c r="NTH17" s="12"/>
      <c r="NTY17" s="12"/>
      <c r="NTZ17" s="12"/>
      <c r="NUQ17" s="12"/>
      <c r="NUR17" s="12"/>
      <c r="NVI17" s="12"/>
      <c r="NVJ17" s="12"/>
      <c r="NWA17" s="12"/>
      <c r="NWB17" s="12"/>
      <c r="NWS17" s="12"/>
      <c r="NWT17" s="12"/>
      <c r="NXK17" s="12"/>
      <c r="NXL17" s="12"/>
      <c r="NYC17" s="12"/>
      <c r="NYD17" s="12"/>
      <c r="NYU17" s="12"/>
      <c r="NYV17" s="12"/>
      <c r="NZM17" s="12"/>
      <c r="NZN17" s="12"/>
      <c r="OAE17" s="12"/>
      <c r="OAF17" s="12"/>
      <c r="OAW17" s="12"/>
      <c r="OAX17" s="12"/>
      <c r="OBO17" s="12"/>
      <c r="OBP17" s="12"/>
      <c r="OCG17" s="12"/>
      <c r="OCH17" s="12"/>
      <c r="OCY17" s="12"/>
      <c r="OCZ17" s="12"/>
      <c r="ODQ17" s="12"/>
      <c r="ODR17" s="12"/>
      <c r="OEI17" s="12"/>
      <c r="OEJ17" s="12"/>
      <c r="OFA17" s="12"/>
      <c r="OFB17" s="12"/>
      <c r="OFS17" s="12"/>
      <c r="OFT17" s="12"/>
      <c r="OGK17" s="12"/>
      <c r="OGL17" s="12"/>
      <c r="OHC17" s="12"/>
      <c r="OHD17" s="12"/>
      <c r="OHU17" s="12"/>
      <c r="OHV17" s="12"/>
      <c r="OIM17" s="12"/>
      <c r="OIN17" s="12"/>
      <c r="OJE17" s="12"/>
      <c r="OJF17" s="12"/>
      <c r="OJW17" s="12"/>
      <c r="OJX17" s="12"/>
      <c r="OKO17" s="12"/>
      <c r="OKP17" s="12"/>
      <c r="OLG17" s="12"/>
      <c r="OLH17" s="12"/>
      <c r="OLY17" s="12"/>
      <c r="OLZ17" s="12"/>
      <c r="OMQ17" s="12"/>
      <c r="OMR17" s="12"/>
      <c r="ONI17" s="12"/>
      <c r="ONJ17" s="12"/>
      <c r="OOA17" s="12"/>
      <c r="OOB17" s="12"/>
      <c r="OOS17" s="12"/>
      <c r="OOT17" s="12"/>
      <c r="OPK17" s="12"/>
      <c r="OPL17" s="12"/>
      <c r="OQC17" s="12"/>
      <c r="OQD17" s="12"/>
      <c r="OQU17" s="12"/>
      <c r="OQV17" s="12"/>
      <c r="ORM17" s="12"/>
      <c r="ORN17" s="12"/>
      <c r="OSE17" s="12"/>
      <c r="OSF17" s="12"/>
      <c r="OSW17" s="12"/>
      <c r="OSX17" s="12"/>
      <c r="OTO17" s="12"/>
      <c r="OTP17" s="12"/>
      <c r="OUG17" s="12"/>
      <c r="OUH17" s="12"/>
      <c r="OUY17" s="12"/>
      <c r="OUZ17" s="12"/>
      <c r="OVQ17" s="12"/>
      <c r="OVR17" s="12"/>
      <c r="OWI17" s="12"/>
      <c r="OWJ17" s="12"/>
      <c r="OXA17" s="12"/>
      <c r="OXB17" s="12"/>
      <c r="OXS17" s="12"/>
      <c r="OXT17" s="12"/>
      <c r="OYK17" s="12"/>
      <c r="OYL17" s="12"/>
      <c r="OZC17" s="12"/>
      <c r="OZD17" s="12"/>
      <c r="OZU17" s="12"/>
      <c r="OZV17" s="12"/>
      <c r="PAM17" s="12"/>
      <c r="PAN17" s="12"/>
      <c r="PBE17" s="12"/>
      <c r="PBF17" s="12"/>
      <c r="PBW17" s="12"/>
      <c r="PBX17" s="12"/>
      <c r="PCO17" s="12"/>
      <c r="PCP17" s="12"/>
      <c r="PDG17" s="12"/>
      <c r="PDH17" s="12"/>
      <c r="PDY17" s="12"/>
      <c r="PDZ17" s="12"/>
      <c r="PEQ17" s="12"/>
      <c r="PER17" s="12"/>
      <c r="PFI17" s="12"/>
      <c r="PFJ17" s="12"/>
      <c r="PGA17" s="12"/>
      <c r="PGB17" s="12"/>
      <c r="PGS17" s="12"/>
      <c r="PGT17" s="12"/>
      <c r="PHK17" s="12"/>
      <c r="PHL17" s="12"/>
      <c r="PIC17" s="12"/>
      <c r="PID17" s="12"/>
      <c r="PIU17" s="12"/>
      <c r="PIV17" s="12"/>
      <c r="PJM17" s="12"/>
      <c r="PJN17" s="12"/>
      <c r="PKE17" s="12"/>
      <c r="PKF17" s="12"/>
      <c r="PKW17" s="12"/>
      <c r="PKX17" s="12"/>
      <c r="PLO17" s="12"/>
      <c r="PLP17" s="12"/>
      <c r="PMG17" s="12"/>
      <c r="PMH17" s="12"/>
      <c r="PMY17" s="12"/>
      <c r="PMZ17" s="12"/>
      <c r="PNQ17" s="12"/>
      <c r="PNR17" s="12"/>
      <c r="POI17" s="12"/>
      <c r="POJ17" s="12"/>
      <c r="PPA17" s="12"/>
      <c r="PPB17" s="12"/>
      <c r="PPS17" s="12"/>
      <c r="PPT17" s="12"/>
      <c r="PQK17" s="12"/>
      <c r="PQL17" s="12"/>
      <c r="PRC17" s="12"/>
      <c r="PRD17" s="12"/>
      <c r="PRU17" s="12"/>
      <c r="PRV17" s="12"/>
      <c r="PSM17" s="12"/>
      <c r="PSN17" s="12"/>
      <c r="PTE17" s="12"/>
      <c r="PTF17" s="12"/>
      <c r="PTW17" s="12"/>
      <c r="PTX17" s="12"/>
      <c r="PUO17" s="12"/>
      <c r="PUP17" s="12"/>
      <c r="PVG17" s="12"/>
      <c r="PVH17" s="12"/>
      <c r="PVY17" s="12"/>
      <c r="PVZ17" s="12"/>
      <c r="PWQ17" s="12"/>
      <c r="PWR17" s="12"/>
      <c r="PXI17" s="12"/>
      <c r="PXJ17" s="12"/>
      <c r="PYA17" s="12"/>
      <c r="PYB17" s="12"/>
      <c r="PYS17" s="12"/>
      <c r="PYT17" s="12"/>
      <c r="PZK17" s="12"/>
      <c r="PZL17" s="12"/>
      <c r="QAC17" s="12"/>
      <c r="QAD17" s="12"/>
      <c r="QAU17" s="12"/>
      <c r="QAV17" s="12"/>
      <c r="QBM17" s="12"/>
      <c r="QBN17" s="12"/>
      <c r="QCE17" s="12"/>
      <c r="QCF17" s="12"/>
      <c r="QCW17" s="12"/>
      <c r="QCX17" s="12"/>
      <c r="QDO17" s="12"/>
      <c r="QDP17" s="12"/>
      <c r="QEG17" s="12"/>
      <c r="QEH17" s="12"/>
      <c r="QEY17" s="12"/>
      <c r="QEZ17" s="12"/>
      <c r="QFQ17" s="12"/>
      <c r="QFR17" s="12"/>
      <c r="QGI17" s="12"/>
      <c r="QGJ17" s="12"/>
      <c r="QHA17" s="12"/>
      <c r="QHB17" s="12"/>
      <c r="QHS17" s="12"/>
      <c r="QHT17" s="12"/>
      <c r="QIK17" s="12"/>
      <c r="QIL17" s="12"/>
      <c r="QJC17" s="12"/>
      <c r="QJD17" s="12"/>
      <c r="QJU17" s="12"/>
      <c r="QJV17" s="12"/>
      <c r="QKM17" s="12"/>
      <c r="QKN17" s="12"/>
      <c r="QLE17" s="12"/>
      <c r="QLF17" s="12"/>
      <c r="QLW17" s="12"/>
      <c r="QLX17" s="12"/>
      <c r="QMO17" s="12"/>
      <c r="QMP17" s="12"/>
      <c r="QNG17" s="12"/>
      <c r="QNH17" s="12"/>
      <c r="QNY17" s="12"/>
      <c r="QNZ17" s="12"/>
      <c r="QOQ17" s="12"/>
      <c r="QOR17" s="12"/>
      <c r="QPI17" s="12"/>
      <c r="QPJ17" s="12"/>
      <c r="QQA17" s="12"/>
      <c r="QQB17" s="12"/>
      <c r="QQS17" s="12"/>
      <c r="QQT17" s="12"/>
      <c r="QRK17" s="12"/>
      <c r="QRL17" s="12"/>
      <c r="QSC17" s="12"/>
      <c r="QSD17" s="12"/>
      <c r="QSU17" s="12"/>
      <c r="QSV17" s="12"/>
      <c r="QTM17" s="12"/>
      <c r="QTN17" s="12"/>
      <c r="QUE17" s="12"/>
      <c r="QUF17" s="12"/>
      <c r="QUW17" s="12"/>
      <c r="QUX17" s="12"/>
      <c r="QVO17" s="12"/>
      <c r="QVP17" s="12"/>
      <c r="QWG17" s="12"/>
      <c r="QWH17" s="12"/>
      <c r="QWY17" s="12"/>
      <c r="QWZ17" s="12"/>
      <c r="QXQ17" s="12"/>
      <c r="QXR17" s="12"/>
      <c r="QYI17" s="12"/>
      <c r="QYJ17" s="12"/>
      <c r="QZA17" s="12"/>
      <c r="QZB17" s="12"/>
      <c r="QZS17" s="12"/>
      <c r="QZT17" s="12"/>
      <c r="RAK17" s="12"/>
      <c r="RAL17" s="12"/>
      <c r="RBC17" s="12"/>
      <c r="RBD17" s="12"/>
      <c r="RBU17" s="12"/>
      <c r="RBV17" s="12"/>
      <c r="RCM17" s="12"/>
      <c r="RCN17" s="12"/>
      <c r="RDE17" s="12"/>
      <c r="RDF17" s="12"/>
      <c r="RDW17" s="12"/>
      <c r="RDX17" s="12"/>
      <c r="REO17" s="12"/>
      <c r="REP17" s="12"/>
      <c r="RFG17" s="12"/>
      <c r="RFH17" s="12"/>
      <c r="RFY17" s="12"/>
      <c r="RFZ17" s="12"/>
      <c r="RGQ17" s="12"/>
      <c r="RGR17" s="12"/>
      <c r="RHI17" s="12"/>
      <c r="RHJ17" s="12"/>
      <c r="RIA17" s="12"/>
      <c r="RIB17" s="12"/>
      <c r="RIS17" s="12"/>
      <c r="RIT17" s="12"/>
      <c r="RJK17" s="12"/>
      <c r="RJL17" s="12"/>
      <c r="RKC17" s="12"/>
      <c r="RKD17" s="12"/>
      <c r="RKU17" s="12"/>
      <c r="RKV17" s="12"/>
      <c r="RLM17" s="12"/>
      <c r="RLN17" s="12"/>
      <c r="RME17" s="12"/>
      <c r="RMF17" s="12"/>
      <c r="RMW17" s="12"/>
      <c r="RMX17" s="12"/>
      <c r="RNO17" s="12"/>
      <c r="RNP17" s="12"/>
      <c r="ROG17" s="12"/>
      <c r="ROH17" s="12"/>
      <c r="ROY17" s="12"/>
      <c r="ROZ17" s="12"/>
      <c r="RPQ17" s="12"/>
      <c r="RPR17" s="12"/>
      <c r="RQI17" s="12"/>
      <c r="RQJ17" s="12"/>
      <c r="RRA17" s="12"/>
      <c r="RRB17" s="12"/>
      <c r="RRS17" s="12"/>
      <c r="RRT17" s="12"/>
      <c r="RSK17" s="12"/>
      <c r="RSL17" s="12"/>
      <c r="RTC17" s="12"/>
      <c r="RTD17" s="12"/>
      <c r="RTU17" s="12"/>
      <c r="RTV17" s="12"/>
      <c r="RUM17" s="12"/>
      <c r="RUN17" s="12"/>
      <c r="RVE17" s="12"/>
      <c r="RVF17" s="12"/>
      <c r="RVW17" s="12"/>
      <c r="RVX17" s="12"/>
      <c r="RWO17" s="12"/>
      <c r="RWP17" s="12"/>
      <c r="RXG17" s="12"/>
      <c r="RXH17" s="12"/>
      <c r="RXY17" s="12"/>
      <c r="RXZ17" s="12"/>
      <c r="RYQ17" s="12"/>
      <c r="RYR17" s="12"/>
      <c r="RZI17" s="12"/>
      <c r="RZJ17" s="12"/>
      <c r="SAA17" s="12"/>
      <c r="SAB17" s="12"/>
      <c r="SAS17" s="12"/>
      <c r="SAT17" s="12"/>
      <c r="SBK17" s="12"/>
      <c r="SBL17" s="12"/>
      <c r="SCC17" s="12"/>
      <c r="SCD17" s="12"/>
      <c r="SCU17" s="12"/>
      <c r="SCV17" s="12"/>
      <c r="SDM17" s="12"/>
      <c r="SDN17" s="12"/>
      <c r="SEE17" s="12"/>
      <c r="SEF17" s="12"/>
      <c r="SEW17" s="12"/>
      <c r="SEX17" s="12"/>
      <c r="SFO17" s="12"/>
      <c r="SFP17" s="12"/>
      <c r="SGG17" s="12"/>
      <c r="SGH17" s="12"/>
      <c r="SGY17" s="12"/>
      <c r="SGZ17" s="12"/>
      <c r="SHQ17" s="12"/>
      <c r="SHR17" s="12"/>
      <c r="SII17" s="12"/>
      <c r="SIJ17" s="12"/>
      <c r="SJA17" s="12"/>
      <c r="SJB17" s="12"/>
      <c r="SJS17" s="12"/>
      <c r="SJT17" s="12"/>
      <c r="SKK17" s="12"/>
      <c r="SKL17" s="12"/>
      <c r="SLC17" s="12"/>
      <c r="SLD17" s="12"/>
      <c r="SLU17" s="12"/>
      <c r="SLV17" s="12"/>
      <c r="SMM17" s="12"/>
      <c r="SMN17" s="12"/>
      <c r="SNE17" s="12"/>
      <c r="SNF17" s="12"/>
      <c r="SNW17" s="12"/>
      <c r="SNX17" s="12"/>
      <c r="SOO17" s="12"/>
      <c r="SOP17" s="12"/>
      <c r="SPG17" s="12"/>
      <c r="SPH17" s="12"/>
      <c r="SPY17" s="12"/>
      <c r="SPZ17" s="12"/>
      <c r="SQQ17" s="12"/>
      <c r="SQR17" s="12"/>
      <c r="SRI17" s="12"/>
      <c r="SRJ17" s="12"/>
      <c r="SSA17" s="12"/>
      <c r="SSB17" s="12"/>
      <c r="SSS17" s="12"/>
      <c r="SST17" s="12"/>
      <c r="STK17" s="12"/>
      <c r="STL17" s="12"/>
      <c r="SUC17" s="12"/>
      <c r="SUD17" s="12"/>
      <c r="SUU17" s="12"/>
      <c r="SUV17" s="12"/>
      <c r="SVM17" s="12"/>
      <c r="SVN17" s="12"/>
      <c r="SWE17" s="12"/>
      <c r="SWF17" s="12"/>
      <c r="SWW17" s="12"/>
      <c r="SWX17" s="12"/>
      <c r="SXO17" s="12"/>
      <c r="SXP17" s="12"/>
      <c r="SYG17" s="12"/>
      <c r="SYH17" s="12"/>
      <c r="SYY17" s="12"/>
      <c r="SYZ17" s="12"/>
      <c r="SZQ17" s="12"/>
      <c r="SZR17" s="12"/>
      <c r="TAI17" s="12"/>
      <c r="TAJ17" s="12"/>
      <c r="TBA17" s="12"/>
      <c r="TBB17" s="12"/>
      <c r="TBS17" s="12"/>
      <c r="TBT17" s="12"/>
      <c r="TCK17" s="12"/>
      <c r="TCL17" s="12"/>
      <c r="TDC17" s="12"/>
      <c r="TDD17" s="12"/>
      <c r="TDU17" s="12"/>
      <c r="TDV17" s="12"/>
      <c r="TEM17" s="12"/>
      <c r="TEN17" s="12"/>
      <c r="TFE17" s="12"/>
      <c r="TFF17" s="12"/>
      <c r="TFW17" s="12"/>
      <c r="TFX17" s="12"/>
      <c r="TGO17" s="12"/>
      <c r="TGP17" s="12"/>
      <c r="THG17" s="12"/>
      <c r="THH17" s="12"/>
      <c r="THY17" s="12"/>
      <c r="THZ17" s="12"/>
      <c r="TIQ17" s="12"/>
      <c r="TIR17" s="12"/>
      <c r="TJI17" s="12"/>
      <c r="TJJ17" s="12"/>
      <c r="TKA17" s="12"/>
      <c r="TKB17" s="12"/>
      <c r="TKS17" s="12"/>
      <c r="TKT17" s="12"/>
      <c r="TLK17" s="12"/>
      <c r="TLL17" s="12"/>
      <c r="TMC17" s="12"/>
      <c r="TMD17" s="12"/>
      <c r="TMU17" s="12"/>
      <c r="TMV17" s="12"/>
      <c r="TNM17" s="12"/>
      <c r="TNN17" s="12"/>
      <c r="TOE17" s="12"/>
      <c r="TOF17" s="12"/>
      <c r="TOW17" s="12"/>
      <c r="TOX17" s="12"/>
      <c r="TPO17" s="12"/>
      <c r="TPP17" s="12"/>
      <c r="TQG17" s="12"/>
      <c r="TQH17" s="12"/>
      <c r="TQY17" s="12"/>
      <c r="TQZ17" s="12"/>
      <c r="TRQ17" s="12"/>
      <c r="TRR17" s="12"/>
      <c r="TSI17" s="12"/>
      <c r="TSJ17" s="12"/>
      <c r="TTA17" s="12"/>
      <c r="TTB17" s="12"/>
      <c r="TTS17" s="12"/>
      <c r="TTT17" s="12"/>
      <c r="TUK17" s="12"/>
      <c r="TUL17" s="12"/>
      <c r="TVC17" s="12"/>
      <c r="TVD17" s="12"/>
      <c r="TVU17" s="12"/>
      <c r="TVV17" s="12"/>
      <c r="TWM17" s="12"/>
      <c r="TWN17" s="12"/>
      <c r="TXE17" s="12"/>
      <c r="TXF17" s="12"/>
      <c r="TXW17" s="12"/>
      <c r="TXX17" s="12"/>
      <c r="TYO17" s="12"/>
      <c r="TYP17" s="12"/>
      <c r="TZG17" s="12"/>
      <c r="TZH17" s="12"/>
      <c r="TZY17" s="12"/>
      <c r="TZZ17" s="12"/>
      <c r="UAQ17" s="12"/>
      <c r="UAR17" s="12"/>
      <c r="UBI17" s="12"/>
      <c r="UBJ17" s="12"/>
      <c r="UCA17" s="12"/>
      <c r="UCB17" s="12"/>
      <c r="UCS17" s="12"/>
      <c r="UCT17" s="12"/>
      <c r="UDK17" s="12"/>
      <c r="UDL17" s="12"/>
      <c r="UEC17" s="12"/>
      <c r="UED17" s="12"/>
      <c r="UEU17" s="12"/>
      <c r="UEV17" s="12"/>
      <c r="UFM17" s="12"/>
      <c r="UFN17" s="12"/>
      <c r="UGE17" s="12"/>
      <c r="UGF17" s="12"/>
      <c r="UGW17" s="12"/>
      <c r="UGX17" s="12"/>
      <c r="UHO17" s="12"/>
      <c r="UHP17" s="12"/>
      <c r="UIG17" s="12"/>
      <c r="UIH17" s="12"/>
      <c r="UIY17" s="12"/>
      <c r="UIZ17" s="12"/>
      <c r="UJQ17" s="12"/>
      <c r="UJR17" s="12"/>
      <c r="UKI17" s="12"/>
      <c r="UKJ17" s="12"/>
      <c r="ULA17" s="12"/>
      <c r="ULB17" s="12"/>
      <c r="ULS17" s="12"/>
      <c r="ULT17" s="12"/>
      <c r="UMK17" s="12"/>
      <c r="UML17" s="12"/>
      <c r="UNC17" s="12"/>
      <c r="UND17" s="12"/>
      <c r="UNU17" s="12"/>
      <c r="UNV17" s="12"/>
      <c r="UOM17" s="12"/>
      <c r="UON17" s="12"/>
      <c r="UPE17" s="12"/>
      <c r="UPF17" s="12"/>
      <c r="UPW17" s="12"/>
      <c r="UPX17" s="12"/>
      <c r="UQO17" s="12"/>
      <c r="UQP17" s="12"/>
      <c r="URG17" s="12"/>
      <c r="URH17" s="12"/>
      <c r="URY17" s="12"/>
      <c r="URZ17" s="12"/>
      <c r="USQ17" s="12"/>
      <c r="USR17" s="12"/>
      <c r="UTI17" s="12"/>
      <c r="UTJ17" s="12"/>
      <c r="UUA17" s="12"/>
      <c r="UUB17" s="12"/>
      <c r="UUS17" s="12"/>
      <c r="UUT17" s="12"/>
      <c r="UVK17" s="12"/>
      <c r="UVL17" s="12"/>
      <c r="UWC17" s="12"/>
      <c r="UWD17" s="12"/>
      <c r="UWU17" s="12"/>
      <c r="UWV17" s="12"/>
      <c r="UXM17" s="12"/>
      <c r="UXN17" s="12"/>
      <c r="UYE17" s="12"/>
      <c r="UYF17" s="12"/>
      <c r="UYW17" s="12"/>
      <c r="UYX17" s="12"/>
      <c r="UZO17" s="12"/>
      <c r="UZP17" s="12"/>
      <c r="VAG17" s="12"/>
      <c r="VAH17" s="12"/>
      <c r="VAY17" s="12"/>
      <c r="VAZ17" s="12"/>
      <c r="VBQ17" s="12"/>
      <c r="VBR17" s="12"/>
      <c r="VCI17" s="12"/>
      <c r="VCJ17" s="12"/>
      <c r="VDA17" s="12"/>
      <c r="VDB17" s="12"/>
      <c r="VDS17" s="12"/>
      <c r="VDT17" s="12"/>
      <c r="VEK17" s="12"/>
      <c r="VEL17" s="12"/>
      <c r="VFC17" s="12"/>
      <c r="VFD17" s="12"/>
      <c r="VFU17" s="12"/>
      <c r="VFV17" s="12"/>
      <c r="VGM17" s="12"/>
      <c r="VGN17" s="12"/>
      <c r="VHE17" s="12"/>
      <c r="VHF17" s="12"/>
      <c r="VHW17" s="12"/>
      <c r="VHX17" s="12"/>
      <c r="VIO17" s="12"/>
      <c r="VIP17" s="12"/>
      <c r="VJG17" s="12"/>
      <c r="VJH17" s="12"/>
      <c r="VJY17" s="12"/>
      <c r="VJZ17" s="12"/>
      <c r="VKQ17" s="12"/>
      <c r="VKR17" s="12"/>
      <c r="VLI17" s="12"/>
      <c r="VLJ17" s="12"/>
      <c r="VMA17" s="12"/>
      <c r="VMB17" s="12"/>
      <c r="VMS17" s="12"/>
      <c r="VMT17" s="12"/>
      <c r="VNK17" s="12"/>
      <c r="VNL17" s="12"/>
      <c r="VOC17" s="12"/>
      <c r="VOD17" s="12"/>
      <c r="VOU17" s="12"/>
      <c r="VOV17" s="12"/>
      <c r="VPM17" s="12"/>
      <c r="VPN17" s="12"/>
      <c r="VQE17" s="12"/>
      <c r="VQF17" s="12"/>
      <c r="VQW17" s="12"/>
      <c r="VQX17" s="12"/>
      <c r="VRO17" s="12"/>
      <c r="VRP17" s="12"/>
      <c r="VSG17" s="12"/>
      <c r="VSH17" s="12"/>
      <c r="VSY17" s="12"/>
      <c r="VSZ17" s="12"/>
      <c r="VTQ17" s="12"/>
      <c r="VTR17" s="12"/>
      <c r="VUI17" s="12"/>
      <c r="VUJ17" s="12"/>
      <c r="VVA17" s="12"/>
      <c r="VVB17" s="12"/>
      <c r="VVS17" s="12"/>
      <c r="VVT17" s="12"/>
      <c r="VWK17" s="12"/>
      <c r="VWL17" s="12"/>
      <c r="VXC17" s="12"/>
      <c r="VXD17" s="12"/>
      <c r="VXU17" s="12"/>
      <c r="VXV17" s="12"/>
      <c r="VYM17" s="12"/>
      <c r="VYN17" s="12"/>
      <c r="VZE17" s="12"/>
      <c r="VZF17" s="12"/>
      <c r="VZW17" s="12"/>
      <c r="VZX17" s="12"/>
      <c r="WAO17" s="12"/>
      <c r="WAP17" s="12"/>
      <c r="WBG17" s="12"/>
      <c r="WBH17" s="12"/>
      <c r="WBY17" s="12"/>
      <c r="WBZ17" s="12"/>
      <c r="WCQ17" s="12"/>
      <c r="WCR17" s="12"/>
      <c r="WDI17" s="12"/>
      <c r="WDJ17" s="12"/>
      <c r="WEA17" s="12"/>
      <c r="WEB17" s="12"/>
      <c r="WES17" s="12"/>
      <c r="WET17" s="12"/>
      <c r="WFK17" s="12"/>
      <c r="WFL17" s="12"/>
      <c r="WGC17" s="12"/>
      <c r="WGD17" s="12"/>
      <c r="WGU17" s="12"/>
      <c r="WGV17" s="12"/>
      <c r="WHM17" s="12"/>
      <c r="WHN17" s="12"/>
      <c r="WIE17" s="12"/>
      <c r="WIF17" s="12"/>
      <c r="WIW17" s="12"/>
      <c r="WIX17" s="12"/>
      <c r="WJO17" s="12"/>
      <c r="WJP17" s="12"/>
      <c r="WKG17" s="12"/>
      <c r="WKH17" s="12"/>
      <c r="WKY17" s="12"/>
      <c r="WKZ17" s="12"/>
      <c r="WLQ17" s="12"/>
      <c r="WLR17" s="12"/>
      <c r="WMI17" s="12"/>
      <c r="WMJ17" s="12"/>
      <c r="WNA17" s="12"/>
      <c r="WNB17" s="12"/>
      <c r="WNS17" s="12"/>
      <c r="WNT17" s="12"/>
      <c r="WOK17" s="12"/>
      <c r="WOL17" s="12"/>
      <c r="WPC17" s="12"/>
      <c r="WPD17" s="12"/>
      <c r="WPU17" s="12"/>
      <c r="WPV17" s="12"/>
      <c r="WQM17" s="12"/>
      <c r="WQN17" s="12"/>
      <c r="WRE17" s="12"/>
      <c r="WRF17" s="12"/>
      <c r="WRW17" s="12"/>
      <c r="WRX17" s="12"/>
      <c r="WSO17" s="12"/>
      <c r="WSP17" s="12"/>
      <c r="WTG17" s="12"/>
      <c r="WTH17" s="12"/>
      <c r="WTY17" s="12"/>
      <c r="WTZ17" s="12"/>
      <c r="WUQ17" s="12"/>
      <c r="WUR17" s="12"/>
      <c r="WVI17" s="12"/>
      <c r="WVJ17" s="12"/>
      <c r="WWA17" s="12"/>
      <c r="WWB17" s="12"/>
      <c r="WWS17" s="12"/>
      <c r="WWT17" s="12"/>
      <c r="WXK17" s="12"/>
      <c r="WXL17" s="12"/>
      <c r="WYC17" s="12"/>
      <c r="WYD17" s="12"/>
      <c r="WYU17" s="12"/>
      <c r="WYV17" s="12"/>
      <c r="WZM17" s="12"/>
      <c r="WZN17" s="12"/>
      <c r="XAE17" s="12"/>
      <c r="XAF17" s="12"/>
      <c r="XAW17" s="12"/>
      <c r="XAX17" s="12"/>
      <c r="XBO17" s="12"/>
      <c r="XBP17" s="12"/>
      <c r="XCG17" s="12"/>
      <c r="XCH17" s="12"/>
      <c r="XCY17" s="12"/>
      <c r="XCZ17" s="12"/>
      <c r="XDQ17" s="12"/>
      <c r="XDR17" s="12"/>
      <c r="XEI17" s="12"/>
      <c r="XEJ17" s="12"/>
      <c r="XFA17" s="12"/>
      <c r="XFB17" s="12"/>
    </row>
    <row r="18" spans="1:1010 1027:2036 2053:3062 3079:4088 4105:5114 5131:6140 6157:7166 7183:8192 8209:9200 9217:10226 10243:11252 11269:12278 12295:13304 13321:14330 14347:15356 15373:16382" x14ac:dyDescent="0.35">
      <c r="A18" s="181" t="s">
        <v>362</v>
      </c>
      <c r="B18" s="294" t="s">
        <v>363</v>
      </c>
      <c r="C18" s="198">
        <v>-4.7300000000000004</v>
      </c>
      <c r="D18" s="198">
        <v>7.9589999999999996</v>
      </c>
      <c r="E18" s="198">
        <v>-3.714</v>
      </c>
      <c r="F18" s="198">
        <v>-7.9690000000000003</v>
      </c>
      <c r="G18" s="198">
        <v>-9.5229999999999997</v>
      </c>
      <c r="H18" s="198">
        <v>-11.535</v>
      </c>
      <c r="I18" s="198">
        <v>-47.514000000000003</v>
      </c>
      <c r="J18" s="198">
        <v>-4.9260000000000002</v>
      </c>
      <c r="K18" s="198">
        <v>23.478000000000002</v>
      </c>
      <c r="L18" s="198">
        <v>3.448</v>
      </c>
      <c r="M18" s="11"/>
      <c r="N18" s="11"/>
      <c r="O18" s="11"/>
      <c r="P18" s="11"/>
      <c r="Q18" s="11"/>
      <c r="R18" s="11"/>
    </row>
    <row r="19" spans="1:1010 1027:2036 2053:3062 3079:4088 4105:5114 5131:6140 6157:7166 7183:8192 8209:9200 9217:10226 10243:11252 11269:12278 12295:13304 13321:14330 14347:15356 15373:16382" x14ac:dyDescent="0.35">
      <c r="A19" s="181" t="s">
        <v>364</v>
      </c>
      <c r="B19" s="294" t="s">
        <v>365</v>
      </c>
      <c r="C19" s="198">
        <v>1.33</v>
      </c>
      <c r="D19" s="198">
        <v>-10.092000000000001</v>
      </c>
      <c r="E19" s="198">
        <v>-8.173</v>
      </c>
      <c r="F19" s="198">
        <v>-16.187000000000001</v>
      </c>
      <c r="G19" s="198">
        <v>-14.039</v>
      </c>
      <c r="H19" s="198">
        <v>-38.158000000000001</v>
      </c>
      <c r="I19" s="198">
        <v>-53.802999999999997</v>
      </c>
      <c r="J19" s="198">
        <v>40.954000000000001</v>
      </c>
      <c r="K19" s="198">
        <v>-0.76500000000000001</v>
      </c>
      <c r="L19" s="198">
        <v>19.09</v>
      </c>
      <c r="M19" s="11"/>
      <c r="N19" s="11"/>
      <c r="O19" s="11"/>
      <c r="P19" s="11"/>
      <c r="Q19" s="11"/>
      <c r="R19" s="11"/>
    </row>
    <row r="20" spans="1:1010 1027:2036 2053:3062 3079:4088 4105:5114 5131:6140 6157:7166 7183:8192 8209:9200 9217:10226 10243:11252 11269:12278 12295:13304 13321:14330 14347:15356 15373:16382" x14ac:dyDescent="0.35">
      <c r="A20" s="181" t="s">
        <v>366</v>
      </c>
      <c r="B20" s="294" t="s">
        <v>367</v>
      </c>
      <c r="C20" s="198">
        <v>-7.101</v>
      </c>
      <c r="D20" s="198">
        <v>4.0759999999999996</v>
      </c>
      <c r="E20" s="198">
        <v>0.159</v>
      </c>
      <c r="F20" s="198">
        <v>2.1190000000000002</v>
      </c>
      <c r="G20" s="198">
        <v>-0.69099999999999995</v>
      </c>
      <c r="H20" s="198">
        <v>17.992999999999999</v>
      </c>
      <c r="I20" s="198">
        <v>13.832000000000001</v>
      </c>
      <c r="J20" s="198">
        <v>-15.273999999999999</v>
      </c>
      <c r="K20" s="198">
        <v>-5.9580000000000002</v>
      </c>
      <c r="L20" s="198">
        <v>11.115</v>
      </c>
      <c r="M20" s="11"/>
      <c r="N20" s="11"/>
      <c r="O20" s="11"/>
      <c r="P20" s="11"/>
      <c r="Q20" s="11"/>
      <c r="R20" s="11"/>
    </row>
    <row r="21" spans="1:1010 1027:2036 2053:3062 3079:4088 4105:5114 5131:6140 6157:7166 7183:8192 8209:9200 9217:10226 10243:11252 11269:12278 12295:13304 13321:14330 14347:15356 15373:16382" x14ac:dyDescent="0.35">
      <c r="A21" s="181" t="s">
        <v>368</v>
      </c>
      <c r="B21" s="294" t="s">
        <v>369</v>
      </c>
      <c r="C21" s="198">
        <v>-2.09</v>
      </c>
      <c r="D21" s="198">
        <v>0.76</v>
      </c>
      <c r="E21" s="198">
        <v>2.5209999999999999</v>
      </c>
      <c r="F21" s="198">
        <v>2.802</v>
      </c>
      <c r="G21" s="198">
        <v>10.061</v>
      </c>
      <c r="H21" s="198">
        <v>10.301</v>
      </c>
      <c r="I21" s="198">
        <v>1.4059999999999999</v>
      </c>
      <c r="J21" s="198">
        <v>-4.4420000000000002</v>
      </c>
      <c r="K21" s="198">
        <v>-17.742999999999999</v>
      </c>
      <c r="L21" s="198">
        <v>-5.2060000000000004</v>
      </c>
      <c r="M21" s="11"/>
      <c r="N21" s="11"/>
      <c r="O21" s="11"/>
      <c r="P21" s="11"/>
      <c r="Q21" s="11"/>
      <c r="R21" s="11"/>
    </row>
    <row r="22" spans="1:1010 1027:2036 2053:3062 3079:4088 4105:5114 5131:6140 6157:7166 7183:8192 8209:9200 9217:10226 10243:11252 11269:12278 12295:13304 13321:14330 14347:15356 15373:16382" x14ac:dyDescent="0.35">
      <c r="A22" s="23" t="s">
        <v>29</v>
      </c>
      <c r="B22" s="295"/>
      <c r="C22" s="321">
        <f t="shared" ref="C22:L22" si="1">ROUND(SUM(C18:C21)-IF(C17="",0,C17),1)</f>
        <v>0</v>
      </c>
      <c r="D22" s="321">
        <f t="shared" si="1"/>
        <v>0</v>
      </c>
      <c r="E22" s="321">
        <f t="shared" si="1"/>
        <v>0</v>
      </c>
      <c r="F22" s="321">
        <f t="shared" si="1"/>
        <v>0</v>
      </c>
      <c r="G22" s="321">
        <f t="shared" si="1"/>
        <v>0</v>
      </c>
      <c r="H22" s="321">
        <f t="shared" si="1"/>
        <v>0</v>
      </c>
      <c r="I22" s="321">
        <f t="shared" si="1"/>
        <v>0</v>
      </c>
      <c r="J22" s="321">
        <f t="shared" si="1"/>
        <v>0</v>
      </c>
      <c r="K22" s="321">
        <f t="shared" si="1"/>
        <v>0</v>
      </c>
      <c r="L22" s="321">
        <f t="shared" si="1"/>
        <v>0</v>
      </c>
      <c r="M22" s="118"/>
      <c r="N22" s="118"/>
      <c r="O22" s="118"/>
      <c r="P22" s="118"/>
      <c r="Q22" s="118"/>
      <c r="R22" s="118"/>
    </row>
    <row r="23" spans="1:1010 1027:2036 2053:3062 3079:4088 4105:5114 5131:6140 6157:7166 7183:8192 8209:9200 9217:10226 10243:11252 11269:12278 12295:13304 13321:14330 14347:15356 15373:16382" s="11" customFormat="1" x14ac:dyDescent="0.35">
      <c r="A23" s="183" t="s">
        <v>370</v>
      </c>
      <c r="B23" s="293" t="s">
        <v>371</v>
      </c>
      <c r="C23" s="184">
        <v>0</v>
      </c>
      <c r="D23" s="184">
        <v>0</v>
      </c>
      <c r="E23" s="184">
        <v>0</v>
      </c>
      <c r="F23" s="184">
        <v>0</v>
      </c>
      <c r="G23" s="184">
        <v>0</v>
      </c>
      <c r="H23" s="184">
        <v>0</v>
      </c>
      <c r="I23" s="184">
        <v>0</v>
      </c>
      <c r="J23" s="184">
        <v>0</v>
      </c>
      <c r="K23" s="184">
        <v>0</v>
      </c>
      <c r="L23" s="184">
        <v>0</v>
      </c>
      <c r="S23" s="12"/>
      <c r="T23" s="12"/>
      <c r="AK23" s="12"/>
      <c r="AL23" s="12"/>
      <c r="BC23" s="12"/>
      <c r="BD23" s="12"/>
      <c r="BU23" s="12"/>
      <c r="BV23" s="12"/>
      <c r="CM23" s="12"/>
      <c r="CN23" s="12"/>
      <c r="DE23" s="12"/>
      <c r="DF23" s="12"/>
      <c r="DW23" s="12"/>
      <c r="DX23" s="12"/>
      <c r="EO23" s="12"/>
      <c r="EP23" s="12"/>
      <c r="FG23" s="12"/>
      <c r="FH23" s="12"/>
      <c r="FY23" s="12"/>
      <c r="FZ23" s="12"/>
      <c r="GQ23" s="12"/>
      <c r="GR23" s="12"/>
      <c r="HI23" s="12"/>
      <c r="HJ23" s="12"/>
      <c r="IA23" s="12"/>
      <c r="IB23" s="12"/>
      <c r="IS23" s="12"/>
      <c r="IT23" s="12"/>
      <c r="JK23" s="12"/>
      <c r="JL23" s="12"/>
      <c r="KC23" s="12"/>
      <c r="KD23" s="12"/>
      <c r="KU23" s="12"/>
      <c r="KV23" s="12"/>
      <c r="LM23" s="12"/>
      <c r="LN23" s="12"/>
      <c r="ME23" s="12"/>
      <c r="MF23" s="12"/>
      <c r="MW23" s="12"/>
      <c r="MX23" s="12"/>
      <c r="NO23" s="12"/>
      <c r="NP23" s="12"/>
      <c r="OG23" s="12"/>
      <c r="OH23" s="12"/>
      <c r="OY23" s="12"/>
      <c r="OZ23" s="12"/>
      <c r="PQ23" s="12"/>
      <c r="PR23" s="12"/>
      <c r="QI23" s="12"/>
      <c r="QJ23" s="12"/>
      <c r="RA23" s="12"/>
      <c r="RB23" s="12"/>
      <c r="RS23" s="12"/>
      <c r="RT23" s="12"/>
      <c r="SK23" s="12"/>
      <c r="SL23" s="12"/>
      <c r="TC23" s="12"/>
      <c r="TD23" s="12"/>
      <c r="TU23" s="12"/>
      <c r="TV23" s="12"/>
      <c r="UM23" s="12"/>
      <c r="UN23" s="12"/>
      <c r="VE23" s="12"/>
      <c r="VF23" s="12"/>
      <c r="VW23" s="12"/>
      <c r="VX23" s="12"/>
      <c r="WO23" s="12"/>
      <c r="WP23" s="12"/>
      <c r="XG23" s="12"/>
      <c r="XH23" s="12"/>
      <c r="XY23" s="12"/>
      <c r="XZ23" s="12"/>
      <c r="YQ23" s="12"/>
      <c r="YR23" s="12"/>
      <c r="ZI23" s="12"/>
      <c r="ZJ23" s="12"/>
      <c r="AAA23" s="12"/>
      <c r="AAB23" s="12"/>
      <c r="AAS23" s="12"/>
      <c r="AAT23" s="12"/>
      <c r="ABK23" s="12"/>
      <c r="ABL23" s="12"/>
      <c r="ACC23" s="12"/>
      <c r="ACD23" s="12"/>
      <c r="ACU23" s="12"/>
      <c r="ACV23" s="12"/>
      <c r="ADM23" s="12"/>
      <c r="ADN23" s="12"/>
      <c r="AEE23" s="12"/>
      <c r="AEF23" s="12"/>
      <c r="AEW23" s="12"/>
      <c r="AEX23" s="12"/>
      <c r="AFO23" s="12"/>
      <c r="AFP23" s="12"/>
      <c r="AGG23" s="12"/>
      <c r="AGH23" s="12"/>
      <c r="AGY23" s="12"/>
      <c r="AGZ23" s="12"/>
      <c r="AHQ23" s="12"/>
      <c r="AHR23" s="12"/>
      <c r="AII23" s="12"/>
      <c r="AIJ23" s="12"/>
      <c r="AJA23" s="12"/>
      <c r="AJB23" s="12"/>
      <c r="AJS23" s="12"/>
      <c r="AJT23" s="12"/>
      <c r="AKK23" s="12"/>
      <c r="AKL23" s="12"/>
      <c r="ALC23" s="12"/>
      <c r="ALD23" s="12"/>
      <c r="ALU23" s="12"/>
      <c r="ALV23" s="12"/>
      <c r="AMM23" s="12"/>
      <c r="AMN23" s="12"/>
      <c r="ANE23" s="12"/>
      <c r="ANF23" s="12"/>
      <c r="ANW23" s="12"/>
      <c r="ANX23" s="12"/>
      <c r="AOO23" s="12"/>
      <c r="AOP23" s="12"/>
      <c r="APG23" s="12"/>
      <c r="APH23" s="12"/>
      <c r="APY23" s="12"/>
      <c r="APZ23" s="12"/>
      <c r="AQQ23" s="12"/>
      <c r="AQR23" s="12"/>
      <c r="ARI23" s="12"/>
      <c r="ARJ23" s="12"/>
      <c r="ASA23" s="12"/>
      <c r="ASB23" s="12"/>
      <c r="ASS23" s="12"/>
      <c r="AST23" s="12"/>
      <c r="ATK23" s="12"/>
      <c r="ATL23" s="12"/>
      <c r="AUC23" s="12"/>
      <c r="AUD23" s="12"/>
      <c r="AUU23" s="12"/>
      <c r="AUV23" s="12"/>
      <c r="AVM23" s="12"/>
      <c r="AVN23" s="12"/>
      <c r="AWE23" s="12"/>
      <c r="AWF23" s="12"/>
      <c r="AWW23" s="12"/>
      <c r="AWX23" s="12"/>
      <c r="AXO23" s="12"/>
      <c r="AXP23" s="12"/>
      <c r="AYG23" s="12"/>
      <c r="AYH23" s="12"/>
      <c r="AYY23" s="12"/>
      <c r="AYZ23" s="12"/>
      <c r="AZQ23" s="12"/>
      <c r="AZR23" s="12"/>
      <c r="BAI23" s="12"/>
      <c r="BAJ23" s="12"/>
      <c r="BBA23" s="12"/>
      <c r="BBB23" s="12"/>
      <c r="BBS23" s="12"/>
      <c r="BBT23" s="12"/>
      <c r="BCK23" s="12"/>
      <c r="BCL23" s="12"/>
      <c r="BDC23" s="12"/>
      <c r="BDD23" s="12"/>
      <c r="BDU23" s="12"/>
      <c r="BDV23" s="12"/>
      <c r="BEM23" s="12"/>
      <c r="BEN23" s="12"/>
      <c r="BFE23" s="12"/>
      <c r="BFF23" s="12"/>
      <c r="BFW23" s="12"/>
      <c r="BFX23" s="12"/>
      <c r="BGO23" s="12"/>
      <c r="BGP23" s="12"/>
      <c r="BHG23" s="12"/>
      <c r="BHH23" s="12"/>
      <c r="BHY23" s="12"/>
      <c r="BHZ23" s="12"/>
      <c r="BIQ23" s="12"/>
      <c r="BIR23" s="12"/>
      <c r="BJI23" s="12"/>
      <c r="BJJ23" s="12"/>
      <c r="BKA23" s="12"/>
      <c r="BKB23" s="12"/>
      <c r="BKS23" s="12"/>
      <c r="BKT23" s="12"/>
      <c r="BLK23" s="12"/>
      <c r="BLL23" s="12"/>
      <c r="BMC23" s="12"/>
      <c r="BMD23" s="12"/>
      <c r="BMU23" s="12"/>
      <c r="BMV23" s="12"/>
      <c r="BNM23" s="12"/>
      <c r="BNN23" s="12"/>
      <c r="BOE23" s="12"/>
      <c r="BOF23" s="12"/>
      <c r="BOW23" s="12"/>
      <c r="BOX23" s="12"/>
      <c r="BPO23" s="12"/>
      <c r="BPP23" s="12"/>
      <c r="BQG23" s="12"/>
      <c r="BQH23" s="12"/>
      <c r="BQY23" s="12"/>
      <c r="BQZ23" s="12"/>
      <c r="BRQ23" s="12"/>
      <c r="BRR23" s="12"/>
      <c r="BSI23" s="12"/>
      <c r="BSJ23" s="12"/>
      <c r="BTA23" s="12"/>
      <c r="BTB23" s="12"/>
      <c r="BTS23" s="12"/>
      <c r="BTT23" s="12"/>
      <c r="BUK23" s="12"/>
      <c r="BUL23" s="12"/>
      <c r="BVC23" s="12"/>
      <c r="BVD23" s="12"/>
      <c r="BVU23" s="12"/>
      <c r="BVV23" s="12"/>
      <c r="BWM23" s="12"/>
      <c r="BWN23" s="12"/>
      <c r="BXE23" s="12"/>
      <c r="BXF23" s="12"/>
      <c r="BXW23" s="12"/>
      <c r="BXX23" s="12"/>
      <c r="BYO23" s="12"/>
      <c r="BYP23" s="12"/>
      <c r="BZG23" s="12"/>
      <c r="BZH23" s="12"/>
      <c r="BZY23" s="12"/>
      <c r="BZZ23" s="12"/>
      <c r="CAQ23" s="12"/>
      <c r="CAR23" s="12"/>
      <c r="CBI23" s="12"/>
      <c r="CBJ23" s="12"/>
      <c r="CCA23" s="12"/>
      <c r="CCB23" s="12"/>
      <c r="CCS23" s="12"/>
      <c r="CCT23" s="12"/>
      <c r="CDK23" s="12"/>
      <c r="CDL23" s="12"/>
      <c r="CEC23" s="12"/>
      <c r="CED23" s="12"/>
      <c r="CEU23" s="12"/>
      <c r="CEV23" s="12"/>
      <c r="CFM23" s="12"/>
      <c r="CFN23" s="12"/>
      <c r="CGE23" s="12"/>
      <c r="CGF23" s="12"/>
      <c r="CGW23" s="12"/>
      <c r="CGX23" s="12"/>
      <c r="CHO23" s="12"/>
      <c r="CHP23" s="12"/>
      <c r="CIG23" s="12"/>
      <c r="CIH23" s="12"/>
      <c r="CIY23" s="12"/>
      <c r="CIZ23" s="12"/>
      <c r="CJQ23" s="12"/>
      <c r="CJR23" s="12"/>
      <c r="CKI23" s="12"/>
      <c r="CKJ23" s="12"/>
      <c r="CLA23" s="12"/>
      <c r="CLB23" s="12"/>
      <c r="CLS23" s="12"/>
      <c r="CLT23" s="12"/>
      <c r="CMK23" s="12"/>
      <c r="CML23" s="12"/>
      <c r="CNC23" s="12"/>
      <c r="CND23" s="12"/>
      <c r="CNU23" s="12"/>
      <c r="CNV23" s="12"/>
      <c r="COM23" s="12"/>
      <c r="CON23" s="12"/>
      <c r="CPE23" s="12"/>
      <c r="CPF23" s="12"/>
      <c r="CPW23" s="12"/>
      <c r="CPX23" s="12"/>
      <c r="CQO23" s="12"/>
      <c r="CQP23" s="12"/>
      <c r="CRG23" s="12"/>
      <c r="CRH23" s="12"/>
      <c r="CRY23" s="12"/>
      <c r="CRZ23" s="12"/>
      <c r="CSQ23" s="12"/>
      <c r="CSR23" s="12"/>
      <c r="CTI23" s="12"/>
      <c r="CTJ23" s="12"/>
      <c r="CUA23" s="12"/>
      <c r="CUB23" s="12"/>
      <c r="CUS23" s="12"/>
      <c r="CUT23" s="12"/>
      <c r="CVK23" s="12"/>
      <c r="CVL23" s="12"/>
      <c r="CWC23" s="12"/>
      <c r="CWD23" s="12"/>
      <c r="CWU23" s="12"/>
      <c r="CWV23" s="12"/>
      <c r="CXM23" s="12"/>
      <c r="CXN23" s="12"/>
      <c r="CYE23" s="12"/>
      <c r="CYF23" s="12"/>
      <c r="CYW23" s="12"/>
      <c r="CYX23" s="12"/>
      <c r="CZO23" s="12"/>
      <c r="CZP23" s="12"/>
      <c r="DAG23" s="12"/>
      <c r="DAH23" s="12"/>
      <c r="DAY23" s="12"/>
      <c r="DAZ23" s="12"/>
      <c r="DBQ23" s="12"/>
      <c r="DBR23" s="12"/>
      <c r="DCI23" s="12"/>
      <c r="DCJ23" s="12"/>
      <c r="DDA23" s="12"/>
      <c r="DDB23" s="12"/>
      <c r="DDS23" s="12"/>
      <c r="DDT23" s="12"/>
      <c r="DEK23" s="12"/>
      <c r="DEL23" s="12"/>
      <c r="DFC23" s="12"/>
      <c r="DFD23" s="12"/>
      <c r="DFU23" s="12"/>
      <c r="DFV23" s="12"/>
      <c r="DGM23" s="12"/>
      <c r="DGN23" s="12"/>
      <c r="DHE23" s="12"/>
      <c r="DHF23" s="12"/>
      <c r="DHW23" s="12"/>
      <c r="DHX23" s="12"/>
      <c r="DIO23" s="12"/>
      <c r="DIP23" s="12"/>
      <c r="DJG23" s="12"/>
      <c r="DJH23" s="12"/>
      <c r="DJY23" s="12"/>
      <c r="DJZ23" s="12"/>
      <c r="DKQ23" s="12"/>
      <c r="DKR23" s="12"/>
      <c r="DLI23" s="12"/>
      <c r="DLJ23" s="12"/>
      <c r="DMA23" s="12"/>
      <c r="DMB23" s="12"/>
      <c r="DMS23" s="12"/>
      <c r="DMT23" s="12"/>
      <c r="DNK23" s="12"/>
      <c r="DNL23" s="12"/>
      <c r="DOC23" s="12"/>
      <c r="DOD23" s="12"/>
      <c r="DOU23" s="12"/>
      <c r="DOV23" s="12"/>
      <c r="DPM23" s="12"/>
      <c r="DPN23" s="12"/>
      <c r="DQE23" s="12"/>
      <c r="DQF23" s="12"/>
      <c r="DQW23" s="12"/>
      <c r="DQX23" s="12"/>
      <c r="DRO23" s="12"/>
      <c r="DRP23" s="12"/>
      <c r="DSG23" s="12"/>
      <c r="DSH23" s="12"/>
      <c r="DSY23" s="12"/>
      <c r="DSZ23" s="12"/>
      <c r="DTQ23" s="12"/>
      <c r="DTR23" s="12"/>
      <c r="DUI23" s="12"/>
      <c r="DUJ23" s="12"/>
      <c r="DVA23" s="12"/>
      <c r="DVB23" s="12"/>
      <c r="DVS23" s="12"/>
      <c r="DVT23" s="12"/>
      <c r="DWK23" s="12"/>
      <c r="DWL23" s="12"/>
      <c r="DXC23" s="12"/>
      <c r="DXD23" s="12"/>
      <c r="DXU23" s="12"/>
      <c r="DXV23" s="12"/>
      <c r="DYM23" s="12"/>
      <c r="DYN23" s="12"/>
      <c r="DZE23" s="12"/>
      <c r="DZF23" s="12"/>
      <c r="DZW23" s="12"/>
      <c r="DZX23" s="12"/>
      <c r="EAO23" s="12"/>
      <c r="EAP23" s="12"/>
      <c r="EBG23" s="12"/>
      <c r="EBH23" s="12"/>
      <c r="EBY23" s="12"/>
      <c r="EBZ23" s="12"/>
      <c r="ECQ23" s="12"/>
      <c r="ECR23" s="12"/>
      <c r="EDI23" s="12"/>
      <c r="EDJ23" s="12"/>
      <c r="EEA23" s="12"/>
      <c r="EEB23" s="12"/>
      <c r="EES23" s="12"/>
      <c r="EET23" s="12"/>
      <c r="EFK23" s="12"/>
      <c r="EFL23" s="12"/>
      <c r="EGC23" s="12"/>
      <c r="EGD23" s="12"/>
      <c r="EGU23" s="12"/>
      <c r="EGV23" s="12"/>
      <c r="EHM23" s="12"/>
      <c r="EHN23" s="12"/>
      <c r="EIE23" s="12"/>
      <c r="EIF23" s="12"/>
      <c r="EIW23" s="12"/>
      <c r="EIX23" s="12"/>
      <c r="EJO23" s="12"/>
      <c r="EJP23" s="12"/>
      <c r="EKG23" s="12"/>
      <c r="EKH23" s="12"/>
      <c r="EKY23" s="12"/>
      <c r="EKZ23" s="12"/>
      <c r="ELQ23" s="12"/>
      <c r="ELR23" s="12"/>
      <c r="EMI23" s="12"/>
      <c r="EMJ23" s="12"/>
      <c r="ENA23" s="12"/>
      <c r="ENB23" s="12"/>
      <c r="ENS23" s="12"/>
      <c r="ENT23" s="12"/>
      <c r="EOK23" s="12"/>
      <c r="EOL23" s="12"/>
      <c r="EPC23" s="12"/>
      <c r="EPD23" s="12"/>
      <c r="EPU23" s="12"/>
      <c r="EPV23" s="12"/>
      <c r="EQM23" s="12"/>
      <c r="EQN23" s="12"/>
      <c r="ERE23" s="12"/>
      <c r="ERF23" s="12"/>
      <c r="ERW23" s="12"/>
      <c r="ERX23" s="12"/>
      <c r="ESO23" s="12"/>
      <c r="ESP23" s="12"/>
      <c r="ETG23" s="12"/>
      <c r="ETH23" s="12"/>
      <c r="ETY23" s="12"/>
      <c r="ETZ23" s="12"/>
      <c r="EUQ23" s="12"/>
      <c r="EUR23" s="12"/>
      <c r="EVI23" s="12"/>
      <c r="EVJ23" s="12"/>
      <c r="EWA23" s="12"/>
      <c r="EWB23" s="12"/>
      <c r="EWS23" s="12"/>
      <c r="EWT23" s="12"/>
      <c r="EXK23" s="12"/>
      <c r="EXL23" s="12"/>
      <c r="EYC23" s="12"/>
      <c r="EYD23" s="12"/>
      <c r="EYU23" s="12"/>
      <c r="EYV23" s="12"/>
      <c r="EZM23" s="12"/>
      <c r="EZN23" s="12"/>
      <c r="FAE23" s="12"/>
      <c r="FAF23" s="12"/>
      <c r="FAW23" s="12"/>
      <c r="FAX23" s="12"/>
      <c r="FBO23" s="12"/>
      <c r="FBP23" s="12"/>
      <c r="FCG23" s="12"/>
      <c r="FCH23" s="12"/>
      <c r="FCY23" s="12"/>
      <c r="FCZ23" s="12"/>
      <c r="FDQ23" s="12"/>
      <c r="FDR23" s="12"/>
      <c r="FEI23" s="12"/>
      <c r="FEJ23" s="12"/>
      <c r="FFA23" s="12"/>
      <c r="FFB23" s="12"/>
      <c r="FFS23" s="12"/>
      <c r="FFT23" s="12"/>
      <c r="FGK23" s="12"/>
      <c r="FGL23" s="12"/>
      <c r="FHC23" s="12"/>
      <c r="FHD23" s="12"/>
      <c r="FHU23" s="12"/>
      <c r="FHV23" s="12"/>
      <c r="FIM23" s="12"/>
      <c r="FIN23" s="12"/>
      <c r="FJE23" s="12"/>
      <c r="FJF23" s="12"/>
      <c r="FJW23" s="12"/>
      <c r="FJX23" s="12"/>
      <c r="FKO23" s="12"/>
      <c r="FKP23" s="12"/>
      <c r="FLG23" s="12"/>
      <c r="FLH23" s="12"/>
      <c r="FLY23" s="12"/>
      <c r="FLZ23" s="12"/>
      <c r="FMQ23" s="12"/>
      <c r="FMR23" s="12"/>
      <c r="FNI23" s="12"/>
      <c r="FNJ23" s="12"/>
      <c r="FOA23" s="12"/>
      <c r="FOB23" s="12"/>
      <c r="FOS23" s="12"/>
      <c r="FOT23" s="12"/>
      <c r="FPK23" s="12"/>
      <c r="FPL23" s="12"/>
      <c r="FQC23" s="12"/>
      <c r="FQD23" s="12"/>
      <c r="FQU23" s="12"/>
      <c r="FQV23" s="12"/>
      <c r="FRM23" s="12"/>
      <c r="FRN23" s="12"/>
      <c r="FSE23" s="12"/>
      <c r="FSF23" s="12"/>
      <c r="FSW23" s="12"/>
      <c r="FSX23" s="12"/>
      <c r="FTO23" s="12"/>
      <c r="FTP23" s="12"/>
      <c r="FUG23" s="12"/>
      <c r="FUH23" s="12"/>
      <c r="FUY23" s="12"/>
      <c r="FUZ23" s="12"/>
      <c r="FVQ23" s="12"/>
      <c r="FVR23" s="12"/>
      <c r="FWI23" s="12"/>
      <c r="FWJ23" s="12"/>
      <c r="FXA23" s="12"/>
      <c r="FXB23" s="12"/>
      <c r="FXS23" s="12"/>
      <c r="FXT23" s="12"/>
      <c r="FYK23" s="12"/>
      <c r="FYL23" s="12"/>
      <c r="FZC23" s="12"/>
      <c r="FZD23" s="12"/>
      <c r="FZU23" s="12"/>
      <c r="FZV23" s="12"/>
      <c r="GAM23" s="12"/>
      <c r="GAN23" s="12"/>
      <c r="GBE23" s="12"/>
      <c r="GBF23" s="12"/>
      <c r="GBW23" s="12"/>
      <c r="GBX23" s="12"/>
      <c r="GCO23" s="12"/>
      <c r="GCP23" s="12"/>
      <c r="GDG23" s="12"/>
      <c r="GDH23" s="12"/>
      <c r="GDY23" s="12"/>
      <c r="GDZ23" s="12"/>
      <c r="GEQ23" s="12"/>
      <c r="GER23" s="12"/>
      <c r="GFI23" s="12"/>
      <c r="GFJ23" s="12"/>
      <c r="GGA23" s="12"/>
      <c r="GGB23" s="12"/>
      <c r="GGS23" s="12"/>
      <c r="GGT23" s="12"/>
      <c r="GHK23" s="12"/>
      <c r="GHL23" s="12"/>
      <c r="GIC23" s="12"/>
      <c r="GID23" s="12"/>
      <c r="GIU23" s="12"/>
      <c r="GIV23" s="12"/>
      <c r="GJM23" s="12"/>
      <c r="GJN23" s="12"/>
      <c r="GKE23" s="12"/>
      <c r="GKF23" s="12"/>
      <c r="GKW23" s="12"/>
      <c r="GKX23" s="12"/>
      <c r="GLO23" s="12"/>
      <c r="GLP23" s="12"/>
      <c r="GMG23" s="12"/>
      <c r="GMH23" s="12"/>
      <c r="GMY23" s="12"/>
      <c r="GMZ23" s="12"/>
      <c r="GNQ23" s="12"/>
      <c r="GNR23" s="12"/>
      <c r="GOI23" s="12"/>
      <c r="GOJ23" s="12"/>
      <c r="GPA23" s="12"/>
      <c r="GPB23" s="12"/>
      <c r="GPS23" s="12"/>
      <c r="GPT23" s="12"/>
      <c r="GQK23" s="12"/>
      <c r="GQL23" s="12"/>
      <c r="GRC23" s="12"/>
      <c r="GRD23" s="12"/>
      <c r="GRU23" s="12"/>
      <c r="GRV23" s="12"/>
      <c r="GSM23" s="12"/>
      <c r="GSN23" s="12"/>
      <c r="GTE23" s="12"/>
      <c r="GTF23" s="12"/>
      <c r="GTW23" s="12"/>
      <c r="GTX23" s="12"/>
      <c r="GUO23" s="12"/>
      <c r="GUP23" s="12"/>
      <c r="GVG23" s="12"/>
      <c r="GVH23" s="12"/>
      <c r="GVY23" s="12"/>
      <c r="GVZ23" s="12"/>
      <c r="GWQ23" s="12"/>
      <c r="GWR23" s="12"/>
      <c r="GXI23" s="12"/>
      <c r="GXJ23" s="12"/>
      <c r="GYA23" s="12"/>
      <c r="GYB23" s="12"/>
      <c r="GYS23" s="12"/>
      <c r="GYT23" s="12"/>
      <c r="GZK23" s="12"/>
      <c r="GZL23" s="12"/>
      <c r="HAC23" s="12"/>
      <c r="HAD23" s="12"/>
      <c r="HAU23" s="12"/>
      <c r="HAV23" s="12"/>
      <c r="HBM23" s="12"/>
      <c r="HBN23" s="12"/>
      <c r="HCE23" s="12"/>
      <c r="HCF23" s="12"/>
      <c r="HCW23" s="12"/>
      <c r="HCX23" s="12"/>
      <c r="HDO23" s="12"/>
      <c r="HDP23" s="12"/>
      <c r="HEG23" s="12"/>
      <c r="HEH23" s="12"/>
      <c r="HEY23" s="12"/>
      <c r="HEZ23" s="12"/>
      <c r="HFQ23" s="12"/>
      <c r="HFR23" s="12"/>
      <c r="HGI23" s="12"/>
      <c r="HGJ23" s="12"/>
      <c r="HHA23" s="12"/>
      <c r="HHB23" s="12"/>
      <c r="HHS23" s="12"/>
      <c r="HHT23" s="12"/>
      <c r="HIK23" s="12"/>
      <c r="HIL23" s="12"/>
      <c r="HJC23" s="12"/>
      <c r="HJD23" s="12"/>
      <c r="HJU23" s="12"/>
      <c r="HJV23" s="12"/>
      <c r="HKM23" s="12"/>
      <c r="HKN23" s="12"/>
      <c r="HLE23" s="12"/>
      <c r="HLF23" s="12"/>
      <c r="HLW23" s="12"/>
      <c r="HLX23" s="12"/>
      <c r="HMO23" s="12"/>
      <c r="HMP23" s="12"/>
      <c r="HNG23" s="12"/>
      <c r="HNH23" s="12"/>
      <c r="HNY23" s="12"/>
      <c r="HNZ23" s="12"/>
      <c r="HOQ23" s="12"/>
      <c r="HOR23" s="12"/>
      <c r="HPI23" s="12"/>
      <c r="HPJ23" s="12"/>
      <c r="HQA23" s="12"/>
      <c r="HQB23" s="12"/>
      <c r="HQS23" s="12"/>
      <c r="HQT23" s="12"/>
      <c r="HRK23" s="12"/>
      <c r="HRL23" s="12"/>
      <c r="HSC23" s="12"/>
      <c r="HSD23" s="12"/>
      <c r="HSU23" s="12"/>
      <c r="HSV23" s="12"/>
      <c r="HTM23" s="12"/>
      <c r="HTN23" s="12"/>
      <c r="HUE23" s="12"/>
      <c r="HUF23" s="12"/>
      <c r="HUW23" s="12"/>
      <c r="HUX23" s="12"/>
      <c r="HVO23" s="12"/>
      <c r="HVP23" s="12"/>
      <c r="HWG23" s="12"/>
      <c r="HWH23" s="12"/>
      <c r="HWY23" s="12"/>
      <c r="HWZ23" s="12"/>
      <c r="HXQ23" s="12"/>
      <c r="HXR23" s="12"/>
      <c r="HYI23" s="12"/>
      <c r="HYJ23" s="12"/>
      <c r="HZA23" s="12"/>
      <c r="HZB23" s="12"/>
      <c r="HZS23" s="12"/>
      <c r="HZT23" s="12"/>
      <c r="IAK23" s="12"/>
      <c r="IAL23" s="12"/>
      <c r="IBC23" s="12"/>
      <c r="IBD23" s="12"/>
      <c r="IBU23" s="12"/>
      <c r="IBV23" s="12"/>
      <c r="ICM23" s="12"/>
      <c r="ICN23" s="12"/>
      <c r="IDE23" s="12"/>
      <c r="IDF23" s="12"/>
      <c r="IDW23" s="12"/>
      <c r="IDX23" s="12"/>
      <c r="IEO23" s="12"/>
      <c r="IEP23" s="12"/>
      <c r="IFG23" s="12"/>
      <c r="IFH23" s="12"/>
      <c r="IFY23" s="12"/>
      <c r="IFZ23" s="12"/>
      <c r="IGQ23" s="12"/>
      <c r="IGR23" s="12"/>
      <c r="IHI23" s="12"/>
      <c r="IHJ23" s="12"/>
      <c r="IIA23" s="12"/>
      <c r="IIB23" s="12"/>
      <c r="IIS23" s="12"/>
      <c r="IIT23" s="12"/>
      <c r="IJK23" s="12"/>
      <c r="IJL23" s="12"/>
      <c r="IKC23" s="12"/>
      <c r="IKD23" s="12"/>
      <c r="IKU23" s="12"/>
      <c r="IKV23" s="12"/>
      <c r="ILM23" s="12"/>
      <c r="ILN23" s="12"/>
      <c r="IME23" s="12"/>
      <c r="IMF23" s="12"/>
      <c r="IMW23" s="12"/>
      <c r="IMX23" s="12"/>
      <c r="INO23" s="12"/>
      <c r="INP23" s="12"/>
      <c r="IOG23" s="12"/>
      <c r="IOH23" s="12"/>
      <c r="IOY23" s="12"/>
      <c r="IOZ23" s="12"/>
      <c r="IPQ23" s="12"/>
      <c r="IPR23" s="12"/>
      <c r="IQI23" s="12"/>
      <c r="IQJ23" s="12"/>
      <c r="IRA23" s="12"/>
      <c r="IRB23" s="12"/>
      <c r="IRS23" s="12"/>
      <c r="IRT23" s="12"/>
      <c r="ISK23" s="12"/>
      <c r="ISL23" s="12"/>
      <c r="ITC23" s="12"/>
      <c r="ITD23" s="12"/>
      <c r="ITU23" s="12"/>
      <c r="ITV23" s="12"/>
      <c r="IUM23" s="12"/>
      <c r="IUN23" s="12"/>
      <c r="IVE23" s="12"/>
      <c r="IVF23" s="12"/>
      <c r="IVW23" s="12"/>
      <c r="IVX23" s="12"/>
      <c r="IWO23" s="12"/>
      <c r="IWP23" s="12"/>
      <c r="IXG23" s="12"/>
      <c r="IXH23" s="12"/>
      <c r="IXY23" s="12"/>
      <c r="IXZ23" s="12"/>
      <c r="IYQ23" s="12"/>
      <c r="IYR23" s="12"/>
      <c r="IZI23" s="12"/>
      <c r="IZJ23" s="12"/>
      <c r="JAA23" s="12"/>
      <c r="JAB23" s="12"/>
      <c r="JAS23" s="12"/>
      <c r="JAT23" s="12"/>
      <c r="JBK23" s="12"/>
      <c r="JBL23" s="12"/>
      <c r="JCC23" s="12"/>
      <c r="JCD23" s="12"/>
      <c r="JCU23" s="12"/>
      <c r="JCV23" s="12"/>
      <c r="JDM23" s="12"/>
      <c r="JDN23" s="12"/>
      <c r="JEE23" s="12"/>
      <c r="JEF23" s="12"/>
      <c r="JEW23" s="12"/>
      <c r="JEX23" s="12"/>
      <c r="JFO23" s="12"/>
      <c r="JFP23" s="12"/>
      <c r="JGG23" s="12"/>
      <c r="JGH23" s="12"/>
      <c r="JGY23" s="12"/>
      <c r="JGZ23" s="12"/>
      <c r="JHQ23" s="12"/>
      <c r="JHR23" s="12"/>
      <c r="JII23" s="12"/>
      <c r="JIJ23" s="12"/>
      <c r="JJA23" s="12"/>
      <c r="JJB23" s="12"/>
      <c r="JJS23" s="12"/>
      <c r="JJT23" s="12"/>
      <c r="JKK23" s="12"/>
      <c r="JKL23" s="12"/>
      <c r="JLC23" s="12"/>
      <c r="JLD23" s="12"/>
      <c r="JLU23" s="12"/>
      <c r="JLV23" s="12"/>
      <c r="JMM23" s="12"/>
      <c r="JMN23" s="12"/>
      <c r="JNE23" s="12"/>
      <c r="JNF23" s="12"/>
      <c r="JNW23" s="12"/>
      <c r="JNX23" s="12"/>
      <c r="JOO23" s="12"/>
      <c r="JOP23" s="12"/>
      <c r="JPG23" s="12"/>
      <c r="JPH23" s="12"/>
      <c r="JPY23" s="12"/>
      <c r="JPZ23" s="12"/>
      <c r="JQQ23" s="12"/>
      <c r="JQR23" s="12"/>
      <c r="JRI23" s="12"/>
      <c r="JRJ23" s="12"/>
      <c r="JSA23" s="12"/>
      <c r="JSB23" s="12"/>
      <c r="JSS23" s="12"/>
      <c r="JST23" s="12"/>
      <c r="JTK23" s="12"/>
      <c r="JTL23" s="12"/>
      <c r="JUC23" s="12"/>
      <c r="JUD23" s="12"/>
      <c r="JUU23" s="12"/>
      <c r="JUV23" s="12"/>
      <c r="JVM23" s="12"/>
      <c r="JVN23" s="12"/>
      <c r="JWE23" s="12"/>
      <c r="JWF23" s="12"/>
      <c r="JWW23" s="12"/>
      <c r="JWX23" s="12"/>
      <c r="JXO23" s="12"/>
      <c r="JXP23" s="12"/>
      <c r="JYG23" s="12"/>
      <c r="JYH23" s="12"/>
      <c r="JYY23" s="12"/>
      <c r="JYZ23" s="12"/>
      <c r="JZQ23" s="12"/>
      <c r="JZR23" s="12"/>
      <c r="KAI23" s="12"/>
      <c r="KAJ23" s="12"/>
      <c r="KBA23" s="12"/>
      <c r="KBB23" s="12"/>
      <c r="KBS23" s="12"/>
      <c r="KBT23" s="12"/>
      <c r="KCK23" s="12"/>
      <c r="KCL23" s="12"/>
      <c r="KDC23" s="12"/>
      <c r="KDD23" s="12"/>
      <c r="KDU23" s="12"/>
      <c r="KDV23" s="12"/>
      <c r="KEM23" s="12"/>
      <c r="KEN23" s="12"/>
      <c r="KFE23" s="12"/>
      <c r="KFF23" s="12"/>
      <c r="KFW23" s="12"/>
      <c r="KFX23" s="12"/>
      <c r="KGO23" s="12"/>
      <c r="KGP23" s="12"/>
      <c r="KHG23" s="12"/>
      <c r="KHH23" s="12"/>
      <c r="KHY23" s="12"/>
      <c r="KHZ23" s="12"/>
      <c r="KIQ23" s="12"/>
      <c r="KIR23" s="12"/>
      <c r="KJI23" s="12"/>
      <c r="KJJ23" s="12"/>
      <c r="KKA23" s="12"/>
      <c r="KKB23" s="12"/>
      <c r="KKS23" s="12"/>
      <c r="KKT23" s="12"/>
      <c r="KLK23" s="12"/>
      <c r="KLL23" s="12"/>
      <c r="KMC23" s="12"/>
      <c r="KMD23" s="12"/>
      <c r="KMU23" s="12"/>
      <c r="KMV23" s="12"/>
      <c r="KNM23" s="12"/>
      <c r="KNN23" s="12"/>
      <c r="KOE23" s="12"/>
      <c r="KOF23" s="12"/>
      <c r="KOW23" s="12"/>
      <c r="KOX23" s="12"/>
      <c r="KPO23" s="12"/>
      <c r="KPP23" s="12"/>
      <c r="KQG23" s="12"/>
      <c r="KQH23" s="12"/>
      <c r="KQY23" s="12"/>
      <c r="KQZ23" s="12"/>
      <c r="KRQ23" s="12"/>
      <c r="KRR23" s="12"/>
      <c r="KSI23" s="12"/>
      <c r="KSJ23" s="12"/>
      <c r="KTA23" s="12"/>
      <c r="KTB23" s="12"/>
      <c r="KTS23" s="12"/>
      <c r="KTT23" s="12"/>
      <c r="KUK23" s="12"/>
      <c r="KUL23" s="12"/>
      <c r="KVC23" s="12"/>
      <c r="KVD23" s="12"/>
      <c r="KVU23" s="12"/>
      <c r="KVV23" s="12"/>
      <c r="KWM23" s="12"/>
      <c r="KWN23" s="12"/>
      <c r="KXE23" s="12"/>
      <c r="KXF23" s="12"/>
      <c r="KXW23" s="12"/>
      <c r="KXX23" s="12"/>
      <c r="KYO23" s="12"/>
      <c r="KYP23" s="12"/>
      <c r="KZG23" s="12"/>
      <c r="KZH23" s="12"/>
      <c r="KZY23" s="12"/>
      <c r="KZZ23" s="12"/>
      <c r="LAQ23" s="12"/>
      <c r="LAR23" s="12"/>
      <c r="LBI23" s="12"/>
      <c r="LBJ23" s="12"/>
      <c r="LCA23" s="12"/>
      <c r="LCB23" s="12"/>
      <c r="LCS23" s="12"/>
      <c r="LCT23" s="12"/>
      <c r="LDK23" s="12"/>
      <c r="LDL23" s="12"/>
      <c r="LEC23" s="12"/>
      <c r="LED23" s="12"/>
      <c r="LEU23" s="12"/>
      <c r="LEV23" s="12"/>
      <c r="LFM23" s="12"/>
      <c r="LFN23" s="12"/>
      <c r="LGE23" s="12"/>
      <c r="LGF23" s="12"/>
      <c r="LGW23" s="12"/>
      <c r="LGX23" s="12"/>
      <c r="LHO23" s="12"/>
      <c r="LHP23" s="12"/>
      <c r="LIG23" s="12"/>
      <c r="LIH23" s="12"/>
      <c r="LIY23" s="12"/>
      <c r="LIZ23" s="12"/>
      <c r="LJQ23" s="12"/>
      <c r="LJR23" s="12"/>
      <c r="LKI23" s="12"/>
      <c r="LKJ23" s="12"/>
      <c r="LLA23" s="12"/>
      <c r="LLB23" s="12"/>
      <c r="LLS23" s="12"/>
      <c r="LLT23" s="12"/>
      <c r="LMK23" s="12"/>
      <c r="LML23" s="12"/>
      <c r="LNC23" s="12"/>
      <c r="LND23" s="12"/>
      <c r="LNU23" s="12"/>
      <c r="LNV23" s="12"/>
      <c r="LOM23" s="12"/>
      <c r="LON23" s="12"/>
      <c r="LPE23" s="12"/>
      <c r="LPF23" s="12"/>
      <c r="LPW23" s="12"/>
      <c r="LPX23" s="12"/>
      <c r="LQO23" s="12"/>
      <c r="LQP23" s="12"/>
      <c r="LRG23" s="12"/>
      <c r="LRH23" s="12"/>
      <c r="LRY23" s="12"/>
      <c r="LRZ23" s="12"/>
      <c r="LSQ23" s="12"/>
      <c r="LSR23" s="12"/>
      <c r="LTI23" s="12"/>
      <c r="LTJ23" s="12"/>
      <c r="LUA23" s="12"/>
      <c r="LUB23" s="12"/>
      <c r="LUS23" s="12"/>
      <c r="LUT23" s="12"/>
      <c r="LVK23" s="12"/>
      <c r="LVL23" s="12"/>
      <c r="LWC23" s="12"/>
      <c r="LWD23" s="12"/>
      <c r="LWU23" s="12"/>
      <c r="LWV23" s="12"/>
      <c r="LXM23" s="12"/>
      <c r="LXN23" s="12"/>
      <c r="LYE23" s="12"/>
      <c r="LYF23" s="12"/>
      <c r="LYW23" s="12"/>
      <c r="LYX23" s="12"/>
      <c r="LZO23" s="12"/>
      <c r="LZP23" s="12"/>
      <c r="MAG23" s="12"/>
      <c r="MAH23" s="12"/>
      <c r="MAY23" s="12"/>
      <c r="MAZ23" s="12"/>
      <c r="MBQ23" s="12"/>
      <c r="MBR23" s="12"/>
      <c r="MCI23" s="12"/>
      <c r="MCJ23" s="12"/>
      <c r="MDA23" s="12"/>
      <c r="MDB23" s="12"/>
      <c r="MDS23" s="12"/>
      <c r="MDT23" s="12"/>
      <c r="MEK23" s="12"/>
      <c r="MEL23" s="12"/>
      <c r="MFC23" s="12"/>
      <c r="MFD23" s="12"/>
      <c r="MFU23" s="12"/>
      <c r="MFV23" s="12"/>
      <c r="MGM23" s="12"/>
      <c r="MGN23" s="12"/>
      <c r="MHE23" s="12"/>
      <c r="MHF23" s="12"/>
      <c r="MHW23" s="12"/>
      <c r="MHX23" s="12"/>
      <c r="MIO23" s="12"/>
      <c r="MIP23" s="12"/>
      <c r="MJG23" s="12"/>
      <c r="MJH23" s="12"/>
      <c r="MJY23" s="12"/>
      <c r="MJZ23" s="12"/>
      <c r="MKQ23" s="12"/>
      <c r="MKR23" s="12"/>
      <c r="MLI23" s="12"/>
      <c r="MLJ23" s="12"/>
      <c r="MMA23" s="12"/>
      <c r="MMB23" s="12"/>
      <c r="MMS23" s="12"/>
      <c r="MMT23" s="12"/>
      <c r="MNK23" s="12"/>
      <c r="MNL23" s="12"/>
      <c r="MOC23" s="12"/>
      <c r="MOD23" s="12"/>
      <c r="MOU23" s="12"/>
      <c r="MOV23" s="12"/>
      <c r="MPM23" s="12"/>
      <c r="MPN23" s="12"/>
      <c r="MQE23" s="12"/>
      <c r="MQF23" s="12"/>
      <c r="MQW23" s="12"/>
      <c r="MQX23" s="12"/>
      <c r="MRO23" s="12"/>
      <c r="MRP23" s="12"/>
      <c r="MSG23" s="12"/>
      <c r="MSH23" s="12"/>
      <c r="MSY23" s="12"/>
      <c r="MSZ23" s="12"/>
      <c r="MTQ23" s="12"/>
      <c r="MTR23" s="12"/>
      <c r="MUI23" s="12"/>
      <c r="MUJ23" s="12"/>
      <c r="MVA23" s="12"/>
      <c r="MVB23" s="12"/>
      <c r="MVS23" s="12"/>
      <c r="MVT23" s="12"/>
      <c r="MWK23" s="12"/>
      <c r="MWL23" s="12"/>
      <c r="MXC23" s="12"/>
      <c r="MXD23" s="12"/>
      <c r="MXU23" s="12"/>
      <c r="MXV23" s="12"/>
      <c r="MYM23" s="12"/>
      <c r="MYN23" s="12"/>
      <c r="MZE23" s="12"/>
      <c r="MZF23" s="12"/>
      <c r="MZW23" s="12"/>
      <c r="MZX23" s="12"/>
      <c r="NAO23" s="12"/>
      <c r="NAP23" s="12"/>
      <c r="NBG23" s="12"/>
      <c r="NBH23" s="12"/>
      <c r="NBY23" s="12"/>
      <c r="NBZ23" s="12"/>
      <c r="NCQ23" s="12"/>
      <c r="NCR23" s="12"/>
      <c r="NDI23" s="12"/>
      <c r="NDJ23" s="12"/>
      <c r="NEA23" s="12"/>
      <c r="NEB23" s="12"/>
      <c r="NES23" s="12"/>
      <c r="NET23" s="12"/>
      <c r="NFK23" s="12"/>
      <c r="NFL23" s="12"/>
      <c r="NGC23" s="12"/>
      <c r="NGD23" s="12"/>
      <c r="NGU23" s="12"/>
      <c r="NGV23" s="12"/>
      <c r="NHM23" s="12"/>
      <c r="NHN23" s="12"/>
      <c r="NIE23" s="12"/>
      <c r="NIF23" s="12"/>
      <c r="NIW23" s="12"/>
      <c r="NIX23" s="12"/>
      <c r="NJO23" s="12"/>
      <c r="NJP23" s="12"/>
      <c r="NKG23" s="12"/>
      <c r="NKH23" s="12"/>
      <c r="NKY23" s="12"/>
      <c r="NKZ23" s="12"/>
      <c r="NLQ23" s="12"/>
      <c r="NLR23" s="12"/>
      <c r="NMI23" s="12"/>
      <c r="NMJ23" s="12"/>
      <c r="NNA23" s="12"/>
      <c r="NNB23" s="12"/>
      <c r="NNS23" s="12"/>
      <c r="NNT23" s="12"/>
      <c r="NOK23" s="12"/>
      <c r="NOL23" s="12"/>
      <c r="NPC23" s="12"/>
      <c r="NPD23" s="12"/>
      <c r="NPU23" s="12"/>
      <c r="NPV23" s="12"/>
      <c r="NQM23" s="12"/>
      <c r="NQN23" s="12"/>
      <c r="NRE23" s="12"/>
      <c r="NRF23" s="12"/>
      <c r="NRW23" s="12"/>
      <c r="NRX23" s="12"/>
      <c r="NSO23" s="12"/>
      <c r="NSP23" s="12"/>
      <c r="NTG23" s="12"/>
      <c r="NTH23" s="12"/>
      <c r="NTY23" s="12"/>
      <c r="NTZ23" s="12"/>
      <c r="NUQ23" s="12"/>
      <c r="NUR23" s="12"/>
      <c r="NVI23" s="12"/>
      <c r="NVJ23" s="12"/>
      <c r="NWA23" s="12"/>
      <c r="NWB23" s="12"/>
      <c r="NWS23" s="12"/>
      <c r="NWT23" s="12"/>
      <c r="NXK23" s="12"/>
      <c r="NXL23" s="12"/>
      <c r="NYC23" s="12"/>
      <c r="NYD23" s="12"/>
      <c r="NYU23" s="12"/>
      <c r="NYV23" s="12"/>
      <c r="NZM23" s="12"/>
      <c r="NZN23" s="12"/>
      <c r="OAE23" s="12"/>
      <c r="OAF23" s="12"/>
      <c r="OAW23" s="12"/>
      <c r="OAX23" s="12"/>
      <c r="OBO23" s="12"/>
      <c r="OBP23" s="12"/>
      <c r="OCG23" s="12"/>
      <c r="OCH23" s="12"/>
      <c r="OCY23" s="12"/>
      <c r="OCZ23" s="12"/>
      <c r="ODQ23" s="12"/>
      <c r="ODR23" s="12"/>
      <c r="OEI23" s="12"/>
      <c r="OEJ23" s="12"/>
      <c r="OFA23" s="12"/>
      <c r="OFB23" s="12"/>
      <c r="OFS23" s="12"/>
      <c r="OFT23" s="12"/>
      <c r="OGK23" s="12"/>
      <c r="OGL23" s="12"/>
      <c r="OHC23" s="12"/>
      <c r="OHD23" s="12"/>
      <c r="OHU23" s="12"/>
      <c r="OHV23" s="12"/>
      <c r="OIM23" s="12"/>
      <c r="OIN23" s="12"/>
      <c r="OJE23" s="12"/>
      <c r="OJF23" s="12"/>
      <c r="OJW23" s="12"/>
      <c r="OJX23" s="12"/>
      <c r="OKO23" s="12"/>
      <c r="OKP23" s="12"/>
      <c r="OLG23" s="12"/>
      <c r="OLH23" s="12"/>
      <c r="OLY23" s="12"/>
      <c r="OLZ23" s="12"/>
      <c r="OMQ23" s="12"/>
      <c r="OMR23" s="12"/>
      <c r="ONI23" s="12"/>
      <c r="ONJ23" s="12"/>
      <c r="OOA23" s="12"/>
      <c r="OOB23" s="12"/>
      <c r="OOS23" s="12"/>
      <c r="OOT23" s="12"/>
      <c r="OPK23" s="12"/>
      <c r="OPL23" s="12"/>
      <c r="OQC23" s="12"/>
      <c r="OQD23" s="12"/>
      <c r="OQU23" s="12"/>
      <c r="OQV23" s="12"/>
      <c r="ORM23" s="12"/>
      <c r="ORN23" s="12"/>
      <c r="OSE23" s="12"/>
      <c r="OSF23" s="12"/>
      <c r="OSW23" s="12"/>
      <c r="OSX23" s="12"/>
      <c r="OTO23" s="12"/>
      <c r="OTP23" s="12"/>
      <c r="OUG23" s="12"/>
      <c r="OUH23" s="12"/>
      <c r="OUY23" s="12"/>
      <c r="OUZ23" s="12"/>
      <c r="OVQ23" s="12"/>
      <c r="OVR23" s="12"/>
      <c r="OWI23" s="12"/>
      <c r="OWJ23" s="12"/>
      <c r="OXA23" s="12"/>
      <c r="OXB23" s="12"/>
      <c r="OXS23" s="12"/>
      <c r="OXT23" s="12"/>
      <c r="OYK23" s="12"/>
      <c r="OYL23" s="12"/>
      <c r="OZC23" s="12"/>
      <c r="OZD23" s="12"/>
      <c r="OZU23" s="12"/>
      <c r="OZV23" s="12"/>
      <c r="PAM23" s="12"/>
      <c r="PAN23" s="12"/>
      <c r="PBE23" s="12"/>
      <c r="PBF23" s="12"/>
      <c r="PBW23" s="12"/>
      <c r="PBX23" s="12"/>
      <c r="PCO23" s="12"/>
      <c r="PCP23" s="12"/>
      <c r="PDG23" s="12"/>
      <c r="PDH23" s="12"/>
      <c r="PDY23" s="12"/>
      <c r="PDZ23" s="12"/>
      <c r="PEQ23" s="12"/>
      <c r="PER23" s="12"/>
      <c r="PFI23" s="12"/>
      <c r="PFJ23" s="12"/>
      <c r="PGA23" s="12"/>
      <c r="PGB23" s="12"/>
      <c r="PGS23" s="12"/>
      <c r="PGT23" s="12"/>
      <c r="PHK23" s="12"/>
      <c r="PHL23" s="12"/>
      <c r="PIC23" s="12"/>
      <c r="PID23" s="12"/>
      <c r="PIU23" s="12"/>
      <c r="PIV23" s="12"/>
      <c r="PJM23" s="12"/>
      <c r="PJN23" s="12"/>
      <c r="PKE23" s="12"/>
      <c r="PKF23" s="12"/>
      <c r="PKW23" s="12"/>
      <c r="PKX23" s="12"/>
      <c r="PLO23" s="12"/>
      <c r="PLP23" s="12"/>
      <c r="PMG23" s="12"/>
      <c r="PMH23" s="12"/>
      <c r="PMY23" s="12"/>
      <c r="PMZ23" s="12"/>
      <c r="PNQ23" s="12"/>
      <c r="PNR23" s="12"/>
      <c r="POI23" s="12"/>
      <c r="POJ23" s="12"/>
      <c r="PPA23" s="12"/>
      <c r="PPB23" s="12"/>
      <c r="PPS23" s="12"/>
      <c r="PPT23" s="12"/>
      <c r="PQK23" s="12"/>
      <c r="PQL23" s="12"/>
      <c r="PRC23" s="12"/>
      <c r="PRD23" s="12"/>
      <c r="PRU23" s="12"/>
      <c r="PRV23" s="12"/>
      <c r="PSM23" s="12"/>
      <c r="PSN23" s="12"/>
      <c r="PTE23" s="12"/>
      <c r="PTF23" s="12"/>
      <c r="PTW23" s="12"/>
      <c r="PTX23" s="12"/>
      <c r="PUO23" s="12"/>
      <c r="PUP23" s="12"/>
      <c r="PVG23" s="12"/>
      <c r="PVH23" s="12"/>
      <c r="PVY23" s="12"/>
      <c r="PVZ23" s="12"/>
      <c r="PWQ23" s="12"/>
      <c r="PWR23" s="12"/>
      <c r="PXI23" s="12"/>
      <c r="PXJ23" s="12"/>
      <c r="PYA23" s="12"/>
      <c r="PYB23" s="12"/>
      <c r="PYS23" s="12"/>
      <c r="PYT23" s="12"/>
      <c r="PZK23" s="12"/>
      <c r="PZL23" s="12"/>
      <c r="QAC23" s="12"/>
      <c r="QAD23" s="12"/>
      <c r="QAU23" s="12"/>
      <c r="QAV23" s="12"/>
      <c r="QBM23" s="12"/>
      <c r="QBN23" s="12"/>
      <c r="QCE23" s="12"/>
      <c r="QCF23" s="12"/>
      <c r="QCW23" s="12"/>
      <c r="QCX23" s="12"/>
      <c r="QDO23" s="12"/>
      <c r="QDP23" s="12"/>
      <c r="QEG23" s="12"/>
      <c r="QEH23" s="12"/>
      <c r="QEY23" s="12"/>
      <c r="QEZ23" s="12"/>
      <c r="QFQ23" s="12"/>
      <c r="QFR23" s="12"/>
      <c r="QGI23" s="12"/>
      <c r="QGJ23" s="12"/>
      <c r="QHA23" s="12"/>
      <c r="QHB23" s="12"/>
      <c r="QHS23" s="12"/>
      <c r="QHT23" s="12"/>
      <c r="QIK23" s="12"/>
      <c r="QIL23" s="12"/>
      <c r="QJC23" s="12"/>
      <c r="QJD23" s="12"/>
      <c r="QJU23" s="12"/>
      <c r="QJV23" s="12"/>
      <c r="QKM23" s="12"/>
      <c r="QKN23" s="12"/>
      <c r="QLE23" s="12"/>
      <c r="QLF23" s="12"/>
      <c r="QLW23" s="12"/>
      <c r="QLX23" s="12"/>
      <c r="QMO23" s="12"/>
      <c r="QMP23" s="12"/>
      <c r="QNG23" s="12"/>
      <c r="QNH23" s="12"/>
      <c r="QNY23" s="12"/>
      <c r="QNZ23" s="12"/>
      <c r="QOQ23" s="12"/>
      <c r="QOR23" s="12"/>
      <c r="QPI23" s="12"/>
      <c r="QPJ23" s="12"/>
      <c r="QQA23" s="12"/>
      <c r="QQB23" s="12"/>
      <c r="QQS23" s="12"/>
      <c r="QQT23" s="12"/>
      <c r="QRK23" s="12"/>
      <c r="QRL23" s="12"/>
      <c r="QSC23" s="12"/>
      <c r="QSD23" s="12"/>
      <c r="QSU23" s="12"/>
      <c r="QSV23" s="12"/>
      <c r="QTM23" s="12"/>
      <c r="QTN23" s="12"/>
      <c r="QUE23" s="12"/>
      <c r="QUF23" s="12"/>
      <c r="QUW23" s="12"/>
      <c r="QUX23" s="12"/>
      <c r="QVO23" s="12"/>
      <c r="QVP23" s="12"/>
      <c r="QWG23" s="12"/>
      <c r="QWH23" s="12"/>
      <c r="QWY23" s="12"/>
      <c r="QWZ23" s="12"/>
      <c r="QXQ23" s="12"/>
      <c r="QXR23" s="12"/>
      <c r="QYI23" s="12"/>
      <c r="QYJ23" s="12"/>
      <c r="QZA23" s="12"/>
      <c r="QZB23" s="12"/>
      <c r="QZS23" s="12"/>
      <c r="QZT23" s="12"/>
      <c r="RAK23" s="12"/>
      <c r="RAL23" s="12"/>
      <c r="RBC23" s="12"/>
      <c r="RBD23" s="12"/>
      <c r="RBU23" s="12"/>
      <c r="RBV23" s="12"/>
      <c r="RCM23" s="12"/>
      <c r="RCN23" s="12"/>
      <c r="RDE23" s="12"/>
      <c r="RDF23" s="12"/>
      <c r="RDW23" s="12"/>
      <c r="RDX23" s="12"/>
      <c r="REO23" s="12"/>
      <c r="REP23" s="12"/>
      <c r="RFG23" s="12"/>
      <c r="RFH23" s="12"/>
      <c r="RFY23" s="12"/>
      <c r="RFZ23" s="12"/>
      <c r="RGQ23" s="12"/>
      <c r="RGR23" s="12"/>
      <c r="RHI23" s="12"/>
      <c r="RHJ23" s="12"/>
      <c r="RIA23" s="12"/>
      <c r="RIB23" s="12"/>
      <c r="RIS23" s="12"/>
      <c r="RIT23" s="12"/>
      <c r="RJK23" s="12"/>
      <c r="RJL23" s="12"/>
      <c r="RKC23" s="12"/>
      <c r="RKD23" s="12"/>
      <c r="RKU23" s="12"/>
      <c r="RKV23" s="12"/>
      <c r="RLM23" s="12"/>
      <c r="RLN23" s="12"/>
      <c r="RME23" s="12"/>
      <c r="RMF23" s="12"/>
      <c r="RMW23" s="12"/>
      <c r="RMX23" s="12"/>
      <c r="RNO23" s="12"/>
      <c r="RNP23" s="12"/>
      <c r="ROG23" s="12"/>
      <c r="ROH23" s="12"/>
      <c r="ROY23" s="12"/>
      <c r="ROZ23" s="12"/>
      <c r="RPQ23" s="12"/>
      <c r="RPR23" s="12"/>
      <c r="RQI23" s="12"/>
      <c r="RQJ23" s="12"/>
      <c r="RRA23" s="12"/>
      <c r="RRB23" s="12"/>
      <c r="RRS23" s="12"/>
      <c r="RRT23" s="12"/>
      <c r="RSK23" s="12"/>
      <c r="RSL23" s="12"/>
      <c r="RTC23" s="12"/>
      <c r="RTD23" s="12"/>
      <c r="RTU23" s="12"/>
      <c r="RTV23" s="12"/>
      <c r="RUM23" s="12"/>
      <c r="RUN23" s="12"/>
      <c r="RVE23" s="12"/>
      <c r="RVF23" s="12"/>
      <c r="RVW23" s="12"/>
      <c r="RVX23" s="12"/>
      <c r="RWO23" s="12"/>
      <c r="RWP23" s="12"/>
      <c r="RXG23" s="12"/>
      <c r="RXH23" s="12"/>
      <c r="RXY23" s="12"/>
      <c r="RXZ23" s="12"/>
      <c r="RYQ23" s="12"/>
      <c r="RYR23" s="12"/>
      <c r="RZI23" s="12"/>
      <c r="RZJ23" s="12"/>
      <c r="SAA23" s="12"/>
      <c r="SAB23" s="12"/>
      <c r="SAS23" s="12"/>
      <c r="SAT23" s="12"/>
      <c r="SBK23" s="12"/>
      <c r="SBL23" s="12"/>
      <c r="SCC23" s="12"/>
      <c r="SCD23" s="12"/>
      <c r="SCU23" s="12"/>
      <c r="SCV23" s="12"/>
      <c r="SDM23" s="12"/>
      <c r="SDN23" s="12"/>
      <c r="SEE23" s="12"/>
      <c r="SEF23" s="12"/>
      <c r="SEW23" s="12"/>
      <c r="SEX23" s="12"/>
      <c r="SFO23" s="12"/>
      <c r="SFP23" s="12"/>
      <c r="SGG23" s="12"/>
      <c r="SGH23" s="12"/>
      <c r="SGY23" s="12"/>
      <c r="SGZ23" s="12"/>
      <c r="SHQ23" s="12"/>
      <c r="SHR23" s="12"/>
      <c r="SII23" s="12"/>
      <c r="SIJ23" s="12"/>
      <c r="SJA23" s="12"/>
      <c r="SJB23" s="12"/>
      <c r="SJS23" s="12"/>
      <c r="SJT23" s="12"/>
      <c r="SKK23" s="12"/>
      <c r="SKL23" s="12"/>
      <c r="SLC23" s="12"/>
      <c r="SLD23" s="12"/>
      <c r="SLU23" s="12"/>
      <c r="SLV23" s="12"/>
      <c r="SMM23" s="12"/>
      <c r="SMN23" s="12"/>
      <c r="SNE23" s="12"/>
      <c r="SNF23" s="12"/>
      <c r="SNW23" s="12"/>
      <c r="SNX23" s="12"/>
      <c r="SOO23" s="12"/>
      <c r="SOP23" s="12"/>
      <c r="SPG23" s="12"/>
      <c r="SPH23" s="12"/>
      <c r="SPY23" s="12"/>
      <c r="SPZ23" s="12"/>
      <c r="SQQ23" s="12"/>
      <c r="SQR23" s="12"/>
      <c r="SRI23" s="12"/>
      <c r="SRJ23" s="12"/>
      <c r="SSA23" s="12"/>
      <c r="SSB23" s="12"/>
      <c r="SSS23" s="12"/>
      <c r="SST23" s="12"/>
      <c r="STK23" s="12"/>
      <c r="STL23" s="12"/>
      <c r="SUC23" s="12"/>
      <c r="SUD23" s="12"/>
      <c r="SUU23" s="12"/>
      <c r="SUV23" s="12"/>
      <c r="SVM23" s="12"/>
      <c r="SVN23" s="12"/>
      <c r="SWE23" s="12"/>
      <c r="SWF23" s="12"/>
      <c r="SWW23" s="12"/>
      <c r="SWX23" s="12"/>
      <c r="SXO23" s="12"/>
      <c r="SXP23" s="12"/>
      <c r="SYG23" s="12"/>
      <c r="SYH23" s="12"/>
      <c r="SYY23" s="12"/>
      <c r="SYZ23" s="12"/>
      <c r="SZQ23" s="12"/>
      <c r="SZR23" s="12"/>
      <c r="TAI23" s="12"/>
      <c r="TAJ23" s="12"/>
      <c r="TBA23" s="12"/>
      <c r="TBB23" s="12"/>
      <c r="TBS23" s="12"/>
      <c r="TBT23" s="12"/>
      <c r="TCK23" s="12"/>
      <c r="TCL23" s="12"/>
      <c r="TDC23" s="12"/>
      <c r="TDD23" s="12"/>
      <c r="TDU23" s="12"/>
      <c r="TDV23" s="12"/>
      <c r="TEM23" s="12"/>
      <c r="TEN23" s="12"/>
      <c r="TFE23" s="12"/>
      <c r="TFF23" s="12"/>
      <c r="TFW23" s="12"/>
      <c r="TFX23" s="12"/>
      <c r="TGO23" s="12"/>
      <c r="TGP23" s="12"/>
      <c r="THG23" s="12"/>
      <c r="THH23" s="12"/>
      <c r="THY23" s="12"/>
      <c r="THZ23" s="12"/>
      <c r="TIQ23" s="12"/>
      <c r="TIR23" s="12"/>
      <c r="TJI23" s="12"/>
      <c r="TJJ23" s="12"/>
      <c r="TKA23" s="12"/>
      <c r="TKB23" s="12"/>
      <c r="TKS23" s="12"/>
      <c r="TKT23" s="12"/>
      <c r="TLK23" s="12"/>
      <c r="TLL23" s="12"/>
      <c r="TMC23" s="12"/>
      <c r="TMD23" s="12"/>
      <c r="TMU23" s="12"/>
      <c r="TMV23" s="12"/>
      <c r="TNM23" s="12"/>
      <c r="TNN23" s="12"/>
      <c r="TOE23" s="12"/>
      <c r="TOF23" s="12"/>
      <c r="TOW23" s="12"/>
      <c r="TOX23" s="12"/>
      <c r="TPO23" s="12"/>
      <c r="TPP23" s="12"/>
      <c r="TQG23" s="12"/>
      <c r="TQH23" s="12"/>
      <c r="TQY23" s="12"/>
      <c r="TQZ23" s="12"/>
      <c r="TRQ23" s="12"/>
      <c r="TRR23" s="12"/>
      <c r="TSI23" s="12"/>
      <c r="TSJ23" s="12"/>
      <c r="TTA23" s="12"/>
      <c r="TTB23" s="12"/>
      <c r="TTS23" s="12"/>
      <c r="TTT23" s="12"/>
      <c r="TUK23" s="12"/>
      <c r="TUL23" s="12"/>
      <c r="TVC23" s="12"/>
      <c r="TVD23" s="12"/>
      <c r="TVU23" s="12"/>
      <c r="TVV23" s="12"/>
      <c r="TWM23" s="12"/>
      <c r="TWN23" s="12"/>
      <c r="TXE23" s="12"/>
      <c r="TXF23" s="12"/>
      <c r="TXW23" s="12"/>
      <c r="TXX23" s="12"/>
      <c r="TYO23" s="12"/>
      <c r="TYP23" s="12"/>
      <c r="TZG23" s="12"/>
      <c r="TZH23" s="12"/>
      <c r="TZY23" s="12"/>
      <c r="TZZ23" s="12"/>
      <c r="UAQ23" s="12"/>
      <c r="UAR23" s="12"/>
      <c r="UBI23" s="12"/>
      <c r="UBJ23" s="12"/>
      <c r="UCA23" s="12"/>
      <c r="UCB23" s="12"/>
      <c r="UCS23" s="12"/>
      <c r="UCT23" s="12"/>
      <c r="UDK23" s="12"/>
      <c r="UDL23" s="12"/>
      <c r="UEC23" s="12"/>
      <c r="UED23" s="12"/>
      <c r="UEU23" s="12"/>
      <c r="UEV23" s="12"/>
      <c r="UFM23" s="12"/>
      <c r="UFN23" s="12"/>
      <c r="UGE23" s="12"/>
      <c r="UGF23" s="12"/>
      <c r="UGW23" s="12"/>
      <c r="UGX23" s="12"/>
      <c r="UHO23" s="12"/>
      <c r="UHP23" s="12"/>
      <c r="UIG23" s="12"/>
      <c r="UIH23" s="12"/>
      <c r="UIY23" s="12"/>
      <c r="UIZ23" s="12"/>
      <c r="UJQ23" s="12"/>
      <c r="UJR23" s="12"/>
      <c r="UKI23" s="12"/>
      <c r="UKJ23" s="12"/>
      <c r="ULA23" s="12"/>
      <c r="ULB23" s="12"/>
      <c r="ULS23" s="12"/>
      <c r="ULT23" s="12"/>
      <c r="UMK23" s="12"/>
      <c r="UML23" s="12"/>
      <c r="UNC23" s="12"/>
      <c r="UND23" s="12"/>
      <c r="UNU23" s="12"/>
      <c r="UNV23" s="12"/>
      <c r="UOM23" s="12"/>
      <c r="UON23" s="12"/>
      <c r="UPE23" s="12"/>
      <c r="UPF23" s="12"/>
      <c r="UPW23" s="12"/>
      <c r="UPX23" s="12"/>
      <c r="UQO23" s="12"/>
      <c r="UQP23" s="12"/>
      <c r="URG23" s="12"/>
      <c r="URH23" s="12"/>
      <c r="URY23" s="12"/>
      <c r="URZ23" s="12"/>
      <c r="USQ23" s="12"/>
      <c r="USR23" s="12"/>
      <c r="UTI23" s="12"/>
      <c r="UTJ23" s="12"/>
      <c r="UUA23" s="12"/>
      <c r="UUB23" s="12"/>
      <c r="UUS23" s="12"/>
      <c r="UUT23" s="12"/>
      <c r="UVK23" s="12"/>
      <c r="UVL23" s="12"/>
      <c r="UWC23" s="12"/>
      <c r="UWD23" s="12"/>
      <c r="UWU23" s="12"/>
      <c r="UWV23" s="12"/>
      <c r="UXM23" s="12"/>
      <c r="UXN23" s="12"/>
      <c r="UYE23" s="12"/>
      <c r="UYF23" s="12"/>
      <c r="UYW23" s="12"/>
      <c r="UYX23" s="12"/>
      <c r="UZO23" s="12"/>
      <c r="UZP23" s="12"/>
      <c r="VAG23" s="12"/>
      <c r="VAH23" s="12"/>
      <c r="VAY23" s="12"/>
      <c r="VAZ23" s="12"/>
      <c r="VBQ23" s="12"/>
      <c r="VBR23" s="12"/>
      <c r="VCI23" s="12"/>
      <c r="VCJ23" s="12"/>
      <c r="VDA23" s="12"/>
      <c r="VDB23" s="12"/>
      <c r="VDS23" s="12"/>
      <c r="VDT23" s="12"/>
      <c r="VEK23" s="12"/>
      <c r="VEL23" s="12"/>
      <c r="VFC23" s="12"/>
      <c r="VFD23" s="12"/>
      <c r="VFU23" s="12"/>
      <c r="VFV23" s="12"/>
      <c r="VGM23" s="12"/>
      <c r="VGN23" s="12"/>
      <c r="VHE23" s="12"/>
      <c r="VHF23" s="12"/>
      <c r="VHW23" s="12"/>
      <c r="VHX23" s="12"/>
      <c r="VIO23" s="12"/>
      <c r="VIP23" s="12"/>
      <c r="VJG23" s="12"/>
      <c r="VJH23" s="12"/>
      <c r="VJY23" s="12"/>
      <c r="VJZ23" s="12"/>
      <c r="VKQ23" s="12"/>
      <c r="VKR23" s="12"/>
      <c r="VLI23" s="12"/>
      <c r="VLJ23" s="12"/>
      <c r="VMA23" s="12"/>
      <c r="VMB23" s="12"/>
      <c r="VMS23" s="12"/>
      <c r="VMT23" s="12"/>
      <c r="VNK23" s="12"/>
      <c r="VNL23" s="12"/>
      <c r="VOC23" s="12"/>
      <c r="VOD23" s="12"/>
      <c r="VOU23" s="12"/>
      <c r="VOV23" s="12"/>
      <c r="VPM23" s="12"/>
      <c r="VPN23" s="12"/>
      <c r="VQE23" s="12"/>
      <c r="VQF23" s="12"/>
      <c r="VQW23" s="12"/>
      <c r="VQX23" s="12"/>
      <c r="VRO23" s="12"/>
      <c r="VRP23" s="12"/>
      <c r="VSG23" s="12"/>
      <c r="VSH23" s="12"/>
      <c r="VSY23" s="12"/>
      <c r="VSZ23" s="12"/>
      <c r="VTQ23" s="12"/>
      <c r="VTR23" s="12"/>
      <c r="VUI23" s="12"/>
      <c r="VUJ23" s="12"/>
      <c r="VVA23" s="12"/>
      <c r="VVB23" s="12"/>
      <c r="VVS23" s="12"/>
      <c r="VVT23" s="12"/>
      <c r="VWK23" s="12"/>
      <c r="VWL23" s="12"/>
      <c r="VXC23" s="12"/>
      <c r="VXD23" s="12"/>
      <c r="VXU23" s="12"/>
      <c r="VXV23" s="12"/>
      <c r="VYM23" s="12"/>
      <c r="VYN23" s="12"/>
      <c r="VZE23" s="12"/>
      <c r="VZF23" s="12"/>
      <c r="VZW23" s="12"/>
      <c r="VZX23" s="12"/>
      <c r="WAO23" s="12"/>
      <c r="WAP23" s="12"/>
      <c r="WBG23" s="12"/>
      <c r="WBH23" s="12"/>
      <c r="WBY23" s="12"/>
      <c r="WBZ23" s="12"/>
      <c r="WCQ23" s="12"/>
      <c r="WCR23" s="12"/>
      <c r="WDI23" s="12"/>
      <c r="WDJ23" s="12"/>
      <c r="WEA23" s="12"/>
      <c r="WEB23" s="12"/>
      <c r="WES23" s="12"/>
      <c r="WET23" s="12"/>
      <c r="WFK23" s="12"/>
      <c r="WFL23" s="12"/>
      <c r="WGC23" s="12"/>
      <c r="WGD23" s="12"/>
      <c r="WGU23" s="12"/>
      <c r="WGV23" s="12"/>
      <c r="WHM23" s="12"/>
      <c r="WHN23" s="12"/>
      <c r="WIE23" s="12"/>
      <c r="WIF23" s="12"/>
      <c r="WIW23" s="12"/>
      <c r="WIX23" s="12"/>
      <c r="WJO23" s="12"/>
      <c r="WJP23" s="12"/>
      <c r="WKG23" s="12"/>
      <c r="WKH23" s="12"/>
      <c r="WKY23" s="12"/>
      <c r="WKZ23" s="12"/>
      <c r="WLQ23" s="12"/>
      <c r="WLR23" s="12"/>
      <c r="WMI23" s="12"/>
      <c r="WMJ23" s="12"/>
      <c r="WNA23" s="12"/>
      <c r="WNB23" s="12"/>
      <c r="WNS23" s="12"/>
      <c r="WNT23" s="12"/>
      <c r="WOK23" s="12"/>
      <c r="WOL23" s="12"/>
      <c r="WPC23" s="12"/>
      <c r="WPD23" s="12"/>
      <c r="WPU23" s="12"/>
      <c r="WPV23" s="12"/>
      <c r="WQM23" s="12"/>
      <c r="WQN23" s="12"/>
      <c r="WRE23" s="12"/>
      <c r="WRF23" s="12"/>
      <c r="WRW23" s="12"/>
      <c r="WRX23" s="12"/>
      <c r="WSO23" s="12"/>
      <c r="WSP23" s="12"/>
      <c r="WTG23" s="12"/>
      <c r="WTH23" s="12"/>
      <c r="WTY23" s="12"/>
      <c r="WTZ23" s="12"/>
      <c r="WUQ23" s="12"/>
      <c r="WUR23" s="12"/>
      <c r="WVI23" s="12"/>
      <c r="WVJ23" s="12"/>
      <c r="WWA23" s="12"/>
      <c r="WWB23" s="12"/>
      <c r="WWS23" s="12"/>
      <c r="WWT23" s="12"/>
      <c r="WXK23" s="12"/>
      <c r="WXL23" s="12"/>
      <c r="WYC23" s="12"/>
      <c r="WYD23" s="12"/>
      <c r="WYU23" s="12"/>
      <c r="WYV23" s="12"/>
      <c r="WZM23" s="12"/>
      <c r="WZN23" s="12"/>
      <c r="XAE23" s="12"/>
      <c r="XAF23" s="12"/>
      <c r="XAW23" s="12"/>
      <c r="XAX23" s="12"/>
      <c r="XBO23" s="12"/>
      <c r="XBP23" s="12"/>
      <c r="XCG23" s="12"/>
      <c r="XCH23" s="12"/>
      <c r="XCY23" s="12"/>
      <c r="XCZ23" s="12"/>
      <c r="XDQ23" s="12"/>
      <c r="XDR23" s="12"/>
      <c r="XEI23" s="12"/>
      <c r="XEJ23" s="12"/>
      <c r="XFA23" s="12"/>
      <c r="XFB23" s="12"/>
    </row>
    <row r="24" spans="1:1010 1027:2036 2053:3062 3079:4088 4105:5114 5131:6140 6157:7166 7183:8192 8209:9200 9217:10226 10243:11252 11269:12278 12295:13304 13321:14330 14347:15356 15373:16382" x14ac:dyDescent="0.35">
      <c r="A24" s="189" t="s">
        <v>347</v>
      </c>
      <c r="B24" s="296" t="s">
        <v>372</v>
      </c>
      <c r="C24" s="205">
        <v>33.125</v>
      </c>
      <c r="D24" s="205">
        <v>39.448999999999998</v>
      </c>
      <c r="E24" s="205">
        <v>33.933999999999997</v>
      </c>
      <c r="F24" s="205">
        <v>3.7970000000000002</v>
      </c>
      <c r="G24" s="205">
        <v>46.033999999999999</v>
      </c>
      <c r="H24" s="205">
        <v>43.968000000000004</v>
      </c>
      <c r="I24" s="205">
        <v>3.048</v>
      </c>
      <c r="J24" s="205">
        <v>119.70699999999999</v>
      </c>
      <c r="K24" s="205">
        <v>95.760999999999996</v>
      </c>
      <c r="L24" s="205">
        <v>132.91</v>
      </c>
      <c r="M24" s="312">
        <f>IF(OR(K24=0,K24=""),"",L24/K24-1)</f>
        <v>0.38793454537859873</v>
      </c>
      <c r="N24" s="124"/>
      <c r="O24" s="124"/>
      <c r="P24" s="124"/>
      <c r="Q24" s="124"/>
      <c r="R24" s="124"/>
    </row>
    <row r="25" spans="1:1010 1027:2036 2053:3062 3079:4088 4105:5114 5131:6140 6157:7166 7183:8192 8209:9200 9217:10226 10243:11252 11269:12278 12295:13304 13321:14330 14347:15356 15373:16382" x14ac:dyDescent="0.35">
      <c r="A25" s="23" t="s">
        <v>29</v>
      </c>
      <c r="B25" s="297"/>
      <c r="C25" s="323">
        <f t="shared" ref="C25:L25" si="2">ROUND(SUM(C10,C11,C12,C17,C23)-IF(C24="",0,C24),1)</f>
        <v>0</v>
      </c>
      <c r="D25" s="323">
        <f t="shared" si="2"/>
        <v>0</v>
      </c>
      <c r="E25" s="323">
        <f t="shared" si="2"/>
        <v>0</v>
      </c>
      <c r="F25" s="323">
        <f t="shared" si="2"/>
        <v>0</v>
      </c>
      <c r="G25" s="323">
        <f t="shared" si="2"/>
        <v>0</v>
      </c>
      <c r="H25" s="323">
        <f t="shared" si="2"/>
        <v>0</v>
      </c>
      <c r="I25" s="323">
        <f t="shared" si="2"/>
        <v>0</v>
      </c>
      <c r="J25" s="323">
        <f t="shared" si="2"/>
        <v>0</v>
      </c>
      <c r="K25" s="323">
        <f t="shared" si="2"/>
        <v>0</v>
      </c>
      <c r="L25" s="323">
        <f t="shared" si="2"/>
        <v>0</v>
      </c>
      <c r="M25" s="121"/>
      <c r="N25" s="121"/>
      <c r="O25" s="121"/>
      <c r="P25" s="121"/>
      <c r="Q25" s="121"/>
      <c r="R25" s="121"/>
    </row>
    <row r="26" spans="1:1010 1027:2036 2053:3062 3079:4088 4105:5114 5131:6140 6157:7166 7183:8192 8209:9200 9217:10226 10243:11252 11269:12278 12295:13304 13321:14330 14347:15356 15373:16382" s="152" customFormat="1" x14ac:dyDescent="0.35">
      <c r="A26" s="187" t="s">
        <v>373</v>
      </c>
      <c r="B26" s="196"/>
      <c r="C26" s="206">
        <v>-9.8979999999999997</v>
      </c>
      <c r="D26" s="206">
        <v>-9.9789999999999992</v>
      </c>
      <c r="E26" s="206">
        <v>18.105</v>
      </c>
      <c r="F26" s="206">
        <v>-21.219000000000001</v>
      </c>
      <c r="G26" s="206">
        <v>-38.514000000000003</v>
      </c>
      <c r="H26" s="206">
        <v>-27.619</v>
      </c>
      <c r="I26" s="206">
        <v>-8.9499999999999993</v>
      </c>
      <c r="J26" s="206">
        <v>-47.417000000000002</v>
      </c>
      <c r="K26" s="206">
        <v>-25.940999999999999</v>
      </c>
      <c r="L26" s="206">
        <v>-48.573999999999998</v>
      </c>
      <c r="M26" s="201"/>
      <c r="N26" s="201"/>
      <c r="O26" s="201"/>
      <c r="P26" s="201"/>
      <c r="Q26" s="201"/>
      <c r="R26" s="201"/>
    </row>
    <row r="27" spans="1:1010 1027:2036 2053:3062 3079:4088 4105:5114 5131:6140 6157:7166 7183:8192 8209:9200 9217:10226 10243:11252 11269:12278 12295:13304 13321:14330 14347:15356 15373:16382" s="204" customFormat="1" x14ac:dyDescent="0.35">
      <c r="A27" s="183" t="s">
        <v>374</v>
      </c>
      <c r="B27" s="293" t="s">
        <v>375</v>
      </c>
      <c r="C27" s="184">
        <v>-11.496</v>
      </c>
      <c r="D27" s="184">
        <v>-8.8629999999999995</v>
      </c>
      <c r="E27" s="184">
        <v>-11.054</v>
      </c>
      <c r="F27" s="184">
        <v>-23.210999999999999</v>
      </c>
      <c r="G27" s="184">
        <v>-17.489999999999998</v>
      </c>
      <c r="H27" s="184">
        <v>-26.510999999999999</v>
      </c>
      <c r="I27" s="184">
        <v>-15.595000000000001</v>
      </c>
      <c r="J27" s="184">
        <v>-18.774999999999999</v>
      </c>
      <c r="K27" s="184">
        <v>-28.978999999999999</v>
      </c>
      <c r="L27" s="184">
        <v>-42.496000000000002</v>
      </c>
      <c r="S27" s="203"/>
      <c r="T27" s="203"/>
      <c r="AK27" s="203"/>
      <c r="AL27" s="203"/>
      <c r="BC27" s="203"/>
      <c r="BD27" s="203"/>
      <c r="BU27" s="203"/>
      <c r="BV27" s="203"/>
      <c r="CM27" s="203"/>
      <c r="CN27" s="203"/>
      <c r="DE27" s="203"/>
      <c r="DF27" s="203"/>
      <c r="DW27" s="203"/>
      <c r="DX27" s="203"/>
      <c r="EO27" s="203"/>
      <c r="EP27" s="203"/>
      <c r="FG27" s="203"/>
      <c r="FH27" s="203"/>
      <c r="FY27" s="203"/>
      <c r="FZ27" s="203"/>
      <c r="GQ27" s="203"/>
      <c r="GR27" s="203"/>
      <c r="HI27" s="203"/>
      <c r="HJ27" s="203"/>
      <c r="IA27" s="203"/>
      <c r="IB27" s="203"/>
      <c r="IS27" s="203"/>
      <c r="IT27" s="203"/>
      <c r="JK27" s="203"/>
      <c r="JL27" s="203"/>
      <c r="KC27" s="203"/>
      <c r="KD27" s="203"/>
      <c r="KU27" s="203"/>
      <c r="KV27" s="203"/>
      <c r="LM27" s="203"/>
      <c r="LN27" s="203"/>
      <c r="ME27" s="203"/>
      <c r="MF27" s="203"/>
      <c r="MW27" s="203"/>
      <c r="MX27" s="203"/>
      <c r="NO27" s="203"/>
      <c r="NP27" s="203"/>
      <c r="OG27" s="203"/>
      <c r="OH27" s="203"/>
      <c r="OY27" s="203"/>
      <c r="OZ27" s="203"/>
      <c r="PQ27" s="203"/>
      <c r="PR27" s="203"/>
      <c r="QI27" s="203"/>
      <c r="QJ27" s="203"/>
      <c r="RA27" s="203"/>
      <c r="RB27" s="203"/>
      <c r="RS27" s="203"/>
      <c r="RT27" s="203"/>
      <c r="SK27" s="203"/>
      <c r="SL27" s="203"/>
      <c r="TC27" s="203"/>
      <c r="TD27" s="203"/>
      <c r="TU27" s="203"/>
      <c r="TV27" s="203"/>
      <c r="UM27" s="203"/>
      <c r="UN27" s="203"/>
      <c r="VE27" s="203"/>
      <c r="VF27" s="203"/>
      <c r="VW27" s="203"/>
      <c r="VX27" s="203"/>
      <c r="WO27" s="203"/>
      <c r="WP27" s="203"/>
      <c r="XG27" s="203"/>
      <c r="XH27" s="203"/>
      <c r="XY27" s="203"/>
      <c r="XZ27" s="203"/>
      <c r="YQ27" s="203"/>
      <c r="YR27" s="203"/>
      <c r="ZI27" s="203"/>
      <c r="ZJ27" s="203"/>
      <c r="AAA27" s="203"/>
      <c r="AAB27" s="203"/>
      <c r="AAS27" s="203"/>
      <c r="AAT27" s="203"/>
      <c r="ABK27" s="203"/>
      <c r="ABL27" s="203"/>
      <c r="ACC27" s="203"/>
      <c r="ACD27" s="203"/>
      <c r="ACU27" s="203"/>
      <c r="ACV27" s="203"/>
      <c r="ADM27" s="203"/>
      <c r="ADN27" s="203"/>
      <c r="AEE27" s="203"/>
      <c r="AEF27" s="203"/>
      <c r="AEW27" s="203"/>
      <c r="AEX27" s="203"/>
      <c r="AFO27" s="203"/>
      <c r="AFP27" s="203"/>
      <c r="AGG27" s="203"/>
      <c r="AGH27" s="203"/>
      <c r="AGY27" s="203"/>
      <c r="AGZ27" s="203"/>
      <c r="AHQ27" s="203"/>
      <c r="AHR27" s="203"/>
      <c r="AII27" s="203"/>
      <c r="AIJ27" s="203"/>
      <c r="AJA27" s="203"/>
      <c r="AJB27" s="203"/>
      <c r="AJS27" s="203"/>
      <c r="AJT27" s="203"/>
      <c r="AKK27" s="203"/>
      <c r="AKL27" s="203"/>
      <c r="ALC27" s="203"/>
      <c r="ALD27" s="203"/>
      <c r="ALU27" s="203"/>
      <c r="ALV27" s="203"/>
      <c r="AMM27" s="203"/>
      <c r="AMN27" s="203"/>
      <c r="ANE27" s="203"/>
      <c r="ANF27" s="203"/>
      <c r="ANW27" s="203"/>
      <c r="ANX27" s="203"/>
      <c r="AOO27" s="203"/>
      <c r="AOP27" s="203"/>
      <c r="APG27" s="203"/>
      <c r="APH27" s="203"/>
      <c r="APY27" s="203"/>
      <c r="APZ27" s="203"/>
      <c r="AQQ27" s="203"/>
      <c r="AQR27" s="203"/>
      <c r="ARI27" s="203"/>
      <c r="ARJ27" s="203"/>
      <c r="ASA27" s="203"/>
      <c r="ASB27" s="203"/>
      <c r="ASS27" s="203"/>
      <c r="AST27" s="203"/>
      <c r="ATK27" s="203"/>
      <c r="ATL27" s="203"/>
      <c r="AUC27" s="203"/>
      <c r="AUD27" s="203"/>
      <c r="AUU27" s="203"/>
      <c r="AUV27" s="203"/>
      <c r="AVM27" s="203"/>
      <c r="AVN27" s="203"/>
      <c r="AWE27" s="203"/>
      <c r="AWF27" s="203"/>
      <c r="AWW27" s="203"/>
      <c r="AWX27" s="203"/>
      <c r="AXO27" s="203"/>
      <c r="AXP27" s="203"/>
      <c r="AYG27" s="203"/>
      <c r="AYH27" s="203"/>
      <c r="AYY27" s="203"/>
      <c r="AYZ27" s="203"/>
      <c r="AZQ27" s="203"/>
      <c r="AZR27" s="203"/>
      <c r="BAI27" s="203"/>
      <c r="BAJ27" s="203"/>
      <c r="BBA27" s="203"/>
      <c r="BBB27" s="203"/>
      <c r="BBS27" s="203"/>
      <c r="BBT27" s="203"/>
      <c r="BCK27" s="203"/>
      <c r="BCL27" s="203"/>
      <c r="BDC27" s="203"/>
      <c r="BDD27" s="203"/>
      <c r="BDU27" s="203"/>
      <c r="BDV27" s="203"/>
      <c r="BEM27" s="203"/>
      <c r="BEN27" s="203"/>
      <c r="BFE27" s="203"/>
      <c r="BFF27" s="203"/>
      <c r="BFW27" s="203"/>
      <c r="BFX27" s="203"/>
      <c r="BGO27" s="203"/>
      <c r="BGP27" s="203"/>
      <c r="BHG27" s="203"/>
      <c r="BHH27" s="203"/>
      <c r="BHY27" s="203"/>
      <c r="BHZ27" s="203"/>
      <c r="BIQ27" s="203"/>
      <c r="BIR27" s="203"/>
      <c r="BJI27" s="203"/>
      <c r="BJJ27" s="203"/>
      <c r="BKA27" s="203"/>
      <c r="BKB27" s="203"/>
      <c r="BKS27" s="203"/>
      <c r="BKT27" s="203"/>
      <c r="BLK27" s="203"/>
      <c r="BLL27" s="203"/>
      <c r="BMC27" s="203"/>
      <c r="BMD27" s="203"/>
      <c r="BMU27" s="203"/>
      <c r="BMV27" s="203"/>
      <c r="BNM27" s="203"/>
      <c r="BNN27" s="203"/>
      <c r="BOE27" s="203"/>
      <c r="BOF27" s="203"/>
      <c r="BOW27" s="203"/>
      <c r="BOX27" s="203"/>
      <c r="BPO27" s="203"/>
      <c r="BPP27" s="203"/>
      <c r="BQG27" s="203"/>
      <c r="BQH27" s="203"/>
      <c r="BQY27" s="203"/>
      <c r="BQZ27" s="203"/>
      <c r="BRQ27" s="203"/>
      <c r="BRR27" s="203"/>
      <c r="BSI27" s="203"/>
      <c r="BSJ27" s="203"/>
      <c r="BTA27" s="203"/>
      <c r="BTB27" s="203"/>
      <c r="BTS27" s="203"/>
      <c r="BTT27" s="203"/>
      <c r="BUK27" s="203"/>
      <c r="BUL27" s="203"/>
      <c r="BVC27" s="203"/>
      <c r="BVD27" s="203"/>
      <c r="BVU27" s="203"/>
      <c r="BVV27" s="203"/>
      <c r="BWM27" s="203"/>
      <c r="BWN27" s="203"/>
      <c r="BXE27" s="203"/>
      <c r="BXF27" s="203"/>
      <c r="BXW27" s="203"/>
      <c r="BXX27" s="203"/>
      <c r="BYO27" s="203"/>
      <c r="BYP27" s="203"/>
      <c r="BZG27" s="203"/>
      <c r="BZH27" s="203"/>
      <c r="BZY27" s="203"/>
      <c r="BZZ27" s="203"/>
      <c r="CAQ27" s="203"/>
      <c r="CAR27" s="203"/>
      <c r="CBI27" s="203"/>
      <c r="CBJ27" s="203"/>
      <c r="CCA27" s="203"/>
      <c r="CCB27" s="203"/>
      <c r="CCS27" s="203"/>
      <c r="CCT27" s="203"/>
      <c r="CDK27" s="203"/>
      <c r="CDL27" s="203"/>
      <c r="CEC27" s="203"/>
      <c r="CED27" s="203"/>
      <c r="CEU27" s="203"/>
      <c r="CEV27" s="203"/>
      <c r="CFM27" s="203"/>
      <c r="CFN27" s="203"/>
      <c r="CGE27" s="203"/>
      <c r="CGF27" s="203"/>
      <c r="CGW27" s="203"/>
      <c r="CGX27" s="203"/>
      <c r="CHO27" s="203"/>
      <c r="CHP27" s="203"/>
      <c r="CIG27" s="203"/>
      <c r="CIH27" s="203"/>
      <c r="CIY27" s="203"/>
      <c r="CIZ27" s="203"/>
      <c r="CJQ27" s="203"/>
      <c r="CJR27" s="203"/>
      <c r="CKI27" s="203"/>
      <c r="CKJ27" s="203"/>
      <c r="CLA27" s="203"/>
      <c r="CLB27" s="203"/>
      <c r="CLS27" s="203"/>
      <c r="CLT27" s="203"/>
      <c r="CMK27" s="203"/>
      <c r="CML27" s="203"/>
      <c r="CNC27" s="203"/>
      <c r="CND27" s="203"/>
      <c r="CNU27" s="203"/>
      <c r="CNV27" s="203"/>
      <c r="COM27" s="203"/>
      <c r="CON27" s="203"/>
      <c r="CPE27" s="203"/>
      <c r="CPF27" s="203"/>
      <c r="CPW27" s="203"/>
      <c r="CPX27" s="203"/>
      <c r="CQO27" s="203"/>
      <c r="CQP27" s="203"/>
      <c r="CRG27" s="203"/>
      <c r="CRH27" s="203"/>
      <c r="CRY27" s="203"/>
      <c r="CRZ27" s="203"/>
      <c r="CSQ27" s="203"/>
      <c r="CSR27" s="203"/>
      <c r="CTI27" s="203"/>
      <c r="CTJ27" s="203"/>
      <c r="CUA27" s="203"/>
      <c r="CUB27" s="203"/>
      <c r="CUS27" s="203"/>
      <c r="CUT27" s="203"/>
      <c r="CVK27" s="203"/>
      <c r="CVL27" s="203"/>
      <c r="CWC27" s="203"/>
      <c r="CWD27" s="203"/>
      <c r="CWU27" s="203"/>
      <c r="CWV27" s="203"/>
      <c r="CXM27" s="203"/>
      <c r="CXN27" s="203"/>
      <c r="CYE27" s="203"/>
      <c r="CYF27" s="203"/>
      <c r="CYW27" s="203"/>
      <c r="CYX27" s="203"/>
      <c r="CZO27" s="203"/>
      <c r="CZP27" s="203"/>
      <c r="DAG27" s="203"/>
      <c r="DAH27" s="203"/>
      <c r="DAY27" s="203"/>
      <c r="DAZ27" s="203"/>
      <c r="DBQ27" s="203"/>
      <c r="DBR27" s="203"/>
      <c r="DCI27" s="203"/>
      <c r="DCJ27" s="203"/>
      <c r="DDA27" s="203"/>
      <c r="DDB27" s="203"/>
      <c r="DDS27" s="203"/>
      <c r="DDT27" s="203"/>
      <c r="DEK27" s="203"/>
      <c r="DEL27" s="203"/>
      <c r="DFC27" s="203"/>
      <c r="DFD27" s="203"/>
      <c r="DFU27" s="203"/>
      <c r="DFV27" s="203"/>
      <c r="DGM27" s="203"/>
      <c r="DGN27" s="203"/>
      <c r="DHE27" s="203"/>
      <c r="DHF27" s="203"/>
      <c r="DHW27" s="203"/>
      <c r="DHX27" s="203"/>
      <c r="DIO27" s="203"/>
      <c r="DIP27" s="203"/>
      <c r="DJG27" s="203"/>
      <c r="DJH27" s="203"/>
      <c r="DJY27" s="203"/>
      <c r="DJZ27" s="203"/>
      <c r="DKQ27" s="203"/>
      <c r="DKR27" s="203"/>
      <c r="DLI27" s="203"/>
      <c r="DLJ27" s="203"/>
      <c r="DMA27" s="203"/>
      <c r="DMB27" s="203"/>
      <c r="DMS27" s="203"/>
      <c r="DMT27" s="203"/>
      <c r="DNK27" s="203"/>
      <c r="DNL27" s="203"/>
      <c r="DOC27" s="203"/>
      <c r="DOD27" s="203"/>
      <c r="DOU27" s="203"/>
      <c r="DOV27" s="203"/>
      <c r="DPM27" s="203"/>
      <c r="DPN27" s="203"/>
      <c r="DQE27" s="203"/>
      <c r="DQF27" s="203"/>
      <c r="DQW27" s="203"/>
      <c r="DQX27" s="203"/>
      <c r="DRO27" s="203"/>
      <c r="DRP27" s="203"/>
      <c r="DSG27" s="203"/>
      <c r="DSH27" s="203"/>
      <c r="DSY27" s="203"/>
      <c r="DSZ27" s="203"/>
      <c r="DTQ27" s="203"/>
      <c r="DTR27" s="203"/>
      <c r="DUI27" s="203"/>
      <c r="DUJ27" s="203"/>
      <c r="DVA27" s="203"/>
      <c r="DVB27" s="203"/>
      <c r="DVS27" s="203"/>
      <c r="DVT27" s="203"/>
      <c r="DWK27" s="203"/>
      <c r="DWL27" s="203"/>
      <c r="DXC27" s="203"/>
      <c r="DXD27" s="203"/>
      <c r="DXU27" s="203"/>
      <c r="DXV27" s="203"/>
      <c r="DYM27" s="203"/>
      <c r="DYN27" s="203"/>
      <c r="DZE27" s="203"/>
      <c r="DZF27" s="203"/>
      <c r="DZW27" s="203"/>
      <c r="DZX27" s="203"/>
      <c r="EAO27" s="203"/>
      <c r="EAP27" s="203"/>
      <c r="EBG27" s="203"/>
      <c r="EBH27" s="203"/>
      <c r="EBY27" s="203"/>
      <c r="EBZ27" s="203"/>
      <c r="ECQ27" s="203"/>
      <c r="ECR27" s="203"/>
      <c r="EDI27" s="203"/>
      <c r="EDJ27" s="203"/>
      <c r="EEA27" s="203"/>
      <c r="EEB27" s="203"/>
      <c r="EES27" s="203"/>
      <c r="EET27" s="203"/>
      <c r="EFK27" s="203"/>
      <c r="EFL27" s="203"/>
      <c r="EGC27" s="203"/>
      <c r="EGD27" s="203"/>
      <c r="EGU27" s="203"/>
      <c r="EGV27" s="203"/>
      <c r="EHM27" s="203"/>
      <c r="EHN27" s="203"/>
      <c r="EIE27" s="203"/>
      <c r="EIF27" s="203"/>
      <c r="EIW27" s="203"/>
      <c r="EIX27" s="203"/>
      <c r="EJO27" s="203"/>
      <c r="EJP27" s="203"/>
      <c r="EKG27" s="203"/>
      <c r="EKH27" s="203"/>
      <c r="EKY27" s="203"/>
      <c r="EKZ27" s="203"/>
      <c r="ELQ27" s="203"/>
      <c r="ELR27" s="203"/>
      <c r="EMI27" s="203"/>
      <c r="EMJ27" s="203"/>
      <c r="ENA27" s="203"/>
      <c r="ENB27" s="203"/>
      <c r="ENS27" s="203"/>
      <c r="ENT27" s="203"/>
      <c r="EOK27" s="203"/>
      <c r="EOL27" s="203"/>
      <c r="EPC27" s="203"/>
      <c r="EPD27" s="203"/>
      <c r="EPU27" s="203"/>
      <c r="EPV27" s="203"/>
      <c r="EQM27" s="203"/>
      <c r="EQN27" s="203"/>
      <c r="ERE27" s="203"/>
      <c r="ERF27" s="203"/>
      <c r="ERW27" s="203"/>
      <c r="ERX27" s="203"/>
      <c r="ESO27" s="203"/>
      <c r="ESP27" s="203"/>
      <c r="ETG27" s="203"/>
      <c r="ETH27" s="203"/>
      <c r="ETY27" s="203"/>
      <c r="ETZ27" s="203"/>
      <c r="EUQ27" s="203"/>
      <c r="EUR27" s="203"/>
      <c r="EVI27" s="203"/>
      <c r="EVJ27" s="203"/>
      <c r="EWA27" s="203"/>
      <c r="EWB27" s="203"/>
      <c r="EWS27" s="203"/>
      <c r="EWT27" s="203"/>
      <c r="EXK27" s="203"/>
      <c r="EXL27" s="203"/>
      <c r="EYC27" s="203"/>
      <c r="EYD27" s="203"/>
      <c r="EYU27" s="203"/>
      <c r="EYV27" s="203"/>
      <c r="EZM27" s="203"/>
      <c r="EZN27" s="203"/>
      <c r="FAE27" s="203"/>
      <c r="FAF27" s="203"/>
      <c r="FAW27" s="203"/>
      <c r="FAX27" s="203"/>
      <c r="FBO27" s="203"/>
      <c r="FBP27" s="203"/>
      <c r="FCG27" s="203"/>
      <c r="FCH27" s="203"/>
      <c r="FCY27" s="203"/>
      <c r="FCZ27" s="203"/>
      <c r="FDQ27" s="203"/>
      <c r="FDR27" s="203"/>
      <c r="FEI27" s="203"/>
      <c r="FEJ27" s="203"/>
      <c r="FFA27" s="203"/>
      <c r="FFB27" s="203"/>
      <c r="FFS27" s="203"/>
      <c r="FFT27" s="203"/>
      <c r="FGK27" s="203"/>
      <c r="FGL27" s="203"/>
      <c r="FHC27" s="203"/>
      <c r="FHD27" s="203"/>
      <c r="FHU27" s="203"/>
      <c r="FHV27" s="203"/>
      <c r="FIM27" s="203"/>
      <c r="FIN27" s="203"/>
      <c r="FJE27" s="203"/>
      <c r="FJF27" s="203"/>
      <c r="FJW27" s="203"/>
      <c r="FJX27" s="203"/>
      <c r="FKO27" s="203"/>
      <c r="FKP27" s="203"/>
      <c r="FLG27" s="203"/>
      <c r="FLH27" s="203"/>
      <c r="FLY27" s="203"/>
      <c r="FLZ27" s="203"/>
      <c r="FMQ27" s="203"/>
      <c r="FMR27" s="203"/>
      <c r="FNI27" s="203"/>
      <c r="FNJ27" s="203"/>
      <c r="FOA27" s="203"/>
      <c r="FOB27" s="203"/>
      <c r="FOS27" s="203"/>
      <c r="FOT27" s="203"/>
      <c r="FPK27" s="203"/>
      <c r="FPL27" s="203"/>
      <c r="FQC27" s="203"/>
      <c r="FQD27" s="203"/>
      <c r="FQU27" s="203"/>
      <c r="FQV27" s="203"/>
      <c r="FRM27" s="203"/>
      <c r="FRN27" s="203"/>
      <c r="FSE27" s="203"/>
      <c r="FSF27" s="203"/>
      <c r="FSW27" s="203"/>
      <c r="FSX27" s="203"/>
      <c r="FTO27" s="203"/>
      <c r="FTP27" s="203"/>
      <c r="FUG27" s="203"/>
      <c r="FUH27" s="203"/>
      <c r="FUY27" s="203"/>
      <c r="FUZ27" s="203"/>
      <c r="FVQ27" s="203"/>
      <c r="FVR27" s="203"/>
      <c r="FWI27" s="203"/>
      <c r="FWJ27" s="203"/>
      <c r="FXA27" s="203"/>
      <c r="FXB27" s="203"/>
      <c r="FXS27" s="203"/>
      <c r="FXT27" s="203"/>
      <c r="FYK27" s="203"/>
      <c r="FYL27" s="203"/>
      <c r="FZC27" s="203"/>
      <c r="FZD27" s="203"/>
      <c r="FZU27" s="203"/>
      <c r="FZV27" s="203"/>
      <c r="GAM27" s="203"/>
      <c r="GAN27" s="203"/>
      <c r="GBE27" s="203"/>
      <c r="GBF27" s="203"/>
      <c r="GBW27" s="203"/>
      <c r="GBX27" s="203"/>
      <c r="GCO27" s="203"/>
      <c r="GCP27" s="203"/>
      <c r="GDG27" s="203"/>
      <c r="GDH27" s="203"/>
      <c r="GDY27" s="203"/>
      <c r="GDZ27" s="203"/>
      <c r="GEQ27" s="203"/>
      <c r="GER27" s="203"/>
      <c r="GFI27" s="203"/>
      <c r="GFJ27" s="203"/>
      <c r="GGA27" s="203"/>
      <c r="GGB27" s="203"/>
      <c r="GGS27" s="203"/>
      <c r="GGT27" s="203"/>
      <c r="GHK27" s="203"/>
      <c r="GHL27" s="203"/>
      <c r="GIC27" s="203"/>
      <c r="GID27" s="203"/>
      <c r="GIU27" s="203"/>
      <c r="GIV27" s="203"/>
      <c r="GJM27" s="203"/>
      <c r="GJN27" s="203"/>
      <c r="GKE27" s="203"/>
      <c r="GKF27" s="203"/>
      <c r="GKW27" s="203"/>
      <c r="GKX27" s="203"/>
      <c r="GLO27" s="203"/>
      <c r="GLP27" s="203"/>
      <c r="GMG27" s="203"/>
      <c r="GMH27" s="203"/>
      <c r="GMY27" s="203"/>
      <c r="GMZ27" s="203"/>
      <c r="GNQ27" s="203"/>
      <c r="GNR27" s="203"/>
      <c r="GOI27" s="203"/>
      <c r="GOJ27" s="203"/>
      <c r="GPA27" s="203"/>
      <c r="GPB27" s="203"/>
      <c r="GPS27" s="203"/>
      <c r="GPT27" s="203"/>
      <c r="GQK27" s="203"/>
      <c r="GQL27" s="203"/>
      <c r="GRC27" s="203"/>
      <c r="GRD27" s="203"/>
      <c r="GRU27" s="203"/>
      <c r="GRV27" s="203"/>
      <c r="GSM27" s="203"/>
      <c r="GSN27" s="203"/>
      <c r="GTE27" s="203"/>
      <c r="GTF27" s="203"/>
      <c r="GTW27" s="203"/>
      <c r="GTX27" s="203"/>
      <c r="GUO27" s="203"/>
      <c r="GUP27" s="203"/>
      <c r="GVG27" s="203"/>
      <c r="GVH27" s="203"/>
      <c r="GVY27" s="203"/>
      <c r="GVZ27" s="203"/>
      <c r="GWQ27" s="203"/>
      <c r="GWR27" s="203"/>
      <c r="GXI27" s="203"/>
      <c r="GXJ27" s="203"/>
      <c r="GYA27" s="203"/>
      <c r="GYB27" s="203"/>
      <c r="GYS27" s="203"/>
      <c r="GYT27" s="203"/>
      <c r="GZK27" s="203"/>
      <c r="GZL27" s="203"/>
      <c r="HAC27" s="203"/>
      <c r="HAD27" s="203"/>
      <c r="HAU27" s="203"/>
      <c r="HAV27" s="203"/>
      <c r="HBM27" s="203"/>
      <c r="HBN27" s="203"/>
      <c r="HCE27" s="203"/>
      <c r="HCF27" s="203"/>
      <c r="HCW27" s="203"/>
      <c r="HCX27" s="203"/>
      <c r="HDO27" s="203"/>
      <c r="HDP27" s="203"/>
      <c r="HEG27" s="203"/>
      <c r="HEH27" s="203"/>
      <c r="HEY27" s="203"/>
      <c r="HEZ27" s="203"/>
      <c r="HFQ27" s="203"/>
      <c r="HFR27" s="203"/>
      <c r="HGI27" s="203"/>
      <c r="HGJ27" s="203"/>
      <c r="HHA27" s="203"/>
      <c r="HHB27" s="203"/>
      <c r="HHS27" s="203"/>
      <c r="HHT27" s="203"/>
      <c r="HIK27" s="203"/>
      <c r="HIL27" s="203"/>
      <c r="HJC27" s="203"/>
      <c r="HJD27" s="203"/>
      <c r="HJU27" s="203"/>
      <c r="HJV27" s="203"/>
      <c r="HKM27" s="203"/>
      <c r="HKN27" s="203"/>
      <c r="HLE27" s="203"/>
      <c r="HLF27" s="203"/>
      <c r="HLW27" s="203"/>
      <c r="HLX27" s="203"/>
      <c r="HMO27" s="203"/>
      <c r="HMP27" s="203"/>
      <c r="HNG27" s="203"/>
      <c r="HNH27" s="203"/>
      <c r="HNY27" s="203"/>
      <c r="HNZ27" s="203"/>
      <c r="HOQ27" s="203"/>
      <c r="HOR27" s="203"/>
      <c r="HPI27" s="203"/>
      <c r="HPJ27" s="203"/>
      <c r="HQA27" s="203"/>
      <c r="HQB27" s="203"/>
      <c r="HQS27" s="203"/>
      <c r="HQT27" s="203"/>
      <c r="HRK27" s="203"/>
      <c r="HRL27" s="203"/>
      <c r="HSC27" s="203"/>
      <c r="HSD27" s="203"/>
      <c r="HSU27" s="203"/>
      <c r="HSV27" s="203"/>
      <c r="HTM27" s="203"/>
      <c r="HTN27" s="203"/>
      <c r="HUE27" s="203"/>
      <c r="HUF27" s="203"/>
      <c r="HUW27" s="203"/>
      <c r="HUX27" s="203"/>
      <c r="HVO27" s="203"/>
      <c r="HVP27" s="203"/>
      <c r="HWG27" s="203"/>
      <c r="HWH27" s="203"/>
      <c r="HWY27" s="203"/>
      <c r="HWZ27" s="203"/>
      <c r="HXQ27" s="203"/>
      <c r="HXR27" s="203"/>
      <c r="HYI27" s="203"/>
      <c r="HYJ27" s="203"/>
      <c r="HZA27" s="203"/>
      <c r="HZB27" s="203"/>
      <c r="HZS27" s="203"/>
      <c r="HZT27" s="203"/>
      <c r="IAK27" s="203"/>
      <c r="IAL27" s="203"/>
      <c r="IBC27" s="203"/>
      <c r="IBD27" s="203"/>
      <c r="IBU27" s="203"/>
      <c r="IBV27" s="203"/>
      <c r="ICM27" s="203"/>
      <c r="ICN27" s="203"/>
      <c r="IDE27" s="203"/>
      <c r="IDF27" s="203"/>
      <c r="IDW27" s="203"/>
      <c r="IDX27" s="203"/>
      <c r="IEO27" s="203"/>
      <c r="IEP27" s="203"/>
      <c r="IFG27" s="203"/>
      <c r="IFH27" s="203"/>
      <c r="IFY27" s="203"/>
      <c r="IFZ27" s="203"/>
      <c r="IGQ27" s="203"/>
      <c r="IGR27" s="203"/>
      <c r="IHI27" s="203"/>
      <c r="IHJ27" s="203"/>
      <c r="IIA27" s="203"/>
      <c r="IIB27" s="203"/>
      <c r="IIS27" s="203"/>
      <c r="IIT27" s="203"/>
      <c r="IJK27" s="203"/>
      <c r="IJL27" s="203"/>
      <c r="IKC27" s="203"/>
      <c r="IKD27" s="203"/>
      <c r="IKU27" s="203"/>
      <c r="IKV27" s="203"/>
      <c r="ILM27" s="203"/>
      <c r="ILN27" s="203"/>
      <c r="IME27" s="203"/>
      <c r="IMF27" s="203"/>
      <c r="IMW27" s="203"/>
      <c r="IMX27" s="203"/>
      <c r="INO27" s="203"/>
      <c r="INP27" s="203"/>
      <c r="IOG27" s="203"/>
      <c r="IOH27" s="203"/>
      <c r="IOY27" s="203"/>
      <c r="IOZ27" s="203"/>
      <c r="IPQ27" s="203"/>
      <c r="IPR27" s="203"/>
      <c r="IQI27" s="203"/>
      <c r="IQJ27" s="203"/>
      <c r="IRA27" s="203"/>
      <c r="IRB27" s="203"/>
      <c r="IRS27" s="203"/>
      <c r="IRT27" s="203"/>
      <c r="ISK27" s="203"/>
      <c r="ISL27" s="203"/>
      <c r="ITC27" s="203"/>
      <c r="ITD27" s="203"/>
      <c r="ITU27" s="203"/>
      <c r="ITV27" s="203"/>
      <c r="IUM27" s="203"/>
      <c r="IUN27" s="203"/>
      <c r="IVE27" s="203"/>
      <c r="IVF27" s="203"/>
      <c r="IVW27" s="203"/>
      <c r="IVX27" s="203"/>
      <c r="IWO27" s="203"/>
      <c r="IWP27" s="203"/>
      <c r="IXG27" s="203"/>
      <c r="IXH27" s="203"/>
      <c r="IXY27" s="203"/>
      <c r="IXZ27" s="203"/>
      <c r="IYQ27" s="203"/>
      <c r="IYR27" s="203"/>
      <c r="IZI27" s="203"/>
      <c r="IZJ27" s="203"/>
      <c r="JAA27" s="203"/>
      <c r="JAB27" s="203"/>
      <c r="JAS27" s="203"/>
      <c r="JAT27" s="203"/>
      <c r="JBK27" s="203"/>
      <c r="JBL27" s="203"/>
      <c r="JCC27" s="203"/>
      <c r="JCD27" s="203"/>
      <c r="JCU27" s="203"/>
      <c r="JCV27" s="203"/>
      <c r="JDM27" s="203"/>
      <c r="JDN27" s="203"/>
      <c r="JEE27" s="203"/>
      <c r="JEF27" s="203"/>
      <c r="JEW27" s="203"/>
      <c r="JEX27" s="203"/>
      <c r="JFO27" s="203"/>
      <c r="JFP27" s="203"/>
      <c r="JGG27" s="203"/>
      <c r="JGH27" s="203"/>
      <c r="JGY27" s="203"/>
      <c r="JGZ27" s="203"/>
      <c r="JHQ27" s="203"/>
      <c r="JHR27" s="203"/>
      <c r="JII27" s="203"/>
      <c r="JIJ27" s="203"/>
      <c r="JJA27" s="203"/>
      <c r="JJB27" s="203"/>
      <c r="JJS27" s="203"/>
      <c r="JJT27" s="203"/>
      <c r="JKK27" s="203"/>
      <c r="JKL27" s="203"/>
      <c r="JLC27" s="203"/>
      <c r="JLD27" s="203"/>
      <c r="JLU27" s="203"/>
      <c r="JLV27" s="203"/>
      <c r="JMM27" s="203"/>
      <c r="JMN27" s="203"/>
      <c r="JNE27" s="203"/>
      <c r="JNF27" s="203"/>
      <c r="JNW27" s="203"/>
      <c r="JNX27" s="203"/>
      <c r="JOO27" s="203"/>
      <c r="JOP27" s="203"/>
      <c r="JPG27" s="203"/>
      <c r="JPH27" s="203"/>
      <c r="JPY27" s="203"/>
      <c r="JPZ27" s="203"/>
      <c r="JQQ27" s="203"/>
      <c r="JQR27" s="203"/>
      <c r="JRI27" s="203"/>
      <c r="JRJ27" s="203"/>
      <c r="JSA27" s="203"/>
      <c r="JSB27" s="203"/>
      <c r="JSS27" s="203"/>
      <c r="JST27" s="203"/>
      <c r="JTK27" s="203"/>
      <c r="JTL27" s="203"/>
      <c r="JUC27" s="203"/>
      <c r="JUD27" s="203"/>
      <c r="JUU27" s="203"/>
      <c r="JUV27" s="203"/>
      <c r="JVM27" s="203"/>
      <c r="JVN27" s="203"/>
      <c r="JWE27" s="203"/>
      <c r="JWF27" s="203"/>
      <c r="JWW27" s="203"/>
      <c r="JWX27" s="203"/>
      <c r="JXO27" s="203"/>
      <c r="JXP27" s="203"/>
      <c r="JYG27" s="203"/>
      <c r="JYH27" s="203"/>
      <c r="JYY27" s="203"/>
      <c r="JYZ27" s="203"/>
      <c r="JZQ27" s="203"/>
      <c r="JZR27" s="203"/>
      <c r="KAI27" s="203"/>
      <c r="KAJ27" s="203"/>
      <c r="KBA27" s="203"/>
      <c r="KBB27" s="203"/>
      <c r="KBS27" s="203"/>
      <c r="KBT27" s="203"/>
      <c r="KCK27" s="203"/>
      <c r="KCL27" s="203"/>
      <c r="KDC27" s="203"/>
      <c r="KDD27" s="203"/>
      <c r="KDU27" s="203"/>
      <c r="KDV27" s="203"/>
      <c r="KEM27" s="203"/>
      <c r="KEN27" s="203"/>
      <c r="KFE27" s="203"/>
      <c r="KFF27" s="203"/>
      <c r="KFW27" s="203"/>
      <c r="KFX27" s="203"/>
      <c r="KGO27" s="203"/>
      <c r="KGP27" s="203"/>
      <c r="KHG27" s="203"/>
      <c r="KHH27" s="203"/>
      <c r="KHY27" s="203"/>
      <c r="KHZ27" s="203"/>
      <c r="KIQ27" s="203"/>
      <c r="KIR27" s="203"/>
      <c r="KJI27" s="203"/>
      <c r="KJJ27" s="203"/>
      <c r="KKA27" s="203"/>
      <c r="KKB27" s="203"/>
      <c r="KKS27" s="203"/>
      <c r="KKT27" s="203"/>
      <c r="KLK27" s="203"/>
      <c r="KLL27" s="203"/>
      <c r="KMC27" s="203"/>
      <c r="KMD27" s="203"/>
      <c r="KMU27" s="203"/>
      <c r="KMV27" s="203"/>
      <c r="KNM27" s="203"/>
      <c r="KNN27" s="203"/>
      <c r="KOE27" s="203"/>
      <c r="KOF27" s="203"/>
      <c r="KOW27" s="203"/>
      <c r="KOX27" s="203"/>
      <c r="KPO27" s="203"/>
      <c r="KPP27" s="203"/>
      <c r="KQG27" s="203"/>
      <c r="KQH27" s="203"/>
      <c r="KQY27" s="203"/>
      <c r="KQZ27" s="203"/>
      <c r="KRQ27" s="203"/>
      <c r="KRR27" s="203"/>
      <c r="KSI27" s="203"/>
      <c r="KSJ27" s="203"/>
      <c r="KTA27" s="203"/>
      <c r="KTB27" s="203"/>
      <c r="KTS27" s="203"/>
      <c r="KTT27" s="203"/>
      <c r="KUK27" s="203"/>
      <c r="KUL27" s="203"/>
      <c r="KVC27" s="203"/>
      <c r="KVD27" s="203"/>
      <c r="KVU27" s="203"/>
      <c r="KVV27" s="203"/>
      <c r="KWM27" s="203"/>
      <c r="KWN27" s="203"/>
      <c r="KXE27" s="203"/>
      <c r="KXF27" s="203"/>
      <c r="KXW27" s="203"/>
      <c r="KXX27" s="203"/>
      <c r="KYO27" s="203"/>
      <c r="KYP27" s="203"/>
      <c r="KZG27" s="203"/>
      <c r="KZH27" s="203"/>
      <c r="KZY27" s="203"/>
      <c r="KZZ27" s="203"/>
      <c r="LAQ27" s="203"/>
      <c r="LAR27" s="203"/>
      <c r="LBI27" s="203"/>
      <c r="LBJ27" s="203"/>
      <c r="LCA27" s="203"/>
      <c r="LCB27" s="203"/>
      <c r="LCS27" s="203"/>
      <c r="LCT27" s="203"/>
      <c r="LDK27" s="203"/>
      <c r="LDL27" s="203"/>
      <c r="LEC27" s="203"/>
      <c r="LED27" s="203"/>
      <c r="LEU27" s="203"/>
      <c r="LEV27" s="203"/>
      <c r="LFM27" s="203"/>
      <c r="LFN27" s="203"/>
      <c r="LGE27" s="203"/>
      <c r="LGF27" s="203"/>
      <c r="LGW27" s="203"/>
      <c r="LGX27" s="203"/>
      <c r="LHO27" s="203"/>
      <c r="LHP27" s="203"/>
      <c r="LIG27" s="203"/>
      <c r="LIH27" s="203"/>
      <c r="LIY27" s="203"/>
      <c r="LIZ27" s="203"/>
      <c r="LJQ27" s="203"/>
      <c r="LJR27" s="203"/>
      <c r="LKI27" s="203"/>
      <c r="LKJ27" s="203"/>
      <c r="LLA27" s="203"/>
      <c r="LLB27" s="203"/>
      <c r="LLS27" s="203"/>
      <c r="LLT27" s="203"/>
      <c r="LMK27" s="203"/>
      <c r="LML27" s="203"/>
      <c r="LNC27" s="203"/>
      <c r="LND27" s="203"/>
      <c r="LNU27" s="203"/>
      <c r="LNV27" s="203"/>
      <c r="LOM27" s="203"/>
      <c r="LON27" s="203"/>
      <c r="LPE27" s="203"/>
      <c r="LPF27" s="203"/>
      <c r="LPW27" s="203"/>
      <c r="LPX27" s="203"/>
      <c r="LQO27" s="203"/>
      <c r="LQP27" s="203"/>
      <c r="LRG27" s="203"/>
      <c r="LRH27" s="203"/>
      <c r="LRY27" s="203"/>
      <c r="LRZ27" s="203"/>
      <c r="LSQ27" s="203"/>
      <c r="LSR27" s="203"/>
      <c r="LTI27" s="203"/>
      <c r="LTJ27" s="203"/>
      <c r="LUA27" s="203"/>
      <c r="LUB27" s="203"/>
      <c r="LUS27" s="203"/>
      <c r="LUT27" s="203"/>
      <c r="LVK27" s="203"/>
      <c r="LVL27" s="203"/>
      <c r="LWC27" s="203"/>
      <c r="LWD27" s="203"/>
      <c r="LWU27" s="203"/>
      <c r="LWV27" s="203"/>
      <c r="LXM27" s="203"/>
      <c r="LXN27" s="203"/>
      <c r="LYE27" s="203"/>
      <c r="LYF27" s="203"/>
      <c r="LYW27" s="203"/>
      <c r="LYX27" s="203"/>
      <c r="LZO27" s="203"/>
      <c r="LZP27" s="203"/>
      <c r="MAG27" s="203"/>
      <c r="MAH27" s="203"/>
      <c r="MAY27" s="203"/>
      <c r="MAZ27" s="203"/>
      <c r="MBQ27" s="203"/>
      <c r="MBR27" s="203"/>
      <c r="MCI27" s="203"/>
      <c r="MCJ27" s="203"/>
      <c r="MDA27" s="203"/>
      <c r="MDB27" s="203"/>
      <c r="MDS27" s="203"/>
      <c r="MDT27" s="203"/>
      <c r="MEK27" s="203"/>
      <c r="MEL27" s="203"/>
      <c r="MFC27" s="203"/>
      <c r="MFD27" s="203"/>
      <c r="MFU27" s="203"/>
      <c r="MFV27" s="203"/>
      <c r="MGM27" s="203"/>
      <c r="MGN27" s="203"/>
      <c r="MHE27" s="203"/>
      <c r="MHF27" s="203"/>
      <c r="MHW27" s="203"/>
      <c r="MHX27" s="203"/>
      <c r="MIO27" s="203"/>
      <c r="MIP27" s="203"/>
      <c r="MJG27" s="203"/>
      <c r="MJH27" s="203"/>
      <c r="MJY27" s="203"/>
      <c r="MJZ27" s="203"/>
      <c r="MKQ27" s="203"/>
      <c r="MKR27" s="203"/>
      <c r="MLI27" s="203"/>
      <c r="MLJ27" s="203"/>
      <c r="MMA27" s="203"/>
      <c r="MMB27" s="203"/>
      <c r="MMS27" s="203"/>
      <c r="MMT27" s="203"/>
      <c r="MNK27" s="203"/>
      <c r="MNL27" s="203"/>
      <c r="MOC27" s="203"/>
      <c r="MOD27" s="203"/>
      <c r="MOU27" s="203"/>
      <c r="MOV27" s="203"/>
      <c r="MPM27" s="203"/>
      <c r="MPN27" s="203"/>
      <c r="MQE27" s="203"/>
      <c r="MQF27" s="203"/>
      <c r="MQW27" s="203"/>
      <c r="MQX27" s="203"/>
      <c r="MRO27" s="203"/>
      <c r="MRP27" s="203"/>
      <c r="MSG27" s="203"/>
      <c r="MSH27" s="203"/>
      <c r="MSY27" s="203"/>
      <c r="MSZ27" s="203"/>
      <c r="MTQ27" s="203"/>
      <c r="MTR27" s="203"/>
      <c r="MUI27" s="203"/>
      <c r="MUJ27" s="203"/>
      <c r="MVA27" s="203"/>
      <c r="MVB27" s="203"/>
      <c r="MVS27" s="203"/>
      <c r="MVT27" s="203"/>
      <c r="MWK27" s="203"/>
      <c r="MWL27" s="203"/>
      <c r="MXC27" s="203"/>
      <c r="MXD27" s="203"/>
      <c r="MXU27" s="203"/>
      <c r="MXV27" s="203"/>
      <c r="MYM27" s="203"/>
      <c r="MYN27" s="203"/>
      <c r="MZE27" s="203"/>
      <c r="MZF27" s="203"/>
      <c r="MZW27" s="203"/>
      <c r="MZX27" s="203"/>
      <c r="NAO27" s="203"/>
      <c r="NAP27" s="203"/>
      <c r="NBG27" s="203"/>
      <c r="NBH27" s="203"/>
      <c r="NBY27" s="203"/>
      <c r="NBZ27" s="203"/>
      <c r="NCQ27" s="203"/>
      <c r="NCR27" s="203"/>
      <c r="NDI27" s="203"/>
      <c r="NDJ27" s="203"/>
      <c r="NEA27" s="203"/>
      <c r="NEB27" s="203"/>
      <c r="NES27" s="203"/>
      <c r="NET27" s="203"/>
      <c r="NFK27" s="203"/>
      <c r="NFL27" s="203"/>
      <c r="NGC27" s="203"/>
      <c r="NGD27" s="203"/>
      <c r="NGU27" s="203"/>
      <c r="NGV27" s="203"/>
      <c r="NHM27" s="203"/>
      <c r="NHN27" s="203"/>
      <c r="NIE27" s="203"/>
      <c r="NIF27" s="203"/>
      <c r="NIW27" s="203"/>
      <c r="NIX27" s="203"/>
      <c r="NJO27" s="203"/>
      <c r="NJP27" s="203"/>
      <c r="NKG27" s="203"/>
      <c r="NKH27" s="203"/>
      <c r="NKY27" s="203"/>
      <c r="NKZ27" s="203"/>
      <c r="NLQ27" s="203"/>
      <c r="NLR27" s="203"/>
      <c r="NMI27" s="203"/>
      <c r="NMJ27" s="203"/>
      <c r="NNA27" s="203"/>
      <c r="NNB27" s="203"/>
      <c r="NNS27" s="203"/>
      <c r="NNT27" s="203"/>
      <c r="NOK27" s="203"/>
      <c r="NOL27" s="203"/>
      <c r="NPC27" s="203"/>
      <c r="NPD27" s="203"/>
      <c r="NPU27" s="203"/>
      <c r="NPV27" s="203"/>
      <c r="NQM27" s="203"/>
      <c r="NQN27" s="203"/>
      <c r="NRE27" s="203"/>
      <c r="NRF27" s="203"/>
      <c r="NRW27" s="203"/>
      <c r="NRX27" s="203"/>
      <c r="NSO27" s="203"/>
      <c r="NSP27" s="203"/>
      <c r="NTG27" s="203"/>
      <c r="NTH27" s="203"/>
      <c r="NTY27" s="203"/>
      <c r="NTZ27" s="203"/>
      <c r="NUQ27" s="203"/>
      <c r="NUR27" s="203"/>
      <c r="NVI27" s="203"/>
      <c r="NVJ27" s="203"/>
      <c r="NWA27" s="203"/>
      <c r="NWB27" s="203"/>
      <c r="NWS27" s="203"/>
      <c r="NWT27" s="203"/>
      <c r="NXK27" s="203"/>
      <c r="NXL27" s="203"/>
      <c r="NYC27" s="203"/>
      <c r="NYD27" s="203"/>
      <c r="NYU27" s="203"/>
      <c r="NYV27" s="203"/>
      <c r="NZM27" s="203"/>
      <c r="NZN27" s="203"/>
      <c r="OAE27" s="203"/>
      <c r="OAF27" s="203"/>
      <c r="OAW27" s="203"/>
      <c r="OAX27" s="203"/>
      <c r="OBO27" s="203"/>
      <c r="OBP27" s="203"/>
      <c r="OCG27" s="203"/>
      <c r="OCH27" s="203"/>
      <c r="OCY27" s="203"/>
      <c r="OCZ27" s="203"/>
      <c r="ODQ27" s="203"/>
      <c r="ODR27" s="203"/>
      <c r="OEI27" s="203"/>
      <c r="OEJ27" s="203"/>
      <c r="OFA27" s="203"/>
      <c r="OFB27" s="203"/>
      <c r="OFS27" s="203"/>
      <c r="OFT27" s="203"/>
      <c r="OGK27" s="203"/>
      <c r="OGL27" s="203"/>
      <c r="OHC27" s="203"/>
      <c r="OHD27" s="203"/>
      <c r="OHU27" s="203"/>
      <c r="OHV27" s="203"/>
      <c r="OIM27" s="203"/>
      <c r="OIN27" s="203"/>
      <c r="OJE27" s="203"/>
      <c r="OJF27" s="203"/>
      <c r="OJW27" s="203"/>
      <c r="OJX27" s="203"/>
      <c r="OKO27" s="203"/>
      <c r="OKP27" s="203"/>
      <c r="OLG27" s="203"/>
      <c r="OLH27" s="203"/>
      <c r="OLY27" s="203"/>
      <c r="OLZ27" s="203"/>
      <c r="OMQ27" s="203"/>
      <c r="OMR27" s="203"/>
      <c r="ONI27" s="203"/>
      <c r="ONJ27" s="203"/>
      <c r="OOA27" s="203"/>
      <c r="OOB27" s="203"/>
      <c r="OOS27" s="203"/>
      <c r="OOT27" s="203"/>
      <c r="OPK27" s="203"/>
      <c r="OPL27" s="203"/>
      <c r="OQC27" s="203"/>
      <c r="OQD27" s="203"/>
      <c r="OQU27" s="203"/>
      <c r="OQV27" s="203"/>
      <c r="ORM27" s="203"/>
      <c r="ORN27" s="203"/>
      <c r="OSE27" s="203"/>
      <c r="OSF27" s="203"/>
      <c r="OSW27" s="203"/>
      <c r="OSX27" s="203"/>
      <c r="OTO27" s="203"/>
      <c r="OTP27" s="203"/>
      <c r="OUG27" s="203"/>
      <c r="OUH27" s="203"/>
      <c r="OUY27" s="203"/>
      <c r="OUZ27" s="203"/>
      <c r="OVQ27" s="203"/>
      <c r="OVR27" s="203"/>
      <c r="OWI27" s="203"/>
      <c r="OWJ27" s="203"/>
      <c r="OXA27" s="203"/>
      <c r="OXB27" s="203"/>
      <c r="OXS27" s="203"/>
      <c r="OXT27" s="203"/>
      <c r="OYK27" s="203"/>
      <c r="OYL27" s="203"/>
      <c r="OZC27" s="203"/>
      <c r="OZD27" s="203"/>
      <c r="OZU27" s="203"/>
      <c r="OZV27" s="203"/>
      <c r="PAM27" s="203"/>
      <c r="PAN27" s="203"/>
      <c r="PBE27" s="203"/>
      <c r="PBF27" s="203"/>
      <c r="PBW27" s="203"/>
      <c r="PBX27" s="203"/>
      <c r="PCO27" s="203"/>
      <c r="PCP27" s="203"/>
      <c r="PDG27" s="203"/>
      <c r="PDH27" s="203"/>
      <c r="PDY27" s="203"/>
      <c r="PDZ27" s="203"/>
      <c r="PEQ27" s="203"/>
      <c r="PER27" s="203"/>
      <c r="PFI27" s="203"/>
      <c r="PFJ27" s="203"/>
      <c r="PGA27" s="203"/>
      <c r="PGB27" s="203"/>
      <c r="PGS27" s="203"/>
      <c r="PGT27" s="203"/>
      <c r="PHK27" s="203"/>
      <c r="PHL27" s="203"/>
      <c r="PIC27" s="203"/>
      <c r="PID27" s="203"/>
      <c r="PIU27" s="203"/>
      <c r="PIV27" s="203"/>
      <c r="PJM27" s="203"/>
      <c r="PJN27" s="203"/>
      <c r="PKE27" s="203"/>
      <c r="PKF27" s="203"/>
      <c r="PKW27" s="203"/>
      <c r="PKX27" s="203"/>
      <c r="PLO27" s="203"/>
      <c r="PLP27" s="203"/>
      <c r="PMG27" s="203"/>
      <c r="PMH27" s="203"/>
      <c r="PMY27" s="203"/>
      <c r="PMZ27" s="203"/>
      <c r="PNQ27" s="203"/>
      <c r="PNR27" s="203"/>
      <c r="POI27" s="203"/>
      <c r="POJ27" s="203"/>
      <c r="PPA27" s="203"/>
      <c r="PPB27" s="203"/>
      <c r="PPS27" s="203"/>
      <c r="PPT27" s="203"/>
      <c r="PQK27" s="203"/>
      <c r="PQL27" s="203"/>
      <c r="PRC27" s="203"/>
      <c r="PRD27" s="203"/>
      <c r="PRU27" s="203"/>
      <c r="PRV27" s="203"/>
      <c r="PSM27" s="203"/>
      <c r="PSN27" s="203"/>
      <c r="PTE27" s="203"/>
      <c r="PTF27" s="203"/>
      <c r="PTW27" s="203"/>
      <c r="PTX27" s="203"/>
      <c r="PUO27" s="203"/>
      <c r="PUP27" s="203"/>
      <c r="PVG27" s="203"/>
      <c r="PVH27" s="203"/>
      <c r="PVY27" s="203"/>
      <c r="PVZ27" s="203"/>
      <c r="PWQ27" s="203"/>
      <c r="PWR27" s="203"/>
      <c r="PXI27" s="203"/>
      <c r="PXJ27" s="203"/>
      <c r="PYA27" s="203"/>
      <c r="PYB27" s="203"/>
      <c r="PYS27" s="203"/>
      <c r="PYT27" s="203"/>
      <c r="PZK27" s="203"/>
      <c r="PZL27" s="203"/>
      <c r="QAC27" s="203"/>
      <c r="QAD27" s="203"/>
      <c r="QAU27" s="203"/>
      <c r="QAV27" s="203"/>
      <c r="QBM27" s="203"/>
      <c r="QBN27" s="203"/>
      <c r="QCE27" s="203"/>
      <c r="QCF27" s="203"/>
      <c r="QCW27" s="203"/>
      <c r="QCX27" s="203"/>
      <c r="QDO27" s="203"/>
      <c r="QDP27" s="203"/>
      <c r="QEG27" s="203"/>
      <c r="QEH27" s="203"/>
      <c r="QEY27" s="203"/>
      <c r="QEZ27" s="203"/>
      <c r="QFQ27" s="203"/>
      <c r="QFR27" s="203"/>
      <c r="QGI27" s="203"/>
      <c r="QGJ27" s="203"/>
      <c r="QHA27" s="203"/>
      <c r="QHB27" s="203"/>
      <c r="QHS27" s="203"/>
      <c r="QHT27" s="203"/>
      <c r="QIK27" s="203"/>
      <c r="QIL27" s="203"/>
      <c r="QJC27" s="203"/>
      <c r="QJD27" s="203"/>
      <c r="QJU27" s="203"/>
      <c r="QJV27" s="203"/>
      <c r="QKM27" s="203"/>
      <c r="QKN27" s="203"/>
      <c r="QLE27" s="203"/>
      <c r="QLF27" s="203"/>
      <c r="QLW27" s="203"/>
      <c r="QLX27" s="203"/>
      <c r="QMO27" s="203"/>
      <c r="QMP27" s="203"/>
      <c r="QNG27" s="203"/>
      <c r="QNH27" s="203"/>
      <c r="QNY27" s="203"/>
      <c r="QNZ27" s="203"/>
      <c r="QOQ27" s="203"/>
      <c r="QOR27" s="203"/>
      <c r="QPI27" s="203"/>
      <c r="QPJ27" s="203"/>
      <c r="QQA27" s="203"/>
      <c r="QQB27" s="203"/>
      <c r="QQS27" s="203"/>
      <c r="QQT27" s="203"/>
      <c r="QRK27" s="203"/>
      <c r="QRL27" s="203"/>
      <c r="QSC27" s="203"/>
      <c r="QSD27" s="203"/>
      <c r="QSU27" s="203"/>
      <c r="QSV27" s="203"/>
      <c r="QTM27" s="203"/>
      <c r="QTN27" s="203"/>
      <c r="QUE27" s="203"/>
      <c r="QUF27" s="203"/>
      <c r="QUW27" s="203"/>
      <c r="QUX27" s="203"/>
      <c r="QVO27" s="203"/>
      <c r="QVP27" s="203"/>
      <c r="QWG27" s="203"/>
      <c r="QWH27" s="203"/>
      <c r="QWY27" s="203"/>
      <c r="QWZ27" s="203"/>
      <c r="QXQ27" s="203"/>
      <c r="QXR27" s="203"/>
      <c r="QYI27" s="203"/>
      <c r="QYJ27" s="203"/>
      <c r="QZA27" s="203"/>
      <c r="QZB27" s="203"/>
      <c r="QZS27" s="203"/>
      <c r="QZT27" s="203"/>
      <c r="RAK27" s="203"/>
      <c r="RAL27" s="203"/>
      <c r="RBC27" s="203"/>
      <c r="RBD27" s="203"/>
      <c r="RBU27" s="203"/>
      <c r="RBV27" s="203"/>
      <c r="RCM27" s="203"/>
      <c r="RCN27" s="203"/>
      <c r="RDE27" s="203"/>
      <c r="RDF27" s="203"/>
      <c r="RDW27" s="203"/>
      <c r="RDX27" s="203"/>
      <c r="REO27" s="203"/>
      <c r="REP27" s="203"/>
      <c r="RFG27" s="203"/>
      <c r="RFH27" s="203"/>
      <c r="RFY27" s="203"/>
      <c r="RFZ27" s="203"/>
      <c r="RGQ27" s="203"/>
      <c r="RGR27" s="203"/>
      <c r="RHI27" s="203"/>
      <c r="RHJ27" s="203"/>
      <c r="RIA27" s="203"/>
      <c r="RIB27" s="203"/>
      <c r="RIS27" s="203"/>
      <c r="RIT27" s="203"/>
      <c r="RJK27" s="203"/>
      <c r="RJL27" s="203"/>
      <c r="RKC27" s="203"/>
      <c r="RKD27" s="203"/>
      <c r="RKU27" s="203"/>
      <c r="RKV27" s="203"/>
      <c r="RLM27" s="203"/>
      <c r="RLN27" s="203"/>
      <c r="RME27" s="203"/>
      <c r="RMF27" s="203"/>
      <c r="RMW27" s="203"/>
      <c r="RMX27" s="203"/>
      <c r="RNO27" s="203"/>
      <c r="RNP27" s="203"/>
      <c r="ROG27" s="203"/>
      <c r="ROH27" s="203"/>
      <c r="ROY27" s="203"/>
      <c r="ROZ27" s="203"/>
      <c r="RPQ27" s="203"/>
      <c r="RPR27" s="203"/>
      <c r="RQI27" s="203"/>
      <c r="RQJ27" s="203"/>
      <c r="RRA27" s="203"/>
      <c r="RRB27" s="203"/>
      <c r="RRS27" s="203"/>
      <c r="RRT27" s="203"/>
      <c r="RSK27" s="203"/>
      <c r="RSL27" s="203"/>
      <c r="RTC27" s="203"/>
      <c r="RTD27" s="203"/>
      <c r="RTU27" s="203"/>
      <c r="RTV27" s="203"/>
      <c r="RUM27" s="203"/>
      <c r="RUN27" s="203"/>
      <c r="RVE27" s="203"/>
      <c r="RVF27" s="203"/>
      <c r="RVW27" s="203"/>
      <c r="RVX27" s="203"/>
      <c r="RWO27" s="203"/>
      <c r="RWP27" s="203"/>
      <c r="RXG27" s="203"/>
      <c r="RXH27" s="203"/>
      <c r="RXY27" s="203"/>
      <c r="RXZ27" s="203"/>
      <c r="RYQ27" s="203"/>
      <c r="RYR27" s="203"/>
      <c r="RZI27" s="203"/>
      <c r="RZJ27" s="203"/>
      <c r="SAA27" s="203"/>
      <c r="SAB27" s="203"/>
      <c r="SAS27" s="203"/>
      <c r="SAT27" s="203"/>
      <c r="SBK27" s="203"/>
      <c r="SBL27" s="203"/>
      <c r="SCC27" s="203"/>
      <c r="SCD27" s="203"/>
      <c r="SCU27" s="203"/>
      <c r="SCV27" s="203"/>
      <c r="SDM27" s="203"/>
      <c r="SDN27" s="203"/>
      <c r="SEE27" s="203"/>
      <c r="SEF27" s="203"/>
      <c r="SEW27" s="203"/>
      <c r="SEX27" s="203"/>
      <c r="SFO27" s="203"/>
      <c r="SFP27" s="203"/>
      <c r="SGG27" s="203"/>
      <c r="SGH27" s="203"/>
      <c r="SGY27" s="203"/>
      <c r="SGZ27" s="203"/>
      <c r="SHQ27" s="203"/>
      <c r="SHR27" s="203"/>
      <c r="SII27" s="203"/>
      <c r="SIJ27" s="203"/>
      <c r="SJA27" s="203"/>
      <c r="SJB27" s="203"/>
      <c r="SJS27" s="203"/>
      <c r="SJT27" s="203"/>
      <c r="SKK27" s="203"/>
      <c r="SKL27" s="203"/>
      <c r="SLC27" s="203"/>
      <c r="SLD27" s="203"/>
      <c r="SLU27" s="203"/>
      <c r="SLV27" s="203"/>
      <c r="SMM27" s="203"/>
      <c r="SMN27" s="203"/>
      <c r="SNE27" s="203"/>
      <c r="SNF27" s="203"/>
      <c r="SNW27" s="203"/>
      <c r="SNX27" s="203"/>
      <c r="SOO27" s="203"/>
      <c r="SOP27" s="203"/>
      <c r="SPG27" s="203"/>
      <c r="SPH27" s="203"/>
      <c r="SPY27" s="203"/>
      <c r="SPZ27" s="203"/>
      <c r="SQQ27" s="203"/>
      <c r="SQR27" s="203"/>
      <c r="SRI27" s="203"/>
      <c r="SRJ27" s="203"/>
      <c r="SSA27" s="203"/>
      <c r="SSB27" s="203"/>
      <c r="SSS27" s="203"/>
      <c r="SST27" s="203"/>
      <c r="STK27" s="203"/>
      <c r="STL27" s="203"/>
      <c r="SUC27" s="203"/>
      <c r="SUD27" s="203"/>
      <c r="SUU27" s="203"/>
      <c r="SUV27" s="203"/>
      <c r="SVM27" s="203"/>
      <c r="SVN27" s="203"/>
      <c r="SWE27" s="203"/>
      <c r="SWF27" s="203"/>
      <c r="SWW27" s="203"/>
      <c r="SWX27" s="203"/>
      <c r="SXO27" s="203"/>
      <c r="SXP27" s="203"/>
      <c r="SYG27" s="203"/>
      <c r="SYH27" s="203"/>
      <c r="SYY27" s="203"/>
      <c r="SYZ27" s="203"/>
      <c r="SZQ27" s="203"/>
      <c r="SZR27" s="203"/>
      <c r="TAI27" s="203"/>
      <c r="TAJ27" s="203"/>
      <c r="TBA27" s="203"/>
      <c r="TBB27" s="203"/>
      <c r="TBS27" s="203"/>
      <c r="TBT27" s="203"/>
      <c r="TCK27" s="203"/>
      <c r="TCL27" s="203"/>
      <c r="TDC27" s="203"/>
      <c r="TDD27" s="203"/>
      <c r="TDU27" s="203"/>
      <c r="TDV27" s="203"/>
      <c r="TEM27" s="203"/>
      <c r="TEN27" s="203"/>
      <c r="TFE27" s="203"/>
      <c r="TFF27" s="203"/>
      <c r="TFW27" s="203"/>
      <c r="TFX27" s="203"/>
      <c r="TGO27" s="203"/>
      <c r="TGP27" s="203"/>
      <c r="THG27" s="203"/>
      <c r="THH27" s="203"/>
      <c r="THY27" s="203"/>
      <c r="THZ27" s="203"/>
      <c r="TIQ27" s="203"/>
      <c r="TIR27" s="203"/>
      <c r="TJI27" s="203"/>
      <c r="TJJ27" s="203"/>
      <c r="TKA27" s="203"/>
      <c r="TKB27" s="203"/>
      <c r="TKS27" s="203"/>
      <c r="TKT27" s="203"/>
      <c r="TLK27" s="203"/>
      <c r="TLL27" s="203"/>
      <c r="TMC27" s="203"/>
      <c r="TMD27" s="203"/>
      <c r="TMU27" s="203"/>
      <c r="TMV27" s="203"/>
      <c r="TNM27" s="203"/>
      <c r="TNN27" s="203"/>
      <c r="TOE27" s="203"/>
      <c r="TOF27" s="203"/>
      <c r="TOW27" s="203"/>
      <c r="TOX27" s="203"/>
      <c r="TPO27" s="203"/>
      <c r="TPP27" s="203"/>
      <c r="TQG27" s="203"/>
      <c r="TQH27" s="203"/>
      <c r="TQY27" s="203"/>
      <c r="TQZ27" s="203"/>
      <c r="TRQ27" s="203"/>
      <c r="TRR27" s="203"/>
      <c r="TSI27" s="203"/>
      <c r="TSJ27" s="203"/>
      <c r="TTA27" s="203"/>
      <c r="TTB27" s="203"/>
      <c r="TTS27" s="203"/>
      <c r="TTT27" s="203"/>
      <c r="TUK27" s="203"/>
      <c r="TUL27" s="203"/>
      <c r="TVC27" s="203"/>
      <c r="TVD27" s="203"/>
      <c r="TVU27" s="203"/>
      <c r="TVV27" s="203"/>
      <c r="TWM27" s="203"/>
      <c r="TWN27" s="203"/>
      <c r="TXE27" s="203"/>
      <c r="TXF27" s="203"/>
      <c r="TXW27" s="203"/>
      <c r="TXX27" s="203"/>
      <c r="TYO27" s="203"/>
      <c r="TYP27" s="203"/>
      <c r="TZG27" s="203"/>
      <c r="TZH27" s="203"/>
      <c r="TZY27" s="203"/>
      <c r="TZZ27" s="203"/>
      <c r="UAQ27" s="203"/>
      <c r="UAR27" s="203"/>
      <c r="UBI27" s="203"/>
      <c r="UBJ27" s="203"/>
      <c r="UCA27" s="203"/>
      <c r="UCB27" s="203"/>
      <c r="UCS27" s="203"/>
      <c r="UCT27" s="203"/>
      <c r="UDK27" s="203"/>
      <c r="UDL27" s="203"/>
      <c r="UEC27" s="203"/>
      <c r="UED27" s="203"/>
      <c r="UEU27" s="203"/>
      <c r="UEV27" s="203"/>
      <c r="UFM27" s="203"/>
      <c r="UFN27" s="203"/>
      <c r="UGE27" s="203"/>
      <c r="UGF27" s="203"/>
      <c r="UGW27" s="203"/>
      <c r="UGX27" s="203"/>
      <c r="UHO27" s="203"/>
      <c r="UHP27" s="203"/>
      <c r="UIG27" s="203"/>
      <c r="UIH27" s="203"/>
      <c r="UIY27" s="203"/>
      <c r="UIZ27" s="203"/>
      <c r="UJQ27" s="203"/>
      <c r="UJR27" s="203"/>
      <c r="UKI27" s="203"/>
      <c r="UKJ27" s="203"/>
      <c r="ULA27" s="203"/>
      <c r="ULB27" s="203"/>
      <c r="ULS27" s="203"/>
      <c r="ULT27" s="203"/>
      <c r="UMK27" s="203"/>
      <c r="UML27" s="203"/>
      <c r="UNC27" s="203"/>
      <c r="UND27" s="203"/>
      <c r="UNU27" s="203"/>
      <c r="UNV27" s="203"/>
      <c r="UOM27" s="203"/>
      <c r="UON27" s="203"/>
      <c r="UPE27" s="203"/>
      <c r="UPF27" s="203"/>
      <c r="UPW27" s="203"/>
      <c r="UPX27" s="203"/>
      <c r="UQO27" s="203"/>
      <c r="UQP27" s="203"/>
      <c r="URG27" s="203"/>
      <c r="URH27" s="203"/>
      <c r="URY27" s="203"/>
      <c r="URZ27" s="203"/>
      <c r="USQ27" s="203"/>
      <c r="USR27" s="203"/>
      <c r="UTI27" s="203"/>
      <c r="UTJ27" s="203"/>
      <c r="UUA27" s="203"/>
      <c r="UUB27" s="203"/>
      <c r="UUS27" s="203"/>
      <c r="UUT27" s="203"/>
      <c r="UVK27" s="203"/>
      <c r="UVL27" s="203"/>
      <c r="UWC27" s="203"/>
      <c r="UWD27" s="203"/>
      <c r="UWU27" s="203"/>
      <c r="UWV27" s="203"/>
      <c r="UXM27" s="203"/>
      <c r="UXN27" s="203"/>
      <c r="UYE27" s="203"/>
      <c r="UYF27" s="203"/>
      <c r="UYW27" s="203"/>
      <c r="UYX27" s="203"/>
      <c r="UZO27" s="203"/>
      <c r="UZP27" s="203"/>
      <c r="VAG27" s="203"/>
      <c r="VAH27" s="203"/>
      <c r="VAY27" s="203"/>
      <c r="VAZ27" s="203"/>
      <c r="VBQ27" s="203"/>
      <c r="VBR27" s="203"/>
      <c r="VCI27" s="203"/>
      <c r="VCJ27" s="203"/>
      <c r="VDA27" s="203"/>
      <c r="VDB27" s="203"/>
      <c r="VDS27" s="203"/>
      <c r="VDT27" s="203"/>
      <c r="VEK27" s="203"/>
      <c r="VEL27" s="203"/>
      <c r="VFC27" s="203"/>
      <c r="VFD27" s="203"/>
      <c r="VFU27" s="203"/>
      <c r="VFV27" s="203"/>
      <c r="VGM27" s="203"/>
      <c r="VGN27" s="203"/>
      <c r="VHE27" s="203"/>
      <c r="VHF27" s="203"/>
      <c r="VHW27" s="203"/>
      <c r="VHX27" s="203"/>
      <c r="VIO27" s="203"/>
      <c r="VIP27" s="203"/>
      <c r="VJG27" s="203"/>
      <c r="VJH27" s="203"/>
      <c r="VJY27" s="203"/>
      <c r="VJZ27" s="203"/>
      <c r="VKQ27" s="203"/>
      <c r="VKR27" s="203"/>
      <c r="VLI27" s="203"/>
      <c r="VLJ27" s="203"/>
      <c r="VMA27" s="203"/>
      <c r="VMB27" s="203"/>
      <c r="VMS27" s="203"/>
      <c r="VMT27" s="203"/>
      <c r="VNK27" s="203"/>
      <c r="VNL27" s="203"/>
      <c r="VOC27" s="203"/>
      <c r="VOD27" s="203"/>
      <c r="VOU27" s="203"/>
      <c r="VOV27" s="203"/>
      <c r="VPM27" s="203"/>
      <c r="VPN27" s="203"/>
      <c r="VQE27" s="203"/>
      <c r="VQF27" s="203"/>
      <c r="VQW27" s="203"/>
      <c r="VQX27" s="203"/>
      <c r="VRO27" s="203"/>
      <c r="VRP27" s="203"/>
      <c r="VSG27" s="203"/>
      <c r="VSH27" s="203"/>
      <c r="VSY27" s="203"/>
      <c r="VSZ27" s="203"/>
      <c r="VTQ27" s="203"/>
      <c r="VTR27" s="203"/>
      <c r="VUI27" s="203"/>
      <c r="VUJ27" s="203"/>
      <c r="VVA27" s="203"/>
      <c r="VVB27" s="203"/>
      <c r="VVS27" s="203"/>
      <c r="VVT27" s="203"/>
      <c r="VWK27" s="203"/>
      <c r="VWL27" s="203"/>
      <c r="VXC27" s="203"/>
      <c r="VXD27" s="203"/>
      <c r="VXU27" s="203"/>
      <c r="VXV27" s="203"/>
      <c r="VYM27" s="203"/>
      <c r="VYN27" s="203"/>
      <c r="VZE27" s="203"/>
      <c r="VZF27" s="203"/>
      <c r="VZW27" s="203"/>
      <c r="VZX27" s="203"/>
      <c r="WAO27" s="203"/>
      <c r="WAP27" s="203"/>
      <c r="WBG27" s="203"/>
      <c r="WBH27" s="203"/>
      <c r="WBY27" s="203"/>
      <c r="WBZ27" s="203"/>
      <c r="WCQ27" s="203"/>
      <c r="WCR27" s="203"/>
      <c r="WDI27" s="203"/>
      <c r="WDJ27" s="203"/>
      <c r="WEA27" s="203"/>
      <c r="WEB27" s="203"/>
      <c r="WES27" s="203"/>
      <c r="WET27" s="203"/>
      <c r="WFK27" s="203"/>
      <c r="WFL27" s="203"/>
      <c r="WGC27" s="203"/>
      <c r="WGD27" s="203"/>
      <c r="WGU27" s="203"/>
      <c r="WGV27" s="203"/>
      <c r="WHM27" s="203"/>
      <c r="WHN27" s="203"/>
      <c r="WIE27" s="203"/>
      <c r="WIF27" s="203"/>
      <c r="WIW27" s="203"/>
      <c r="WIX27" s="203"/>
      <c r="WJO27" s="203"/>
      <c r="WJP27" s="203"/>
      <c r="WKG27" s="203"/>
      <c r="WKH27" s="203"/>
      <c r="WKY27" s="203"/>
      <c r="WKZ27" s="203"/>
      <c r="WLQ27" s="203"/>
      <c r="WLR27" s="203"/>
      <c r="WMI27" s="203"/>
      <c r="WMJ27" s="203"/>
      <c r="WNA27" s="203"/>
      <c r="WNB27" s="203"/>
      <c r="WNS27" s="203"/>
      <c r="WNT27" s="203"/>
      <c r="WOK27" s="203"/>
      <c r="WOL27" s="203"/>
      <c r="WPC27" s="203"/>
      <c r="WPD27" s="203"/>
      <c r="WPU27" s="203"/>
      <c r="WPV27" s="203"/>
      <c r="WQM27" s="203"/>
      <c r="WQN27" s="203"/>
      <c r="WRE27" s="203"/>
      <c r="WRF27" s="203"/>
      <c r="WRW27" s="203"/>
      <c r="WRX27" s="203"/>
      <c r="WSO27" s="203"/>
      <c r="WSP27" s="203"/>
      <c r="WTG27" s="203"/>
      <c r="WTH27" s="203"/>
      <c r="WTY27" s="203"/>
      <c r="WTZ27" s="203"/>
      <c r="WUQ27" s="203"/>
      <c r="WUR27" s="203"/>
      <c r="WVI27" s="203"/>
      <c r="WVJ27" s="203"/>
      <c r="WWA27" s="203"/>
      <c r="WWB27" s="203"/>
      <c r="WWS27" s="203"/>
      <c r="WWT27" s="203"/>
      <c r="WXK27" s="203"/>
      <c r="WXL27" s="203"/>
      <c r="WYC27" s="203"/>
      <c r="WYD27" s="203"/>
      <c r="WYU27" s="203"/>
      <c r="WYV27" s="203"/>
      <c r="WZM27" s="203"/>
      <c r="WZN27" s="203"/>
      <c r="XAE27" s="203"/>
      <c r="XAF27" s="203"/>
      <c r="XAW27" s="203"/>
      <c r="XAX27" s="203"/>
      <c r="XBO27" s="203"/>
      <c r="XBP27" s="203"/>
      <c r="XCG27" s="203"/>
      <c r="XCH27" s="203"/>
      <c r="XCY27" s="203"/>
      <c r="XCZ27" s="203"/>
      <c r="XDQ27" s="203"/>
      <c r="XDR27" s="203"/>
      <c r="XEI27" s="203"/>
      <c r="XEJ27" s="203"/>
      <c r="XFA27" s="203"/>
      <c r="XFB27" s="203"/>
    </row>
    <row r="28" spans="1:1010 1027:2036 2053:3062 3079:4088 4105:5114 5131:6140 6157:7166 7183:8192 8209:9200 9217:10226 10243:11252 11269:12278 12295:13304 13321:14330 14347:15356 15373:16382" s="152" customFormat="1" x14ac:dyDescent="0.35">
      <c r="A28" s="181" t="s">
        <v>376</v>
      </c>
      <c r="B28" s="294" t="s">
        <v>377</v>
      </c>
      <c r="C28" s="198">
        <v>0</v>
      </c>
      <c r="D28" s="198">
        <v>0</v>
      </c>
      <c r="E28" s="198">
        <v>0</v>
      </c>
      <c r="F28" s="198">
        <v>0</v>
      </c>
      <c r="G28" s="198">
        <v>3.9550000000000001</v>
      </c>
      <c r="H28" s="198">
        <v>0</v>
      </c>
      <c r="I28" s="198">
        <v>0</v>
      </c>
      <c r="J28" s="198">
        <v>0</v>
      </c>
      <c r="K28" s="198">
        <v>0</v>
      </c>
      <c r="L28" s="198">
        <v>0</v>
      </c>
      <c r="M28" s="204"/>
      <c r="N28" s="204"/>
      <c r="O28" s="204"/>
      <c r="P28" s="204"/>
      <c r="Q28" s="204"/>
      <c r="R28" s="204"/>
    </row>
    <row r="29" spans="1:1010 1027:2036 2053:3062 3079:4088 4105:5114 5131:6140 6157:7166 7183:8192 8209:9200 9217:10226 10243:11252 11269:12278 12295:13304 13321:14330 14347:15356 15373:16382" s="152" customFormat="1" x14ac:dyDescent="0.35">
      <c r="A29" s="185" t="s">
        <v>378</v>
      </c>
      <c r="B29" s="298" t="s">
        <v>379</v>
      </c>
      <c r="C29" s="198">
        <v>0</v>
      </c>
      <c r="D29" s="198">
        <v>0</v>
      </c>
      <c r="E29" s="198">
        <v>0</v>
      </c>
      <c r="F29" s="198">
        <v>0</v>
      </c>
      <c r="G29" s="198">
        <v>3.9550000000000001</v>
      </c>
      <c r="H29" s="198">
        <v>0</v>
      </c>
      <c r="I29" s="198">
        <v>0</v>
      </c>
      <c r="J29" s="198">
        <v>0</v>
      </c>
      <c r="K29" s="198">
        <v>0</v>
      </c>
      <c r="L29" s="198">
        <v>0</v>
      </c>
      <c r="M29" s="204"/>
      <c r="N29" s="204"/>
      <c r="O29" s="204"/>
      <c r="P29" s="204"/>
      <c r="Q29" s="204"/>
      <c r="R29" s="204"/>
    </row>
    <row r="30" spans="1:1010 1027:2036 2053:3062 3079:4088 4105:5114 5131:6140 6157:7166 7183:8192 8209:9200 9217:10226 10243:11252 11269:12278 12295:13304 13321:14330 14347:15356 15373:16382" s="152" customFormat="1" x14ac:dyDescent="0.35">
      <c r="A30" s="185" t="s">
        <v>380</v>
      </c>
      <c r="B30" s="298" t="s">
        <v>381</v>
      </c>
      <c r="C30" s="198">
        <v>0</v>
      </c>
      <c r="D30" s="198">
        <v>0</v>
      </c>
      <c r="E30" s="198">
        <v>0</v>
      </c>
      <c r="F30" s="198">
        <v>0</v>
      </c>
      <c r="G30" s="198">
        <v>0</v>
      </c>
      <c r="H30" s="198">
        <v>0</v>
      </c>
      <c r="I30" s="198">
        <v>0</v>
      </c>
      <c r="J30" s="198">
        <v>0</v>
      </c>
      <c r="K30" s="198">
        <v>0</v>
      </c>
      <c r="L30" s="198">
        <v>0</v>
      </c>
      <c r="M30" s="204"/>
      <c r="N30" s="204"/>
      <c r="O30" s="204"/>
      <c r="P30" s="204"/>
      <c r="Q30" s="204"/>
      <c r="R30" s="204"/>
    </row>
    <row r="31" spans="1:1010 1027:2036 2053:3062 3079:4088 4105:5114 5131:6140 6157:7166 7183:8192 8209:9200 9217:10226 10243:11252 11269:12278 12295:13304 13321:14330 14347:15356 15373:16382" s="152" customFormat="1" x14ac:dyDescent="0.35">
      <c r="A31" s="181" t="s">
        <v>382</v>
      </c>
      <c r="B31" s="294" t="s">
        <v>383</v>
      </c>
      <c r="C31" s="198">
        <v>-11.496</v>
      </c>
      <c r="D31" s="198">
        <v>-8.8629999999999995</v>
      </c>
      <c r="E31" s="198">
        <v>-11.054</v>
      </c>
      <c r="F31" s="198">
        <v>-23.210999999999999</v>
      </c>
      <c r="G31" s="198">
        <v>-21.445</v>
      </c>
      <c r="H31" s="198">
        <v>-26.510999999999999</v>
      </c>
      <c r="I31" s="198">
        <v>-15.595000000000001</v>
      </c>
      <c r="J31" s="198">
        <v>-18.774999999999999</v>
      </c>
      <c r="K31" s="198">
        <v>-28.978999999999999</v>
      </c>
      <c r="L31" s="198">
        <v>-42.496000000000002</v>
      </c>
      <c r="M31" s="204"/>
      <c r="N31" s="204"/>
      <c r="O31" s="204"/>
      <c r="P31" s="204"/>
      <c r="Q31" s="204"/>
      <c r="R31" s="204"/>
    </row>
    <row r="32" spans="1:1010 1027:2036 2053:3062 3079:4088 4105:5114 5131:6140 6157:7166 7183:8192 8209:9200 9217:10226 10243:11252 11269:12278 12295:13304 13321:14330 14347:15356 15373:16382" s="152" customFormat="1" x14ac:dyDescent="0.35">
      <c r="A32" s="185" t="s">
        <v>384</v>
      </c>
      <c r="B32" s="298" t="s">
        <v>385</v>
      </c>
      <c r="C32" s="198">
        <v>-11.496</v>
      </c>
      <c r="D32" s="198">
        <v>-8.8629999999999995</v>
      </c>
      <c r="E32" s="198">
        <v>-11.054</v>
      </c>
      <c r="F32" s="198">
        <v>-23.210999999999999</v>
      </c>
      <c r="G32" s="198">
        <v>-21.445</v>
      </c>
      <c r="H32" s="198">
        <v>-26.510999999999999</v>
      </c>
      <c r="I32" s="198">
        <v>-15.595000000000001</v>
      </c>
      <c r="J32" s="198">
        <v>-18.774999999999999</v>
      </c>
      <c r="K32" s="198">
        <v>-28.978999999999999</v>
      </c>
      <c r="L32" s="198">
        <v>-42.496000000000002</v>
      </c>
      <c r="M32" s="204"/>
      <c r="N32" s="204"/>
      <c r="O32" s="204"/>
      <c r="P32" s="204"/>
      <c r="Q32" s="204"/>
      <c r="R32" s="204"/>
    </row>
    <row r="33" spans="1:1010 1027:2036 2053:3062 3079:4088 4105:5114 5131:6140 6157:7166 7183:8192 8209:9200 9217:10226 10243:11252 11269:12278 12295:13304 13321:14330 14347:15356 15373:16382" s="152" customFormat="1" x14ac:dyDescent="0.35">
      <c r="A33" s="185" t="s">
        <v>386</v>
      </c>
      <c r="B33" s="298" t="s">
        <v>387</v>
      </c>
      <c r="C33" s="198">
        <v>0</v>
      </c>
      <c r="D33" s="198">
        <v>0</v>
      </c>
      <c r="E33" s="198">
        <v>0</v>
      </c>
      <c r="F33" s="198">
        <v>0</v>
      </c>
      <c r="G33" s="198">
        <v>0</v>
      </c>
      <c r="H33" s="198">
        <v>0</v>
      </c>
      <c r="I33" s="198">
        <v>0</v>
      </c>
      <c r="J33" s="198">
        <v>0</v>
      </c>
      <c r="K33" s="198">
        <v>0</v>
      </c>
      <c r="L33" s="198">
        <v>0</v>
      </c>
      <c r="M33" s="204"/>
      <c r="N33" s="204"/>
      <c r="O33" s="204"/>
      <c r="P33" s="204"/>
      <c r="Q33" s="204"/>
      <c r="R33" s="204"/>
    </row>
    <row r="34" spans="1:1010 1027:2036 2053:3062 3079:4088 4105:5114 5131:6140 6157:7166 7183:8192 8209:9200 9217:10226 10243:11252 11269:12278 12295:13304 13321:14330 14347:15356 15373:16382" x14ac:dyDescent="0.35">
      <c r="A34" s="26" t="s">
        <v>29</v>
      </c>
      <c r="B34" s="299"/>
      <c r="C34" s="321">
        <f t="shared" ref="C34:L34" si="3">ROUND(SUM(C28,C31)-IF(C27="",0,C27),1)</f>
        <v>0</v>
      </c>
      <c r="D34" s="321">
        <f t="shared" si="3"/>
        <v>0</v>
      </c>
      <c r="E34" s="321">
        <f t="shared" si="3"/>
        <v>0</v>
      </c>
      <c r="F34" s="321">
        <f t="shared" si="3"/>
        <v>0</v>
      </c>
      <c r="G34" s="321">
        <f t="shared" si="3"/>
        <v>0</v>
      </c>
      <c r="H34" s="321">
        <f t="shared" si="3"/>
        <v>0</v>
      </c>
      <c r="I34" s="321">
        <f t="shared" si="3"/>
        <v>0</v>
      </c>
      <c r="J34" s="321">
        <f t="shared" si="3"/>
        <v>0</v>
      </c>
      <c r="K34" s="321">
        <f t="shared" si="3"/>
        <v>0</v>
      </c>
      <c r="L34" s="321">
        <f t="shared" si="3"/>
        <v>0</v>
      </c>
      <c r="M34" s="118"/>
      <c r="N34" s="118"/>
      <c r="O34" s="118"/>
      <c r="P34" s="118"/>
      <c r="Q34" s="118"/>
      <c r="R34" s="118"/>
    </row>
    <row r="35" spans="1:1010 1027:2036 2053:3062 3079:4088 4105:5114 5131:6140 6157:7166 7183:8192 8209:9200 9217:10226 10243:11252 11269:12278 12295:13304 13321:14330 14347:15356 15373:16382" s="11" customFormat="1" x14ac:dyDescent="0.35">
      <c r="A35" s="183" t="s">
        <v>388</v>
      </c>
      <c r="B35" s="293" t="s">
        <v>389</v>
      </c>
      <c r="C35" s="184">
        <v>0</v>
      </c>
      <c r="D35" s="184">
        <v>0</v>
      </c>
      <c r="E35" s="184">
        <v>0</v>
      </c>
      <c r="F35" s="184">
        <v>0</v>
      </c>
      <c r="G35" s="184">
        <v>0</v>
      </c>
      <c r="H35" s="184">
        <v>0</v>
      </c>
      <c r="I35" s="184">
        <v>0</v>
      </c>
      <c r="J35" s="184">
        <v>0</v>
      </c>
      <c r="K35" s="184">
        <v>0</v>
      </c>
      <c r="L35" s="184">
        <v>0.73699999999999999</v>
      </c>
      <c r="S35" s="12"/>
      <c r="T35" s="12"/>
      <c r="AK35" s="12"/>
      <c r="AL35" s="12"/>
      <c r="BC35" s="12"/>
      <c r="BD35" s="12"/>
      <c r="BU35" s="12"/>
      <c r="BV35" s="12"/>
      <c r="CM35" s="12"/>
      <c r="CN35" s="12"/>
      <c r="DE35" s="12"/>
      <c r="DF35" s="12"/>
      <c r="DW35" s="12"/>
      <c r="DX35" s="12"/>
      <c r="EO35" s="12"/>
      <c r="EP35" s="12"/>
      <c r="FG35" s="12"/>
      <c r="FH35" s="12"/>
      <c r="FY35" s="12"/>
      <c r="FZ35" s="12"/>
      <c r="GQ35" s="12"/>
      <c r="GR35" s="12"/>
      <c r="HI35" s="12"/>
      <c r="HJ35" s="12"/>
      <c r="IA35" s="12"/>
      <c r="IB35" s="12"/>
      <c r="IS35" s="12"/>
      <c r="IT35" s="12"/>
      <c r="JK35" s="12"/>
      <c r="JL35" s="12"/>
      <c r="KC35" s="12"/>
      <c r="KD35" s="12"/>
      <c r="KU35" s="12"/>
      <c r="KV35" s="12"/>
      <c r="LM35" s="12"/>
      <c r="LN35" s="12"/>
      <c r="ME35" s="12"/>
      <c r="MF35" s="12"/>
      <c r="MW35" s="12"/>
      <c r="MX35" s="12"/>
      <c r="NO35" s="12"/>
      <c r="NP35" s="12"/>
      <c r="OG35" s="12"/>
      <c r="OH35" s="12"/>
      <c r="OY35" s="12"/>
      <c r="OZ35" s="12"/>
      <c r="PQ35" s="12"/>
      <c r="PR35" s="12"/>
      <c r="QI35" s="12"/>
      <c r="QJ35" s="12"/>
      <c r="RA35" s="12"/>
      <c r="RB35" s="12"/>
      <c r="RS35" s="12"/>
      <c r="RT35" s="12"/>
      <c r="SK35" s="12"/>
      <c r="SL35" s="12"/>
      <c r="TC35" s="12"/>
      <c r="TD35" s="12"/>
      <c r="TU35" s="12"/>
      <c r="TV35" s="12"/>
      <c r="UM35" s="12"/>
      <c r="UN35" s="12"/>
      <c r="VE35" s="12"/>
      <c r="VF35" s="12"/>
      <c r="VW35" s="12"/>
      <c r="VX35" s="12"/>
      <c r="WO35" s="12"/>
      <c r="WP35" s="12"/>
      <c r="XG35" s="12"/>
      <c r="XH35" s="12"/>
      <c r="XY35" s="12"/>
      <c r="XZ35" s="12"/>
      <c r="YQ35" s="12"/>
      <c r="YR35" s="12"/>
      <c r="ZI35" s="12"/>
      <c r="ZJ35" s="12"/>
      <c r="AAA35" s="12"/>
      <c r="AAB35" s="12"/>
      <c r="AAS35" s="12"/>
      <c r="AAT35" s="12"/>
      <c r="ABK35" s="12"/>
      <c r="ABL35" s="12"/>
      <c r="ACC35" s="12"/>
      <c r="ACD35" s="12"/>
      <c r="ACU35" s="12"/>
      <c r="ACV35" s="12"/>
      <c r="ADM35" s="12"/>
      <c r="ADN35" s="12"/>
      <c r="AEE35" s="12"/>
      <c r="AEF35" s="12"/>
      <c r="AEW35" s="12"/>
      <c r="AEX35" s="12"/>
      <c r="AFO35" s="12"/>
      <c r="AFP35" s="12"/>
      <c r="AGG35" s="12"/>
      <c r="AGH35" s="12"/>
      <c r="AGY35" s="12"/>
      <c r="AGZ35" s="12"/>
      <c r="AHQ35" s="12"/>
      <c r="AHR35" s="12"/>
      <c r="AII35" s="12"/>
      <c r="AIJ35" s="12"/>
      <c r="AJA35" s="12"/>
      <c r="AJB35" s="12"/>
      <c r="AJS35" s="12"/>
      <c r="AJT35" s="12"/>
      <c r="AKK35" s="12"/>
      <c r="AKL35" s="12"/>
      <c r="ALC35" s="12"/>
      <c r="ALD35" s="12"/>
      <c r="ALU35" s="12"/>
      <c r="ALV35" s="12"/>
      <c r="AMM35" s="12"/>
      <c r="AMN35" s="12"/>
      <c r="ANE35" s="12"/>
      <c r="ANF35" s="12"/>
      <c r="ANW35" s="12"/>
      <c r="ANX35" s="12"/>
      <c r="AOO35" s="12"/>
      <c r="AOP35" s="12"/>
      <c r="APG35" s="12"/>
      <c r="APH35" s="12"/>
      <c r="APY35" s="12"/>
      <c r="APZ35" s="12"/>
      <c r="AQQ35" s="12"/>
      <c r="AQR35" s="12"/>
      <c r="ARI35" s="12"/>
      <c r="ARJ35" s="12"/>
      <c r="ASA35" s="12"/>
      <c r="ASB35" s="12"/>
      <c r="ASS35" s="12"/>
      <c r="AST35" s="12"/>
      <c r="ATK35" s="12"/>
      <c r="ATL35" s="12"/>
      <c r="AUC35" s="12"/>
      <c r="AUD35" s="12"/>
      <c r="AUU35" s="12"/>
      <c r="AUV35" s="12"/>
      <c r="AVM35" s="12"/>
      <c r="AVN35" s="12"/>
      <c r="AWE35" s="12"/>
      <c r="AWF35" s="12"/>
      <c r="AWW35" s="12"/>
      <c r="AWX35" s="12"/>
      <c r="AXO35" s="12"/>
      <c r="AXP35" s="12"/>
      <c r="AYG35" s="12"/>
      <c r="AYH35" s="12"/>
      <c r="AYY35" s="12"/>
      <c r="AYZ35" s="12"/>
      <c r="AZQ35" s="12"/>
      <c r="AZR35" s="12"/>
      <c r="BAI35" s="12"/>
      <c r="BAJ35" s="12"/>
      <c r="BBA35" s="12"/>
      <c r="BBB35" s="12"/>
      <c r="BBS35" s="12"/>
      <c r="BBT35" s="12"/>
      <c r="BCK35" s="12"/>
      <c r="BCL35" s="12"/>
      <c r="BDC35" s="12"/>
      <c r="BDD35" s="12"/>
      <c r="BDU35" s="12"/>
      <c r="BDV35" s="12"/>
      <c r="BEM35" s="12"/>
      <c r="BEN35" s="12"/>
      <c r="BFE35" s="12"/>
      <c r="BFF35" s="12"/>
      <c r="BFW35" s="12"/>
      <c r="BFX35" s="12"/>
      <c r="BGO35" s="12"/>
      <c r="BGP35" s="12"/>
      <c r="BHG35" s="12"/>
      <c r="BHH35" s="12"/>
      <c r="BHY35" s="12"/>
      <c r="BHZ35" s="12"/>
      <c r="BIQ35" s="12"/>
      <c r="BIR35" s="12"/>
      <c r="BJI35" s="12"/>
      <c r="BJJ35" s="12"/>
      <c r="BKA35" s="12"/>
      <c r="BKB35" s="12"/>
      <c r="BKS35" s="12"/>
      <c r="BKT35" s="12"/>
      <c r="BLK35" s="12"/>
      <c r="BLL35" s="12"/>
      <c r="BMC35" s="12"/>
      <c r="BMD35" s="12"/>
      <c r="BMU35" s="12"/>
      <c r="BMV35" s="12"/>
      <c r="BNM35" s="12"/>
      <c r="BNN35" s="12"/>
      <c r="BOE35" s="12"/>
      <c r="BOF35" s="12"/>
      <c r="BOW35" s="12"/>
      <c r="BOX35" s="12"/>
      <c r="BPO35" s="12"/>
      <c r="BPP35" s="12"/>
      <c r="BQG35" s="12"/>
      <c r="BQH35" s="12"/>
      <c r="BQY35" s="12"/>
      <c r="BQZ35" s="12"/>
      <c r="BRQ35" s="12"/>
      <c r="BRR35" s="12"/>
      <c r="BSI35" s="12"/>
      <c r="BSJ35" s="12"/>
      <c r="BTA35" s="12"/>
      <c r="BTB35" s="12"/>
      <c r="BTS35" s="12"/>
      <c r="BTT35" s="12"/>
      <c r="BUK35" s="12"/>
      <c r="BUL35" s="12"/>
      <c r="BVC35" s="12"/>
      <c r="BVD35" s="12"/>
      <c r="BVU35" s="12"/>
      <c r="BVV35" s="12"/>
      <c r="BWM35" s="12"/>
      <c r="BWN35" s="12"/>
      <c r="BXE35" s="12"/>
      <c r="BXF35" s="12"/>
      <c r="BXW35" s="12"/>
      <c r="BXX35" s="12"/>
      <c r="BYO35" s="12"/>
      <c r="BYP35" s="12"/>
      <c r="BZG35" s="12"/>
      <c r="BZH35" s="12"/>
      <c r="BZY35" s="12"/>
      <c r="BZZ35" s="12"/>
      <c r="CAQ35" s="12"/>
      <c r="CAR35" s="12"/>
      <c r="CBI35" s="12"/>
      <c r="CBJ35" s="12"/>
      <c r="CCA35" s="12"/>
      <c r="CCB35" s="12"/>
      <c r="CCS35" s="12"/>
      <c r="CCT35" s="12"/>
      <c r="CDK35" s="12"/>
      <c r="CDL35" s="12"/>
      <c r="CEC35" s="12"/>
      <c r="CED35" s="12"/>
      <c r="CEU35" s="12"/>
      <c r="CEV35" s="12"/>
      <c r="CFM35" s="12"/>
      <c r="CFN35" s="12"/>
      <c r="CGE35" s="12"/>
      <c r="CGF35" s="12"/>
      <c r="CGW35" s="12"/>
      <c r="CGX35" s="12"/>
      <c r="CHO35" s="12"/>
      <c r="CHP35" s="12"/>
      <c r="CIG35" s="12"/>
      <c r="CIH35" s="12"/>
      <c r="CIY35" s="12"/>
      <c r="CIZ35" s="12"/>
      <c r="CJQ35" s="12"/>
      <c r="CJR35" s="12"/>
      <c r="CKI35" s="12"/>
      <c r="CKJ35" s="12"/>
      <c r="CLA35" s="12"/>
      <c r="CLB35" s="12"/>
      <c r="CLS35" s="12"/>
      <c r="CLT35" s="12"/>
      <c r="CMK35" s="12"/>
      <c r="CML35" s="12"/>
      <c r="CNC35" s="12"/>
      <c r="CND35" s="12"/>
      <c r="CNU35" s="12"/>
      <c r="CNV35" s="12"/>
      <c r="COM35" s="12"/>
      <c r="CON35" s="12"/>
      <c r="CPE35" s="12"/>
      <c r="CPF35" s="12"/>
      <c r="CPW35" s="12"/>
      <c r="CPX35" s="12"/>
      <c r="CQO35" s="12"/>
      <c r="CQP35" s="12"/>
      <c r="CRG35" s="12"/>
      <c r="CRH35" s="12"/>
      <c r="CRY35" s="12"/>
      <c r="CRZ35" s="12"/>
      <c r="CSQ35" s="12"/>
      <c r="CSR35" s="12"/>
      <c r="CTI35" s="12"/>
      <c r="CTJ35" s="12"/>
      <c r="CUA35" s="12"/>
      <c r="CUB35" s="12"/>
      <c r="CUS35" s="12"/>
      <c r="CUT35" s="12"/>
      <c r="CVK35" s="12"/>
      <c r="CVL35" s="12"/>
      <c r="CWC35" s="12"/>
      <c r="CWD35" s="12"/>
      <c r="CWU35" s="12"/>
      <c r="CWV35" s="12"/>
      <c r="CXM35" s="12"/>
      <c r="CXN35" s="12"/>
      <c r="CYE35" s="12"/>
      <c r="CYF35" s="12"/>
      <c r="CYW35" s="12"/>
      <c r="CYX35" s="12"/>
      <c r="CZO35" s="12"/>
      <c r="CZP35" s="12"/>
      <c r="DAG35" s="12"/>
      <c r="DAH35" s="12"/>
      <c r="DAY35" s="12"/>
      <c r="DAZ35" s="12"/>
      <c r="DBQ35" s="12"/>
      <c r="DBR35" s="12"/>
      <c r="DCI35" s="12"/>
      <c r="DCJ35" s="12"/>
      <c r="DDA35" s="12"/>
      <c r="DDB35" s="12"/>
      <c r="DDS35" s="12"/>
      <c r="DDT35" s="12"/>
      <c r="DEK35" s="12"/>
      <c r="DEL35" s="12"/>
      <c r="DFC35" s="12"/>
      <c r="DFD35" s="12"/>
      <c r="DFU35" s="12"/>
      <c r="DFV35" s="12"/>
      <c r="DGM35" s="12"/>
      <c r="DGN35" s="12"/>
      <c r="DHE35" s="12"/>
      <c r="DHF35" s="12"/>
      <c r="DHW35" s="12"/>
      <c r="DHX35" s="12"/>
      <c r="DIO35" s="12"/>
      <c r="DIP35" s="12"/>
      <c r="DJG35" s="12"/>
      <c r="DJH35" s="12"/>
      <c r="DJY35" s="12"/>
      <c r="DJZ35" s="12"/>
      <c r="DKQ35" s="12"/>
      <c r="DKR35" s="12"/>
      <c r="DLI35" s="12"/>
      <c r="DLJ35" s="12"/>
      <c r="DMA35" s="12"/>
      <c r="DMB35" s="12"/>
      <c r="DMS35" s="12"/>
      <c r="DMT35" s="12"/>
      <c r="DNK35" s="12"/>
      <c r="DNL35" s="12"/>
      <c r="DOC35" s="12"/>
      <c r="DOD35" s="12"/>
      <c r="DOU35" s="12"/>
      <c r="DOV35" s="12"/>
      <c r="DPM35" s="12"/>
      <c r="DPN35" s="12"/>
      <c r="DQE35" s="12"/>
      <c r="DQF35" s="12"/>
      <c r="DQW35" s="12"/>
      <c r="DQX35" s="12"/>
      <c r="DRO35" s="12"/>
      <c r="DRP35" s="12"/>
      <c r="DSG35" s="12"/>
      <c r="DSH35" s="12"/>
      <c r="DSY35" s="12"/>
      <c r="DSZ35" s="12"/>
      <c r="DTQ35" s="12"/>
      <c r="DTR35" s="12"/>
      <c r="DUI35" s="12"/>
      <c r="DUJ35" s="12"/>
      <c r="DVA35" s="12"/>
      <c r="DVB35" s="12"/>
      <c r="DVS35" s="12"/>
      <c r="DVT35" s="12"/>
      <c r="DWK35" s="12"/>
      <c r="DWL35" s="12"/>
      <c r="DXC35" s="12"/>
      <c r="DXD35" s="12"/>
      <c r="DXU35" s="12"/>
      <c r="DXV35" s="12"/>
      <c r="DYM35" s="12"/>
      <c r="DYN35" s="12"/>
      <c r="DZE35" s="12"/>
      <c r="DZF35" s="12"/>
      <c r="DZW35" s="12"/>
      <c r="DZX35" s="12"/>
      <c r="EAO35" s="12"/>
      <c r="EAP35" s="12"/>
      <c r="EBG35" s="12"/>
      <c r="EBH35" s="12"/>
      <c r="EBY35" s="12"/>
      <c r="EBZ35" s="12"/>
      <c r="ECQ35" s="12"/>
      <c r="ECR35" s="12"/>
      <c r="EDI35" s="12"/>
      <c r="EDJ35" s="12"/>
      <c r="EEA35" s="12"/>
      <c r="EEB35" s="12"/>
      <c r="EES35" s="12"/>
      <c r="EET35" s="12"/>
      <c r="EFK35" s="12"/>
      <c r="EFL35" s="12"/>
      <c r="EGC35" s="12"/>
      <c r="EGD35" s="12"/>
      <c r="EGU35" s="12"/>
      <c r="EGV35" s="12"/>
      <c r="EHM35" s="12"/>
      <c r="EHN35" s="12"/>
      <c r="EIE35" s="12"/>
      <c r="EIF35" s="12"/>
      <c r="EIW35" s="12"/>
      <c r="EIX35" s="12"/>
      <c r="EJO35" s="12"/>
      <c r="EJP35" s="12"/>
      <c r="EKG35" s="12"/>
      <c r="EKH35" s="12"/>
      <c r="EKY35" s="12"/>
      <c r="EKZ35" s="12"/>
      <c r="ELQ35" s="12"/>
      <c r="ELR35" s="12"/>
      <c r="EMI35" s="12"/>
      <c r="EMJ35" s="12"/>
      <c r="ENA35" s="12"/>
      <c r="ENB35" s="12"/>
      <c r="ENS35" s="12"/>
      <c r="ENT35" s="12"/>
      <c r="EOK35" s="12"/>
      <c r="EOL35" s="12"/>
      <c r="EPC35" s="12"/>
      <c r="EPD35" s="12"/>
      <c r="EPU35" s="12"/>
      <c r="EPV35" s="12"/>
      <c r="EQM35" s="12"/>
      <c r="EQN35" s="12"/>
      <c r="ERE35" s="12"/>
      <c r="ERF35" s="12"/>
      <c r="ERW35" s="12"/>
      <c r="ERX35" s="12"/>
      <c r="ESO35" s="12"/>
      <c r="ESP35" s="12"/>
      <c r="ETG35" s="12"/>
      <c r="ETH35" s="12"/>
      <c r="ETY35" s="12"/>
      <c r="ETZ35" s="12"/>
      <c r="EUQ35" s="12"/>
      <c r="EUR35" s="12"/>
      <c r="EVI35" s="12"/>
      <c r="EVJ35" s="12"/>
      <c r="EWA35" s="12"/>
      <c r="EWB35" s="12"/>
      <c r="EWS35" s="12"/>
      <c r="EWT35" s="12"/>
      <c r="EXK35" s="12"/>
      <c r="EXL35" s="12"/>
      <c r="EYC35" s="12"/>
      <c r="EYD35" s="12"/>
      <c r="EYU35" s="12"/>
      <c r="EYV35" s="12"/>
      <c r="EZM35" s="12"/>
      <c r="EZN35" s="12"/>
      <c r="FAE35" s="12"/>
      <c r="FAF35" s="12"/>
      <c r="FAW35" s="12"/>
      <c r="FAX35" s="12"/>
      <c r="FBO35" s="12"/>
      <c r="FBP35" s="12"/>
      <c r="FCG35" s="12"/>
      <c r="FCH35" s="12"/>
      <c r="FCY35" s="12"/>
      <c r="FCZ35" s="12"/>
      <c r="FDQ35" s="12"/>
      <c r="FDR35" s="12"/>
      <c r="FEI35" s="12"/>
      <c r="FEJ35" s="12"/>
      <c r="FFA35" s="12"/>
      <c r="FFB35" s="12"/>
      <c r="FFS35" s="12"/>
      <c r="FFT35" s="12"/>
      <c r="FGK35" s="12"/>
      <c r="FGL35" s="12"/>
      <c r="FHC35" s="12"/>
      <c r="FHD35" s="12"/>
      <c r="FHU35" s="12"/>
      <c r="FHV35" s="12"/>
      <c r="FIM35" s="12"/>
      <c r="FIN35" s="12"/>
      <c r="FJE35" s="12"/>
      <c r="FJF35" s="12"/>
      <c r="FJW35" s="12"/>
      <c r="FJX35" s="12"/>
      <c r="FKO35" s="12"/>
      <c r="FKP35" s="12"/>
      <c r="FLG35" s="12"/>
      <c r="FLH35" s="12"/>
      <c r="FLY35" s="12"/>
      <c r="FLZ35" s="12"/>
      <c r="FMQ35" s="12"/>
      <c r="FMR35" s="12"/>
      <c r="FNI35" s="12"/>
      <c r="FNJ35" s="12"/>
      <c r="FOA35" s="12"/>
      <c r="FOB35" s="12"/>
      <c r="FOS35" s="12"/>
      <c r="FOT35" s="12"/>
      <c r="FPK35" s="12"/>
      <c r="FPL35" s="12"/>
      <c r="FQC35" s="12"/>
      <c r="FQD35" s="12"/>
      <c r="FQU35" s="12"/>
      <c r="FQV35" s="12"/>
      <c r="FRM35" s="12"/>
      <c r="FRN35" s="12"/>
      <c r="FSE35" s="12"/>
      <c r="FSF35" s="12"/>
      <c r="FSW35" s="12"/>
      <c r="FSX35" s="12"/>
      <c r="FTO35" s="12"/>
      <c r="FTP35" s="12"/>
      <c r="FUG35" s="12"/>
      <c r="FUH35" s="12"/>
      <c r="FUY35" s="12"/>
      <c r="FUZ35" s="12"/>
      <c r="FVQ35" s="12"/>
      <c r="FVR35" s="12"/>
      <c r="FWI35" s="12"/>
      <c r="FWJ35" s="12"/>
      <c r="FXA35" s="12"/>
      <c r="FXB35" s="12"/>
      <c r="FXS35" s="12"/>
      <c r="FXT35" s="12"/>
      <c r="FYK35" s="12"/>
      <c r="FYL35" s="12"/>
      <c r="FZC35" s="12"/>
      <c r="FZD35" s="12"/>
      <c r="FZU35" s="12"/>
      <c r="FZV35" s="12"/>
      <c r="GAM35" s="12"/>
      <c r="GAN35" s="12"/>
      <c r="GBE35" s="12"/>
      <c r="GBF35" s="12"/>
      <c r="GBW35" s="12"/>
      <c r="GBX35" s="12"/>
      <c r="GCO35" s="12"/>
      <c r="GCP35" s="12"/>
      <c r="GDG35" s="12"/>
      <c r="GDH35" s="12"/>
      <c r="GDY35" s="12"/>
      <c r="GDZ35" s="12"/>
      <c r="GEQ35" s="12"/>
      <c r="GER35" s="12"/>
      <c r="GFI35" s="12"/>
      <c r="GFJ35" s="12"/>
      <c r="GGA35" s="12"/>
      <c r="GGB35" s="12"/>
      <c r="GGS35" s="12"/>
      <c r="GGT35" s="12"/>
      <c r="GHK35" s="12"/>
      <c r="GHL35" s="12"/>
      <c r="GIC35" s="12"/>
      <c r="GID35" s="12"/>
      <c r="GIU35" s="12"/>
      <c r="GIV35" s="12"/>
      <c r="GJM35" s="12"/>
      <c r="GJN35" s="12"/>
      <c r="GKE35" s="12"/>
      <c r="GKF35" s="12"/>
      <c r="GKW35" s="12"/>
      <c r="GKX35" s="12"/>
      <c r="GLO35" s="12"/>
      <c r="GLP35" s="12"/>
      <c r="GMG35" s="12"/>
      <c r="GMH35" s="12"/>
      <c r="GMY35" s="12"/>
      <c r="GMZ35" s="12"/>
      <c r="GNQ35" s="12"/>
      <c r="GNR35" s="12"/>
      <c r="GOI35" s="12"/>
      <c r="GOJ35" s="12"/>
      <c r="GPA35" s="12"/>
      <c r="GPB35" s="12"/>
      <c r="GPS35" s="12"/>
      <c r="GPT35" s="12"/>
      <c r="GQK35" s="12"/>
      <c r="GQL35" s="12"/>
      <c r="GRC35" s="12"/>
      <c r="GRD35" s="12"/>
      <c r="GRU35" s="12"/>
      <c r="GRV35" s="12"/>
      <c r="GSM35" s="12"/>
      <c r="GSN35" s="12"/>
      <c r="GTE35" s="12"/>
      <c r="GTF35" s="12"/>
      <c r="GTW35" s="12"/>
      <c r="GTX35" s="12"/>
      <c r="GUO35" s="12"/>
      <c r="GUP35" s="12"/>
      <c r="GVG35" s="12"/>
      <c r="GVH35" s="12"/>
      <c r="GVY35" s="12"/>
      <c r="GVZ35" s="12"/>
      <c r="GWQ35" s="12"/>
      <c r="GWR35" s="12"/>
      <c r="GXI35" s="12"/>
      <c r="GXJ35" s="12"/>
      <c r="GYA35" s="12"/>
      <c r="GYB35" s="12"/>
      <c r="GYS35" s="12"/>
      <c r="GYT35" s="12"/>
      <c r="GZK35" s="12"/>
      <c r="GZL35" s="12"/>
      <c r="HAC35" s="12"/>
      <c r="HAD35" s="12"/>
      <c r="HAU35" s="12"/>
      <c r="HAV35" s="12"/>
      <c r="HBM35" s="12"/>
      <c r="HBN35" s="12"/>
      <c r="HCE35" s="12"/>
      <c r="HCF35" s="12"/>
      <c r="HCW35" s="12"/>
      <c r="HCX35" s="12"/>
      <c r="HDO35" s="12"/>
      <c r="HDP35" s="12"/>
      <c r="HEG35" s="12"/>
      <c r="HEH35" s="12"/>
      <c r="HEY35" s="12"/>
      <c r="HEZ35" s="12"/>
      <c r="HFQ35" s="12"/>
      <c r="HFR35" s="12"/>
      <c r="HGI35" s="12"/>
      <c r="HGJ35" s="12"/>
      <c r="HHA35" s="12"/>
      <c r="HHB35" s="12"/>
      <c r="HHS35" s="12"/>
      <c r="HHT35" s="12"/>
      <c r="HIK35" s="12"/>
      <c r="HIL35" s="12"/>
      <c r="HJC35" s="12"/>
      <c r="HJD35" s="12"/>
      <c r="HJU35" s="12"/>
      <c r="HJV35" s="12"/>
      <c r="HKM35" s="12"/>
      <c r="HKN35" s="12"/>
      <c r="HLE35" s="12"/>
      <c r="HLF35" s="12"/>
      <c r="HLW35" s="12"/>
      <c r="HLX35" s="12"/>
      <c r="HMO35" s="12"/>
      <c r="HMP35" s="12"/>
      <c r="HNG35" s="12"/>
      <c r="HNH35" s="12"/>
      <c r="HNY35" s="12"/>
      <c r="HNZ35" s="12"/>
      <c r="HOQ35" s="12"/>
      <c r="HOR35" s="12"/>
      <c r="HPI35" s="12"/>
      <c r="HPJ35" s="12"/>
      <c r="HQA35" s="12"/>
      <c r="HQB35" s="12"/>
      <c r="HQS35" s="12"/>
      <c r="HQT35" s="12"/>
      <c r="HRK35" s="12"/>
      <c r="HRL35" s="12"/>
      <c r="HSC35" s="12"/>
      <c r="HSD35" s="12"/>
      <c r="HSU35" s="12"/>
      <c r="HSV35" s="12"/>
      <c r="HTM35" s="12"/>
      <c r="HTN35" s="12"/>
      <c r="HUE35" s="12"/>
      <c r="HUF35" s="12"/>
      <c r="HUW35" s="12"/>
      <c r="HUX35" s="12"/>
      <c r="HVO35" s="12"/>
      <c r="HVP35" s="12"/>
      <c r="HWG35" s="12"/>
      <c r="HWH35" s="12"/>
      <c r="HWY35" s="12"/>
      <c r="HWZ35" s="12"/>
      <c r="HXQ35" s="12"/>
      <c r="HXR35" s="12"/>
      <c r="HYI35" s="12"/>
      <c r="HYJ35" s="12"/>
      <c r="HZA35" s="12"/>
      <c r="HZB35" s="12"/>
      <c r="HZS35" s="12"/>
      <c r="HZT35" s="12"/>
      <c r="IAK35" s="12"/>
      <c r="IAL35" s="12"/>
      <c r="IBC35" s="12"/>
      <c r="IBD35" s="12"/>
      <c r="IBU35" s="12"/>
      <c r="IBV35" s="12"/>
      <c r="ICM35" s="12"/>
      <c r="ICN35" s="12"/>
      <c r="IDE35" s="12"/>
      <c r="IDF35" s="12"/>
      <c r="IDW35" s="12"/>
      <c r="IDX35" s="12"/>
      <c r="IEO35" s="12"/>
      <c r="IEP35" s="12"/>
      <c r="IFG35" s="12"/>
      <c r="IFH35" s="12"/>
      <c r="IFY35" s="12"/>
      <c r="IFZ35" s="12"/>
      <c r="IGQ35" s="12"/>
      <c r="IGR35" s="12"/>
      <c r="IHI35" s="12"/>
      <c r="IHJ35" s="12"/>
      <c r="IIA35" s="12"/>
      <c r="IIB35" s="12"/>
      <c r="IIS35" s="12"/>
      <c r="IIT35" s="12"/>
      <c r="IJK35" s="12"/>
      <c r="IJL35" s="12"/>
      <c r="IKC35" s="12"/>
      <c r="IKD35" s="12"/>
      <c r="IKU35" s="12"/>
      <c r="IKV35" s="12"/>
      <c r="ILM35" s="12"/>
      <c r="ILN35" s="12"/>
      <c r="IME35" s="12"/>
      <c r="IMF35" s="12"/>
      <c r="IMW35" s="12"/>
      <c r="IMX35" s="12"/>
      <c r="INO35" s="12"/>
      <c r="INP35" s="12"/>
      <c r="IOG35" s="12"/>
      <c r="IOH35" s="12"/>
      <c r="IOY35" s="12"/>
      <c r="IOZ35" s="12"/>
      <c r="IPQ35" s="12"/>
      <c r="IPR35" s="12"/>
      <c r="IQI35" s="12"/>
      <c r="IQJ35" s="12"/>
      <c r="IRA35" s="12"/>
      <c r="IRB35" s="12"/>
      <c r="IRS35" s="12"/>
      <c r="IRT35" s="12"/>
      <c r="ISK35" s="12"/>
      <c r="ISL35" s="12"/>
      <c r="ITC35" s="12"/>
      <c r="ITD35" s="12"/>
      <c r="ITU35" s="12"/>
      <c r="ITV35" s="12"/>
      <c r="IUM35" s="12"/>
      <c r="IUN35" s="12"/>
      <c r="IVE35" s="12"/>
      <c r="IVF35" s="12"/>
      <c r="IVW35" s="12"/>
      <c r="IVX35" s="12"/>
      <c r="IWO35" s="12"/>
      <c r="IWP35" s="12"/>
      <c r="IXG35" s="12"/>
      <c r="IXH35" s="12"/>
      <c r="IXY35" s="12"/>
      <c r="IXZ35" s="12"/>
      <c r="IYQ35" s="12"/>
      <c r="IYR35" s="12"/>
      <c r="IZI35" s="12"/>
      <c r="IZJ35" s="12"/>
      <c r="JAA35" s="12"/>
      <c r="JAB35" s="12"/>
      <c r="JAS35" s="12"/>
      <c r="JAT35" s="12"/>
      <c r="JBK35" s="12"/>
      <c r="JBL35" s="12"/>
      <c r="JCC35" s="12"/>
      <c r="JCD35" s="12"/>
      <c r="JCU35" s="12"/>
      <c r="JCV35" s="12"/>
      <c r="JDM35" s="12"/>
      <c r="JDN35" s="12"/>
      <c r="JEE35" s="12"/>
      <c r="JEF35" s="12"/>
      <c r="JEW35" s="12"/>
      <c r="JEX35" s="12"/>
      <c r="JFO35" s="12"/>
      <c r="JFP35" s="12"/>
      <c r="JGG35" s="12"/>
      <c r="JGH35" s="12"/>
      <c r="JGY35" s="12"/>
      <c r="JGZ35" s="12"/>
      <c r="JHQ35" s="12"/>
      <c r="JHR35" s="12"/>
      <c r="JII35" s="12"/>
      <c r="JIJ35" s="12"/>
      <c r="JJA35" s="12"/>
      <c r="JJB35" s="12"/>
      <c r="JJS35" s="12"/>
      <c r="JJT35" s="12"/>
      <c r="JKK35" s="12"/>
      <c r="JKL35" s="12"/>
      <c r="JLC35" s="12"/>
      <c r="JLD35" s="12"/>
      <c r="JLU35" s="12"/>
      <c r="JLV35" s="12"/>
      <c r="JMM35" s="12"/>
      <c r="JMN35" s="12"/>
      <c r="JNE35" s="12"/>
      <c r="JNF35" s="12"/>
      <c r="JNW35" s="12"/>
      <c r="JNX35" s="12"/>
      <c r="JOO35" s="12"/>
      <c r="JOP35" s="12"/>
      <c r="JPG35" s="12"/>
      <c r="JPH35" s="12"/>
      <c r="JPY35" s="12"/>
      <c r="JPZ35" s="12"/>
      <c r="JQQ35" s="12"/>
      <c r="JQR35" s="12"/>
      <c r="JRI35" s="12"/>
      <c r="JRJ35" s="12"/>
      <c r="JSA35" s="12"/>
      <c r="JSB35" s="12"/>
      <c r="JSS35" s="12"/>
      <c r="JST35" s="12"/>
      <c r="JTK35" s="12"/>
      <c r="JTL35" s="12"/>
      <c r="JUC35" s="12"/>
      <c r="JUD35" s="12"/>
      <c r="JUU35" s="12"/>
      <c r="JUV35" s="12"/>
      <c r="JVM35" s="12"/>
      <c r="JVN35" s="12"/>
      <c r="JWE35" s="12"/>
      <c r="JWF35" s="12"/>
      <c r="JWW35" s="12"/>
      <c r="JWX35" s="12"/>
      <c r="JXO35" s="12"/>
      <c r="JXP35" s="12"/>
      <c r="JYG35" s="12"/>
      <c r="JYH35" s="12"/>
      <c r="JYY35" s="12"/>
      <c r="JYZ35" s="12"/>
      <c r="JZQ35" s="12"/>
      <c r="JZR35" s="12"/>
      <c r="KAI35" s="12"/>
      <c r="KAJ35" s="12"/>
      <c r="KBA35" s="12"/>
      <c r="KBB35" s="12"/>
      <c r="KBS35" s="12"/>
      <c r="KBT35" s="12"/>
      <c r="KCK35" s="12"/>
      <c r="KCL35" s="12"/>
      <c r="KDC35" s="12"/>
      <c r="KDD35" s="12"/>
      <c r="KDU35" s="12"/>
      <c r="KDV35" s="12"/>
      <c r="KEM35" s="12"/>
      <c r="KEN35" s="12"/>
      <c r="KFE35" s="12"/>
      <c r="KFF35" s="12"/>
      <c r="KFW35" s="12"/>
      <c r="KFX35" s="12"/>
      <c r="KGO35" s="12"/>
      <c r="KGP35" s="12"/>
      <c r="KHG35" s="12"/>
      <c r="KHH35" s="12"/>
      <c r="KHY35" s="12"/>
      <c r="KHZ35" s="12"/>
      <c r="KIQ35" s="12"/>
      <c r="KIR35" s="12"/>
      <c r="KJI35" s="12"/>
      <c r="KJJ35" s="12"/>
      <c r="KKA35" s="12"/>
      <c r="KKB35" s="12"/>
      <c r="KKS35" s="12"/>
      <c r="KKT35" s="12"/>
      <c r="KLK35" s="12"/>
      <c r="KLL35" s="12"/>
      <c r="KMC35" s="12"/>
      <c r="KMD35" s="12"/>
      <c r="KMU35" s="12"/>
      <c r="KMV35" s="12"/>
      <c r="KNM35" s="12"/>
      <c r="KNN35" s="12"/>
      <c r="KOE35" s="12"/>
      <c r="KOF35" s="12"/>
      <c r="KOW35" s="12"/>
      <c r="KOX35" s="12"/>
      <c r="KPO35" s="12"/>
      <c r="KPP35" s="12"/>
      <c r="KQG35" s="12"/>
      <c r="KQH35" s="12"/>
      <c r="KQY35" s="12"/>
      <c r="KQZ35" s="12"/>
      <c r="KRQ35" s="12"/>
      <c r="KRR35" s="12"/>
      <c r="KSI35" s="12"/>
      <c r="KSJ35" s="12"/>
      <c r="KTA35" s="12"/>
      <c r="KTB35" s="12"/>
      <c r="KTS35" s="12"/>
      <c r="KTT35" s="12"/>
      <c r="KUK35" s="12"/>
      <c r="KUL35" s="12"/>
      <c r="KVC35" s="12"/>
      <c r="KVD35" s="12"/>
      <c r="KVU35" s="12"/>
      <c r="KVV35" s="12"/>
      <c r="KWM35" s="12"/>
      <c r="KWN35" s="12"/>
      <c r="KXE35" s="12"/>
      <c r="KXF35" s="12"/>
      <c r="KXW35" s="12"/>
      <c r="KXX35" s="12"/>
      <c r="KYO35" s="12"/>
      <c r="KYP35" s="12"/>
      <c r="KZG35" s="12"/>
      <c r="KZH35" s="12"/>
      <c r="KZY35" s="12"/>
      <c r="KZZ35" s="12"/>
      <c r="LAQ35" s="12"/>
      <c r="LAR35" s="12"/>
      <c r="LBI35" s="12"/>
      <c r="LBJ35" s="12"/>
      <c r="LCA35" s="12"/>
      <c r="LCB35" s="12"/>
      <c r="LCS35" s="12"/>
      <c r="LCT35" s="12"/>
      <c r="LDK35" s="12"/>
      <c r="LDL35" s="12"/>
      <c r="LEC35" s="12"/>
      <c r="LED35" s="12"/>
      <c r="LEU35" s="12"/>
      <c r="LEV35" s="12"/>
      <c r="LFM35" s="12"/>
      <c r="LFN35" s="12"/>
      <c r="LGE35" s="12"/>
      <c r="LGF35" s="12"/>
      <c r="LGW35" s="12"/>
      <c r="LGX35" s="12"/>
      <c r="LHO35" s="12"/>
      <c r="LHP35" s="12"/>
      <c r="LIG35" s="12"/>
      <c r="LIH35" s="12"/>
      <c r="LIY35" s="12"/>
      <c r="LIZ35" s="12"/>
      <c r="LJQ35" s="12"/>
      <c r="LJR35" s="12"/>
      <c r="LKI35" s="12"/>
      <c r="LKJ35" s="12"/>
      <c r="LLA35" s="12"/>
      <c r="LLB35" s="12"/>
      <c r="LLS35" s="12"/>
      <c r="LLT35" s="12"/>
      <c r="LMK35" s="12"/>
      <c r="LML35" s="12"/>
      <c r="LNC35" s="12"/>
      <c r="LND35" s="12"/>
      <c r="LNU35" s="12"/>
      <c r="LNV35" s="12"/>
      <c r="LOM35" s="12"/>
      <c r="LON35" s="12"/>
      <c r="LPE35" s="12"/>
      <c r="LPF35" s="12"/>
      <c r="LPW35" s="12"/>
      <c r="LPX35" s="12"/>
      <c r="LQO35" s="12"/>
      <c r="LQP35" s="12"/>
      <c r="LRG35" s="12"/>
      <c r="LRH35" s="12"/>
      <c r="LRY35" s="12"/>
      <c r="LRZ35" s="12"/>
      <c r="LSQ35" s="12"/>
      <c r="LSR35" s="12"/>
      <c r="LTI35" s="12"/>
      <c r="LTJ35" s="12"/>
      <c r="LUA35" s="12"/>
      <c r="LUB35" s="12"/>
      <c r="LUS35" s="12"/>
      <c r="LUT35" s="12"/>
      <c r="LVK35" s="12"/>
      <c r="LVL35" s="12"/>
      <c r="LWC35" s="12"/>
      <c r="LWD35" s="12"/>
      <c r="LWU35" s="12"/>
      <c r="LWV35" s="12"/>
      <c r="LXM35" s="12"/>
      <c r="LXN35" s="12"/>
      <c r="LYE35" s="12"/>
      <c r="LYF35" s="12"/>
      <c r="LYW35" s="12"/>
      <c r="LYX35" s="12"/>
      <c r="LZO35" s="12"/>
      <c r="LZP35" s="12"/>
      <c r="MAG35" s="12"/>
      <c r="MAH35" s="12"/>
      <c r="MAY35" s="12"/>
      <c r="MAZ35" s="12"/>
      <c r="MBQ35" s="12"/>
      <c r="MBR35" s="12"/>
      <c r="MCI35" s="12"/>
      <c r="MCJ35" s="12"/>
      <c r="MDA35" s="12"/>
      <c r="MDB35" s="12"/>
      <c r="MDS35" s="12"/>
      <c r="MDT35" s="12"/>
      <c r="MEK35" s="12"/>
      <c r="MEL35" s="12"/>
      <c r="MFC35" s="12"/>
      <c r="MFD35" s="12"/>
      <c r="MFU35" s="12"/>
      <c r="MFV35" s="12"/>
      <c r="MGM35" s="12"/>
      <c r="MGN35" s="12"/>
      <c r="MHE35" s="12"/>
      <c r="MHF35" s="12"/>
      <c r="MHW35" s="12"/>
      <c r="MHX35" s="12"/>
      <c r="MIO35" s="12"/>
      <c r="MIP35" s="12"/>
      <c r="MJG35" s="12"/>
      <c r="MJH35" s="12"/>
      <c r="MJY35" s="12"/>
      <c r="MJZ35" s="12"/>
      <c r="MKQ35" s="12"/>
      <c r="MKR35" s="12"/>
      <c r="MLI35" s="12"/>
      <c r="MLJ35" s="12"/>
      <c r="MMA35" s="12"/>
      <c r="MMB35" s="12"/>
      <c r="MMS35" s="12"/>
      <c r="MMT35" s="12"/>
      <c r="MNK35" s="12"/>
      <c r="MNL35" s="12"/>
      <c r="MOC35" s="12"/>
      <c r="MOD35" s="12"/>
      <c r="MOU35" s="12"/>
      <c r="MOV35" s="12"/>
      <c r="MPM35" s="12"/>
      <c r="MPN35" s="12"/>
      <c r="MQE35" s="12"/>
      <c r="MQF35" s="12"/>
      <c r="MQW35" s="12"/>
      <c r="MQX35" s="12"/>
      <c r="MRO35" s="12"/>
      <c r="MRP35" s="12"/>
      <c r="MSG35" s="12"/>
      <c r="MSH35" s="12"/>
      <c r="MSY35" s="12"/>
      <c r="MSZ35" s="12"/>
      <c r="MTQ35" s="12"/>
      <c r="MTR35" s="12"/>
      <c r="MUI35" s="12"/>
      <c r="MUJ35" s="12"/>
      <c r="MVA35" s="12"/>
      <c r="MVB35" s="12"/>
      <c r="MVS35" s="12"/>
      <c r="MVT35" s="12"/>
      <c r="MWK35" s="12"/>
      <c r="MWL35" s="12"/>
      <c r="MXC35" s="12"/>
      <c r="MXD35" s="12"/>
      <c r="MXU35" s="12"/>
      <c r="MXV35" s="12"/>
      <c r="MYM35" s="12"/>
      <c r="MYN35" s="12"/>
      <c r="MZE35" s="12"/>
      <c r="MZF35" s="12"/>
      <c r="MZW35" s="12"/>
      <c r="MZX35" s="12"/>
      <c r="NAO35" s="12"/>
      <c r="NAP35" s="12"/>
      <c r="NBG35" s="12"/>
      <c r="NBH35" s="12"/>
      <c r="NBY35" s="12"/>
      <c r="NBZ35" s="12"/>
      <c r="NCQ35" s="12"/>
      <c r="NCR35" s="12"/>
      <c r="NDI35" s="12"/>
      <c r="NDJ35" s="12"/>
      <c r="NEA35" s="12"/>
      <c r="NEB35" s="12"/>
      <c r="NES35" s="12"/>
      <c r="NET35" s="12"/>
      <c r="NFK35" s="12"/>
      <c r="NFL35" s="12"/>
      <c r="NGC35" s="12"/>
      <c r="NGD35" s="12"/>
      <c r="NGU35" s="12"/>
      <c r="NGV35" s="12"/>
      <c r="NHM35" s="12"/>
      <c r="NHN35" s="12"/>
      <c r="NIE35" s="12"/>
      <c r="NIF35" s="12"/>
      <c r="NIW35" s="12"/>
      <c r="NIX35" s="12"/>
      <c r="NJO35" s="12"/>
      <c r="NJP35" s="12"/>
      <c r="NKG35" s="12"/>
      <c r="NKH35" s="12"/>
      <c r="NKY35" s="12"/>
      <c r="NKZ35" s="12"/>
      <c r="NLQ35" s="12"/>
      <c r="NLR35" s="12"/>
      <c r="NMI35" s="12"/>
      <c r="NMJ35" s="12"/>
      <c r="NNA35" s="12"/>
      <c r="NNB35" s="12"/>
      <c r="NNS35" s="12"/>
      <c r="NNT35" s="12"/>
      <c r="NOK35" s="12"/>
      <c r="NOL35" s="12"/>
      <c r="NPC35" s="12"/>
      <c r="NPD35" s="12"/>
      <c r="NPU35" s="12"/>
      <c r="NPV35" s="12"/>
      <c r="NQM35" s="12"/>
      <c r="NQN35" s="12"/>
      <c r="NRE35" s="12"/>
      <c r="NRF35" s="12"/>
      <c r="NRW35" s="12"/>
      <c r="NRX35" s="12"/>
      <c r="NSO35" s="12"/>
      <c r="NSP35" s="12"/>
      <c r="NTG35" s="12"/>
      <c r="NTH35" s="12"/>
      <c r="NTY35" s="12"/>
      <c r="NTZ35" s="12"/>
      <c r="NUQ35" s="12"/>
      <c r="NUR35" s="12"/>
      <c r="NVI35" s="12"/>
      <c r="NVJ35" s="12"/>
      <c r="NWA35" s="12"/>
      <c r="NWB35" s="12"/>
      <c r="NWS35" s="12"/>
      <c r="NWT35" s="12"/>
      <c r="NXK35" s="12"/>
      <c r="NXL35" s="12"/>
      <c r="NYC35" s="12"/>
      <c r="NYD35" s="12"/>
      <c r="NYU35" s="12"/>
      <c r="NYV35" s="12"/>
      <c r="NZM35" s="12"/>
      <c r="NZN35" s="12"/>
      <c r="OAE35" s="12"/>
      <c r="OAF35" s="12"/>
      <c r="OAW35" s="12"/>
      <c r="OAX35" s="12"/>
      <c r="OBO35" s="12"/>
      <c r="OBP35" s="12"/>
      <c r="OCG35" s="12"/>
      <c r="OCH35" s="12"/>
      <c r="OCY35" s="12"/>
      <c r="OCZ35" s="12"/>
      <c r="ODQ35" s="12"/>
      <c r="ODR35" s="12"/>
      <c r="OEI35" s="12"/>
      <c r="OEJ35" s="12"/>
      <c r="OFA35" s="12"/>
      <c r="OFB35" s="12"/>
      <c r="OFS35" s="12"/>
      <c r="OFT35" s="12"/>
      <c r="OGK35" s="12"/>
      <c r="OGL35" s="12"/>
      <c r="OHC35" s="12"/>
      <c r="OHD35" s="12"/>
      <c r="OHU35" s="12"/>
      <c r="OHV35" s="12"/>
      <c r="OIM35" s="12"/>
      <c r="OIN35" s="12"/>
      <c r="OJE35" s="12"/>
      <c r="OJF35" s="12"/>
      <c r="OJW35" s="12"/>
      <c r="OJX35" s="12"/>
      <c r="OKO35" s="12"/>
      <c r="OKP35" s="12"/>
      <c r="OLG35" s="12"/>
      <c r="OLH35" s="12"/>
      <c r="OLY35" s="12"/>
      <c r="OLZ35" s="12"/>
      <c r="OMQ35" s="12"/>
      <c r="OMR35" s="12"/>
      <c r="ONI35" s="12"/>
      <c r="ONJ35" s="12"/>
      <c r="OOA35" s="12"/>
      <c r="OOB35" s="12"/>
      <c r="OOS35" s="12"/>
      <c r="OOT35" s="12"/>
      <c r="OPK35" s="12"/>
      <c r="OPL35" s="12"/>
      <c r="OQC35" s="12"/>
      <c r="OQD35" s="12"/>
      <c r="OQU35" s="12"/>
      <c r="OQV35" s="12"/>
      <c r="ORM35" s="12"/>
      <c r="ORN35" s="12"/>
      <c r="OSE35" s="12"/>
      <c r="OSF35" s="12"/>
      <c r="OSW35" s="12"/>
      <c r="OSX35" s="12"/>
      <c r="OTO35" s="12"/>
      <c r="OTP35" s="12"/>
      <c r="OUG35" s="12"/>
      <c r="OUH35" s="12"/>
      <c r="OUY35" s="12"/>
      <c r="OUZ35" s="12"/>
      <c r="OVQ35" s="12"/>
      <c r="OVR35" s="12"/>
      <c r="OWI35" s="12"/>
      <c r="OWJ35" s="12"/>
      <c r="OXA35" s="12"/>
      <c r="OXB35" s="12"/>
      <c r="OXS35" s="12"/>
      <c r="OXT35" s="12"/>
      <c r="OYK35" s="12"/>
      <c r="OYL35" s="12"/>
      <c r="OZC35" s="12"/>
      <c r="OZD35" s="12"/>
      <c r="OZU35" s="12"/>
      <c r="OZV35" s="12"/>
      <c r="PAM35" s="12"/>
      <c r="PAN35" s="12"/>
      <c r="PBE35" s="12"/>
      <c r="PBF35" s="12"/>
      <c r="PBW35" s="12"/>
      <c r="PBX35" s="12"/>
      <c r="PCO35" s="12"/>
      <c r="PCP35" s="12"/>
      <c r="PDG35" s="12"/>
      <c r="PDH35" s="12"/>
      <c r="PDY35" s="12"/>
      <c r="PDZ35" s="12"/>
      <c r="PEQ35" s="12"/>
      <c r="PER35" s="12"/>
      <c r="PFI35" s="12"/>
      <c r="PFJ35" s="12"/>
      <c r="PGA35" s="12"/>
      <c r="PGB35" s="12"/>
      <c r="PGS35" s="12"/>
      <c r="PGT35" s="12"/>
      <c r="PHK35" s="12"/>
      <c r="PHL35" s="12"/>
      <c r="PIC35" s="12"/>
      <c r="PID35" s="12"/>
      <c r="PIU35" s="12"/>
      <c r="PIV35" s="12"/>
      <c r="PJM35" s="12"/>
      <c r="PJN35" s="12"/>
      <c r="PKE35" s="12"/>
      <c r="PKF35" s="12"/>
      <c r="PKW35" s="12"/>
      <c r="PKX35" s="12"/>
      <c r="PLO35" s="12"/>
      <c r="PLP35" s="12"/>
      <c r="PMG35" s="12"/>
      <c r="PMH35" s="12"/>
      <c r="PMY35" s="12"/>
      <c r="PMZ35" s="12"/>
      <c r="PNQ35" s="12"/>
      <c r="PNR35" s="12"/>
      <c r="POI35" s="12"/>
      <c r="POJ35" s="12"/>
      <c r="PPA35" s="12"/>
      <c r="PPB35" s="12"/>
      <c r="PPS35" s="12"/>
      <c r="PPT35" s="12"/>
      <c r="PQK35" s="12"/>
      <c r="PQL35" s="12"/>
      <c r="PRC35" s="12"/>
      <c r="PRD35" s="12"/>
      <c r="PRU35" s="12"/>
      <c r="PRV35" s="12"/>
      <c r="PSM35" s="12"/>
      <c r="PSN35" s="12"/>
      <c r="PTE35" s="12"/>
      <c r="PTF35" s="12"/>
      <c r="PTW35" s="12"/>
      <c r="PTX35" s="12"/>
      <c r="PUO35" s="12"/>
      <c r="PUP35" s="12"/>
      <c r="PVG35" s="12"/>
      <c r="PVH35" s="12"/>
      <c r="PVY35" s="12"/>
      <c r="PVZ35" s="12"/>
      <c r="PWQ35" s="12"/>
      <c r="PWR35" s="12"/>
      <c r="PXI35" s="12"/>
      <c r="PXJ35" s="12"/>
      <c r="PYA35" s="12"/>
      <c r="PYB35" s="12"/>
      <c r="PYS35" s="12"/>
      <c r="PYT35" s="12"/>
      <c r="PZK35" s="12"/>
      <c r="PZL35" s="12"/>
      <c r="QAC35" s="12"/>
      <c r="QAD35" s="12"/>
      <c r="QAU35" s="12"/>
      <c r="QAV35" s="12"/>
      <c r="QBM35" s="12"/>
      <c r="QBN35" s="12"/>
      <c r="QCE35" s="12"/>
      <c r="QCF35" s="12"/>
      <c r="QCW35" s="12"/>
      <c r="QCX35" s="12"/>
      <c r="QDO35" s="12"/>
      <c r="QDP35" s="12"/>
      <c r="QEG35" s="12"/>
      <c r="QEH35" s="12"/>
      <c r="QEY35" s="12"/>
      <c r="QEZ35" s="12"/>
      <c r="QFQ35" s="12"/>
      <c r="QFR35" s="12"/>
      <c r="QGI35" s="12"/>
      <c r="QGJ35" s="12"/>
      <c r="QHA35" s="12"/>
      <c r="QHB35" s="12"/>
      <c r="QHS35" s="12"/>
      <c r="QHT35" s="12"/>
      <c r="QIK35" s="12"/>
      <c r="QIL35" s="12"/>
      <c r="QJC35" s="12"/>
      <c r="QJD35" s="12"/>
      <c r="QJU35" s="12"/>
      <c r="QJV35" s="12"/>
      <c r="QKM35" s="12"/>
      <c r="QKN35" s="12"/>
      <c r="QLE35" s="12"/>
      <c r="QLF35" s="12"/>
      <c r="QLW35" s="12"/>
      <c r="QLX35" s="12"/>
      <c r="QMO35" s="12"/>
      <c r="QMP35" s="12"/>
      <c r="QNG35" s="12"/>
      <c r="QNH35" s="12"/>
      <c r="QNY35" s="12"/>
      <c r="QNZ35" s="12"/>
      <c r="QOQ35" s="12"/>
      <c r="QOR35" s="12"/>
      <c r="QPI35" s="12"/>
      <c r="QPJ35" s="12"/>
      <c r="QQA35" s="12"/>
      <c r="QQB35" s="12"/>
      <c r="QQS35" s="12"/>
      <c r="QQT35" s="12"/>
      <c r="QRK35" s="12"/>
      <c r="QRL35" s="12"/>
      <c r="QSC35" s="12"/>
      <c r="QSD35" s="12"/>
      <c r="QSU35" s="12"/>
      <c r="QSV35" s="12"/>
      <c r="QTM35" s="12"/>
      <c r="QTN35" s="12"/>
      <c r="QUE35" s="12"/>
      <c r="QUF35" s="12"/>
      <c r="QUW35" s="12"/>
      <c r="QUX35" s="12"/>
      <c r="QVO35" s="12"/>
      <c r="QVP35" s="12"/>
      <c r="QWG35" s="12"/>
      <c r="QWH35" s="12"/>
      <c r="QWY35" s="12"/>
      <c r="QWZ35" s="12"/>
      <c r="QXQ35" s="12"/>
      <c r="QXR35" s="12"/>
      <c r="QYI35" s="12"/>
      <c r="QYJ35" s="12"/>
      <c r="QZA35" s="12"/>
      <c r="QZB35" s="12"/>
      <c r="QZS35" s="12"/>
      <c r="QZT35" s="12"/>
      <c r="RAK35" s="12"/>
      <c r="RAL35" s="12"/>
      <c r="RBC35" s="12"/>
      <c r="RBD35" s="12"/>
      <c r="RBU35" s="12"/>
      <c r="RBV35" s="12"/>
      <c r="RCM35" s="12"/>
      <c r="RCN35" s="12"/>
      <c r="RDE35" s="12"/>
      <c r="RDF35" s="12"/>
      <c r="RDW35" s="12"/>
      <c r="RDX35" s="12"/>
      <c r="REO35" s="12"/>
      <c r="REP35" s="12"/>
      <c r="RFG35" s="12"/>
      <c r="RFH35" s="12"/>
      <c r="RFY35" s="12"/>
      <c r="RFZ35" s="12"/>
      <c r="RGQ35" s="12"/>
      <c r="RGR35" s="12"/>
      <c r="RHI35" s="12"/>
      <c r="RHJ35" s="12"/>
      <c r="RIA35" s="12"/>
      <c r="RIB35" s="12"/>
      <c r="RIS35" s="12"/>
      <c r="RIT35" s="12"/>
      <c r="RJK35" s="12"/>
      <c r="RJL35" s="12"/>
      <c r="RKC35" s="12"/>
      <c r="RKD35" s="12"/>
      <c r="RKU35" s="12"/>
      <c r="RKV35" s="12"/>
      <c r="RLM35" s="12"/>
      <c r="RLN35" s="12"/>
      <c r="RME35" s="12"/>
      <c r="RMF35" s="12"/>
      <c r="RMW35" s="12"/>
      <c r="RMX35" s="12"/>
      <c r="RNO35" s="12"/>
      <c r="RNP35" s="12"/>
      <c r="ROG35" s="12"/>
      <c r="ROH35" s="12"/>
      <c r="ROY35" s="12"/>
      <c r="ROZ35" s="12"/>
      <c r="RPQ35" s="12"/>
      <c r="RPR35" s="12"/>
      <c r="RQI35" s="12"/>
      <c r="RQJ35" s="12"/>
      <c r="RRA35" s="12"/>
      <c r="RRB35" s="12"/>
      <c r="RRS35" s="12"/>
      <c r="RRT35" s="12"/>
      <c r="RSK35" s="12"/>
      <c r="RSL35" s="12"/>
      <c r="RTC35" s="12"/>
      <c r="RTD35" s="12"/>
      <c r="RTU35" s="12"/>
      <c r="RTV35" s="12"/>
      <c r="RUM35" s="12"/>
      <c r="RUN35" s="12"/>
      <c r="RVE35" s="12"/>
      <c r="RVF35" s="12"/>
      <c r="RVW35" s="12"/>
      <c r="RVX35" s="12"/>
      <c r="RWO35" s="12"/>
      <c r="RWP35" s="12"/>
      <c r="RXG35" s="12"/>
      <c r="RXH35" s="12"/>
      <c r="RXY35" s="12"/>
      <c r="RXZ35" s="12"/>
      <c r="RYQ35" s="12"/>
      <c r="RYR35" s="12"/>
      <c r="RZI35" s="12"/>
      <c r="RZJ35" s="12"/>
      <c r="SAA35" s="12"/>
      <c r="SAB35" s="12"/>
      <c r="SAS35" s="12"/>
      <c r="SAT35" s="12"/>
      <c r="SBK35" s="12"/>
      <c r="SBL35" s="12"/>
      <c r="SCC35" s="12"/>
      <c r="SCD35" s="12"/>
      <c r="SCU35" s="12"/>
      <c r="SCV35" s="12"/>
      <c r="SDM35" s="12"/>
      <c r="SDN35" s="12"/>
      <c r="SEE35" s="12"/>
      <c r="SEF35" s="12"/>
      <c r="SEW35" s="12"/>
      <c r="SEX35" s="12"/>
      <c r="SFO35" s="12"/>
      <c r="SFP35" s="12"/>
      <c r="SGG35" s="12"/>
      <c r="SGH35" s="12"/>
      <c r="SGY35" s="12"/>
      <c r="SGZ35" s="12"/>
      <c r="SHQ35" s="12"/>
      <c r="SHR35" s="12"/>
      <c r="SII35" s="12"/>
      <c r="SIJ35" s="12"/>
      <c r="SJA35" s="12"/>
      <c r="SJB35" s="12"/>
      <c r="SJS35" s="12"/>
      <c r="SJT35" s="12"/>
      <c r="SKK35" s="12"/>
      <c r="SKL35" s="12"/>
      <c r="SLC35" s="12"/>
      <c r="SLD35" s="12"/>
      <c r="SLU35" s="12"/>
      <c r="SLV35" s="12"/>
      <c r="SMM35" s="12"/>
      <c r="SMN35" s="12"/>
      <c r="SNE35" s="12"/>
      <c r="SNF35" s="12"/>
      <c r="SNW35" s="12"/>
      <c r="SNX35" s="12"/>
      <c r="SOO35" s="12"/>
      <c r="SOP35" s="12"/>
      <c r="SPG35" s="12"/>
      <c r="SPH35" s="12"/>
      <c r="SPY35" s="12"/>
      <c r="SPZ35" s="12"/>
      <c r="SQQ35" s="12"/>
      <c r="SQR35" s="12"/>
      <c r="SRI35" s="12"/>
      <c r="SRJ35" s="12"/>
      <c r="SSA35" s="12"/>
      <c r="SSB35" s="12"/>
      <c r="SSS35" s="12"/>
      <c r="SST35" s="12"/>
      <c r="STK35" s="12"/>
      <c r="STL35" s="12"/>
      <c r="SUC35" s="12"/>
      <c r="SUD35" s="12"/>
      <c r="SUU35" s="12"/>
      <c r="SUV35" s="12"/>
      <c r="SVM35" s="12"/>
      <c r="SVN35" s="12"/>
      <c r="SWE35" s="12"/>
      <c r="SWF35" s="12"/>
      <c r="SWW35" s="12"/>
      <c r="SWX35" s="12"/>
      <c r="SXO35" s="12"/>
      <c r="SXP35" s="12"/>
      <c r="SYG35" s="12"/>
      <c r="SYH35" s="12"/>
      <c r="SYY35" s="12"/>
      <c r="SYZ35" s="12"/>
      <c r="SZQ35" s="12"/>
      <c r="SZR35" s="12"/>
      <c r="TAI35" s="12"/>
      <c r="TAJ35" s="12"/>
      <c r="TBA35" s="12"/>
      <c r="TBB35" s="12"/>
      <c r="TBS35" s="12"/>
      <c r="TBT35" s="12"/>
      <c r="TCK35" s="12"/>
      <c r="TCL35" s="12"/>
      <c r="TDC35" s="12"/>
      <c r="TDD35" s="12"/>
      <c r="TDU35" s="12"/>
      <c r="TDV35" s="12"/>
      <c r="TEM35" s="12"/>
      <c r="TEN35" s="12"/>
      <c r="TFE35" s="12"/>
      <c r="TFF35" s="12"/>
      <c r="TFW35" s="12"/>
      <c r="TFX35" s="12"/>
      <c r="TGO35" s="12"/>
      <c r="TGP35" s="12"/>
      <c r="THG35" s="12"/>
      <c r="THH35" s="12"/>
      <c r="THY35" s="12"/>
      <c r="THZ35" s="12"/>
      <c r="TIQ35" s="12"/>
      <c r="TIR35" s="12"/>
      <c r="TJI35" s="12"/>
      <c r="TJJ35" s="12"/>
      <c r="TKA35" s="12"/>
      <c r="TKB35" s="12"/>
      <c r="TKS35" s="12"/>
      <c r="TKT35" s="12"/>
      <c r="TLK35" s="12"/>
      <c r="TLL35" s="12"/>
      <c r="TMC35" s="12"/>
      <c r="TMD35" s="12"/>
      <c r="TMU35" s="12"/>
      <c r="TMV35" s="12"/>
      <c r="TNM35" s="12"/>
      <c r="TNN35" s="12"/>
      <c r="TOE35" s="12"/>
      <c r="TOF35" s="12"/>
      <c r="TOW35" s="12"/>
      <c r="TOX35" s="12"/>
      <c r="TPO35" s="12"/>
      <c r="TPP35" s="12"/>
      <c r="TQG35" s="12"/>
      <c r="TQH35" s="12"/>
      <c r="TQY35" s="12"/>
      <c r="TQZ35" s="12"/>
      <c r="TRQ35" s="12"/>
      <c r="TRR35" s="12"/>
      <c r="TSI35" s="12"/>
      <c r="TSJ35" s="12"/>
      <c r="TTA35" s="12"/>
      <c r="TTB35" s="12"/>
      <c r="TTS35" s="12"/>
      <c r="TTT35" s="12"/>
      <c r="TUK35" s="12"/>
      <c r="TUL35" s="12"/>
      <c r="TVC35" s="12"/>
      <c r="TVD35" s="12"/>
      <c r="TVU35" s="12"/>
      <c r="TVV35" s="12"/>
      <c r="TWM35" s="12"/>
      <c r="TWN35" s="12"/>
      <c r="TXE35" s="12"/>
      <c r="TXF35" s="12"/>
      <c r="TXW35" s="12"/>
      <c r="TXX35" s="12"/>
      <c r="TYO35" s="12"/>
      <c r="TYP35" s="12"/>
      <c r="TZG35" s="12"/>
      <c r="TZH35" s="12"/>
      <c r="TZY35" s="12"/>
      <c r="TZZ35" s="12"/>
      <c r="UAQ35" s="12"/>
      <c r="UAR35" s="12"/>
      <c r="UBI35" s="12"/>
      <c r="UBJ35" s="12"/>
      <c r="UCA35" s="12"/>
      <c r="UCB35" s="12"/>
      <c r="UCS35" s="12"/>
      <c r="UCT35" s="12"/>
      <c r="UDK35" s="12"/>
      <c r="UDL35" s="12"/>
      <c r="UEC35" s="12"/>
      <c r="UED35" s="12"/>
      <c r="UEU35" s="12"/>
      <c r="UEV35" s="12"/>
      <c r="UFM35" s="12"/>
      <c r="UFN35" s="12"/>
      <c r="UGE35" s="12"/>
      <c r="UGF35" s="12"/>
      <c r="UGW35" s="12"/>
      <c r="UGX35" s="12"/>
      <c r="UHO35" s="12"/>
      <c r="UHP35" s="12"/>
      <c r="UIG35" s="12"/>
      <c r="UIH35" s="12"/>
      <c r="UIY35" s="12"/>
      <c r="UIZ35" s="12"/>
      <c r="UJQ35" s="12"/>
      <c r="UJR35" s="12"/>
      <c r="UKI35" s="12"/>
      <c r="UKJ35" s="12"/>
      <c r="ULA35" s="12"/>
      <c r="ULB35" s="12"/>
      <c r="ULS35" s="12"/>
      <c r="ULT35" s="12"/>
      <c r="UMK35" s="12"/>
      <c r="UML35" s="12"/>
      <c r="UNC35" s="12"/>
      <c r="UND35" s="12"/>
      <c r="UNU35" s="12"/>
      <c r="UNV35" s="12"/>
      <c r="UOM35" s="12"/>
      <c r="UON35" s="12"/>
      <c r="UPE35" s="12"/>
      <c r="UPF35" s="12"/>
      <c r="UPW35" s="12"/>
      <c r="UPX35" s="12"/>
      <c r="UQO35" s="12"/>
      <c r="UQP35" s="12"/>
      <c r="URG35" s="12"/>
      <c r="URH35" s="12"/>
      <c r="URY35" s="12"/>
      <c r="URZ35" s="12"/>
      <c r="USQ35" s="12"/>
      <c r="USR35" s="12"/>
      <c r="UTI35" s="12"/>
      <c r="UTJ35" s="12"/>
      <c r="UUA35" s="12"/>
      <c r="UUB35" s="12"/>
      <c r="UUS35" s="12"/>
      <c r="UUT35" s="12"/>
      <c r="UVK35" s="12"/>
      <c r="UVL35" s="12"/>
      <c r="UWC35" s="12"/>
      <c r="UWD35" s="12"/>
      <c r="UWU35" s="12"/>
      <c r="UWV35" s="12"/>
      <c r="UXM35" s="12"/>
      <c r="UXN35" s="12"/>
      <c r="UYE35" s="12"/>
      <c r="UYF35" s="12"/>
      <c r="UYW35" s="12"/>
      <c r="UYX35" s="12"/>
      <c r="UZO35" s="12"/>
      <c r="UZP35" s="12"/>
      <c r="VAG35" s="12"/>
      <c r="VAH35" s="12"/>
      <c r="VAY35" s="12"/>
      <c r="VAZ35" s="12"/>
      <c r="VBQ35" s="12"/>
      <c r="VBR35" s="12"/>
      <c r="VCI35" s="12"/>
      <c r="VCJ35" s="12"/>
      <c r="VDA35" s="12"/>
      <c r="VDB35" s="12"/>
      <c r="VDS35" s="12"/>
      <c r="VDT35" s="12"/>
      <c r="VEK35" s="12"/>
      <c r="VEL35" s="12"/>
      <c r="VFC35" s="12"/>
      <c r="VFD35" s="12"/>
      <c r="VFU35" s="12"/>
      <c r="VFV35" s="12"/>
      <c r="VGM35" s="12"/>
      <c r="VGN35" s="12"/>
      <c r="VHE35" s="12"/>
      <c r="VHF35" s="12"/>
      <c r="VHW35" s="12"/>
      <c r="VHX35" s="12"/>
      <c r="VIO35" s="12"/>
      <c r="VIP35" s="12"/>
      <c r="VJG35" s="12"/>
      <c r="VJH35" s="12"/>
      <c r="VJY35" s="12"/>
      <c r="VJZ35" s="12"/>
      <c r="VKQ35" s="12"/>
      <c r="VKR35" s="12"/>
      <c r="VLI35" s="12"/>
      <c r="VLJ35" s="12"/>
      <c r="VMA35" s="12"/>
      <c r="VMB35" s="12"/>
      <c r="VMS35" s="12"/>
      <c r="VMT35" s="12"/>
      <c r="VNK35" s="12"/>
      <c r="VNL35" s="12"/>
      <c r="VOC35" s="12"/>
      <c r="VOD35" s="12"/>
      <c r="VOU35" s="12"/>
      <c r="VOV35" s="12"/>
      <c r="VPM35" s="12"/>
      <c r="VPN35" s="12"/>
      <c r="VQE35" s="12"/>
      <c r="VQF35" s="12"/>
      <c r="VQW35" s="12"/>
      <c r="VQX35" s="12"/>
      <c r="VRO35" s="12"/>
      <c r="VRP35" s="12"/>
      <c r="VSG35" s="12"/>
      <c r="VSH35" s="12"/>
      <c r="VSY35" s="12"/>
      <c r="VSZ35" s="12"/>
      <c r="VTQ35" s="12"/>
      <c r="VTR35" s="12"/>
      <c r="VUI35" s="12"/>
      <c r="VUJ35" s="12"/>
      <c r="VVA35" s="12"/>
      <c r="VVB35" s="12"/>
      <c r="VVS35" s="12"/>
      <c r="VVT35" s="12"/>
      <c r="VWK35" s="12"/>
      <c r="VWL35" s="12"/>
      <c r="VXC35" s="12"/>
      <c r="VXD35" s="12"/>
      <c r="VXU35" s="12"/>
      <c r="VXV35" s="12"/>
      <c r="VYM35" s="12"/>
      <c r="VYN35" s="12"/>
      <c r="VZE35" s="12"/>
      <c r="VZF35" s="12"/>
      <c r="VZW35" s="12"/>
      <c r="VZX35" s="12"/>
      <c r="WAO35" s="12"/>
      <c r="WAP35" s="12"/>
      <c r="WBG35" s="12"/>
      <c r="WBH35" s="12"/>
      <c r="WBY35" s="12"/>
      <c r="WBZ35" s="12"/>
      <c r="WCQ35" s="12"/>
      <c r="WCR35" s="12"/>
      <c r="WDI35" s="12"/>
      <c r="WDJ35" s="12"/>
      <c r="WEA35" s="12"/>
      <c r="WEB35" s="12"/>
      <c r="WES35" s="12"/>
      <c r="WET35" s="12"/>
      <c r="WFK35" s="12"/>
      <c r="WFL35" s="12"/>
      <c r="WGC35" s="12"/>
      <c r="WGD35" s="12"/>
      <c r="WGU35" s="12"/>
      <c r="WGV35" s="12"/>
      <c r="WHM35" s="12"/>
      <c r="WHN35" s="12"/>
      <c r="WIE35" s="12"/>
      <c r="WIF35" s="12"/>
      <c r="WIW35" s="12"/>
      <c r="WIX35" s="12"/>
      <c r="WJO35" s="12"/>
      <c r="WJP35" s="12"/>
      <c r="WKG35" s="12"/>
      <c r="WKH35" s="12"/>
      <c r="WKY35" s="12"/>
      <c r="WKZ35" s="12"/>
      <c r="WLQ35" s="12"/>
      <c r="WLR35" s="12"/>
      <c r="WMI35" s="12"/>
      <c r="WMJ35" s="12"/>
      <c r="WNA35" s="12"/>
      <c r="WNB35" s="12"/>
      <c r="WNS35" s="12"/>
      <c r="WNT35" s="12"/>
      <c r="WOK35" s="12"/>
      <c r="WOL35" s="12"/>
      <c r="WPC35" s="12"/>
      <c r="WPD35" s="12"/>
      <c r="WPU35" s="12"/>
      <c r="WPV35" s="12"/>
      <c r="WQM35" s="12"/>
      <c r="WQN35" s="12"/>
      <c r="WRE35" s="12"/>
      <c r="WRF35" s="12"/>
      <c r="WRW35" s="12"/>
      <c r="WRX35" s="12"/>
      <c r="WSO35" s="12"/>
      <c r="WSP35" s="12"/>
      <c r="WTG35" s="12"/>
      <c r="WTH35" s="12"/>
      <c r="WTY35" s="12"/>
      <c r="WTZ35" s="12"/>
      <c r="WUQ35" s="12"/>
      <c r="WUR35" s="12"/>
      <c r="WVI35" s="12"/>
      <c r="WVJ35" s="12"/>
      <c r="WWA35" s="12"/>
      <c r="WWB35" s="12"/>
      <c r="WWS35" s="12"/>
      <c r="WWT35" s="12"/>
      <c r="WXK35" s="12"/>
      <c r="WXL35" s="12"/>
      <c r="WYC35" s="12"/>
      <c r="WYD35" s="12"/>
      <c r="WYU35" s="12"/>
      <c r="WYV35" s="12"/>
      <c r="WZM35" s="12"/>
      <c r="WZN35" s="12"/>
      <c r="XAE35" s="12"/>
      <c r="XAF35" s="12"/>
      <c r="XAW35" s="12"/>
      <c r="XAX35" s="12"/>
      <c r="XBO35" s="12"/>
      <c r="XBP35" s="12"/>
      <c r="XCG35" s="12"/>
      <c r="XCH35" s="12"/>
      <c r="XCY35" s="12"/>
      <c r="XCZ35" s="12"/>
      <c r="XDQ35" s="12"/>
      <c r="XDR35" s="12"/>
      <c r="XEI35" s="12"/>
      <c r="XEJ35" s="12"/>
      <c r="XFA35" s="12"/>
      <c r="XFB35" s="12"/>
    </row>
    <row r="36" spans="1:1010 1027:2036 2053:3062 3079:4088 4105:5114 5131:6140 6157:7166 7183:8192 8209:9200 9217:10226 10243:11252 11269:12278 12295:13304 13321:14330 14347:15356 15373:16382" x14ac:dyDescent="0.35">
      <c r="A36" s="181" t="s">
        <v>390</v>
      </c>
      <c r="B36" s="294" t="s">
        <v>391</v>
      </c>
      <c r="C36" s="198">
        <v>0</v>
      </c>
      <c r="D36" s="198">
        <v>0</v>
      </c>
      <c r="E36" s="198">
        <v>0</v>
      </c>
      <c r="F36" s="198">
        <v>0</v>
      </c>
      <c r="G36" s="198">
        <v>0</v>
      </c>
      <c r="H36" s="198">
        <v>0</v>
      </c>
      <c r="I36" s="198">
        <v>0</v>
      </c>
      <c r="J36" s="198">
        <v>0</v>
      </c>
      <c r="K36" s="198">
        <v>0</v>
      </c>
      <c r="L36" s="198">
        <v>0.83499999999999996</v>
      </c>
      <c r="M36" s="11"/>
      <c r="N36" s="11"/>
      <c r="O36" s="11"/>
      <c r="P36" s="11"/>
      <c r="Q36" s="11"/>
      <c r="R36" s="11"/>
    </row>
    <row r="37" spans="1:1010 1027:2036 2053:3062 3079:4088 4105:5114 5131:6140 6157:7166 7183:8192 8209:9200 9217:10226 10243:11252 11269:12278 12295:13304 13321:14330 14347:15356 15373:16382" x14ac:dyDescent="0.35">
      <c r="A37" s="181" t="s">
        <v>392</v>
      </c>
      <c r="B37" s="294" t="s">
        <v>393</v>
      </c>
      <c r="C37" s="198">
        <v>0</v>
      </c>
      <c r="D37" s="198">
        <v>0</v>
      </c>
      <c r="E37" s="198">
        <v>0</v>
      </c>
      <c r="F37" s="198">
        <v>0</v>
      </c>
      <c r="G37" s="198">
        <v>0</v>
      </c>
      <c r="H37" s="198">
        <v>0</v>
      </c>
      <c r="I37" s="198">
        <v>0</v>
      </c>
      <c r="J37" s="198">
        <v>0</v>
      </c>
      <c r="K37" s="198">
        <v>0</v>
      </c>
      <c r="L37" s="198">
        <v>-9.8000000000000004E-2</v>
      </c>
      <c r="M37" s="11"/>
      <c r="N37" s="11"/>
      <c r="O37" s="11"/>
      <c r="P37" s="11"/>
      <c r="Q37" s="11"/>
      <c r="R37" s="11"/>
    </row>
    <row r="38" spans="1:1010 1027:2036 2053:3062 3079:4088 4105:5114 5131:6140 6157:7166 7183:8192 8209:9200 9217:10226 10243:11252 11269:12278 12295:13304 13321:14330 14347:15356 15373:16382" x14ac:dyDescent="0.35">
      <c r="A38" s="23" t="s">
        <v>29</v>
      </c>
      <c r="B38" s="295"/>
      <c r="C38" s="321">
        <f t="shared" ref="C38:L38" si="4">ROUND(SUM(C36:C37)-IF(C35="",0,C35),1)</f>
        <v>0</v>
      </c>
      <c r="D38" s="321">
        <f t="shared" si="4"/>
        <v>0</v>
      </c>
      <c r="E38" s="321">
        <f t="shared" si="4"/>
        <v>0</v>
      </c>
      <c r="F38" s="321">
        <f t="shared" si="4"/>
        <v>0</v>
      </c>
      <c r="G38" s="321">
        <f t="shared" si="4"/>
        <v>0</v>
      </c>
      <c r="H38" s="321">
        <f t="shared" si="4"/>
        <v>0</v>
      </c>
      <c r="I38" s="321">
        <f t="shared" si="4"/>
        <v>0</v>
      </c>
      <c r="J38" s="321">
        <f t="shared" si="4"/>
        <v>0</v>
      </c>
      <c r="K38" s="321">
        <f t="shared" si="4"/>
        <v>0</v>
      </c>
      <c r="L38" s="321">
        <f t="shared" si="4"/>
        <v>0</v>
      </c>
      <c r="M38" s="118"/>
      <c r="N38" s="118"/>
      <c r="O38" s="118"/>
      <c r="P38" s="118"/>
      <c r="Q38" s="118"/>
      <c r="R38" s="118"/>
    </row>
    <row r="39" spans="1:1010 1027:2036 2053:3062 3079:4088 4105:5114 5131:6140 6157:7166 7183:8192 8209:9200 9217:10226 10243:11252 11269:12278 12295:13304 13321:14330 14347:15356 15373:16382" s="11" customFormat="1" x14ac:dyDescent="0.35">
      <c r="A39" s="183" t="s">
        <v>394</v>
      </c>
      <c r="B39" s="293" t="s">
        <v>395</v>
      </c>
      <c r="C39" s="184">
        <v>0</v>
      </c>
      <c r="D39" s="184">
        <v>0</v>
      </c>
      <c r="E39" s="184">
        <v>29.888000000000002</v>
      </c>
      <c r="F39" s="184">
        <v>0</v>
      </c>
      <c r="G39" s="184">
        <v>-3.0339999999999998</v>
      </c>
      <c r="H39" s="184">
        <v>0</v>
      </c>
      <c r="I39" s="184">
        <v>0</v>
      </c>
      <c r="J39" s="184">
        <v>-30.841999999999999</v>
      </c>
      <c r="K39" s="184">
        <v>0</v>
      </c>
      <c r="L39" s="184">
        <v>0</v>
      </c>
      <c r="S39" s="12"/>
      <c r="T39" s="12"/>
      <c r="AK39" s="12"/>
      <c r="AL39" s="12"/>
      <c r="BC39" s="12"/>
      <c r="BD39" s="12"/>
      <c r="BU39" s="12"/>
      <c r="BV39" s="12"/>
      <c r="CM39" s="12"/>
      <c r="CN39" s="12"/>
      <c r="DE39" s="12"/>
      <c r="DF39" s="12"/>
      <c r="DW39" s="12"/>
      <c r="DX39" s="12"/>
      <c r="EO39" s="12"/>
      <c r="EP39" s="12"/>
      <c r="FG39" s="12"/>
      <c r="FH39" s="12"/>
      <c r="FY39" s="12"/>
      <c r="FZ39" s="12"/>
      <c r="GQ39" s="12"/>
      <c r="GR39" s="12"/>
      <c r="HI39" s="12"/>
      <c r="HJ39" s="12"/>
      <c r="IA39" s="12"/>
      <c r="IB39" s="12"/>
      <c r="IS39" s="12"/>
      <c r="IT39" s="12"/>
      <c r="JK39" s="12"/>
      <c r="JL39" s="12"/>
      <c r="KC39" s="12"/>
      <c r="KD39" s="12"/>
      <c r="KU39" s="12"/>
      <c r="KV39" s="12"/>
      <c r="LM39" s="12"/>
      <c r="LN39" s="12"/>
      <c r="ME39" s="12"/>
      <c r="MF39" s="12"/>
      <c r="MW39" s="12"/>
      <c r="MX39" s="12"/>
      <c r="NO39" s="12"/>
      <c r="NP39" s="12"/>
      <c r="OG39" s="12"/>
      <c r="OH39" s="12"/>
      <c r="OY39" s="12"/>
      <c r="OZ39" s="12"/>
      <c r="PQ39" s="12"/>
      <c r="PR39" s="12"/>
      <c r="QI39" s="12"/>
      <c r="QJ39" s="12"/>
      <c r="RA39" s="12"/>
      <c r="RB39" s="12"/>
      <c r="RS39" s="12"/>
      <c r="RT39" s="12"/>
      <c r="SK39" s="12"/>
      <c r="SL39" s="12"/>
      <c r="TC39" s="12"/>
      <c r="TD39" s="12"/>
      <c r="TU39" s="12"/>
      <c r="TV39" s="12"/>
      <c r="UM39" s="12"/>
      <c r="UN39" s="12"/>
      <c r="VE39" s="12"/>
      <c r="VF39" s="12"/>
      <c r="VW39" s="12"/>
      <c r="VX39" s="12"/>
      <c r="WO39" s="12"/>
      <c r="WP39" s="12"/>
      <c r="XG39" s="12"/>
      <c r="XH39" s="12"/>
      <c r="XY39" s="12"/>
      <c r="XZ39" s="12"/>
      <c r="YQ39" s="12"/>
      <c r="YR39" s="12"/>
      <c r="ZI39" s="12"/>
      <c r="ZJ39" s="12"/>
      <c r="AAA39" s="12"/>
      <c r="AAB39" s="12"/>
      <c r="AAS39" s="12"/>
      <c r="AAT39" s="12"/>
      <c r="ABK39" s="12"/>
      <c r="ABL39" s="12"/>
      <c r="ACC39" s="12"/>
      <c r="ACD39" s="12"/>
      <c r="ACU39" s="12"/>
      <c r="ACV39" s="12"/>
      <c r="ADM39" s="12"/>
      <c r="ADN39" s="12"/>
      <c r="AEE39" s="12"/>
      <c r="AEF39" s="12"/>
      <c r="AEW39" s="12"/>
      <c r="AEX39" s="12"/>
      <c r="AFO39" s="12"/>
      <c r="AFP39" s="12"/>
      <c r="AGG39" s="12"/>
      <c r="AGH39" s="12"/>
      <c r="AGY39" s="12"/>
      <c r="AGZ39" s="12"/>
      <c r="AHQ39" s="12"/>
      <c r="AHR39" s="12"/>
      <c r="AII39" s="12"/>
      <c r="AIJ39" s="12"/>
      <c r="AJA39" s="12"/>
      <c r="AJB39" s="12"/>
      <c r="AJS39" s="12"/>
      <c r="AJT39" s="12"/>
      <c r="AKK39" s="12"/>
      <c r="AKL39" s="12"/>
      <c r="ALC39" s="12"/>
      <c r="ALD39" s="12"/>
      <c r="ALU39" s="12"/>
      <c r="ALV39" s="12"/>
      <c r="AMM39" s="12"/>
      <c r="AMN39" s="12"/>
      <c r="ANE39" s="12"/>
      <c r="ANF39" s="12"/>
      <c r="ANW39" s="12"/>
      <c r="ANX39" s="12"/>
      <c r="AOO39" s="12"/>
      <c r="AOP39" s="12"/>
      <c r="APG39" s="12"/>
      <c r="APH39" s="12"/>
      <c r="APY39" s="12"/>
      <c r="APZ39" s="12"/>
      <c r="AQQ39" s="12"/>
      <c r="AQR39" s="12"/>
      <c r="ARI39" s="12"/>
      <c r="ARJ39" s="12"/>
      <c r="ASA39" s="12"/>
      <c r="ASB39" s="12"/>
      <c r="ASS39" s="12"/>
      <c r="AST39" s="12"/>
      <c r="ATK39" s="12"/>
      <c r="ATL39" s="12"/>
      <c r="AUC39" s="12"/>
      <c r="AUD39" s="12"/>
      <c r="AUU39" s="12"/>
      <c r="AUV39" s="12"/>
      <c r="AVM39" s="12"/>
      <c r="AVN39" s="12"/>
      <c r="AWE39" s="12"/>
      <c r="AWF39" s="12"/>
      <c r="AWW39" s="12"/>
      <c r="AWX39" s="12"/>
      <c r="AXO39" s="12"/>
      <c r="AXP39" s="12"/>
      <c r="AYG39" s="12"/>
      <c r="AYH39" s="12"/>
      <c r="AYY39" s="12"/>
      <c r="AYZ39" s="12"/>
      <c r="AZQ39" s="12"/>
      <c r="AZR39" s="12"/>
      <c r="BAI39" s="12"/>
      <c r="BAJ39" s="12"/>
      <c r="BBA39" s="12"/>
      <c r="BBB39" s="12"/>
      <c r="BBS39" s="12"/>
      <c r="BBT39" s="12"/>
      <c r="BCK39" s="12"/>
      <c r="BCL39" s="12"/>
      <c r="BDC39" s="12"/>
      <c r="BDD39" s="12"/>
      <c r="BDU39" s="12"/>
      <c r="BDV39" s="12"/>
      <c r="BEM39" s="12"/>
      <c r="BEN39" s="12"/>
      <c r="BFE39" s="12"/>
      <c r="BFF39" s="12"/>
      <c r="BFW39" s="12"/>
      <c r="BFX39" s="12"/>
      <c r="BGO39" s="12"/>
      <c r="BGP39" s="12"/>
      <c r="BHG39" s="12"/>
      <c r="BHH39" s="12"/>
      <c r="BHY39" s="12"/>
      <c r="BHZ39" s="12"/>
      <c r="BIQ39" s="12"/>
      <c r="BIR39" s="12"/>
      <c r="BJI39" s="12"/>
      <c r="BJJ39" s="12"/>
      <c r="BKA39" s="12"/>
      <c r="BKB39" s="12"/>
      <c r="BKS39" s="12"/>
      <c r="BKT39" s="12"/>
      <c r="BLK39" s="12"/>
      <c r="BLL39" s="12"/>
      <c r="BMC39" s="12"/>
      <c r="BMD39" s="12"/>
      <c r="BMU39" s="12"/>
      <c r="BMV39" s="12"/>
      <c r="BNM39" s="12"/>
      <c r="BNN39" s="12"/>
      <c r="BOE39" s="12"/>
      <c r="BOF39" s="12"/>
      <c r="BOW39" s="12"/>
      <c r="BOX39" s="12"/>
      <c r="BPO39" s="12"/>
      <c r="BPP39" s="12"/>
      <c r="BQG39" s="12"/>
      <c r="BQH39" s="12"/>
      <c r="BQY39" s="12"/>
      <c r="BQZ39" s="12"/>
      <c r="BRQ39" s="12"/>
      <c r="BRR39" s="12"/>
      <c r="BSI39" s="12"/>
      <c r="BSJ39" s="12"/>
      <c r="BTA39" s="12"/>
      <c r="BTB39" s="12"/>
      <c r="BTS39" s="12"/>
      <c r="BTT39" s="12"/>
      <c r="BUK39" s="12"/>
      <c r="BUL39" s="12"/>
      <c r="BVC39" s="12"/>
      <c r="BVD39" s="12"/>
      <c r="BVU39" s="12"/>
      <c r="BVV39" s="12"/>
      <c r="BWM39" s="12"/>
      <c r="BWN39" s="12"/>
      <c r="BXE39" s="12"/>
      <c r="BXF39" s="12"/>
      <c r="BXW39" s="12"/>
      <c r="BXX39" s="12"/>
      <c r="BYO39" s="12"/>
      <c r="BYP39" s="12"/>
      <c r="BZG39" s="12"/>
      <c r="BZH39" s="12"/>
      <c r="BZY39" s="12"/>
      <c r="BZZ39" s="12"/>
      <c r="CAQ39" s="12"/>
      <c r="CAR39" s="12"/>
      <c r="CBI39" s="12"/>
      <c r="CBJ39" s="12"/>
      <c r="CCA39" s="12"/>
      <c r="CCB39" s="12"/>
      <c r="CCS39" s="12"/>
      <c r="CCT39" s="12"/>
      <c r="CDK39" s="12"/>
      <c r="CDL39" s="12"/>
      <c r="CEC39" s="12"/>
      <c r="CED39" s="12"/>
      <c r="CEU39" s="12"/>
      <c r="CEV39" s="12"/>
      <c r="CFM39" s="12"/>
      <c r="CFN39" s="12"/>
      <c r="CGE39" s="12"/>
      <c r="CGF39" s="12"/>
      <c r="CGW39" s="12"/>
      <c r="CGX39" s="12"/>
      <c r="CHO39" s="12"/>
      <c r="CHP39" s="12"/>
      <c r="CIG39" s="12"/>
      <c r="CIH39" s="12"/>
      <c r="CIY39" s="12"/>
      <c r="CIZ39" s="12"/>
      <c r="CJQ39" s="12"/>
      <c r="CJR39" s="12"/>
      <c r="CKI39" s="12"/>
      <c r="CKJ39" s="12"/>
      <c r="CLA39" s="12"/>
      <c r="CLB39" s="12"/>
      <c r="CLS39" s="12"/>
      <c r="CLT39" s="12"/>
      <c r="CMK39" s="12"/>
      <c r="CML39" s="12"/>
      <c r="CNC39" s="12"/>
      <c r="CND39" s="12"/>
      <c r="CNU39" s="12"/>
      <c r="CNV39" s="12"/>
      <c r="COM39" s="12"/>
      <c r="CON39" s="12"/>
      <c r="CPE39" s="12"/>
      <c r="CPF39" s="12"/>
      <c r="CPW39" s="12"/>
      <c r="CPX39" s="12"/>
      <c r="CQO39" s="12"/>
      <c r="CQP39" s="12"/>
      <c r="CRG39" s="12"/>
      <c r="CRH39" s="12"/>
      <c r="CRY39" s="12"/>
      <c r="CRZ39" s="12"/>
      <c r="CSQ39" s="12"/>
      <c r="CSR39" s="12"/>
      <c r="CTI39" s="12"/>
      <c r="CTJ39" s="12"/>
      <c r="CUA39" s="12"/>
      <c r="CUB39" s="12"/>
      <c r="CUS39" s="12"/>
      <c r="CUT39" s="12"/>
      <c r="CVK39" s="12"/>
      <c r="CVL39" s="12"/>
      <c r="CWC39" s="12"/>
      <c r="CWD39" s="12"/>
      <c r="CWU39" s="12"/>
      <c r="CWV39" s="12"/>
      <c r="CXM39" s="12"/>
      <c r="CXN39" s="12"/>
      <c r="CYE39" s="12"/>
      <c r="CYF39" s="12"/>
      <c r="CYW39" s="12"/>
      <c r="CYX39" s="12"/>
      <c r="CZO39" s="12"/>
      <c r="CZP39" s="12"/>
      <c r="DAG39" s="12"/>
      <c r="DAH39" s="12"/>
      <c r="DAY39" s="12"/>
      <c r="DAZ39" s="12"/>
      <c r="DBQ39" s="12"/>
      <c r="DBR39" s="12"/>
      <c r="DCI39" s="12"/>
      <c r="DCJ39" s="12"/>
      <c r="DDA39" s="12"/>
      <c r="DDB39" s="12"/>
      <c r="DDS39" s="12"/>
      <c r="DDT39" s="12"/>
      <c r="DEK39" s="12"/>
      <c r="DEL39" s="12"/>
      <c r="DFC39" s="12"/>
      <c r="DFD39" s="12"/>
      <c r="DFU39" s="12"/>
      <c r="DFV39" s="12"/>
      <c r="DGM39" s="12"/>
      <c r="DGN39" s="12"/>
      <c r="DHE39" s="12"/>
      <c r="DHF39" s="12"/>
      <c r="DHW39" s="12"/>
      <c r="DHX39" s="12"/>
      <c r="DIO39" s="12"/>
      <c r="DIP39" s="12"/>
      <c r="DJG39" s="12"/>
      <c r="DJH39" s="12"/>
      <c r="DJY39" s="12"/>
      <c r="DJZ39" s="12"/>
      <c r="DKQ39" s="12"/>
      <c r="DKR39" s="12"/>
      <c r="DLI39" s="12"/>
      <c r="DLJ39" s="12"/>
      <c r="DMA39" s="12"/>
      <c r="DMB39" s="12"/>
      <c r="DMS39" s="12"/>
      <c r="DMT39" s="12"/>
      <c r="DNK39" s="12"/>
      <c r="DNL39" s="12"/>
      <c r="DOC39" s="12"/>
      <c r="DOD39" s="12"/>
      <c r="DOU39" s="12"/>
      <c r="DOV39" s="12"/>
      <c r="DPM39" s="12"/>
      <c r="DPN39" s="12"/>
      <c r="DQE39" s="12"/>
      <c r="DQF39" s="12"/>
      <c r="DQW39" s="12"/>
      <c r="DQX39" s="12"/>
      <c r="DRO39" s="12"/>
      <c r="DRP39" s="12"/>
      <c r="DSG39" s="12"/>
      <c r="DSH39" s="12"/>
      <c r="DSY39" s="12"/>
      <c r="DSZ39" s="12"/>
      <c r="DTQ39" s="12"/>
      <c r="DTR39" s="12"/>
      <c r="DUI39" s="12"/>
      <c r="DUJ39" s="12"/>
      <c r="DVA39" s="12"/>
      <c r="DVB39" s="12"/>
      <c r="DVS39" s="12"/>
      <c r="DVT39" s="12"/>
      <c r="DWK39" s="12"/>
      <c r="DWL39" s="12"/>
      <c r="DXC39" s="12"/>
      <c r="DXD39" s="12"/>
      <c r="DXU39" s="12"/>
      <c r="DXV39" s="12"/>
      <c r="DYM39" s="12"/>
      <c r="DYN39" s="12"/>
      <c r="DZE39" s="12"/>
      <c r="DZF39" s="12"/>
      <c r="DZW39" s="12"/>
      <c r="DZX39" s="12"/>
      <c r="EAO39" s="12"/>
      <c r="EAP39" s="12"/>
      <c r="EBG39" s="12"/>
      <c r="EBH39" s="12"/>
      <c r="EBY39" s="12"/>
      <c r="EBZ39" s="12"/>
      <c r="ECQ39" s="12"/>
      <c r="ECR39" s="12"/>
      <c r="EDI39" s="12"/>
      <c r="EDJ39" s="12"/>
      <c r="EEA39" s="12"/>
      <c r="EEB39" s="12"/>
      <c r="EES39" s="12"/>
      <c r="EET39" s="12"/>
      <c r="EFK39" s="12"/>
      <c r="EFL39" s="12"/>
      <c r="EGC39" s="12"/>
      <c r="EGD39" s="12"/>
      <c r="EGU39" s="12"/>
      <c r="EGV39" s="12"/>
      <c r="EHM39" s="12"/>
      <c r="EHN39" s="12"/>
      <c r="EIE39" s="12"/>
      <c r="EIF39" s="12"/>
      <c r="EIW39" s="12"/>
      <c r="EIX39" s="12"/>
      <c r="EJO39" s="12"/>
      <c r="EJP39" s="12"/>
      <c r="EKG39" s="12"/>
      <c r="EKH39" s="12"/>
      <c r="EKY39" s="12"/>
      <c r="EKZ39" s="12"/>
      <c r="ELQ39" s="12"/>
      <c r="ELR39" s="12"/>
      <c r="EMI39" s="12"/>
      <c r="EMJ39" s="12"/>
      <c r="ENA39" s="12"/>
      <c r="ENB39" s="12"/>
      <c r="ENS39" s="12"/>
      <c r="ENT39" s="12"/>
      <c r="EOK39" s="12"/>
      <c r="EOL39" s="12"/>
      <c r="EPC39" s="12"/>
      <c r="EPD39" s="12"/>
      <c r="EPU39" s="12"/>
      <c r="EPV39" s="12"/>
      <c r="EQM39" s="12"/>
      <c r="EQN39" s="12"/>
      <c r="ERE39" s="12"/>
      <c r="ERF39" s="12"/>
      <c r="ERW39" s="12"/>
      <c r="ERX39" s="12"/>
      <c r="ESO39" s="12"/>
      <c r="ESP39" s="12"/>
      <c r="ETG39" s="12"/>
      <c r="ETH39" s="12"/>
      <c r="ETY39" s="12"/>
      <c r="ETZ39" s="12"/>
      <c r="EUQ39" s="12"/>
      <c r="EUR39" s="12"/>
      <c r="EVI39" s="12"/>
      <c r="EVJ39" s="12"/>
      <c r="EWA39" s="12"/>
      <c r="EWB39" s="12"/>
      <c r="EWS39" s="12"/>
      <c r="EWT39" s="12"/>
      <c r="EXK39" s="12"/>
      <c r="EXL39" s="12"/>
      <c r="EYC39" s="12"/>
      <c r="EYD39" s="12"/>
      <c r="EYU39" s="12"/>
      <c r="EYV39" s="12"/>
      <c r="EZM39" s="12"/>
      <c r="EZN39" s="12"/>
      <c r="FAE39" s="12"/>
      <c r="FAF39" s="12"/>
      <c r="FAW39" s="12"/>
      <c r="FAX39" s="12"/>
      <c r="FBO39" s="12"/>
      <c r="FBP39" s="12"/>
      <c r="FCG39" s="12"/>
      <c r="FCH39" s="12"/>
      <c r="FCY39" s="12"/>
      <c r="FCZ39" s="12"/>
      <c r="FDQ39" s="12"/>
      <c r="FDR39" s="12"/>
      <c r="FEI39" s="12"/>
      <c r="FEJ39" s="12"/>
      <c r="FFA39" s="12"/>
      <c r="FFB39" s="12"/>
      <c r="FFS39" s="12"/>
      <c r="FFT39" s="12"/>
      <c r="FGK39" s="12"/>
      <c r="FGL39" s="12"/>
      <c r="FHC39" s="12"/>
      <c r="FHD39" s="12"/>
      <c r="FHU39" s="12"/>
      <c r="FHV39" s="12"/>
      <c r="FIM39" s="12"/>
      <c r="FIN39" s="12"/>
      <c r="FJE39" s="12"/>
      <c r="FJF39" s="12"/>
      <c r="FJW39" s="12"/>
      <c r="FJX39" s="12"/>
      <c r="FKO39" s="12"/>
      <c r="FKP39" s="12"/>
      <c r="FLG39" s="12"/>
      <c r="FLH39" s="12"/>
      <c r="FLY39" s="12"/>
      <c r="FLZ39" s="12"/>
      <c r="FMQ39" s="12"/>
      <c r="FMR39" s="12"/>
      <c r="FNI39" s="12"/>
      <c r="FNJ39" s="12"/>
      <c r="FOA39" s="12"/>
      <c r="FOB39" s="12"/>
      <c r="FOS39" s="12"/>
      <c r="FOT39" s="12"/>
      <c r="FPK39" s="12"/>
      <c r="FPL39" s="12"/>
      <c r="FQC39" s="12"/>
      <c r="FQD39" s="12"/>
      <c r="FQU39" s="12"/>
      <c r="FQV39" s="12"/>
      <c r="FRM39" s="12"/>
      <c r="FRN39" s="12"/>
      <c r="FSE39" s="12"/>
      <c r="FSF39" s="12"/>
      <c r="FSW39" s="12"/>
      <c r="FSX39" s="12"/>
      <c r="FTO39" s="12"/>
      <c r="FTP39" s="12"/>
      <c r="FUG39" s="12"/>
      <c r="FUH39" s="12"/>
      <c r="FUY39" s="12"/>
      <c r="FUZ39" s="12"/>
      <c r="FVQ39" s="12"/>
      <c r="FVR39" s="12"/>
      <c r="FWI39" s="12"/>
      <c r="FWJ39" s="12"/>
      <c r="FXA39" s="12"/>
      <c r="FXB39" s="12"/>
      <c r="FXS39" s="12"/>
      <c r="FXT39" s="12"/>
      <c r="FYK39" s="12"/>
      <c r="FYL39" s="12"/>
      <c r="FZC39" s="12"/>
      <c r="FZD39" s="12"/>
      <c r="FZU39" s="12"/>
      <c r="FZV39" s="12"/>
      <c r="GAM39" s="12"/>
      <c r="GAN39" s="12"/>
      <c r="GBE39" s="12"/>
      <c r="GBF39" s="12"/>
      <c r="GBW39" s="12"/>
      <c r="GBX39" s="12"/>
      <c r="GCO39" s="12"/>
      <c r="GCP39" s="12"/>
      <c r="GDG39" s="12"/>
      <c r="GDH39" s="12"/>
      <c r="GDY39" s="12"/>
      <c r="GDZ39" s="12"/>
      <c r="GEQ39" s="12"/>
      <c r="GER39" s="12"/>
      <c r="GFI39" s="12"/>
      <c r="GFJ39" s="12"/>
      <c r="GGA39" s="12"/>
      <c r="GGB39" s="12"/>
      <c r="GGS39" s="12"/>
      <c r="GGT39" s="12"/>
      <c r="GHK39" s="12"/>
      <c r="GHL39" s="12"/>
      <c r="GIC39" s="12"/>
      <c r="GID39" s="12"/>
      <c r="GIU39" s="12"/>
      <c r="GIV39" s="12"/>
      <c r="GJM39" s="12"/>
      <c r="GJN39" s="12"/>
      <c r="GKE39" s="12"/>
      <c r="GKF39" s="12"/>
      <c r="GKW39" s="12"/>
      <c r="GKX39" s="12"/>
      <c r="GLO39" s="12"/>
      <c r="GLP39" s="12"/>
      <c r="GMG39" s="12"/>
      <c r="GMH39" s="12"/>
      <c r="GMY39" s="12"/>
      <c r="GMZ39" s="12"/>
      <c r="GNQ39" s="12"/>
      <c r="GNR39" s="12"/>
      <c r="GOI39" s="12"/>
      <c r="GOJ39" s="12"/>
      <c r="GPA39" s="12"/>
      <c r="GPB39" s="12"/>
      <c r="GPS39" s="12"/>
      <c r="GPT39" s="12"/>
      <c r="GQK39" s="12"/>
      <c r="GQL39" s="12"/>
      <c r="GRC39" s="12"/>
      <c r="GRD39" s="12"/>
      <c r="GRU39" s="12"/>
      <c r="GRV39" s="12"/>
      <c r="GSM39" s="12"/>
      <c r="GSN39" s="12"/>
      <c r="GTE39" s="12"/>
      <c r="GTF39" s="12"/>
      <c r="GTW39" s="12"/>
      <c r="GTX39" s="12"/>
      <c r="GUO39" s="12"/>
      <c r="GUP39" s="12"/>
      <c r="GVG39" s="12"/>
      <c r="GVH39" s="12"/>
      <c r="GVY39" s="12"/>
      <c r="GVZ39" s="12"/>
      <c r="GWQ39" s="12"/>
      <c r="GWR39" s="12"/>
      <c r="GXI39" s="12"/>
      <c r="GXJ39" s="12"/>
      <c r="GYA39" s="12"/>
      <c r="GYB39" s="12"/>
      <c r="GYS39" s="12"/>
      <c r="GYT39" s="12"/>
      <c r="GZK39" s="12"/>
      <c r="GZL39" s="12"/>
      <c r="HAC39" s="12"/>
      <c r="HAD39" s="12"/>
      <c r="HAU39" s="12"/>
      <c r="HAV39" s="12"/>
      <c r="HBM39" s="12"/>
      <c r="HBN39" s="12"/>
      <c r="HCE39" s="12"/>
      <c r="HCF39" s="12"/>
      <c r="HCW39" s="12"/>
      <c r="HCX39" s="12"/>
      <c r="HDO39" s="12"/>
      <c r="HDP39" s="12"/>
      <c r="HEG39" s="12"/>
      <c r="HEH39" s="12"/>
      <c r="HEY39" s="12"/>
      <c r="HEZ39" s="12"/>
      <c r="HFQ39" s="12"/>
      <c r="HFR39" s="12"/>
      <c r="HGI39" s="12"/>
      <c r="HGJ39" s="12"/>
      <c r="HHA39" s="12"/>
      <c r="HHB39" s="12"/>
      <c r="HHS39" s="12"/>
      <c r="HHT39" s="12"/>
      <c r="HIK39" s="12"/>
      <c r="HIL39" s="12"/>
      <c r="HJC39" s="12"/>
      <c r="HJD39" s="12"/>
      <c r="HJU39" s="12"/>
      <c r="HJV39" s="12"/>
      <c r="HKM39" s="12"/>
      <c r="HKN39" s="12"/>
      <c r="HLE39" s="12"/>
      <c r="HLF39" s="12"/>
      <c r="HLW39" s="12"/>
      <c r="HLX39" s="12"/>
      <c r="HMO39" s="12"/>
      <c r="HMP39" s="12"/>
      <c r="HNG39" s="12"/>
      <c r="HNH39" s="12"/>
      <c r="HNY39" s="12"/>
      <c r="HNZ39" s="12"/>
      <c r="HOQ39" s="12"/>
      <c r="HOR39" s="12"/>
      <c r="HPI39" s="12"/>
      <c r="HPJ39" s="12"/>
      <c r="HQA39" s="12"/>
      <c r="HQB39" s="12"/>
      <c r="HQS39" s="12"/>
      <c r="HQT39" s="12"/>
      <c r="HRK39" s="12"/>
      <c r="HRL39" s="12"/>
      <c r="HSC39" s="12"/>
      <c r="HSD39" s="12"/>
      <c r="HSU39" s="12"/>
      <c r="HSV39" s="12"/>
      <c r="HTM39" s="12"/>
      <c r="HTN39" s="12"/>
      <c r="HUE39" s="12"/>
      <c r="HUF39" s="12"/>
      <c r="HUW39" s="12"/>
      <c r="HUX39" s="12"/>
      <c r="HVO39" s="12"/>
      <c r="HVP39" s="12"/>
      <c r="HWG39" s="12"/>
      <c r="HWH39" s="12"/>
      <c r="HWY39" s="12"/>
      <c r="HWZ39" s="12"/>
      <c r="HXQ39" s="12"/>
      <c r="HXR39" s="12"/>
      <c r="HYI39" s="12"/>
      <c r="HYJ39" s="12"/>
      <c r="HZA39" s="12"/>
      <c r="HZB39" s="12"/>
      <c r="HZS39" s="12"/>
      <c r="HZT39" s="12"/>
      <c r="IAK39" s="12"/>
      <c r="IAL39" s="12"/>
      <c r="IBC39" s="12"/>
      <c r="IBD39" s="12"/>
      <c r="IBU39" s="12"/>
      <c r="IBV39" s="12"/>
      <c r="ICM39" s="12"/>
      <c r="ICN39" s="12"/>
      <c r="IDE39" s="12"/>
      <c r="IDF39" s="12"/>
      <c r="IDW39" s="12"/>
      <c r="IDX39" s="12"/>
      <c r="IEO39" s="12"/>
      <c r="IEP39" s="12"/>
      <c r="IFG39" s="12"/>
      <c r="IFH39" s="12"/>
      <c r="IFY39" s="12"/>
      <c r="IFZ39" s="12"/>
      <c r="IGQ39" s="12"/>
      <c r="IGR39" s="12"/>
      <c r="IHI39" s="12"/>
      <c r="IHJ39" s="12"/>
      <c r="IIA39" s="12"/>
      <c r="IIB39" s="12"/>
      <c r="IIS39" s="12"/>
      <c r="IIT39" s="12"/>
      <c r="IJK39" s="12"/>
      <c r="IJL39" s="12"/>
      <c r="IKC39" s="12"/>
      <c r="IKD39" s="12"/>
      <c r="IKU39" s="12"/>
      <c r="IKV39" s="12"/>
      <c r="ILM39" s="12"/>
      <c r="ILN39" s="12"/>
      <c r="IME39" s="12"/>
      <c r="IMF39" s="12"/>
      <c r="IMW39" s="12"/>
      <c r="IMX39" s="12"/>
      <c r="INO39" s="12"/>
      <c r="INP39" s="12"/>
      <c r="IOG39" s="12"/>
      <c r="IOH39" s="12"/>
      <c r="IOY39" s="12"/>
      <c r="IOZ39" s="12"/>
      <c r="IPQ39" s="12"/>
      <c r="IPR39" s="12"/>
      <c r="IQI39" s="12"/>
      <c r="IQJ39" s="12"/>
      <c r="IRA39" s="12"/>
      <c r="IRB39" s="12"/>
      <c r="IRS39" s="12"/>
      <c r="IRT39" s="12"/>
      <c r="ISK39" s="12"/>
      <c r="ISL39" s="12"/>
      <c r="ITC39" s="12"/>
      <c r="ITD39" s="12"/>
      <c r="ITU39" s="12"/>
      <c r="ITV39" s="12"/>
      <c r="IUM39" s="12"/>
      <c r="IUN39" s="12"/>
      <c r="IVE39" s="12"/>
      <c r="IVF39" s="12"/>
      <c r="IVW39" s="12"/>
      <c r="IVX39" s="12"/>
      <c r="IWO39" s="12"/>
      <c r="IWP39" s="12"/>
      <c r="IXG39" s="12"/>
      <c r="IXH39" s="12"/>
      <c r="IXY39" s="12"/>
      <c r="IXZ39" s="12"/>
      <c r="IYQ39" s="12"/>
      <c r="IYR39" s="12"/>
      <c r="IZI39" s="12"/>
      <c r="IZJ39" s="12"/>
      <c r="JAA39" s="12"/>
      <c r="JAB39" s="12"/>
      <c r="JAS39" s="12"/>
      <c r="JAT39" s="12"/>
      <c r="JBK39" s="12"/>
      <c r="JBL39" s="12"/>
      <c r="JCC39" s="12"/>
      <c r="JCD39" s="12"/>
      <c r="JCU39" s="12"/>
      <c r="JCV39" s="12"/>
      <c r="JDM39" s="12"/>
      <c r="JDN39" s="12"/>
      <c r="JEE39" s="12"/>
      <c r="JEF39" s="12"/>
      <c r="JEW39" s="12"/>
      <c r="JEX39" s="12"/>
      <c r="JFO39" s="12"/>
      <c r="JFP39" s="12"/>
      <c r="JGG39" s="12"/>
      <c r="JGH39" s="12"/>
      <c r="JGY39" s="12"/>
      <c r="JGZ39" s="12"/>
      <c r="JHQ39" s="12"/>
      <c r="JHR39" s="12"/>
      <c r="JII39" s="12"/>
      <c r="JIJ39" s="12"/>
      <c r="JJA39" s="12"/>
      <c r="JJB39" s="12"/>
      <c r="JJS39" s="12"/>
      <c r="JJT39" s="12"/>
      <c r="JKK39" s="12"/>
      <c r="JKL39" s="12"/>
      <c r="JLC39" s="12"/>
      <c r="JLD39" s="12"/>
      <c r="JLU39" s="12"/>
      <c r="JLV39" s="12"/>
      <c r="JMM39" s="12"/>
      <c r="JMN39" s="12"/>
      <c r="JNE39" s="12"/>
      <c r="JNF39" s="12"/>
      <c r="JNW39" s="12"/>
      <c r="JNX39" s="12"/>
      <c r="JOO39" s="12"/>
      <c r="JOP39" s="12"/>
      <c r="JPG39" s="12"/>
      <c r="JPH39" s="12"/>
      <c r="JPY39" s="12"/>
      <c r="JPZ39" s="12"/>
      <c r="JQQ39" s="12"/>
      <c r="JQR39" s="12"/>
      <c r="JRI39" s="12"/>
      <c r="JRJ39" s="12"/>
      <c r="JSA39" s="12"/>
      <c r="JSB39" s="12"/>
      <c r="JSS39" s="12"/>
      <c r="JST39" s="12"/>
      <c r="JTK39" s="12"/>
      <c r="JTL39" s="12"/>
      <c r="JUC39" s="12"/>
      <c r="JUD39" s="12"/>
      <c r="JUU39" s="12"/>
      <c r="JUV39" s="12"/>
      <c r="JVM39" s="12"/>
      <c r="JVN39" s="12"/>
      <c r="JWE39" s="12"/>
      <c r="JWF39" s="12"/>
      <c r="JWW39" s="12"/>
      <c r="JWX39" s="12"/>
      <c r="JXO39" s="12"/>
      <c r="JXP39" s="12"/>
      <c r="JYG39" s="12"/>
      <c r="JYH39" s="12"/>
      <c r="JYY39" s="12"/>
      <c r="JYZ39" s="12"/>
      <c r="JZQ39" s="12"/>
      <c r="JZR39" s="12"/>
      <c r="KAI39" s="12"/>
      <c r="KAJ39" s="12"/>
      <c r="KBA39" s="12"/>
      <c r="KBB39" s="12"/>
      <c r="KBS39" s="12"/>
      <c r="KBT39" s="12"/>
      <c r="KCK39" s="12"/>
      <c r="KCL39" s="12"/>
      <c r="KDC39" s="12"/>
      <c r="KDD39" s="12"/>
      <c r="KDU39" s="12"/>
      <c r="KDV39" s="12"/>
      <c r="KEM39" s="12"/>
      <c r="KEN39" s="12"/>
      <c r="KFE39" s="12"/>
      <c r="KFF39" s="12"/>
      <c r="KFW39" s="12"/>
      <c r="KFX39" s="12"/>
      <c r="KGO39" s="12"/>
      <c r="KGP39" s="12"/>
      <c r="KHG39" s="12"/>
      <c r="KHH39" s="12"/>
      <c r="KHY39" s="12"/>
      <c r="KHZ39" s="12"/>
      <c r="KIQ39" s="12"/>
      <c r="KIR39" s="12"/>
      <c r="KJI39" s="12"/>
      <c r="KJJ39" s="12"/>
      <c r="KKA39" s="12"/>
      <c r="KKB39" s="12"/>
      <c r="KKS39" s="12"/>
      <c r="KKT39" s="12"/>
      <c r="KLK39" s="12"/>
      <c r="KLL39" s="12"/>
      <c r="KMC39" s="12"/>
      <c r="KMD39" s="12"/>
      <c r="KMU39" s="12"/>
      <c r="KMV39" s="12"/>
      <c r="KNM39" s="12"/>
      <c r="KNN39" s="12"/>
      <c r="KOE39" s="12"/>
      <c r="KOF39" s="12"/>
      <c r="KOW39" s="12"/>
      <c r="KOX39" s="12"/>
      <c r="KPO39" s="12"/>
      <c r="KPP39" s="12"/>
      <c r="KQG39" s="12"/>
      <c r="KQH39" s="12"/>
      <c r="KQY39" s="12"/>
      <c r="KQZ39" s="12"/>
      <c r="KRQ39" s="12"/>
      <c r="KRR39" s="12"/>
      <c r="KSI39" s="12"/>
      <c r="KSJ39" s="12"/>
      <c r="KTA39" s="12"/>
      <c r="KTB39" s="12"/>
      <c r="KTS39" s="12"/>
      <c r="KTT39" s="12"/>
      <c r="KUK39" s="12"/>
      <c r="KUL39" s="12"/>
      <c r="KVC39" s="12"/>
      <c r="KVD39" s="12"/>
      <c r="KVU39" s="12"/>
      <c r="KVV39" s="12"/>
      <c r="KWM39" s="12"/>
      <c r="KWN39" s="12"/>
      <c r="KXE39" s="12"/>
      <c r="KXF39" s="12"/>
      <c r="KXW39" s="12"/>
      <c r="KXX39" s="12"/>
      <c r="KYO39" s="12"/>
      <c r="KYP39" s="12"/>
      <c r="KZG39" s="12"/>
      <c r="KZH39" s="12"/>
      <c r="KZY39" s="12"/>
      <c r="KZZ39" s="12"/>
      <c r="LAQ39" s="12"/>
      <c r="LAR39" s="12"/>
      <c r="LBI39" s="12"/>
      <c r="LBJ39" s="12"/>
      <c r="LCA39" s="12"/>
      <c r="LCB39" s="12"/>
      <c r="LCS39" s="12"/>
      <c r="LCT39" s="12"/>
      <c r="LDK39" s="12"/>
      <c r="LDL39" s="12"/>
      <c r="LEC39" s="12"/>
      <c r="LED39" s="12"/>
      <c r="LEU39" s="12"/>
      <c r="LEV39" s="12"/>
      <c r="LFM39" s="12"/>
      <c r="LFN39" s="12"/>
      <c r="LGE39" s="12"/>
      <c r="LGF39" s="12"/>
      <c r="LGW39" s="12"/>
      <c r="LGX39" s="12"/>
      <c r="LHO39" s="12"/>
      <c r="LHP39" s="12"/>
      <c r="LIG39" s="12"/>
      <c r="LIH39" s="12"/>
      <c r="LIY39" s="12"/>
      <c r="LIZ39" s="12"/>
      <c r="LJQ39" s="12"/>
      <c r="LJR39" s="12"/>
      <c r="LKI39" s="12"/>
      <c r="LKJ39" s="12"/>
      <c r="LLA39" s="12"/>
      <c r="LLB39" s="12"/>
      <c r="LLS39" s="12"/>
      <c r="LLT39" s="12"/>
      <c r="LMK39" s="12"/>
      <c r="LML39" s="12"/>
      <c r="LNC39" s="12"/>
      <c r="LND39" s="12"/>
      <c r="LNU39" s="12"/>
      <c r="LNV39" s="12"/>
      <c r="LOM39" s="12"/>
      <c r="LON39" s="12"/>
      <c r="LPE39" s="12"/>
      <c r="LPF39" s="12"/>
      <c r="LPW39" s="12"/>
      <c r="LPX39" s="12"/>
      <c r="LQO39" s="12"/>
      <c r="LQP39" s="12"/>
      <c r="LRG39" s="12"/>
      <c r="LRH39" s="12"/>
      <c r="LRY39" s="12"/>
      <c r="LRZ39" s="12"/>
      <c r="LSQ39" s="12"/>
      <c r="LSR39" s="12"/>
      <c r="LTI39" s="12"/>
      <c r="LTJ39" s="12"/>
      <c r="LUA39" s="12"/>
      <c r="LUB39" s="12"/>
      <c r="LUS39" s="12"/>
      <c r="LUT39" s="12"/>
      <c r="LVK39" s="12"/>
      <c r="LVL39" s="12"/>
      <c r="LWC39" s="12"/>
      <c r="LWD39" s="12"/>
      <c r="LWU39" s="12"/>
      <c r="LWV39" s="12"/>
      <c r="LXM39" s="12"/>
      <c r="LXN39" s="12"/>
      <c r="LYE39" s="12"/>
      <c r="LYF39" s="12"/>
      <c r="LYW39" s="12"/>
      <c r="LYX39" s="12"/>
      <c r="LZO39" s="12"/>
      <c r="LZP39" s="12"/>
      <c r="MAG39" s="12"/>
      <c r="MAH39" s="12"/>
      <c r="MAY39" s="12"/>
      <c r="MAZ39" s="12"/>
      <c r="MBQ39" s="12"/>
      <c r="MBR39" s="12"/>
      <c r="MCI39" s="12"/>
      <c r="MCJ39" s="12"/>
      <c r="MDA39" s="12"/>
      <c r="MDB39" s="12"/>
      <c r="MDS39" s="12"/>
      <c r="MDT39" s="12"/>
      <c r="MEK39" s="12"/>
      <c r="MEL39" s="12"/>
      <c r="MFC39" s="12"/>
      <c r="MFD39" s="12"/>
      <c r="MFU39" s="12"/>
      <c r="MFV39" s="12"/>
      <c r="MGM39" s="12"/>
      <c r="MGN39" s="12"/>
      <c r="MHE39" s="12"/>
      <c r="MHF39" s="12"/>
      <c r="MHW39" s="12"/>
      <c r="MHX39" s="12"/>
      <c r="MIO39" s="12"/>
      <c r="MIP39" s="12"/>
      <c r="MJG39" s="12"/>
      <c r="MJH39" s="12"/>
      <c r="MJY39" s="12"/>
      <c r="MJZ39" s="12"/>
      <c r="MKQ39" s="12"/>
      <c r="MKR39" s="12"/>
      <c r="MLI39" s="12"/>
      <c r="MLJ39" s="12"/>
      <c r="MMA39" s="12"/>
      <c r="MMB39" s="12"/>
      <c r="MMS39" s="12"/>
      <c r="MMT39" s="12"/>
      <c r="MNK39" s="12"/>
      <c r="MNL39" s="12"/>
      <c r="MOC39" s="12"/>
      <c r="MOD39" s="12"/>
      <c r="MOU39" s="12"/>
      <c r="MOV39" s="12"/>
      <c r="MPM39" s="12"/>
      <c r="MPN39" s="12"/>
      <c r="MQE39" s="12"/>
      <c r="MQF39" s="12"/>
      <c r="MQW39" s="12"/>
      <c r="MQX39" s="12"/>
      <c r="MRO39" s="12"/>
      <c r="MRP39" s="12"/>
      <c r="MSG39" s="12"/>
      <c r="MSH39" s="12"/>
      <c r="MSY39" s="12"/>
      <c r="MSZ39" s="12"/>
      <c r="MTQ39" s="12"/>
      <c r="MTR39" s="12"/>
      <c r="MUI39" s="12"/>
      <c r="MUJ39" s="12"/>
      <c r="MVA39" s="12"/>
      <c r="MVB39" s="12"/>
      <c r="MVS39" s="12"/>
      <c r="MVT39" s="12"/>
      <c r="MWK39" s="12"/>
      <c r="MWL39" s="12"/>
      <c r="MXC39" s="12"/>
      <c r="MXD39" s="12"/>
      <c r="MXU39" s="12"/>
      <c r="MXV39" s="12"/>
      <c r="MYM39" s="12"/>
      <c r="MYN39" s="12"/>
      <c r="MZE39" s="12"/>
      <c r="MZF39" s="12"/>
      <c r="MZW39" s="12"/>
      <c r="MZX39" s="12"/>
      <c r="NAO39" s="12"/>
      <c r="NAP39" s="12"/>
      <c r="NBG39" s="12"/>
      <c r="NBH39" s="12"/>
      <c r="NBY39" s="12"/>
      <c r="NBZ39" s="12"/>
      <c r="NCQ39" s="12"/>
      <c r="NCR39" s="12"/>
      <c r="NDI39" s="12"/>
      <c r="NDJ39" s="12"/>
      <c r="NEA39" s="12"/>
      <c r="NEB39" s="12"/>
      <c r="NES39" s="12"/>
      <c r="NET39" s="12"/>
      <c r="NFK39" s="12"/>
      <c r="NFL39" s="12"/>
      <c r="NGC39" s="12"/>
      <c r="NGD39" s="12"/>
      <c r="NGU39" s="12"/>
      <c r="NGV39" s="12"/>
      <c r="NHM39" s="12"/>
      <c r="NHN39" s="12"/>
      <c r="NIE39" s="12"/>
      <c r="NIF39" s="12"/>
      <c r="NIW39" s="12"/>
      <c r="NIX39" s="12"/>
      <c r="NJO39" s="12"/>
      <c r="NJP39" s="12"/>
      <c r="NKG39" s="12"/>
      <c r="NKH39" s="12"/>
      <c r="NKY39" s="12"/>
      <c r="NKZ39" s="12"/>
      <c r="NLQ39" s="12"/>
      <c r="NLR39" s="12"/>
      <c r="NMI39" s="12"/>
      <c r="NMJ39" s="12"/>
      <c r="NNA39" s="12"/>
      <c r="NNB39" s="12"/>
      <c r="NNS39" s="12"/>
      <c r="NNT39" s="12"/>
      <c r="NOK39" s="12"/>
      <c r="NOL39" s="12"/>
      <c r="NPC39" s="12"/>
      <c r="NPD39" s="12"/>
      <c r="NPU39" s="12"/>
      <c r="NPV39" s="12"/>
      <c r="NQM39" s="12"/>
      <c r="NQN39" s="12"/>
      <c r="NRE39" s="12"/>
      <c r="NRF39" s="12"/>
      <c r="NRW39" s="12"/>
      <c r="NRX39" s="12"/>
      <c r="NSO39" s="12"/>
      <c r="NSP39" s="12"/>
      <c r="NTG39" s="12"/>
      <c r="NTH39" s="12"/>
      <c r="NTY39" s="12"/>
      <c r="NTZ39" s="12"/>
      <c r="NUQ39" s="12"/>
      <c r="NUR39" s="12"/>
      <c r="NVI39" s="12"/>
      <c r="NVJ39" s="12"/>
      <c r="NWA39" s="12"/>
      <c r="NWB39" s="12"/>
      <c r="NWS39" s="12"/>
      <c r="NWT39" s="12"/>
      <c r="NXK39" s="12"/>
      <c r="NXL39" s="12"/>
      <c r="NYC39" s="12"/>
      <c r="NYD39" s="12"/>
      <c r="NYU39" s="12"/>
      <c r="NYV39" s="12"/>
      <c r="NZM39" s="12"/>
      <c r="NZN39" s="12"/>
      <c r="OAE39" s="12"/>
      <c r="OAF39" s="12"/>
      <c r="OAW39" s="12"/>
      <c r="OAX39" s="12"/>
      <c r="OBO39" s="12"/>
      <c r="OBP39" s="12"/>
      <c r="OCG39" s="12"/>
      <c r="OCH39" s="12"/>
      <c r="OCY39" s="12"/>
      <c r="OCZ39" s="12"/>
      <c r="ODQ39" s="12"/>
      <c r="ODR39" s="12"/>
      <c r="OEI39" s="12"/>
      <c r="OEJ39" s="12"/>
      <c r="OFA39" s="12"/>
      <c r="OFB39" s="12"/>
      <c r="OFS39" s="12"/>
      <c r="OFT39" s="12"/>
      <c r="OGK39" s="12"/>
      <c r="OGL39" s="12"/>
      <c r="OHC39" s="12"/>
      <c r="OHD39" s="12"/>
      <c r="OHU39" s="12"/>
      <c r="OHV39" s="12"/>
      <c r="OIM39" s="12"/>
      <c r="OIN39" s="12"/>
      <c r="OJE39" s="12"/>
      <c r="OJF39" s="12"/>
      <c r="OJW39" s="12"/>
      <c r="OJX39" s="12"/>
      <c r="OKO39" s="12"/>
      <c r="OKP39" s="12"/>
      <c r="OLG39" s="12"/>
      <c r="OLH39" s="12"/>
      <c r="OLY39" s="12"/>
      <c r="OLZ39" s="12"/>
      <c r="OMQ39" s="12"/>
      <c r="OMR39" s="12"/>
      <c r="ONI39" s="12"/>
      <c r="ONJ39" s="12"/>
      <c r="OOA39" s="12"/>
      <c r="OOB39" s="12"/>
      <c r="OOS39" s="12"/>
      <c r="OOT39" s="12"/>
      <c r="OPK39" s="12"/>
      <c r="OPL39" s="12"/>
      <c r="OQC39" s="12"/>
      <c r="OQD39" s="12"/>
      <c r="OQU39" s="12"/>
      <c r="OQV39" s="12"/>
      <c r="ORM39" s="12"/>
      <c r="ORN39" s="12"/>
      <c r="OSE39" s="12"/>
      <c r="OSF39" s="12"/>
      <c r="OSW39" s="12"/>
      <c r="OSX39" s="12"/>
      <c r="OTO39" s="12"/>
      <c r="OTP39" s="12"/>
      <c r="OUG39" s="12"/>
      <c r="OUH39" s="12"/>
      <c r="OUY39" s="12"/>
      <c r="OUZ39" s="12"/>
      <c r="OVQ39" s="12"/>
      <c r="OVR39" s="12"/>
      <c r="OWI39" s="12"/>
      <c r="OWJ39" s="12"/>
      <c r="OXA39" s="12"/>
      <c r="OXB39" s="12"/>
      <c r="OXS39" s="12"/>
      <c r="OXT39" s="12"/>
      <c r="OYK39" s="12"/>
      <c r="OYL39" s="12"/>
      <c r="OZC39" s="12"/>
      <c r="OZD39" s="12"/>
      <c r="OZU39" s="12"/>
      <c r="OZV39" s="12"/>
      <c r="PAM39" s="12"/>
      <c r="PAN39" s="12"/>
      <c r="PBE39" s="12"/>
      <c r="PBF39" s="12"/>
      <c r="PBW39" s="12"/>
      <c r="PBX39" s="12"/>
      <c r="PCO39" s="12"/>
      <c r="PCP39" s="12"/>
      <c r="PDG39" s="12"/>
      <c r="PDH39" s="12"/>
      <c r="PDY39" s="12"/>
      <c r="PDZ39" s="12"/>
      <c r="PEQ39" s="12"/>
      <c r="PER39" s="12"/>
      <c r="PFI39" s="12"/>
      <c r="PFJ39" s="12"/>
      <c r="PGA39" s="12"/>
      <c r="PGB39" s="12"/>
      <c r="PGS39" s="12"/>
      <c r="PGT39" s="12"/>
      <c r="PHK39" s="12"/>
      <c r="PHL39" s="12"/>
      <c r="PIC39" s="12"/>
      <c r="PID39" s="12"/>
      <c r="PIU39" s="12"/>
      <c r="PIV39" s="12"/>
      <c r="PJM39" s="12"/>
      <c r="PJN39" s="12"/>
      <c r="PKE39" s="12"/>
      <c r="PKF39" s="12"/>
      <c r="PKW39" s="12"/>
      <c r="PKX39" s="12"/>
      <c r="PLO39" s="12"/>
      <c r="PLP39" s="12"/>
      <c r="PMG39" s="12"/>
      <c r="PMH39" s="12"/>
      <c r="PMY39" s="12"/>
      <c r="PMZ39" s="12"/>
      <c r="PNQ39" s="12"/>
      <c r="PNR39" s="12"/>
      <c r="POI39" s="12"/>
      <c r="POJ39" s="12"/>
      <c r="PPA39" s="12"/>
      <c r="PPB39" s="12"/>
      <c r="PPS39" s="12"/>
      <c r="PPT39" s="12"/>
      <c r="PQK39" s="12"/>
      <c r="PQL39" s="12"/>
      <c r="PRC39" s="12"/>
      <c r="PRD39" s="12"/>
      <c r="PRU39" s="12"/>
      <c r="PRV39" s="12"/>
      <c r="PSM39" s="12"/>
      <c r="PSN39" s="12"/>
      <c r="PTE39" s="12"/>
      <c r="PTF39" s="12"/>
      <c r="PTW39" s="12"/>
      <c r="PTX39" s="12"/>
      <c r="PUO39" s="12"/>
      <c r="PUP39" s="12"/>
      <c r="PVG39" s="12"/>
      <c r="PVH39" s="12"/>
      <c r="PVY39" s="12"/>
      <c r="PVZ39" s="12"/>
      <c r="PWQ39" s="12"/>
      <c r="PWR39" s="12"/>
      <c r="PXI39" s="12"/>
      <c r="PXJ39" s="12"/>
      <c r="PYA39" s="12"/>
      <c r="PYB39" s="12"/>
      <c r="PYS39" s="12"/>
      <c r="PYT39" s="12"/>
      <c r="PZK39" s="12"/>
      <c r="PZL39" s="12"/>
      <c r="QAC39" s="12"/>
      <c r="QAD39" s="12"/>
      <c r="QAU39" s="12"/>
      <c r="QAV39" s="12"/>
      <c r="QBM39" s="12"/>
      <c r="QBN39" s="12"/>
      <c r="QCE39" s="12"/>
      <c r="QCF39" s="12"/>
      <c r="QCW39" s="12"/>
      <c r="QCX39" s="12"/>
      <c r="QDO39" s="12"/>
      <c r="QDP39" s="12"/>
      <c r="QEG39" s="12"/>
      <c r="QEH39" s="12"/>
      <c r="QEY39" s="12"/>
      <c r="QEZ39" s="12"/>
      <c r="QFQ39" s="12"/>
      <c r="QFR39" s="12"/>
      <c r="QGI39" s="12"/>
      <c r="QGJ39" s="12"/>
      <c r="QHA39" s="12"/>
      <c r="QHB39" s="12"/>
      <c r="QHS39" s="12"/>
      <c r="QHT39" s="12"/>
      <c r="QIK39" s="12"/>
      <c r="QIL39" s="12"/>
      <c r="QJC39" s="12"/>
      <c r="QJD39" s="12"/>
      <c r="QJU39" s="12"/>
      <c r="QJV39" s="12"/>
      <c r="QKM39" s="12"/>
      <c r="QKN39" s="12"/>
      <c r="QLE39" s="12"/>
      <c r="QLF39" s="12"/>
      <c r="QLW39" s="12"/>
      <c r="QLX39" s="12"/>
      <c r="QMO39" s="12"/>
      <c r="QMP39" s="12"/>
      <c r="QNG39" s="12"/>
      <c r="QNH39" s="12"/>
      <c r="QNY39" s="12"/>
      <c r="QNZ39" s="12"/>
      <c r="QOQ39" s="12"/>
      <c r="QOR39" s="12"/>
      <c r="QPI39" s="12"/>
      <c r="QPJ39" s="12"/>
      <c r="QQA39" s="12"/>
      <c r="QQB39" s="12"/>
      <c r="QQS39" s="12"/>
      <c r="QQT39" s="12"/>
      <c r="QRK39" s="12"/>
      <c r="QRL39" s="12"/>
      <c r="QSC39" s="12"/>
      <c r="QSD39" s="12"/>
      <c r="QSU39" s="12"/>
      <c r="QSV39" s="12"/>
      <c r="QTM39" s="12"/>
      <c r="QTN39" s="12"/>
      <c r="QUE39" s="12"/>
      <c r="QUF39" s="12"/>
      <c r="QUW39" s="12"/>
      <c r="QUX39" s="12"/>
      <c r="QVO39" s="12"/>
      <c r="QVP39" s="12"/>
      <c r="QWG39" s="12"/>
      <c r="QWH39" s="12"/>
      <c r="QWY39" s="12"/>
      <c r="QWZ39" s="12"/>
      <c r="QXQ39" s="12"/>
      <c r="QXR39" s="12"/>
      <c r="QYI39" s="12"/>
      <c r="QYJ39" s="12"/>
      <c r="QZA39" s="12"/>
      <c r="QZB39" s="12"/>
      <c r="QZS39" s="12"/>
      <c r="QZT39" s="12"/>
      <c r="RAK39" s="12"/>
      <c r="RAL39" s="12"/>
      <c r="RBC39" s="12"/>
      <c r="RBD39" s="12"/>
      <c r="RBU39" s="12"/>
      <c r="RBV39" s="12"/>
      <c r="RCM39" s="12"/>
      <c r="RCN39" s="12"/>
      <c r="RDE39" s="12"/>
      <c r="RDF39" s="12"/>
      <c r="RDW39" s="12"/>
      <c r="RDX39" s="12"/>
      <c r="REO39" s="12"/>
      <c r="REP39" s="12"/>
      <c r="RFG39" s="12"/>
      <c r="RFH39" s="12"/>
      <c r="RFY39" s="12"/>
      <c r="RFZ39" s="12"/>
      <c r="RGQ39" s="12"/>
      <c r="RGR39" s="12"/>
      <c r="RHI39" s="12"/>
      <c r="RHJ39" s="12"/>
      <c r="RIA39" s="12"/>
      <c r="RIB39" s="12"/>
      <c r="RIS39" s="12"/>
      <c r="RIT39" s="12"/>
      <c r="RJK39" s="12"/>
      <c r="RJL39" s="12"/>
      <c r="RKC39" s="12"/>
      <c r="RKD39" s="12"/>
      <c r="RKU39" s="12"/>
      <c r="RKV39" s="12"/>
      <c r="RLM39" s="12"/>
      <c r="RLN39" s="12"/>
      <c r="RME39" s="12"/>
      <c r="RMF39" s="12"/>
      <c r="RMW39" s="12"/>
      <c r="RMX39" s="12"/>
      <c r="RNO39" s="12"/>
      <c r="RNP39" s="12"/>
      <c r="ROG39" s="12"/>
      <c r="ROH39" s="12"/>
      <c r="ROY39" s="12"/>
      <c r="ROZ39" s="12"/>
      <c r="RPQ39" s="12"/>
      <c r="RPR39" s="12"/>
      <c r="RQI39" s="12"/>
      <c r="RQJ39" s="12"/>
      <c r="RRA39" s="12"/>
      <c r="RRB39" s="12"/>
      <c r="RRS39" s="12"/>
      <c r="RRT39" s="12"/>
      <c r="RSK39" s="12"/>
      <c r="RSL39" s="12"/>
      <c r="RTC39" s="12"/>
      <c r="RTD39" s="12"/>
      <c r="RTU39" s="12"/>
      <c r="RTV39" s="12"/>
      <c r="RUM39" s="12"/>
      <c r="RUN39" s="12"/>
      <c r="RVE39" s="12"/>
      <c r="RVF39" s="12"/>
      <c r="RVW39" s="12"/>
      <c r="RVX39" s="12"/>
      <c r="RWO39" s="12"/>
      <c r="RWP39" s="12"/>
      <c r="RXG39" s="12"/>
      <c r="RXH39" s="12"/>
      <c r="RXY39" s="12"/>
      <c r="RXZ39" s="12"/>
      <c r="RYQ39" s="12"/>
      <c r="RYR39" s="12"/>
      <c r="RZI39" s="12"/>
      <c r="RZJ39" s="12"/>
      <c r="SAA39" s="12"/>
      <c r="SAB39" s="12"/>
      <c r="SAS39" s="12"/>
      <c r="SAT39" s="12"/>
      <c r="SBK39" s="12"/>
      <c r="SBL39" s="12"/>
      <c r="SCC39" s="12"/>
      <c r="SCD39" s="12"/>
      <c r="SCU39" s="12"/>
      <c r="SCV39" s="12"/>
      <c r="SDM39" s="12"/>
      <c r="SDN39" s="12"/>
      <c r="SEE39" s="12"/>
      <c r="SEF39" s="12"/>
      <c r="SEW39" s="12"/>
      <c r="SEX39" s="12"/>
      <c r="SFO39" s="12"/>
      <c r="SFP39" s="12"/>
      <c r="SGG39" s="12"/>
      <c r="SGH39" s="12"/>
      <c r="SGY39" s="12"/>
      <c r="SGZ39" s="12"/>
      <c r="SHQ39" s="12"/>
      <c r="SHR39" s="12"/>
      <c r="SII39" s="12"/>
      <c r="SIJ39" s="12"/>
      <c r="SJA39" s="12"/>
      <c r="SJB39" s="12"/>
      <c r="SJS39" s="12"/>
      <c r="SJT39" s="12"/>
      <c r="SKK39" s="12"/>
      <c r="SKL39" s="12"/>
      <c r="SLC39" s="12"/>
      <c r="SLD39" s="12"/>
      <c r="SLU39" s="12"/>
      <c r="SLV39" s="12"/>
      <c r="SMM39" s="12"/>
      <c r="SMN39" s="12"/>
      <c r="SNE39" s="12"/>
      <c r="SNF39" s="12"/>
      <c r="SNW39" s="12"/>
      <c r="SNX39" s="12"/>
      <c r="SOO39" s="12"/>
      <c r="SOP39" s="12"/>
      <c r="SPG39" s="12"/>
      <c r="SPH39" s="12"/>
      <c r="SPY39" s="12"/>
      <c r="SPZ39" s="12"/>
      <c r="SQQ39" s="12"/>
      <c r="SQR39" s="12"/>
      <c r="SRI39" s="12"/>
      <c r="SRJ39" s="12"/>
      <c r="SSA39" s="12"/>
      <c r="SSB39" s="12"/>
      <c r="SSS39" s="12"/>
      <c r="SST39" s="12"/>
      <c r="STK39" s="12"/>
      <c r="STL39" s="12"/>
      <c r="SUC39" s="12"/>
      <c r="SUD39" s="12"/>
      <c r="SUU39" s="12"/>
      <c r="SUV39" s="12"/>
      <c r="SVM39" s="12"/>
      <c r="SVN39" s="12"/>
      <c r="SWE39" s="12"/>
      <c r="SWF39" s="12"/>
      <c r="SWW39" s="12"/>
      <c r="SWX39" s="12"/>
      <c r="SXO39" s="12"/>
      <c r="SXP39" s="12"/>
      <c r="SYG39" s="12"/>
      <c r="SYH39" s="12"/>
      <c r="SYY39" s="12"/>
      <c r="SYZ39" s="12"/>
      <c r="SZQ39" s="12"/>
      <c r="SZR39" s="12"/>
      <c r="TAI39" s="12"/>
      <c r="TAJ39" s="12"/>
      <c r="TBA39" s="12"/>
      <c r="TBB39" s="12"/>
      <c r="TBS39" s="12"/>
      <c r="TBT39" s="12"/>
      <c r="TCK39" s="12"/>
      <c r="TCL39" s="12"/>
      <c r="TDC39" s="12"/>
      <c r="TDD39" s="12"/>
      <c r="TDU39" s="12"/>
      <c r="TDV39" s="12"/>
      <c r="TEM39" s="12"/>
      <c r="TEN39" s="12"/>
      <c r="TFE39" s="12"/>
      <c r="TFF39" s="12"/>
      <c r="TFW39" s="12"/>
      <c r="TFX39" s="12"/>
      <c r="TGO39" s="12"/>
      <c r="TGP39" s="12"/>
      <c r="THG39" s="12"/>
      <c r="THH39" s="12"/>
      <c r="THY39" s="12"/>
      <c r="THZ39" s="12"/>
      <c r="TIQ39" s="12"/>
      <c r="TIR39" s="12"/>
      <c r="TJI39" s="12"/>
      <c r="TJJ39" s="12"/>
      <c r="TKA39" s="12"/>
      <c r="TKB39" s="12"/>
      <c r="TKS39" s="12"/>
      <c r="TKT39" s="12"/>
      <c r="TLK39" s="12"/>
      <c r="TLL39" s="12"/>
      <c r="TMC39" s="12"/>
      <c r="TMD39" s="12"/>
      <c r="TMU39" s="12"/>
      <c r="TMV39" s="12"/>
      <c r="TNM39" s="12"/>
      <c r="TNN39" s="12"/>
      <c r="TOE39" s="12"/>
      <c r="TOF39" s="12"/>
      <c r="TOW39" s="12"/>
      <c r="TOX39" s="12"/>
      <c r="TPO39" s="12"/>
      <c r="TPP39" s="12"/>
      <c r="TQG39" s="12"/>
      <c r="TQH39" s="12"/>
      <c r="TQY39" s="12"/>
      <c r="TQZ39" s="12"/>
      <c r="TRQ39" s="12"/>
      <c r="TRR39" s="12"/>
      <c r="TSI39" s="12"/>
      <c r="TSJ39" s="12"/>
      <c r="TTA39" s="12"/>
      <c r="TTB39" s="12"/>
      <c r="TTS39" s="12"/>
      <c r="TTT39" s="12"/>
      <c r="TUK39" s="12"/>
      <c r="TUL39" s="12"/>
      <c r="TVC39" s="12"/>
      <c r="TVD39" s="12"/>
      <c r="TVU39" s="12"/>
      <c r="TVV39" s="12"/>
      <c r="TWM39" s="12"/>
      <c r="TWN39" s="12"/>
      <c r="TXE39" s="12"/>
      <c r="TXF39" s="12"/>
      <c r="TXW39" s="12"/>
      <c r="TXX39" s="12"/>
      <c r="TYO39" s="12"/>
      <c r="TYP39" s="12"/>
      <c r="TZG39" s="12"/>
      <c r="TZH39" s="12"/>
      <c r="TZY39" s="12"/>
      <c r="TZZ39" s="12"/>
      <c r="UAQ39" s="12"/>
      <c r="UAR39" s="12"/>
      <c r="UBI39" s="12"/>
      <c r="UBJ39" s="12"/>
      <c r="UCA39" s="12"/>
      <c r="UCB39" s="12"/>
      <c r="UCS39" s="12"/>
      <c r="UCT39" s="12"/>
      <c r="UDK39" s="12"/>
      <c r="UDL39" s="12"/>
      <c r="UEC39" s="12"/>
      <c r="UED39" s="12"/>
      <c r="UEU39" s="12"/>
      <c r="UEV39" s="12"/>
      <c r="UFM39" s="12"/>
      <c r="UFN39" s="12"/>
      <c r="UGE39" s="12"/>
      <c r="UGF39" s="12"/>
      <c r="UGW39" s="12"/>
      <c r="UGX39" s="12"/>
      <c r="UHO39" s="12"/>
      <c r="UHP39" s="12"/>
      <c r="UIG39" s="12"/>
      <c r="UIH39" s="12"/>
      <c r="UIY39" s="12"/>
      <c r="UIZ39" s="12"/>
      <c r="UJQ39" s="12"/>
      <c r="UJR39" s="12"/>
      <c r="UKI39" s="12"/>
      <c r="UKJ39" s="12"/>
      <c r="ULA39" s="12"/>
      <c r="ULB39" s="12"/>
      <c r="ULS39" s="12"/>
      <c r="ULT39" s="12"/>
      <c r="UMK39" s="12"/>
      <c r="UML39" s="12"/>
      <c r="UNC39" s="12"/>
      <c r="UND39" s="12"/>
      <c r="UNU39" s="12"/>
      <c r="UNV39" s="12"/>
      <c r="UOM39" s="12"/>
      <c r="UON39" s="12"/>
      <c r="UPE39" s="12"/>
      <c r="UPF39" s="12"/>
      <c r="UPW39" s="12"/>
      <c r="UPX39" s="12"/>
      <c r="UQO39" s="12"/>
      <c r="UQP39" s="12"/>
      <c r="URG39" s="12"/>
      <c r="URH39" s="12"/>
      <c r="URY39" s="12"/>
      <c r="URZ39" s="12"/>
      <c r="USQ39" s="12"/>
      <c r="USR39" s="12"/>
      <c r="UTI39" s="12"/>
      <c r="UTJ39" s="12"/>
      <c r="UUA39" s="12"/>
      <c r="UUB39" s="12"/>
      <c r="UUS39" s="12"/>
      <c r="UUT39" s="12"/>
      <c r="UVK39" s="12"/>
      <c r="UVL39" s="12"/>
      <c r="UWC39" s="12"/>
      <c r="UWD39" s="12"/>
      <c r="UWU39" s="12"/>
      <c r="UWV39" s="12"/>
      <c r="UXM39" s="12"/>
      <c r="UXN39" s="12"/>
      <c r="UYE39" s="12"/>
      <c r="UYF39" s="12"/>
      <c r="UYW39" s="12"/>
      <c r="UYX39" s="12"/>
      <c r="UZO39" s="12"/>
      <c r="UZP39" s="12"/>
      <c r="VAG39" s="12"/>
      <c r="VAH39" s="12"/>
      <c r="VAY39" s="12"/>
      <c r="VAZ39" s="12"/>
      <c r="VBQ39" s="12"/>
      <c r="VBR39" s="12"/>
      <c r="VCI39" s="12"/>
      <c r="VCJ39" s="12"/>
      <c r="VDA39" s="12"/>
      <c r="VDB39" s="12"/>
      <c r="VDS39" s="12"/>
      <c r="VDT39" s="12"/>
      <c r="VEK39" s="12"/>
      <c r="VEL39" s="12"/>
      <c r="VFC39" s="12"/>
      <c r="VFD39" s="12"/>
      <c r="VFU39" s="12"/>
      <c r="VFV39" s="12"/>
      <c r="VGM39" s="12"/>
      <c r="VGN39" s="12"/>
      <c r="VHE39" s="12"/>
      <c r="VHF39" s="12"/>
      <c r="VHW39" s="12"/>
      <c r="VHX39" s="12"/>
      <c r="VIO39" s="12"/>
      <c r="VIP39" s="12"/>
      <c r="VJG39" s="12"/>
      <c r="VJH39" s="12"/>
      <c r="VJY39" s="12"/>
      <c r="VJZ39" s="12"/>
      <c r="VKQ39" s="12"/>
      <c r="VKR39" s="12"/>
      <c r="VLI39" s="12"/>
      <c r="VLJ39" s="12"/>
      <c r="VMA39" s="12"/>
      <c r="VMB39" s="12"/>
      <c r="VMS39" s="12"/>
      <c r="VMT39" s="12"/>
      <c r="VNK39" s="12"/>
      <c r="VNL39" s="12"/>
      <c r="VOC39" s="12"/>
      <c r="VOD39" s="12"/>
      <c r="VOU39" s="12"/>
      <c r="VOV39" s="12"/>
      <c r="VPM39" s="12"/>
      <c r="VPN39" s="12"/>
      <c r="VQE39" s="12"/>
      <c r="VQF39" s="12"/>
      <c r="VQW39" s="12"/>
      <c r="VQX39" s="12"/>
      <c r="VRO39" s="12"/>
      <c r="VRP39" s="12"/>
      <c r="VSG39" s="12"/>
      <c r="VSH39" s="12"/>
      <c r="VSY39" s="12"/>
      <c r="VSZ39" s="12"/>
      <c r="VTQ39" s="12"/>
      <c r="VTR39" s="12"/>
      <c r="VUI39" s="12"/>
      <c r="VUJ39" s="12"/>
      <c r="VVA39" s="12"/>
      <c r="VVB39" s="12"/>
      <c r="VVS39" s="12"/>
      <c r="VVT39" s="12"/>
      <c r="VWK39" s="12"/>
      <c r="VWL39" s="12"/>
      <c r="VXC39" s="12"/>
      <c r="VXD39" s="12"/>
      <c r="VXU39" s="12"/>
      <c r="VXV39" s="12"/>
      <c r="VYM39" s="12"/>
      <c r="VYN39" s="12"/>
      <c r="VZE39" s="12"/>
      <c r="VZF39" s="12"/>
      <c r="VZW39" s="12"/>
      <c r="VZX39" s="12"/>
      <c r="WAO39" s="12"/>
      <c r="WAP39" s="12"/>
      <c r="WBG39" s="12"/>
      <c r="WBH39" s="12"/>
      <c r="WBY39" s="12"/>
      <c r="WBZ39" s="12"/>
      <c r="WCQ39" s="12"/>
      <c r="WCR39" s="12"/>
      <c r="WDI39" s="12"/>
      <c r="WDJ39" s="12"/>
      <c r="WEA39" s="12"/>
      <c r="WEB39" s="12"/>
      <c r="WES39" s="12"/>
      <c r="WET39" s="12"/>
      <c r="WFK39" s="12"/>
      <c r="WFL39" s="12"/>
      <c r="WGC39" s="12"/>
      <c r="WGD39" s="12"/>
      <c r="WGU39" s="12"/>
      <c r="WGV39" s="12"/>
      <c r="WHM39" s="12"/>
      <c r="WHN39" s="12"/>
      <c r="WIE39" s="12"/>
      <c r="WIF39" s="12"/>
      <c r="WIW39" s="12"/>
      <c r="WIX39" s="12"/>
      <c r="WJO39" s="12"/>
      <c r="WJP39" s="12"/>
      <c r="WKG39" s="12"/>
      <c r="WKH39" s="12"/>
      <c r="WKY39" s="12"/>
      <c r="WKZ39" s="12"/>
      <c r="WLQ39" s="12"/>
      <c r="WLR39" s="12"/>
      <c r="WMI39" s="12"/>
      <c r="WMJ39" s="12"/>
      <c r="WNA39" s="12"/>
      <c r="WNB39" s="12"/>
      <c r="WNS39" s="12"/>
      <c r="WNT39" s="12"/>
      <c r="WOK39" s="12"/>
      <c r="WOL39" s="12"/>
      <c r="WPC39" s="12"/>
      <c r="WPD39" s="12"/>
      <c r="WPU39" s="12"/>
      <c r="WPV39" s="12"/>
      <c r="WQM39" s="12"/>
      <c r="WQN39" s="12"/>
      <c r="WRE39" s="12"/>
      <c r="WRF39" s="12"/>
      <c r="WRW39" s="12"/>
      <c r="WRX39" s="12"/>
      <c r="WSO39" s="12"/>
      <c r="WSP39" s="12"/>
      <c r="WTG39" s="12"/>
      <c r="WTH39" s="12"/>
      <c r="WTY39" s="12"/>
      <c r="WTZ39" s="12"/>
      <c r="WUQ39" s="12"/>
      <c r="WUR39" s="12"/>
      <c r="WVI39" s="12"/>
      <c r="WVJ39" s="12"/>
      <c r="WWA39" s="12"/>
      <c r="WWB39" s="12"/>
      <c r="WWS39" s="12"/>
      <c r="WWT39" s="12"/>
      <c r="WXK39" s="12"/>
      <c r="WXL39" s="12"/>
      <c r="WYC39" s="12"/>
      <c r="WYD39" s="12"/>
      <c r="WYU39" s="12"/>
      <c r="WYV39" s="12"/>
      <c r="WZM39" s="12"/>
      <c r="WZN39" s="12"/>
      <c r="XAE39" s="12"/>
      <c r="XAF39" s="12"/>
      <c r="XAW39" s="12"/>
      <c r="XAX39" s="12"/>
      <c r="XBO39" s="12"/>
      <c r="XBP39" s="12"/>
      <c r="XCG39" s="12"/>
      <c r="XCH39" s="12"/>
      <c r="XCY39" s="12"/>
      <c r="XCZ39" s="12"/>
      <c r="XDQ39" s="12"/>
      <c r="XDR39" s="12"/>
      <c r="XEI39" s="12"/>
      <c r="XEJ39" s="12"/>
      <c r="XFA39" s="12"/>
      <c r="XFB39" s="12"/>
    </row>
    <row r="40" spans="1:1010 1027:2036 2053:3062 3079:4088 4105:5114 5131:6140 6157:7166 7183:8192 8209:9200 9217:10226 10243:11252 11269:12278 12295:13304 13321:14330 14347:15356 15373:16382" x14ac:dyDescent="0.35">
      <c r="A40" s="181" t="s">
        <v>396</v>
      </c>
      <c r="B40" s="294" t="s">
        <v>397</v>
      </c>
      <c r="C40" s="198">
        <v>0</v>
      </c>
      <c r="D40" s="198">
        <v>0</v>
      </c>
      <c r="E40" s="198">
        <v>29.888000000000002</v>
      </c>
      <c r="F40" s="198">
        <v>0</v>
      </c>
      <c r="G40" s="198">
        <v>0</v>
      </c>
      <c r="H40" s="198">
        <v>0</v>
      </c>
      <c r="I40" s="198">
        <v>0</v>
      </c>
      <c r="J40" s="198">
        <v>0</v>
      </c>
      <c r="K40" s="198">
        <v>0</v>
      </c>
      <c r="L40" s="198">
        <v>0</v>
      </c>
      <c r="M40" s="11"/>
      <c r="N40" s="11"/>
      <c r="O40" s="11"/>
      <c r="P40" s="11"/>
      <c r="Q40" s="11"/>
      <c r="R40" s="11"/>
    </row>
    <row r="41" spans="1:1010 1027:2036 2053:3062 3079:4088 4105:5114 5131:6140 6157:7166 7183:8192 8209:9200 9217:10226 10243:11252 11269:12278 12295:13304 13321:14330 14347:15356 15373:16382" x14ac:dyDescent="0.35">
      <c r="A41" s="181" t="s">
        <v>398</v>
      </c>
      <c r="B41" s="294" t="s">
        <v>399</v>
      </c>
      <c r="C41" s="198">
        <v>0</v>
      </c>
      <c r="D41" s="198">
        <v>0</v>
      </c>
      <c r="E41" s="198">
        <v>0</v>
      </c>
      <c r="F41" s="198">
        <v>0</v>
      </c>
      <c r="G41" s="198">
        <v>-3.0339999999999998</v>
      </c>
      <c r="H41" s="198">
        <v>0</v>
      </c>
      <c r="I41" s="198">
        <v>0</v>
      </c>
      <c r="J41" s="198">
        <v>-30.841999999999999</v>
      </c>
      <c r="K41" s="198">
        <v>0</v>
      </c>
      <c r="L41" s="198">
        <v>0</v>
      </c>
      <c r="M41" s="11"/>
      <c r="N41" s="11"/>
      <c r="O41" s="11"/>
      <c r="P41" s="11"/>
      <c r="Q41" s="11"/>
      <c r="R41" s="11"/>
    </row>
    <row r="42" spans="1:1010 1027:2036 2053:3062 3079:4088 4105:5114 5131:6140 6157:7166 7183:8192 8209:9200 9217:10226 10243:11252 11269:12278 12295:13304 13321:14330 14347:15356 15373:16382" x14ac:dyDescent="0.35">
      <c r="A42" s="181" t="s">
        <v>400</v>
      </c>
      <c r="B42" s="294" t="s">
        <v>401</v>
      </c>
      <c r="C42" s="198">
        <v>0</v>
      </c>
      <c r="D42" s="198">
        <v>0</v>
      </c>
      <c r="E42" s="198">
        <v>0</v>
      </c>
      <c r="F42" s="198">
        <v>0</v>
      </c>
      <c r="G42" s="198">
        <v>0</v>
      </c>
      <c r="H42" s="198">
        <v>0</v>
      </c>
      <c r="I42" s="198">
        <v>0</v>
      </c>
      <c r="J42" s="198">
        <v>0</v>
      </c>
      <c r="K42" s="198">
        <v>0</v>
      </c>
      <c r="L42" s="198">
        <v>0</v>
      </c>
      <c r="M42" s="11"/>
      <c r="N42" s="11"/>
      <c r="O42" s="11"/>
      <c r="P42" s="11"/>
      <c r="Q42" s="11"/>
      <c r="R42" s="11"/>
    </row>
    <row r="43" spans="1:1010 1027:2036 2053:3062 3079:4088 4105:5114 5131:6140 6157:7166 7183:8192 8209:9200 9217:10226 10243:11252 11269:12278 12295:13304 13321:14330 14347:15356 15373:16382" x14ac:dyDescent="0.35">
      <c r="A43" s="23" t="s">
        <v>29</v>
      </c>
      <c r="B43" s="295"/>
      <c r="C43" s="321">
        <f t="shared" ref="C43:L43" si="5">ROUND(SUM(C40:C42)-IF(C39="",0,C39),1)</f>
        <v>0</v>
      </c>
      <c r="D43" s="321">
        <f t="shared" si="5"/>
        <v>0</v>
      </c>
      <c r="E43" s="321">
        <f t="shared" si="5"/>
        <v>0</v>
      </c>
      <c r="F43" s="321">
        <f t="shared" si="5"/>
        <v>0</v>
      </c>
      <c r="G43" s="321">
        <f t="shared" si="5"/>
        <v>0</v>
      </c>
      <c r="H43" s="321">
        <f t="shared" si="5"/>
        <v>0</v>
      </c>
      <c r="I43" s="321">
        <f t="shared" si="5"/>
        <v>0</v>
      </c>
      <c r="J43" s="321">
        <f t="shared" si="5"/>
        <v>0</v>
      </c>
      <c r="K43" s="321">
        <f t="shared" si="5"/>
        <v>0</v>
      </c>
      <c r="L43" s="321">
        <f t="shared" si="5"/>
        <v>0</v>
      </c>
      <c r="M43" s="118"/>
      <c r="N43" s="118"/>
      <c r="O43" s="118"/>
      <c r="P43" s="118"/>
      <c r="Q43" s="118"/>
      <c r="R43" s="118"/>
    </row>
    <row r="44" spans="1:1010 1027:2036 2053:3062 3079:4088 4105:5114 5131:6140 6157:7166 7183:8192 8209:9200 9217:10226 10243:11252 11269:12278 12295:13304 13321:14330 14347:15356 15373:16382" s="11" customFormat="1" x14ac:dyDescent="0.35">
      <c r="A44" s="183" t="s">
        <v>402</v>
      </c>
      <c r="B44" s="293" t="s">
        <v>403</v>
      </c>
      <c r="C44" s="184">
        <v>1.5980000000000001</v>
      </c>
      <c r="D44" s="184">
        <v>-1.1160000000000001</v>
      </c>
      <c r="E44" s="184">
        <v>-0.72899999999999998</v>
      </c>
      <c r="F44" s="184">
        <v>1.992</v>
      </c>
      <c r="G44" s="184">
        <v>-17.989999999999998</v>
      </c>
      <c r="H44" s="184">
        <v>-1.1080000000000001</v>
      </c>
      <c r="I44" s="184">
        <v>6.6449999999999996</v>
      </c>
      <c r="J44" s="184">
        <v>2.2000000000000002</v>
      </c>
      <c r="K44" s="184">
        <v>3.0379999999999998</v>
      </c>
      <c r="L44" s="184">
        <v>-6.8150000000000004</v>
      </c>
      <c r="S44" s="12"/>
      <c r="T44" s="12"/>
      <c r="AK44" s="12"/>
      <c r="AL44" s="12"/>
      <c r="BC44" s="12"/>
      <c r="BD44" s="12"/>
      <c r="BU44" s="12"/>
      <c r="BV44" s="12"/>
      <c r="CM44" s="12"/>
      <c r="CN44" s="12"/>
      <c r="DE44" s="12"/>
      <c r="DF44" s="12"/>
      <c r="DW44" s="12"/>
      <c r="DX44" s="12"/>
      <c r="EO44" s="12"/>
      <c r="EP44" s="12"/>
      <c r="FG44" s="12"/>
      <c r="FH44" s="12"/>
      <c r="FY44" s="12"/>
      <c r="FZ44" s="12"/>
      <c r="GQ44" s="12"/>
      <c r="GR44" s="12"/>
      <c r="HI44" s="12"/>
      <c r="HJ44" s="12"/>
      <c r="IA44" s="12"/>
      <c r="IB44" s="12"/>
      <c r="IS44" s="12"/>
      <c r="IT44" s="12"/>
      <c r="JK44" s="12"/>
      <c r="JL44" s="12"/>
      <c r="KC44" s="12"/>
      <c r="KD44" s="12"/>
      <c r="KU44" s="12"/>
      <c r="KV44" s="12"/>
      <c r="LM44" s="12"/>
      <c r="LN44" s="12"/>
      <c r="ME44" s="12"/>
      <c r="MF44" s="12"/>
      <c r="MW44" s="12"/>
      <c r="MX44" s="12"/>
      <c r="NO44" s="12"/>
      <c r="NP44" s="12"/>
      <c r="OG44" s="12"/>
      <c r="OH44" s="12"/>
      <c r="OY44" s="12"/>
      <c r="OZ44" s="12"/>
      <c r="PQ44" s="12"/>
      <c r="PR44" s="12"/>
      <c r="QI44" s="12"/>
      <c r="QJ44" s="12"/>
      <c r="RA44" s="12"/>
      <c r="RB44" s="12"/>
      <c r="RS44" s="12"/>
      <c r="RT44" s="12"/>
      <c r="SK44" s="12"/>
      <c r="SL44" s="12"/>
      <c r="TC44" s="12"/>
      <c r="TD44" s="12"/>
      <c r="TU44" s="12"/>
      <c r="TV44" s="12"/>
      <c r="UM44" s="12"/>
      <c r="UN44" s="12"/>
      <c r="VE44" s="12"/>
      <c r="VF44" s="12"/>
      <c r="VW44" s="12"/>
      <c r="VX44" s="12"/>
      <c r="WO44" s="12"/>
      <c r="WP44" s="12"/>
      <c r="XG44" s="12"/>
      <c r="XH44" s="12"/>
      <c r="XY44" s="12"/>
      <c r="XZ44" s="12"/>
      <c r="YQ44" s="12"/>
      <c r="YR44" s="12"/>
      <c r="ZI44" s="12"/>
      <c r="ZJ44" s="12"/>
      <c r="AAA44" s="12"/>
      <c r="AAB44" s="12"/>
      <c r="AAS44" s="12"/>
      <c r="AAT44" s="12"/>
      <c r="ABK44" s="12"/>
      <c r="ABL44" s="12"/>
      <c r="ACC44" s="12"/>
      <c r="ACD44" s="12"/>
      <c r="ACU44" s="12"/>
      <c r="ACV44" s="12"/>
      <c r="ADM44" s="12"/>
      <c r="ADN44" s="12"/>
      <c r="AEE44" s="12"/>
      <c r="AEF44" s="12"/>
      <c r="AEW44" s="12"/>
      <c r="AEX44" s="12"/>
      <c r="AFO44" s="12"/>
      <c r="AFP44" s="12"/>
      <c r="AGG44" s="12"/>
      <c r="AGH44" s="12"/>
      <c r="AGY44" s="12"/>
      <c r="AGZ44" s="12"/>
      <c r="AHQ44" s="12"/>
      <c r="AHR44" s="12"/>
      <c r="AII44" s="12"/>
      <c r="AIJ44" s="12"/>
      <c r="AJA44" s="12"/>
      <c r="AJB44" s="12"/>
      <c r="AJS44" s="12"/>
      <c r="AJT44" s="12"/>
      <c r="AKK44" s="12"/>
      <c r="AKL44" s="12"/>
      <c r="ALC44" s="12"/>
      <c r="ALD44" s="12"/>
      <c r="ALU44" s="12"/>
      <c r="ALV44" s="12"/>
      <c r="AMM44" s="12"/>
      <c r="AMN44" s="12"/>
      <c r="ANE44" s="12"/>
      <c r="ANF44" s="12"/>
      <c r="ANW44" s="12"/>
      <c r="ANX44" s="12"/>
      <c r="AOO44" s="12"/>
      <c r="AOP44" s="12"/>
      <c r="APG44" s="12"/>
      <c r="APH44" s="12"/>
      <c r="APY44" s="12"/>
      <c r="APZ44" s="12"/>
      <c r="AQQ44" s="12"/>
      <c r="AQR44" s="12"/>
      <c r="ARI44" s="12"/>
      <c r="ARJ44" s="12"/>
      <c r="ASA44" s="12"/>
      <c r="ASB44" s="12"/>
      <c r="ASS44" s="12"/>
      <c r="AST44" s="12"/>
      <c r="ATK44" s="12"/>
      <c r="ATL44" s="12"/>
      <c r="AUC44" s="12"/>
      <c r="AUD44" s="12"/>
      <c r="AUU44" s="12"/>
      <c r="AUV44" s="12"/>
      <c r="AVM44" s="12"/>
      <c r="AVN44" s="12"/>
      <c r="AWE44" s="12"/>
      <c r="AWF44" s="12"/>
      <c r="AWW44" s="12"/>
      <c r="AWX44" s="12"/>
      <c r="AXO44" s="12"/>
      <c r="AXP44" s="12"/>
      <c r="AYG44" s="12"/>
      <c r="AYH44" s="12"/>
      <c r="AYY44" s="12"/>
      <c r="AYZ44" s="12"/>
      <c r="AZQ44" s="12"/>
      <c r="AZR44" s="12"/>
      <c r="BAI44" s="12"/>
      <c r="BAJ44" s="12"/>
      <c r="BBA44" s="12"/>
      <c r="BBB44" s="12"/>
      <c r="BBS44" s="12"/>
      <c r="BBT44" s="12"/>
      <c r="BCK44" s="12"/>
      <c r="BCL44" s="12"/>
      <c r="BDC44" s="12"/>
      <c r="BDD44" s="12"/>
      <c r="BDU44" s="12"/>
      <c r="BDV44" s="12"/>
      <c r="BEM44" s="12"/>
      <c r="BEN44" s="12"/>
      <c r="BFE44" s="12"/>
      <c r="BFF44" s="12"/>
      <c r="BFW44" s="12"/>
      <c r="BFX44" s="12"/>
      <c r="BGO44" s="12"/>
      <c r="BGP44" s="12"/>
      <c r="BHG44" s="12"/>
      <c r="BHH44" s="12"/>
      <c r="BHY44" s="12"/>
      <c r="BHZ44" s="12"/>
      <c r="BIQ44" s="12"/>
      <c r="BIR44" s="12"/>
      <c r="BJI44" s="12"/>
      <c r="BJJ44" s="12"/>
      <c r="BKA44" s="12"/>
      <c r="BKB44" s="12"/>
      <c r="BKS44" s="12"/>
      <c r="BKT44" s="12"/>
      <c r="BLK44" s="12"/>
      <c r="BLL44" s="12"/>
      <c r="BMC44" s="12"/>
      <c r="BMD44" s="12"/>
      <c r="BMU44" s="12"/>
      <c r="BMV44" s="12"/>
      <c r="BNM44" s="12"/>
      <c r="BNN44" s="12"/>
      <c r="BOE44" s="12"/>
      <c r="BOF44" s="12"/>
      <c r="BOW44" s="12"/>
      <c r="BOX44" s="12"/>
      <c r="BPO44" s="12"/>
      <c r="BPP44" s="12"/>
      <c r="BQG44" s="12"/>
      <c r="BQH44" s="12"/>
      <c r="BQY44" s="12"/>
      <c r="BQZ44" s="12"/>
      <c r="BRQ44" s="12"/>
      <c r="BRR44" s="12"/>
      <c r="BSI44" s="12"/>
      <c r="BSJ44" s="12"/>
      <c r="BTA44" s="12"/>
      <c r="BTB44" s="12"/>
      <c r="BTS44" s="12"/>
      <c r="BTT44" s="12"/>
      <c r="BUK44" s="12"/>
      <c r="BUL44" s="12"/>
      <c r="BVC44" s="12"/>
      <c r="BVD44" s="12"/>
      <c r="BVU44" s="12"/>
      <c r="BVV44" s="12"/>
      <c r="BWM44" s="12"/>
      <c r="BWN44" s="12"/>
      <c r="BXE44" s="12"/>
      <c r="BXF44" s="12"/>
      <c r="BXW44" s="12"/>
      <c r="BXX44" s="12"/>
      <c r="BYO44" s="12"/>
      <c r="BYP44" s="12"/>
      <c r="BZG44" s="12"/>
      <c r="BZH44" s="12"/>
      <c r="BZY44" s="12"/>
      <c r="BZZ44" s="12"/>
      <c r="CAQ44" s="12"/>
      <c r="CAR44" s="12"/>
      <c r="CBI44" s="12"/>
      <c r="CBJ44" s="12"/>
      <c r="CCA44" s="12"/>
      <c r="CCB44" s="12"/>
      <c r="CCS44" s="12"/>
      <c r="CCT44" s="12"/>
      <c r="CDK44" s="12"/>
      <c r="CDL44" s="12"/>
      <c r="CEC44" s="12"/>
      <c r="CED44" s="12"/>
      <c r="CEU44" s="12"/>
      <c r="CEV44" s="12"/>
      <c r="CFM44" s="12"/>
      <c r="CFN44" s="12"/>
      <c r="CGE44" s="12"/>
      <c r="CGF44" s="12"/>
      <c r="CGW44" s="12"/>
      <c r="CGX44" s="12"/>
      <c r="CHO44" s="12"/>
      <c r="CHP44" s="12"/>
      <c r="CIG44" s="12"/>
      <c r="CIH44" s="12"/>
      <c r="CIY44" s="12"/>
      <c r="CIZ44" s="12"/>
      <c r="CJQ44" s="12"/>
      <c r="CJR44" s="12"/>
      <c r="CKI44" s="12"/>
      <c r="CKJ44" s="12"/>
      <c r="CLA44" s="12"/>
      <c r="CLB44" s="12"/>
      <c r="CLS44" s="12"/>
      <c r="CLT44" s="12"/>
      <c r="CMK44" s="12"/>
      <c r="CML44" s="12"/>
      <c r="CNC44" s="12"/>
      <c r="CND44" s="12"/>
      <c r="CNU44" s="12"/>
      <c r="CNV44" s="12"/>
      <c r="COM44" s="12"/>
      <c r="CON44" s="12"/>
      <c r="CPE44" s="12"/>
      <c r="CPF44" s="12"/>
      <c r="CPW44" s="12"/>
      <c r="CPX44" s="12"/>
      <c r="CQO44" s="12"/>
      <c r="CQP44" s="12"/>
      <c r="CRG44" s="12"/>
      <c r="CRH44" s="12"/>
      <c r="CRY44" s="12"/>
      <c r="CRZ44" s="12"/>
      <c r="CSQ44" s="12"/>
      <c r="CSR44" s="12"/>
      <c r="CTI44" s="12"/>
      <c r="CTJ44" s="12"/>
      <c r="CUA44" s="12"/>
      <c r="CUB44" s="12"/>
      <c r="CUS44" s="12"/>
      <c r="CUT44" s="12"/>
      <c r="CVK44" s="12"/>
      <c r="CVL44" s="12"/>
      <c r="CWC44" s="12"/>
      <c r="CWD44" s="12"/>
      <c r="CWU44" s="12"/>
      <c r="CWV44" s="12"/>
      <c r="CXM44" s="12"/>
      <c r="CXN44" s="12"/>
      <c r="CYE44" s="12"/>
      <c r="CYF44" s="12"/>
      <c r="CYW44" s="12"/>
      <c r="CYX44" s="12"/>
      <c r="CZO44" s="12"/>
      <c r="CZP44" s="12"/>
      <c r="DAG44" s="12"/>
      <c r="DAH44" s="12"/>
      <c r="DAY44" s="12"/>
      <c r="DAZ44" s="12"/>
      <c r="DBQ44" s="12"/>
      <c r="DBR44" s="12"/>
      <c r="DCI44" s="12"/>
      <c r="DCJ44" s="12"/>
      <c r="DDA44" s="12"/>
      <c r="DDB44" s="12"/>
      <c r="DDS44" s="12"/>
      <c r="DDT44" s="12"/>
      <c r="DEK44" s="12"/>
      <c r="DEL44" s="12"/>
      <c r="DFC44" s="12"/>
      <c r="DFD44" s="12"/>
      <c r="DFU44" s="12"/>
      <c r="DFV44" s="12"/>
      <c r="DGM44" s="12"/>
      <c r="DGN44" s="12"/>
      <c r="DHE44" s="12"/>
      <c r="DHF44" s="12"/>
      <c r="DHW44" s="12"/>
      <c r="DHX44" s="12"/>
      <c r="DIO44" s="12"/>
      <c r="DIP44" s="12"/>
      <c r="DJG44" s="12"/>
      <c r="DJH44" s="12"/>
      <c r="DJY44" s="12"/>
      <c r="DJZ44" s="12"/>
      <c r="DKQ44" s="12"/>
      <c r="DKR44" s="12"/>
      <c r="DLI44" s="12"/>
      <c r="DLJ44" s="12"/>
      <c r="DMA44" s="12"/>
      <c r="DMB44" s="12"/>
      <c r="DMS44" s="12"/>
      <c r="DMT44" s="12"/>
      <c r="DNK44" s="12"/>
      <c r="DNL44" s="12"/>
      <c r="DOC44" s="12"/>
      <c r="DOD44" s="12"/>
      <c r="DOU44" s="12"/>
      <c r="DOV44" s="12"/>
      <c r="DPM44" s="12"/>
      <c r="DPN44" s="12"/>
      <c r="DQE44" s="12"/>
      <c r="DQF44" s="12"/>
      <c r="DQW44" s="12"/>
      <c r="DQX44" s="12"/>
      <c r="DRO44" s="12"/>
      <c r="DRP44" s="12"/>
      <c r="DSG44" s="12"/>
      <c r="DSH44" s="12"/>
      <c r="DSY44" s="12"/>
      <c r="DSZ44" s="12"/>
      <c r="DTQ44" s="12"/>
      <c r="DTR44" s="12"/>
      <c r="DUI44" s="12"/>
      <c r="DUJ44" s="12"/>
      <c r="DVA44" s="12"/>
      <c r="DVB44" s="12"/>
      <c r="DVS44" s="12"/>
      <c r="DVT44" s="12"/>
      <c r="DWK44" s="12"/>
      <c r="DWL44" s="12"/>
      <c r="DXC44" s="12"/>
      <c r="DXD44" s="12"/>
      <c r="DXU44" s="12"/>
      <c r="DXV44" s="12"/>
      <c r="DYM44" s="12"/>
      <c r="DYN44" s="12"/>
      <c r="DZE44" s="12"/>
      <c r="DZF44" s="12"/>
      <c r="DZW44" s="12"/>
      <c r="DZX44" s="12"/>
      <c r="EAO44" s="12"/>
      <c r="EAP44" s="12"/>
      <c r="EBG44" s="12"/>
      <c r="EBH44" s="12"/>
      <c r="EBY44" s="12"/>
      <c r="EBZ44" s="12"/>
      <c r="ECQ44" s="12"/>
      <c r="ECR44" s="12"/>
      <c r="EDI44" s="12"/>
      <c r="EDJ44" s="12"/>
      <c r="EEA44" s="12"/>
      <c r="EEB44" s="12"/>
      <c r="EES44" s="12"/>
      <c r="EET44" s="12"/>
      <c r="EFK44" s="12"/>
      <c r="EFL44" s="12"/>
      <c r="EGC44" s="12"/>
      <c r="EGD44" s="12"/>
      <c r="EGU44" s="12"/>
      <c r="EGV44" s="12"/>
      <c r="EHM44" s="12"/>
      <c r="EHN44" s="12"/>
      <c r="EIE44" s="12"/>
      <c r="EIF44" s="12"/>
      <c r="EIW44" s="12"/>
      <c r="EIX44" s="12"/>
      <c r="EJO44" s="12"/>
      <c r="EJP44" s="12"/>
      <c r="EKG44" s="12"/>
      <c r="EKH44" s="12"/>
      <c r="EKY44" s="12"/>
      <c r="EKZ44" s="12"/>
      <c r="ELQ44" s="12"/>
      <c r="ELR44" s="12"/>
      <c r="EMI44" s="12"/>
      <c r="EMJ44" s="12"/>
      <c r="ENA44" s="12"/>
      <c r="ENB44" s="12"/>
      <c r="ENS44" s="12"/>
      <c r="ENT44" s="12"/>
      <c r="EOK44" s="12"/>
      <c r="EOL44" s="12"/>
      <c r="EPC44" s="12"/>
      <c r="EPD44" s="12"/>
      <c r="EPU44" s="12"/>
      <c r="EPV44" s="12"/>
      <c r="EQM44" s="12"/>
      <c r="EQN44" s="12"/>
      <c r="ERE44" s="12"/>
      <c r="ERF44" s="12"/>
      <c r="ERW44" s="12"/>
      <c r="ERX44" s="12"/>
      <c r="ESO44" s="12"/>
      <c r="ESP44" s="12"/>
      <c r="ETG44" s="12"/>
      <c r="ETH44" s="12"/>
      <c r="ETY44" s="12"/>
      <c r="ETZ44" s="12"/>
      <c r="EUQ44" s="12"/>
      <c r="EUR44" s="12"/>
      <c r="EVI44" s="12"/>
      <c r="EVJ44" s="12"/>
      <c r="EWA44" s="12"/>
      <c r="EWB44" s="12"/>
      <c r="EWS44" s="12"/>
      <c r="EWT44" s="12"/>
      <c r="EXK44" s="12"/>
      <c r="EXL44" s="12"/>
      <c r="EYC44" s="12"/>
      <c r="EYD44" s="12"/>
      <c r="EYU44" s="12"/>
      <c r="EYV44" s="12"/>
      <c r="EZM44" s="12"/>
      <c r="EZN44" s="12"/>
      <c r="FAE44" s="12"/>
      <c r="FAF44" s="12"/>
      <c r="FAW44" s="12"/>
      <c r="FAX44" s="12"/>
      <c r="FBO44" s="12"/>
      <c r="FBP44" s="12"/>
      <c r="FCG44" s="12"/>
      <c r="FCH44" s="12"/>
      <c r="FCY44" s="12"/>
      <c r="FCZ44" s="12"/>
      <c r="FDQ44" s="12"/>
      <c r="FDR44" s="12"/>
      <c r="FEI44" s="12"/>
      <c r="FEJ44" s="12"/>
      <c r="FFA44" s="12"/>
      <c r="FFB44" s="12"/>
      <c r="FFS44" s="12"/>
      <c r="FFT44" s="12"/>
      <c r="FGK44" s="12"/>
      <c r="FGL44" s="12"/>
      <c r="FHC44" s="12"/>
      <c r="FHD44" s="12"/>
      <c r="FHU44" s="12"/>
      <c r="FHV44" s="12"/>
      <c r="FIM44" s="12"/>
      <c r="FIN44" s="12"/>
      <c r="FJE44" s="12"/>
      <c r="FJF44" s="12"/>
      <c r="FJW44" s="12"/>
      <c r="FJX44" s="12"/>
      <c r="FKO44" s="12"/>
      <c r="FKP44" s="12"/>
      <c r="FLG44" s="12"/>
      <c r="FLH44" s="12"/>
      <c r="FLY44" s="12"/>
      <c r="FLZ44" s="12"/>
      <c r="FMQ44" s="12"/>
      <c r="FMR44" s="12"/>
      <c r="FNI44" s="12"/>
      <c r="FNJ44" s="12"/>
      <c r="FOA44" s="12"/>
      <c r="FOB44" s="12"/>
      <c r="FOS44" s="12"/>
      <c r="FOT44" s="12"/>
      <c r="FPK44" s="12"/>
      <c r="FPL44" s="12"/>
      <c r="FQC44" s="12"/>
      <c r="FQD44" s="12"/>
      <c r="FQU44" s="12"/>
      <c r="FQV44" s="12"/>
      <c r="FRM44" s="12"/>
      <c r="FRN44" s="12"/>
      <c r="FSE44" s="12"/>
      <c r="FSF44" s="12"/>
      <c r="FSW44" s="12"/>
      <c r="FSX44" s="12"/>
      <c r="FTO44" s="12"/>
      <c r="FTP44" s="12"/>
      <c r="FUG44" s="12"/>
      <c r="FUH44" s="12"/>
      <c r="FUY44" s="12"/>
      <c r="FUZ44" s="12"/>
      <c r="FVQ44" s="12"/>
      <c r="FVR44" s="12"/>
      <c r="FWI44" s="12"/>
      <c r="FWJ44" s="12"/>
      <c r="FXA44" s="12"/>
      <c r="FXB44" s="12"/>
      <c r="FXS44" s="12"/>
      <c r="FXT44" s="12"/>
      <c r="FYK44" s="12"/>
      <c r="FYL44" s="12"/>
      <c r="FZC44" s="12"/>
      <c r="FZD44" s="12"/>
      <c r="FZU44" s="12"/>
      <c r="FZV44" s="12"/>
      <c r="GAM44" s="12"/>
      <c r="GAN44" s="12"/>
      <c r="GBE44" s="12"/>
      <c r="GBF44" s="12"/>
      <c r="GBW44" s="12"/>
      <c r="GBX44" s="12"/>
      <c r="GCO44" s="12"/>
      <c r="GCP44" s="12"/>
      <c r="GDG44" s="12"/>
      <c r="GDH44" s="12"/>
      <c r="GDY44" s="12"/>
      <c r="GDZ44" s="12"/>
      <c r="GEQ44" s="12"/>
      <c r="GER44" s="12"/>
      <c r="GFI44" s="12"/>
      <c r="GFJ44" s="12"/>
      <c r="GGA44" s="12"/>
      <c r="GGB44" s="12"/>
      <c r="GGS44" s="12"/>
      <c r="GGT44" s="12"/>
      <c r="GHK44" s="12"/>
      <c r="GHL44" s="12"/>
      <c r="GIC44" s="12"/>
      <c r="GID44" s="12"/>
      <c r="GIU44" s="12"/>
      <c r="GIV44" s="12"/>
      <c r="GJM44" s="12"/>
      <c r="GJN44" s="12"/>
      <c r="GKE44" s="12"/>
      <c r="GKF44" s="12"/>
      <c r="GKW44" s="12"/>
      <c r="GKX44" s="12"/>
      <c r="GLO44" s="12"/>
      <c r="GLP44" s="12"/>
      <c r="GMG44" s="12"/>
      <c r="GMH44" s="12"/>
      <c r="GMY44" s="12"/>
      <c r="GMZ44" s="12"/>
      <c r="GNQ44" s="12"/>
      <c r="GNR44" s="12"/>
      <c r="GOI44" s="12"/>
      <c r="GOJ44" s="12"/>
      <c r="GPA44" s="12"/>
      <c r="GPB44" s="12"/>
      <c r="GPS44" s="12"/>
      <c r="GPT44" s="12"/>
      <c r="GQK44" s="12"/>
      <c r="GQL44" s="12"/>
      <c r="GRC44" s="12"/>
      <c r="GRD44" s="12"/>
      <c r="GRU44" s="12"/>
      <c r="GRV44" s="12"/>
      <c r="GSM44" s="12"/>
      <c r="GSN44" s="12"/>
      <c r="GTE44" s="12"/>
      <c r="GTF44" s="12"/>
      <c r="GTW44" s="12"/>
      <c r="GTX44" s="12"/>
      <c r="GUO44" s="12"/>
      <c r="GUP44" s="12"/>
      <c r="GVG44" s="12"/>
      <c r="GVH44" s="12"/>
      <c r="GVY44" s="12"/>
      <c r="GVZ44" s="12"/>
      <c r="GWQ44" s="12"/>
      <c r="GWR44" s="12"/>
      <c r="GXI44" s="12"/>
      <c r="GXJ44" s="12"/>
      <c r="GYA44" s="12"/>
      <c r="GYB44" s="12"/>
      <c r="GYS44" s="12"/>
      <c r="GYT44" s="12"/>
      <c r="GZK44" s="12"/>
      <c r="GZL44" s="12"/>
      <c r="HAC44" s="12"/>
      <c r="HAD44" s="12"/>
      <c r="HAU44" s="12"/>
      <c r="HAV44" s="12"/>
      <c r="HBM44" s="12"/>
      <c r="HBN44" s="12"/>
      <c r="HCE44" s="12"/>
      <c r="HCF44" s="12"/>
      <c r="HCW44" s="12"/>
      <c r="HCX44" s="12"/>
      <c r="HDO44" s="12"/>
      <c r="HDP44" s="12"/>
      <c r="HEG44" s="12"/>
      <c r="HEH44" s="12"/>
      <c r="HEY44" s="12"/>
      <c r="HEZ44" s="12"/>
      <c r="HFQ44" s="12"/>
      <c r="HFR44" s="12"/>
      <c r="HGI44" s="12"/>
      <c r="HGJ44" s="12"/>
      <c r="HHA44" s="12"/>
      <c r="HHB44" s="12"/>
      <c r="HHS44" s="12"/>
      <c r="HHT44" s="12"/>
      <c r="HIK44" s="12"/>
      <c r="HIL44" s="12"/>
      <c r="HJC44" s="12"/>
      <c r="HJD44" s="12"/>
      <c r="HJU44" s="12"/>
      <c r="HJV44" s="12"/>
      <c r="HKM44" s="12"/>
      <c r="HKN44" s="12"/>
      <c r="HLE44" s="12"/>
      <c r="HLF44" s="12"/>
      <c r="HLW44" s="12"/>
      <c r="HLX44" s="12"/>
      <c r="HMO44" s="12"/>
      <c r="HMP44" s="12"/>
      <c r="HNG44" s="12"/>
      <c r="HNH44" s="12"/>
      <c r="HNY44" s="12"/>
      <c r="HNZ44" s="12"/>
      <c r="HOQ44" s="12"/>
      <c r="HOR44" s="12"/>
      <c r="HPI44" s="12"/>
      <c r="HPJ44" s="12"/>
      <c r="HQA44" s="12"/>
      <c r="HQB44" s="12"/>
      <c r="HQS44" s="12"/>
      <c r="HQT44" s="12"/>
      <c r="HRK44" s="12"/>
      <c r="HRL44" s="12"/>
      <c r="HSC44" s="12"/>
      <c r="HSD44" s="12"/>
      <c r="HSU44" s="12"/>
      <c r="HSV44" s="12"/>
      <c r="HTM44" s="12"/>
      <c r="HTN44" s="12"/>
      <c r="HUE44" s="12"/>
      <c r="HUF44" s="12"/>
      <c r="HUW44" s="12"/>
      <c r="HUX44" s="12"/>
      <c r="HVO44" s="12"/>
      <c r="HVP44" s="12"/>
      <c r="HWG44" s="12"/>
      <c r="HWH44" s="12"/>
      <c r="HWY44" s="12"/>
      <c r="HWZ44" s="12"/>
      <c r="HXQ44" s="12"/>
      <c r="HXR44" s="12"/>
      <c r="HYI44" s="12"/>
      <c r="HYJ44" s="12"/>
      <c r="HZA44" s="12"/>
      <c r="HZB44" s="12"/>
      <c r="HZS44" s="12"/>
      <c r="HZT44" s="12"/>
      <c r="IAK44" s="12"/>
      <c r="IAL44" s="12"/>
      <c r="IBC44" s="12"/>
      <c r="IBD44" s="12"/>
      <c r="IBU44" s="12"/>
      <c r="IBV44" s="12"/>
      <c r="ICM44" s="12"/>
      <c r="ICN44" s="12"/>
      <c r="IDE44" s="12"/>
      <c r="IDF44" s="12"/>
      <c r="IDW44" s="12"/>
      <c r="IDX44" s="12"/>
      <c r="IEO44" s="12"/>
      <c r="IEP44" s="12"/>
      <c r="IFG44" s="12"/>
      <c r="IFH44" s="12"/>
      <c r="IFY44" s="12"/>
      <c r="IFZ44" s="12"/>
      <c r="IGQ44" s="12"/>
      <c r="IGR44" s="12"/>
      <c r="IHI44" s="12"/>
      <c r="IHJ44" s="12"/>
      <c r="IIA44" s="12"/>
      <c r="IIB44" s="12"/>
      <c r="IIS44" s="12"/>
      <c r="IIT44" s="12"/>
      <c r="IJK44" s="12"/>
      <c r="IJL44" s="12"/>
      <c r="IKC44" s="12"/>
      <c r="IKD44" s="12"/>
      <c r="IKU44" s="12"/>
      <c r="IKV44" s="12"/>
      <c r="ILM44" s="12"/>
      <c r="ILN44" s="12"/>
      <c r="IME44" s="12"/>
      <c r="IMF44" s="12"/>
      <c r="IMW44" s="12"/>
      <c r="IMX44" s="12"/>
      <c r="INO44" s="12"/>
      <c r="INP44" s="12"/>
      <c r="IOG44" s="12"/>
      <c r="IOH44" s="12"/>
      <c r="IOY44" s="12"/>
      <c r="IOZ44" s="12"/>
      <c r="IPQ44" s="12"/>
      <c r="IPR44" s="12"/>
      <c r="IQI44" s="12"/>
      <c r="IQJ44" s="12"/>
      <c r="IRA44" s="12"/>
      <c r="IRB44" s="12"/>
      <c r="IRS44" s="12"/>
      <c r="IRT44" s="12"/>
      <c r="ISK44" s="12"/>
      <c r="ISL44" s="12"/>
      <c r="ITC44" s="12"/>
      <c r="ITD44" s="12"/>
      <c r="ITU44" s="12"/>
      <c r="ITV44" s="12"/>
      <c r="IUM44" s="12"/>
      <c r="IUN44" s="12"/>
      <c r="IVE44" s="12"/>
      <c r="IVF44" s="12"/>
      <c r="IVW44" s="12"/>
      <c r="IVX44" s="12"/>
      <c r="IWO44" s="12"/>
      <c r="IWP44" s="12"/>
      <c r="IXG44" s="12"/>
      <c r="IXH44" s="12"/>
      <c r="IXY44" s="12"/>
      <c r="IXZ44" s="12"/>
      <c r="IYQ44" s="12"/>
      <c r="IYR44" s="12"/>
      <c r="IZI44" s="12"/>
      <c r="IZJ44" s="12"/>
      <c r="JAA44" s="12"/>
      <c r="JAB44" s="12"/>
      <c r="JAS44" s="12"/>
      <c r="JAT44" s="12"/>
      <c r="JBK44" s="12"/>
      <c r="JBL44" s="12"/>
      <c r="JCC44" s="12"/>
      <c r="JCD44" s="12"/>
      <c r="JCU44" s="12"/>
      <c r="JCV44" s="12"/>
      <c r="JDM44" s="12"/>
      <c r="JDN44" s="12"/>
      <c r="JEE44" s="12"/>
      <c r="JEF44" s="12"/>
      <c r="JEW44" s="12"/>
      <c r="JEX44" s="12"/>
      <c r="JFO44" s="12"/>
      <c r="JFP44" s="12"/>
      <c r="JGG44" s="12"/>
      <c r="JGH44" s="12"/>
      <c r="JGY44" s="12"/>
      <c r="JGZ44" s="12"/>
      <c r="JHQ44" s="12"/>
      <c r="JHR44" s="12"/>
      <c r="JII44" s="12"/>
      <c r="JIJ44" s="12"/>
      <c r="JJA44" s="12"/>
      <c r="JJB44" s="12"/>
      <c r="JJS44" s="12"/>
      <c r="JJT44" s="12"/>
      <c r="JKK44" s="12"/>
      <c r="JKL44" s="12"/>
      <c r="JLC44" s="12"/>
      <c r="JLD44" s="12"/>
      <c r="JLU44" s="12"/>
      <c r="JLV44" s="12"/>
      <c r="JMM44" s="12"/>
      <c r="JMN44" s="12"/>
      <c r="JNE44" s="12"/>
      <c r="JNF44" s="12"/>
      <c r="JNW44" s="12"/>
      <c r="JNX44" s="12"/>
      <c r="JOO44" s="12"/>
      <c r="JOP44" s="12"/>
      <c r="JPG44" s="12"/>
      <c r="JPH44" s="12"/>
      <c r="JPY44" s="12"/>
      <c r="JPZ44" s="12"/>
      <c r="JQQ44" s="12"/>
      <c r="JQR44" s="12"/>
      <c r="JRI44" s="12"/>
      <c r="JRJ44" s="12"/>
      <c r="JSA44" s="12"/>
      <c r="JSB44" s="12"/>
      <c r="JSS44" s="12"/>
      <c r="JST44" s="12"/>
      <c r="JTK44" s="12"/>
      <c r="JTL44" s="12"/>
      <c r="JUC44" s="12"/>
      <c r="JUD44" s="12"/>
      <c r="JUU44" s="12"/>
      <c r="JUV44" s="12"/>
      <c r="JVM44" s="12"/>
      <c r="JVN44" s="12"/>
      <c r="JWE44" s="12"/>
      <c r="JWF44" s="12"/>
      <c r="JWW44" s="12"/>
      <c r="JWX44" s="12"/>
      <c r="JXO44" s="12"/>
      <c r="JXP44" s="12"/>
      <c r="JYG44" s="12"/>
      <c r="JYH44" s="12"/>
      <c r="JYY44" s="12"/>
      <c r="JYZ44" s="12"/>
      <c r="JZQ44" s="12"/>
      <c r="JZR44" s="12"/>
      <c r="KAI44" s="12"/>
      <c r="KAJ44" s="12"/>
      <c r="KBA44" s="12"/>
      <c r="KBB44" s="12"/>
      <c r="KBS44" s="12"/>
      <c r="KBT44" s="12"/>
      <c r="KCK44" s="12"/>
      <c r="KCL44" s="12"/>
      <c r="KDC44" s="12"/>
      <c r="KDD44" s="12"/>
      <c r="KDU44" s="12"/>
      <c r="KDV44" s="12"/>
      <c r="KEM44" s="12"/>
      <c r="KEN44" s="12"/>
      <c r="KFE44" s="12"/>
      <c r="KFF44" s="12"/>
      <c r="KFW44" s="12"/>
      <c r="KFX44" s="12"/>
      <c r="KGO44" s="12"/>
      <c r="KGP44" s="12"/>
      <c r="KHG44" s="12"/>
      <c r="KHH44" s="12"/>
      <c r="KHY44" s="12"/>
      <c r="KHZ44" s="12"/>
      <c r="KIQ44" s="12"/>
      <c r="KIR44" s="12"/>
      <c r="KJI44" s="12"/>
      <c r="KJJ44" s="12"/>
      <c r="KKA44" s="12"/>
      <c r="KKB44" s="12"/>
      <c r="KKS44" s="12"/>
      <c r="KKT44" s="12"/>
      <c r="KLK44" s="12"/>
      <c r="KLL44" s="12"/>
      <c r="KMC44" s="12"/>
      <c r="KMD44" s="12"/>
      <c r="KMU44" s="12"/>
      <c r="KMV44" s="12"/>
      <c r="KNM44" s="12"/>
      <c r="KNN44" s="12"/>
      <c r="KOE44" s="12"/>
      <c r="KOF44" s="12"/>
      <c r="KOW44" s="12"/>
      <c r="KOX44" s="12"/>
      <c r="KPO44" s="12"/>
      <c r="KPP44" s="12"/>
      <c r="KQG44" s="12"/>
      <c r="KQH44" s="12"/>
      <c r="KQY44" s="12"/>
      <c r="KQZ44" s="12"/>
      <c r="KRQ44" s="12"/>
      <c r="KRR44" s="12"/>
      <c r="KSI44" s="12"/>
      <c r="KSJ44" s="12"/>
      <c r="KTA44" s="12"/>
      <c r="KTB44" s="12"/>
      <c r="KTS44" s="12"/>
      <c r="KTT44" s="12"/>
      <c r="KUK44" s="12"/>
      <c r="KUL44" s="12"/>
      <c r="KVC44" s="12"/>
      <c r="KVD44" s="12"/>
      <c r="KVU44" s="12"/>
      <c r="KVV44" s="12"/>
      <c r="KWM44" s="12"/>
      <c r="KWN44" s="12"/>
      <c r="KXE44" s="12"/>
      <c r="KXF44" s="12"/>
      <c r="KXW44" s="12"/>
      <c r="KXX44" s="12"/>
      <c r="KYO44" s="12"/>
      <c r="KYP44" s="12"/>
      <c r="KZG44" s="12"/>
      <c r="KZH44" s="12"/>
      <c r="KZY44" s="12"/>
      <c r="KZZ44" s="12"/>
      <c r="LAQ44" s="12"/>
      <c r="LAR44" s="12"/>
      <c r="LBI44" s="12"/>
      <c r="LBJ44" s="12"/>
      <c r="LCA44" s="12"/>
      <c r="LCB44" s="12"/>
      <c r="LCS44" s="12"/>
      <c r="LCT44" s="12"/>
      <c r="LDK44" s="12"/>
      <c r="LDL44" s="12"/>
      <c r="LEC44" s="12"/>
      <c r="LED44" s="12"/>
      <c r="LEU44" s="12"/>
      <c r="LEV44" s="12"/>
      <c r="LFM44" s="12"/>
      <c r="LFN44" s="12"/>
      <c r="LGE44" s="12"/>
      <c r="LGF44" s="12"/>
      <c r="LGW44" s="12"/>
      <c r="LGX44" s="12"/>
      <c r="LHO44" s="12"/>
      <c r="LHP44" s="12"/>
      <c r="LIG44" s="12"/>
      <c r="LIH44" s="12"/>
      <c r="LIY44" s="12"/>
      <c r="LIZ44" s="12"/>
      <c r="LJQ44" s="12"/>
      <c r="LJR44" s="12"/>
      <c r="LKI44" s="12"/>
      <c r="LKJ44" s="12"/>
      <c r="LLA44" s="12"/>
      <c r="LLB44" s="12"/>
      <c r="LLS44" s="12"/>
      <c r="LLT44" s="12"/>
      <c r="LMK44" s="12"/>
      <c r="LML44" s="12"/>
      <c r="LNC44" s="12"/>
      <c r="LND44" s="12"/>
      <c r="LNU44" s="12"/>
      <c r="LNV44" s="12"/>
      <c r="LOM44" s="12"/>
      <c r="LON44" s="12"/>
      <c r="LPE44" s="12"/>
      <c r="LPF44" s="12"/>
      <c r="LPW44" s="12"/>
      <c r="LPX44" s="12"/>
      <c r="LQO44" s="12"/>
      <c r="LQP44" s="12"/>
      <c r="LRG44" s="12"/>
      <c r="LRH44" s="12"/>
      <c r="LRY44" s="12"/>
      <c r="LRZ44" s="12"/>
      <c r="LSQ44" s="12"/>
      <c r="LSR44" s="12"/>
      <c r="LTI44" s="12"/>
      <c r="LTJ44" s="12"/>
      <c r="LUA44" s="12"/>
      <c r="LUB44" s="12"/>
      <c r="LUS44" s="12"/>
      <c r="LUT44" s="12"/>
      <c r="LVK44" s="12"/>
      <c r="LVL44" s="12"/>
      <c r="LWC44" s="12"/>
      <c r="LWD44" s="12"/>
      <c r="LWU44" s="12"/>
      <c r="LWV44" s="12"/>
      <c r="LXM44" s="12"/>
      <c r="LXN44" s="12"/>
      <c r="LYE44" s="12"/>
      <c r="LYF44" s="12"/>
      <c r="LYW44" s="12"/>
      <c r="LYX44" s="12"/>
      <c r="LZO44" s="12"/>
      <c r="LZP44" s="12"/>
      <c r="MAG44" s="12"/>
      <c r="MAH44" s="12"/>
      <c r="MAY44" s="12"/>
      <c r="MAZ44" s="12"/>
      <c r="MBQ44" s="12"/>
      <c r="MBR44" s="12"/>
      <c r="MCI44" s="12"/>
      <c r="MCJ44" s="12"/>
      <c r="MDA44" s="12"/>
      <c r="MDB44" s="12"/>
      <c r="MDS44" s="12"/>
      <c r="MDT44" s="12"/>
      <c r="MEK44" s="12"/>
      <c r="MEL44" s="12"/>
      <c r="MFC44" s="12"/>
      <c r="MFD44" s="12"/>
      <c r="MFU44" s="12"/>
      <c r="MFV44" s="12"/>
      <c r="MGM44" s="12"/>
      <c r="MGN44" s="12"/>
      <c r="MHE44" s="12"/>
      <c r="MHF44" s="12"/>
      <c r="MHW44" s="12"/>
      <c r="MHX44" s="12"/>
      <c r="MIO44" s="12"/>
      <c r="MIP44" s="12"/>
      <c r="MJG44" s="12"/>
      <c r="MJH44" s="12"/>
      <c r="MJY44" s="12"/>
      <c r="MJZ44" s="12"/>
      <c r="MKQ44" s="12"/>
      <c r="MKR44" s="12"/>
      <c r="MLI44" s="12"/>
      <c r="MLJ44" s="12"/>
      <c r="MMA44" s="12"/>
      <c r="MMB44" s="12"/>
      <c r="MMS44" s="12"/>
      <c r="MMT44" s="12"/>
      <c r="MNK44" s="12"/>
      <c r="MNL44" s="12"/>
      <c r="MOC44" s="12"/>
      <c r="MOD44" s="12"/>
      <c r="MOU44" s="12"/>
      <c r="MOV44" s="12"/>
      <c r="MPM44" s="12"/>
      <c r="MPN44" s="12"/>
      <c r="MQE44" s="12"/>
      <c r="MQF44" s="12"/>
      <c r="MQW44" s="12"/>
      <c r="MQX44" s="12"/>
      <c r="MRO44" s="12"/>
      <c r="MRP44" s="12"/>
      <c r="MSG44" s="12"/>
      <c r="MSH44" s="12"/>
      <c r="MSY44" s="12"/>
      <c r="MSZ44" s="12"/>
      <c r="MTQ44" s="12"/>
      <c r="MTR44" s="12"/>
      <c r="MUI44" s="12"/>
      <c r="MUJ44" s="12"/>
      <c r="MVA44" s="12"/>
      <c r="MVB44" s="12"/>
      <c r="MVS44" s="12"/>
      <c r="MVT44" s="12"/>
      <c r="MWK44" s="12"/>
      <c r="MWL44" s="12"/>
      <c r="MXC44" s="12"/>
      <c r="MXD44" s="12"/>
      <c r="MXU44" s="12"/>
      <c r="MXV44" s="12"/>
      <c r="MYM44" s="12"/>
      <c r="MYN44" s="12"/>
      <c r="MZE44" s="12"/>
      <c r="MZF44" s="12"/>
      <c r="MZW44" s="12"/>
      <c r="MZX44" s="12"/>
      <c r="NAO44" s="12"/>
      <c r="NAP44" s="12"/>
      <c r="NBG44" s="12"/>
      <c r="NBH44" s="12"/>
      <c r="NBY44" s="12"/>
      <c r="NBZ44" s="12"/>
      <c r="NCQ44" s="12"/>
      <c r="NCR44" s="12"/>
      <c r="NDI44" s="12"/>
      <c r="NDJ44" s="12"/>
      <c r="NEA44" s="12"/>
      <c r="NEB44" s="12"/>
      <c r="NES44" s="12"/>
      <c r="NET44" s="12"/>
      <c r="NFK44" s="12"/>
      <c r="NFL44" s="12"/>
      <c r="NGC44" s="12"/>
      <c r="NGD44" s="12"/>
      <c r="NGU44" s="12"/>
      <c r="NGV44" s="12"/>
      <c r="NHM44" s="12"/>
      <c r="NHN44" s="12"/>
      <c r="NIE44" s="12"/>
      <c r="NIF44" s="12"/>
      <c r="NIW44" s="12"/>
      <c r="NIX44" s="12"/>
      <c r="NJO44" s="12"/>
      <c r="NJP44" s="12"/>
      <c r="NKG44" s="12"/>
      <c r="NKH44" s="12"/>
      <c r="NKY44" s="12"/>
      <c r="NKZ44" s="12"/>
      <c r="NLQ44" s="12"/>
      <c r="NLR44" s="12"/>
      <c r="NMI44" s="12"/>
      <c r="NMJ44" s="12"/>
      <c r="NNA44" s="12"/>
      <c r="NNB44" s="12"/>
      <c r="NNS44" s="12"/>
      <c r="NNT44" s="12"/>
      <c r="NOK44" s="12"/>
      <c r="NOL44" s="12"/>
      <c r="NPC44" s="12"/>
      <c r="NPD44" s="12"/>
      <c r="NPU44" s="12"/>
      <c r="NPV44" s="12"/>
      <c r="NQM44" s="12"/>
      <c r="NQN44" s="12"/>
      <c r="NRE44" s="12"/>
      <c r="NRF44" s="12"/>
      <c r="NRW44" s="12"/>
      <c r="NRX44" s="12"/>
      <c r="NSO44" s="12"/>
      <c r="NSP44" s="12"/>
      <c r="NTG44" s="12"/>
      <c r="NTH44" s="12"/>
      <c r="NTY44" s="12"/>
      <c r="NTZ44" s="12"/>
      <c r="NUQ44" s="12"/>
      <c r="NUR44" s="12"/>
      <c r="NVI44" s="12"/>
      <c r="NVJ44" s="12"/>
      <c r="NWA44" s="12"/>
      <c r="NWB44" s="12"/>
      <c r="NWS44" s="12"/>
      <c r="NWT44" s="12"/>
      <c r="NXK44" s="12"/>
      <c r="NXL44" s="12"/>
      <c r="NYC44" s="12"/>
      <c r="NYD44" s="12"/>
      <c r="NYU44" s="12"/>
      <c r="NYV44" s="12"/>
      <c r="NZM44" s="12"/>
      <c r="NZN44" s="12"/>
      <c r="OAE44" s="12"/>
      <c r="OAF44" s="12"/>
      <c r="OAW44" s="12"/>
      <c r="OAX44" s="12"/>
      <c r="OBO44" s="12"/>
      <c r="OBP44" s="12"/>
      <c r="OCG44" s="12"/>
      <c r="OCH44" s="12"/>
      <c r="OCY44" s="12"/>
      <c r="OCZ44" s="12"/>
      <c r="ODQ44" s="12"/>
      <c r="ODR44" s="12"/>
      <c r="OEI44" s="12"/>
      <c r="OEJ44" s="12"/>
      <c r="OFA44" s="12"/>
      <c r="OFB44" s="12"/>
      <c r="OFS44" s="12"/>
      <c r="OFT44" s="12"/>
      <c r="OGK44" s="12"/>
      <c r="OGL44" s="12"/>
      <c r="OHC44" s="12"/>
      <c r="OHD44" s="12"/>
      <c r="OHU44" s="12"/>
      <c r="OHV44" s="12"/>
      <c r="OIM44" s="12"/>
      <c r="OIN44" s="12"/>
      <c r="OJE44" s="12"/>
      <c r="OJF44" s="12"/>
      <c r="OJW44" s="12"/>
      <c r="OJX44" s="12"/>
      <c r="OKO44" s="12"/>
      <c r="OKP44" s="12"/>
      <c r="OLG44" s="12"/>
      <c r="OLH44" s="12"/>
      <c r="OLY44" s="12"/>
      <c r="OLZ44" s="12"/>
      <c r="OMQ44" s="12"/>
      <c r="OMR44" s="12"/>
      <c r="ONI44" s="12"/>
      <c r="ONJ44" s="12"/>
      <c r="OOA44" s="12"/>
      <c r="OOB44" s="12"/>
      <c r="OOS44" s="12"/>
      <c r="OOT44" s="12"/>
      <c r="OPK44" s="12"/>
      <c r="OPL44" s="12"/>
      <c r="OQC44" s="12"/>
      <c r="OQD44" s="12"/>
      <c r="OQU44" s="12"/>
      <c r="OQV44" s="12"/>
      <c r="ORM44" s="12"/>
      <c r="ORN44" s="12"/>
      <c r="OSE44" s="12"/>
      <c r="OSF44" s="12"/>
      <c r="OSW44" s="12"/>
      <c r="OSX44" s="12"/>
      <c r="OTO44" s="12"/>
      <c r="OTP44" s="12"/>
      <c r="OUG44" s="12"/>
      <c r="OUH44" s="12"/>
      <c r="OUY44" s="12"/>
      <c r="OUZ44" s="12"/>
      <c r="OVQ44" s="12"/>
      <c r="OVR44" s="12"/>
      <c r="OWI44" s="12"/>
      <c r="OWJ44" s="12"/>
      <c r="OXA44" s="12"/>
      <c r="OXB44" s="12"/>
      <c r="OXS44" s="12"/>
      <c r="OXT44" s="12"/>
      <c r="OYK44" s="12"/>
      <c r="OYL44" s="12"/>
      <c r="OZC44" s="12"/>
      <c r="OZD44" s="12"/>
      <c r="OZU44" s="12"/>
      <c r="OZV44" s="12"/>
      <c r="PAM44" s="12"/>
      <c r="PAN44" s="12"/>
      <c r="PBE44" s="12"/>
      <c r="PBF44" s="12"/>
      <c r="PBW44" s="12"/>
      <c r="PBX44" s="12"/>
      <c r="PCO44" s="12"/>
      <c r="PCP44" s="12"/>
      <c r="PDG44" s="12"/>
      <c r="PDH44" s="12"/>
      <c r="PDY44" s="12"/>
      <c r="PDZ44" s="12"/>
      <c r="PEQ44" s="12"/>
      <c r="PER44" s="12"/>
      <c r="PFI44" s="12"/>
      <c r="PFJ44" s="12"/>
      <c r="PGA44" s="12"/>
      <c r="PGB44" s="12"/>
      <c r="PGS44" s="12"/>
      <c r="PGT44" s="12"/>
      <c r="PHK44" s="12"/>
      <c r="PHL44" s="12"/>
      <c r="PIC44" s="12"/>
      <c r="PID44" s="12"/>
      <c r="PIU44" s="12"/>
      <c r="PIV44" s="12"/>
      <c r="PJM44" s="12"/>
      <c r="PJN44" s="12"/>
      <c r="PKE44" s="12"/>
      <c r="PKF44" s="12"/>
      <c r="PKW44" s="12"/>
      <c r="PKX44" s="12"/>
      <c r="PLO44" s="12"/>
      <c r="PLP44" s="12"/>
      <c r="PMG44" s="12"/>
      <c r="PMH44" s="12"/>
      <c r="PMY44" s="12"/>
      <c r="PMZ44" s="12"/>
      <c r="PNQ44" s="12"/>
      <c r="PNR44" s="12"/>
      <c r="POI44" s="12"/>
      <c r="POJ44" s="12"/>
      <c r="PPA44" s="12"/>
      <c r="PPB44" s="12"/>
      <c r="PPS44" s="12"/>
      <c r="PPT44" s="12"/>
      <c r="PQK44" s="12"/>
      <c r="PQL44" s="12"/>
      <c r="PRC44" s="12"/>
      <c r="PRD44" s="12"/>
      <c r="PRU44" s="12"/>
      <c r="PRV44" s="12"/>
      <c r="PSM44" s="12"/>
      <c r="PSN44" s="12"/>
      <c r="PTE44" s="12"/>
      <c r="PTF44" s="12"/>
      <c r="PTW44" s="12"/>
      <c r="PTX44" s="12"/>
      <c r="PUO44" s="12"/>
      <c r="PUP44" s="12"/>
      <c r="PVG44" s="12"/>
      <c r="PVH44" s="12"/>
      <c r="PVY44" s="12"/>
      <c r="PVZ44" s="12"/>
      <c r="PWQ44" s="12"/>
      <c r="PWR44" s="12"/>
      <c r="PXI44" s="12"/>
      <c r="PXJ44" s="12"/>
      <c r="PYA44" s="12"/>
      <c r="PYB44" s="12"/>
      <c r="PYS44" s="12"/>
      <c r="PYT44" s="12"/>
      <c r="PZK44" s="12"/>
      <c r="PZL44" s="12"/>
      <c r="QAC44" s="12"/>
      <c r="QAD44" s="12"/>
      <c r="QAU44" s="12"/>
      <c r="QAV44" s="12"/>
      <c r="QBM44" s="12"/>
      <c r="QBN44" s="12"/>
      <c r="QCE44" s="12"/>
      <c r="QCF44" s="12"/>
      <c r="QCW44" s="12"/>
      <c r="QCX44" s="12"/>
      <c r="QDO44" s="12"/>
      <c r="QDP44" s="12"/>
      <c r="QEG44" s="12"/>
      <c r="QEH44" s="12"/>
      <c r="QEY44" s="12"/>
      <c r="QEZ44" s="12"/>
      <c r="QFQ44" s="12"/>
      <c r="QFR44" s="12"/>
      <c r="QGI44" s="12"/>
      <c r="QGJ44" s="12"/>
      <c r="QHA44" s="12"/>
      <c r="QHB44" s="12"/>
      <c r="QHS44" s="12"/>
      <c r="QHT44" s="12"/>
      <c r="QIK44" s="12"/>
      <c r="QIL44" s="12"/>
      <c r="QJC44" s="12"/>
      <c r="QJD44" s="12"/>
      <c r="QJU44" s="12"/>
      <c r="QJV44" s="12"/>
      <c r="QKM44" s="12"/>
      <c r="QKN44" s="12"/>
      <c r="QLE44" s="12"/>
      <c r="QLF44" s="12"/>
      <c r="QLW44" s="12"/>
      <c r="QLX44" s="12"/>
      <c r="QMO44" s="12"/>
      <c r="QMP44" s="12"/>
      <c r="QNG44" s="12"/>
      <c r="QNH44" s="12"/>
      <c r="QNY44" s="12"/>
      <c r="QNZ44" s="12"/>
      <c r="QOQ44" s="12"/>
      <c r="QOR44" s="12"/>
      <c r="QPI44" s="12"/>
      <c r="QPJ44" s="12"/>
      <c r="QQA44" s="12"/>
      <c r="QQB44" s="12"/>
      <c r="QQS44" s="12"/>
      <c r="QQT44" s="12"/>
      <c r="QRK44" s="12"/>
      <c r="QRL44" s="12"/>
      <c r="QSC44" s="12"/>
      <c r="QSD44" s="12"/>
      <c r="QSU44" s="12"/>
      <c r="QSV44" s="12"/>
      <c r="QTM44" s="12"/>
      <c r="QTN44" s="12"/>
      <c r="QUE44" s="12"/>
      <c r="QUF44" s="12"/>
      <c r="QUW44" s="12"/>
      <c r="QUX44" s="12"/>
      <c r="QVO44" s="12"/>
      <c r="QVP44" s="12"/>
      <c r="QWG44" s="12"/>
      <c r="QWH44" s="12"/>
      <c r="QWY44" s="12"/>
      <c r="QWZ44" s="12"/>
      <c r="QXQ44" s="12"/>
      <c r="QXR44" s="12"/>
      <c r="QYI44" s="12"/>
      <c r="QYJ44" s="12"/>
      <c r="QZA44" s="12"/>
      <c r="QZB44" s="12"/>
      <c r="QZS44" s="12"/>
      <c r="QZT44" s="12"/>
      <c r="RAK44" s="12"/>
      <c r="RAL44" s="12"/>
      <c r="RBC44" s="12"/>
      <c r="RBD44" s="12"/>
      <c r="RBU44" s="12"/>
      <c r="RBV44" s="12"/>
      <c r="RCM44" s="12"/>
      <c r="RCN44" s="12"/>
      <c r="RDE44" s="12"/>
      <c r="RDF44" s="12"/>
      <c r="RDW44" s="12"/>
      <c r="RDX44" s="12"/>
      <c r="REO44" s="12"/>
      <c r="REP44" s="12"/>
      <c r="RFG44" s="12"/>
      <c r="RFH44" s="12"/>
      <c r="RFY44" s="12"/>
      <c r="RFZ44" s="12"/>
      <c r="RGQ44" s="12"/>
      <c r="RGR44" s="12"/>
      <c r="RHI44" s="12"/>
      <c r="RHJ44" s="12"/>
      <c r="RIA44" s="12"/>
      <c r="RIB44" s="12"/>
      <c r="RIS44" s="12"/>
      <c r="RIT44" s="12"/>
      <c r="RJK44" s="12"/>
      <c r="RJL44" s="12"/>
      <c r="RKC44" s="12"/>
      <c r="RKD44" s="12"/>
      <c r="RKU44" s="12"/>
      <c r="RKV44" s="12"/>
      <c r="RLM44" s="12"/>
      <c r="RLN44" s="12"/>
      <c r="RME44" s="12"/>
      <c r="RMF44" s="12"/>
      <c r="RMW44" s="12"/>
      <c r="RMX44" s="12"/>
      <c r="RNO44" s="12"/>
      <c r="RNP44" s="12"/>
      <c r="ROG44" s="12"/>
      <c r="ROH44" s="12"/>
      <c r="ROY44" s="12"/>
      <c r="ROZ44" s="12"/>
      <c r="RPQ44" s="12"/>
      <c r="RPR44" s="12"/>
      <c r="RQI44" s="12"/>
      <c r="RQJ44" s="12"/>
      <c r="RRA44" s="12"/>
      <c r="RRB44" s="12"/>
      <c r="RRS44" s="12"/>
      <c r="RRT44" s="12"/>
      <c r="RSK44" s="12"/>
      <c r="RSL44" s="12"/>
      <c r="RTC44" s="12"/>
      <c r="RTD44" s="12"/>
      <c r="RTU44" s="12"/>
      <c r="RTV44" s="12"/>
      <c r="RUM44" s="12"/>
      <c r="RUN44" s="12"/>
      <c r="RVE44" s="12"/>
      <c r="RVF44" s="12"/>
      <c r="RVW44" s="12"/>
      <c r="RVX44" s="12"/>
      <c r="RWO44" s="12"/>
      <c r="RWP44" s="12"/>
      <c r="RXG44" s="12"/>
      <c r="RXH44" s="12"/>
      <c r="RXY44" s="12"/>
      <c r="RXZ44" s="12"/>
      <c r="RYQ44" s="12"/>
      <c r="RYR44" s="12"/>
      <c r="RZI44" s="12"/>
      <c r="RZJ44" s="12"/>
      <c r="SAA44" s="12"/>
      <c r="SAB44" s="12"/>
      <c r="SAS44" s="12"/>
      <c r="SAT44" s="12"/>
      <c r="SBK44" s="12"/>
      <c r="SBL44" s="12"/>
      <c r="SCC44" s="12"/>
      <c r="SCD44" s="12"/>
      <c r="SCU44" s="12"/>
      <c r="SCV44" s="12"/>
      <c r="SDM44" s="12"/>
      <c r="SDN44" s="12"/>
      <c r="SEE44" s="12"/>
      <c r="SEF44" s="12"/>
      <c r="SEW44" s="12"/>
      <c r="SEX44" s="12"/>
      <c r="SFO44" s="12"/>
      <c r="SFP44" s="12"/>
      <c r="SGG44" s="12"/>
      <c r="SGH44" s="12"/>
      <c r="SGY44" s="12"/>
      <c r="SGZ44" s="12"/>
      <c r="SHQ44" s="12"/>
      <c r="SHR44" s="12"/>
      <c r="SII44" s="12"/>
      <c r="SIJ44" s="12"/>
      <c r="SJA44" s="12"/>
      <c r="SJB44" s="12"/>
      <c r="SJS44" s="12"/>
      <c r="SJT44" s="12"/>
      <c r="SKK44" s="12"/>
      <c r="SKL44" s="12"/>
      <c r="SLC44" s="12"/>
      <c r="SLD44" s="12"/>
      <c r="SLU44" s="12"/>
      <c r="SLV44" s="12"/>
      <c r="SMM44" s="12"/>
      <c r="SMN44" s="12"/>
      <c r="SNE44" s="12"/>
      <c r="SNF44" s="12"/>
      <c r="SNW44" s="12"/>
      <c r="SNX44" s="12"/>
      <c r="SOO44" s="12"/>
      <c r="SOP44" s="12"/>
      <c r="SPG44" s="12"/>
      <c r="SPH44" s="12"/>
      <c r="SPY44" s="12"/>
      <c r="SPZ44" s="12"/>
      <c r="SQQ44" s="12"/>
      <c r="SQR44" s="12"/>
      <c r="SRI44" s="12"/>
      <c r="SRJ44" s="12"/>
      <c r="SSA44" s="12"/>
      <c r="SSB44" s="12"/>
      <c r="SSS44" s="12"/>
      <c r="SST44" s="12"/>
      <c r="STK44" s="12"/>
      <c r="STL44" s="12"/>
      <c r="SUC44" s="12"/>
      <c r="SUD44" s="12"/>
      <c r="SUU44" s="12"/>
      <c r="SUV44" s="12"/>
      <c r="SVM44" s="12"/>
      <c r="SVN44" s="12"/>
      <c r="SWE44" s="12"/>
      <c r="SWF44" s="12"/>
      <c r="SWW44" s="12"/>
      <c r="SWX44" s="12"/>
      <c r="SXO44" s="12"/>
      <c r="SXP44" s="12"/>
      <c r="SYG44" s="12"/>
      <c r="SYH44" s="12"/>
      <c r="SYY44" s="12"/>
      <c r="SYZ44" s="12"/>
      <c r="SZQ44" s="12"/>
      <c r="SZR44" s="12"/>
      <c r="TAI44" s="12"/>
      <c r="TAJ44" s="12"/>
      <c r="TBA44" s="12"/>
      <c r="TBB44" s="12"/>
      <c r="TBS44" s="12"/>
      <c r="TBT44" s="12"/>
      <c r="TCK44" s="12"/>
      <c r="TCL44" s="12"/>
      <c r="TDC44" s="12"/>
      <c r="TDD44" s="12"/>
      <c r="TDU44" s="12"/>
      <c r="TDV44" s="12"/>
      <c r="TEM44" s="12"/>
      <c r="TEN44" s="12"/>
      <c r="TFE44" s="12"/>
      <c r="TFF44" s="12"/>
      <c r="TFW44" s="12"/>
      <c r="TFX44" s="12"/>
      <c r="TGO44" s="12"/>
      <c r="TGP44" s="12"/>
      <c r="THG44" s="12"/>
      <c r="THH44" s="12"/>
      <c r="THY44" s="12"/>
      <c r="THZ44" s="12"/>
      <c r="TIQ44" s="12"/>
      <c r="TIR44" s="12"/>
      <c r="TJI44" s="12"/>
      <c r="TJJ44" s="12"/>
      <c r="TKA44" s="12"/>
      <c r="TKB44" s="12"/>
      <c r="TKS44" s="12"/>
      <c r="TKT44" s="12"/>
      <c r="TLK44" s="12"/>
      <c r="TLL44" s="12"/>
      <c r="TMC44" s="12"/>
      <c r="TMD44" s="12"/>
      <c r="TMU44" s="12"/>
      <c r="TMV44" s="12"/>
      <c r="TNM44" s="12"/>
      <c r="TNN44" s="12"/>
      <c r="TOE44" s="12"/>
      <c r="TOF44" s="12"/>
      <c r="TOW44" s="12"/>
      <c r="TOX44" s="12"/>
      <c r="TPO44" s="12"/>
      <c r="TPP44" s="12"/>
      <c r="TQG44" s="12"/>
      <c r="TQH44" s="12"/>
      <c r="TQY44" s="12"/>
      <c r="TQZ44" s="12"/>
      <c r="TRQ44" s="12"/>
      <c r="TRR44" s="12"/>
      <c r="TSI44" s="12"/>
      <c r="TSJ44" s="12"/>
      <c r="TTA44" s="12"/>
      <c r="TTB44" s="12"/>
      <c r="TTS44" s="12"/>
      <c r="TTT44" s="12"/>
      <c r="TUK44" s="12"/>
      <c r="TUL44" s="12"/>
      <c r="TVC44" s="12"/>
      <c r="TVD44" s="12"/>
      <c r="TVU44" s="12"/>
      <c r="TVV44" s="12"/>
      <c r="TWM44" s="12"/>
      <c r="TWN44" s="12"/>
      <c r="TXE44" s="12"/>
      <c r="TXF44" s="12"/>
      <c r="TXW44" s="12"/>
      <c r="TXX44" s="12"/>
      <c r="TYO44" s="12"/>
      <c r="TYP44" s="12"/>
      <c r="TZG44" s="12"/>
      <c r="TZH44" s="12"/>
      <c r="TZY44" s="12"/>
      <c r="TZZ44" s="12"/>
      <c r="UAQ44" s="12"/>
      <c r="UAR44" s="12"/>
      <c r="UBI44" s="12"/>
      <c r="UBJ44" s="12"/>
      <c r="UCA44" s="12"/>
      <c r="UCB44" s="12"/>
      <c r="UCS44" s="12"/>
      <c r="UCT44" s="12"/>
      <c r="UDK44" s="12"/>
      <c r="UDL44" s="12"/>
      <c r="UEC44" s="12"/>
      <c r="UED44" s="12"/>
      <c r="UEU44" s="12"/>
      <c r="UEV44" s="12"/>
      <c r="UFM44" s="12"/>
      <c r="UFN44" s="12"/>
      <c r="UGE44" s="12"/>
      <c r="UGF44" s="12"/>
      <c r="UGW44" s="12"/>
      <c r="UGX44" s="12"/>
      <c r="UHO44" s="12"/>
      <c r="UHP44" s="12"/>
      <c r="UIG44" s="12"/>
      <c r="UIH44" s="12"/>
      <c r="UIY44" s="12"/>
      <c r="UIZ44" s="12"/>
      <c r="UJQ44" s="12"/>
      <c r="UJR44" s="12"/>
      <c r="UKI44" s="12"/>
      <c r="UKJ44" s="12"/>
      <c r="ULA44" s="12"/>
      <c r="ULB44" s="12"/>
      <c r="ULS44" s="12"/>
      <c r="ULT44" s="12"/>
      <c r="UMK44" s="12"/>
      <c r="UML44" s="12"/>
      <c r="UNC44" s="12"/>
      <c r="UND44" s="12"/>
      <c r="UNU44" s="12"/>
      <c r="UNV44" s="12"/>
      <c r="UOM44" s="12"/>
      <c r="UON44" s="12"/>
      <c r="UPE44" s="12"/>
      <c r="UPF44" s="12"/>
      <c r="UPW44" s="12"/>
      <c r="UPX44" s="12"/>
      <c r="UQO44" s="12"/>
      <c r="UQP44" s="12"/>
      <c r="URG44" s="12"/>
      <c r="URH44" s="12"/>
      <c r="URY44" s="12"/>
      <c r="URZ44" s="12"/>
      <c r="USQ44" s="12"/>
      <c r="USR44" s="12"/>
      <c r="UTI44" s="12"/>
      <c r="UTJ44" s="12"/>
      <c r="UUA44" s="12"/>
      <c r="UUB44" s="12"/>
      <c r="UUS44" s="12"/>
      <c r="UUT44" s="12"/>
      <c r="UVK44" s="12"/>
      <c r="UVL44" s="12"/>
      <c r="UWC44" s="12"/>
      <c r="UWD44" s="12"/>
      <c r="UWU44" s="12"/>
      <c r="UWV44" s="12"/>
      <c r="UXM44" s="12"/>
      <c r="UXN44" s="12"/>
      <c r="UYE44" s="12"/>
      <c r="UYF44" s="12"/>
      <c r="UYW44" s="12"/>
      <c r="UYX44" s="12"/>
      <c r="UZO44" s="12"/>
      <c r="UZP44" s="12"/>
      <c r="VAG44" s="12"/>
      <c r="VAH44" s="12"/>
      <c r="VAY44" s="12"/>
      <c r="VAZ44" s="12"/>
      <c r="VBQ44" s="12"/>
      <c r="VBR44" s="12"/>
      <c r="VCI44" s="12"/>
      <c r="VCJ44" s="12"/>
      <c r="VDA44" s="12"/>
      <c r="VDB44" s="12"/>
      <c r="VDS44" s="12"/>
      <c r="VDT44" s="12"/>
      <c r="VEK44" s="12"/>
      <c r="VEL44" s="12"/>
      <c r="VFC44" s="12"/>
      <c r="VFD44" s="12"/>
      <c r="VFU44" s="12"/>
      <c r="VFV44" s="12"/>
      <c r="VGM44" s="12"/>
      <c r="VGN44" s="12"/>
      <c r="VHE44" s="12"/>
      <c r="VHF44" s="12"/>
      <c r="VHW44" s="12"/>
      <c r="VHX44" s="12"/>
      <c r="VIO44" s="12"/>
      <c r="VIP44" s="12"/>
      <c r="VJG44" s="12"/>
      <c r="VJH44" s="12"/>
      <c r="VJY44" s="12"/>
      <c r="VJZ44" s="12"/>
      <c r="VKQ44" s="12"/>
      <c r="VKR44" s="12"/>
      <c r="VLI44" s="12"/>
      <c r="VLJ44" s="12"/>
      <c r="VMA44" s="12"/>
      <c r="VMB44" s="12"/>
      <c r="VMS44" s="12"/>
      <c r="VMT44" s="12"/>
      <c r="VNK44" s="12"/>
      <c r="VNL44" s="12"/>
      <c r="VOC44" s="12"/>
      <c r="VOD44" s="12"/>
      <c r="VOU44" s="12"/>
      <c r="VOV44" s="12"/>
      <c r="VPM44" s="12"/>
      <c r="VPN44" s="12"/>
      <c r="VQE44" s="12"/>
      <c r="VQF44" s="12"/>
      <c r="VQW44" s="12"/>
      <c r="VQX44" s="12"/>
      <c r="VRO44" s="12"/>
      <c r="VRP44" s="12"/>
      <c r="VSG44" s="12"/>
      <c r="VSH44" s="12"/>
      <c r="VSY44" s="12"/>
      <c r="VSZ44" s="12"/>
      <c r="VTQ44" s="12"/>
      <c r="VTR44" s="12"/>
      <c r="VUI44" s="12"/>
      <c r="VUJ44" s="12"/>
      <c r="VVA44" s="12"/>
      <c r="VVB44" s="12"/>
      <c r="VVS44" s="12"/>
      <c r="VVT44" s="12"/>
      <c r="VWK44" s="12"/>
      <c r="VWL44" s="12"/>
      <c r="VXC44" s="12"/>
      <c r="VXD44" s="12"/>
      <c r="VXU44" s="12"/>
      <c r="VXV44" s="12"/>
      <c r="VYM44" s="12"/>
      <c r="VYN44" s="12"/>
      <c r="VZE44" s="12"/>
      <c r="VZF44" s="12"/>
      <c r="VZW44" s="12"/>
      <c r="VZX44" s="12"/>
      <c r="WAO44" s="12"/>
      <c r="WAP44" s="12"/>
      <c r="WBG44" s="12"/>
      <c r="WBH44" s="12"/>
      <c r="WBY44" s="12"/>
      <c r="WBZ44" s="12"/>
      <c r="WCQ44" s="12"/>
      <c r="WCR44" s="12"/>
      <c r="WDI44" s="12"/>
      <c r="WDJ44" s="12"/>
      <c r="WEA44" s="12"/>
      <c r="WEB44" s="12"/>
      <c r="WES44" s="12"/>
      <c r="WET44" s="12"/>
      <c r="WFK44" s="12"/>
      <c r="WFL44" s="12"/>
      <c r="WGC44" s="12"/>
      <c r="WGD44" s="12"/>
      <c r="WGU44" s="12"/>
      <c r="WGV44" s="12"/>
      <c r="WHM44" s="12"/>
      <c r="WHN44" s="12"/>
      <c r="WIE44" s="12"/>
      <c r="WIF44" s="12"/>
      <c r="WIW44" s="12"/>
      <c r="WIX44" s="12"/>
      <c r="WJO44" s="12"/>
      <c r="WJP44" s="12"/>
      <c r="WKG44" s="12"/>
      <c r="WKH44" s="12"/>
      <c r="WKY44" s="12"/>
      <c r="WKZ44" s="12"/>
      <c r="WLQ44" s="12"/>
      <c r="WLR44" s="12"/>
      <c r="WMI44" s="12"/>
      <c r="WMJ44" s="12"/>
      <c r="WNA44" s="12"/>
      <c r="WNB44" s="12"/>
      <c r="WNS44" s="12"/>
      <c r="WNT44" s="12"/>
      <c r="WOK44" s="12"/>
      <c r="WOL44" s="12"/>
      <c r="WPC44" s="12"/>
      <c r="WPD44" s="12"/>
      <c r="WPU44" s="12"/>
      <c r="WPV44" s="12"/>
      <c r="WQM44" s="12"/>
      <c r="WQN44" s="12"/>
      <c r="WRE44" s="12"/>
      <c r="WRF44" s="12"/>
      <c r="WRW44" s="12"/>
      <c r="WRX44" s="12"/>
      <c r="WSO44" s="12"/>
      <c r="WSP44" s="12"/>
      <c r="WTG44" s="12"/>
      <c r="WTH44" s="12"/>
      <c r="WTY44" s="12"/>
      <c r="WTZ44" s="12"/>
      <c r="WUQ44" s="12"/>
      <c r="WUR44" s="12"/>
      <c r="WVI44" s="12"/>
      <c r="WVJ44" s="12"/>
      <c r="WWA44" s="12"/>
      <c r="WWB44" s="12"/>
      <c r="WWS44" s="12"/>
      <c r="WWT44" s="12"/>
      <c r="WXK44" s="12"/>
      <c r="WXL44" s="12"/>
      <c r="WYC44" s="12"/>
      <c r="WYD44" s="12"/>
      <c r="WYU44" s="12"/>
      <c r="WYV44" s="12"/>
      <c r="WZM44" s="12"/>
      <c r="WZN44" s="12"/>
      <c r="XAE44" s="12"/>
      <c r="XAF44" s="12"/>
      <c r="XAW44" s="12"/>
      <c r="XAX44" s="12"/>
      <c r="XBO44" s="12"/>
      <c r="XBP44" s="12"/>
      <c r="XCG44" s="12"/>
      <c r="XCH44" s="12"/>
      <c r="XCY44" s="12"/>
      <c r="XCZ44" s="12"/>
      <c r="XDQ44" s="12"/>
      <c r="XDR44" s="12"/>
      <c r="XEI44" s="12"/>
      <c r="XEJ44" s="12"/>
      <c r="XFA44" s="12"/>
      <c r="XFB44" s="12"/>
    </row>
    <row r="45" spans="1:1010 1027:2036 2053:3062 3079:4088 4105:5114 5131:6140 6157:7166 7183:8192 8209:9200 9217:10226 10243:11252 11269:12278 12295:13304 13321:14330 14347:15356 15373:16382" s="11" customFormat="1" x14ac:dyDescent="0.35">
      <c r="A45" s="183" t="s">
        <v>404</v>
      </c>
      <c r="B45" s="293" t="s">
        <v>405</v>
      </c>
      <c r="C45" s="184">
        <v>0</v>
      </c>
      <c r="D45" s="184">
        <v>0</v>
      </c>
      <c r="E45" s="184">
        <v>0</v>
      </c>
      <c r="F45" s="184">
        <v>0</v>
      </c>
      <c r="G45" s="184">
        <v>0</v>
      </c>
      <c r="H45" s="184">
        <v>0</v>
      </c>
      <c r="I45" s="184">
        <v>0</v>
      </c>
      <c r="J45" s="184">
        <v>0</v>
      </c>
      <c r="K45" s="184">
        <v>0</v>
      </c>
      <c r="L45" s="184">
        <v>0</v>
      </c>
      <c r="S45" s="12"/>
      <c r="T45" s="12"/>
      <c r="AK45" s="12"/>
      <c r="AL45" s="12"/>
      <c r="BC45" s="12"/>
      <c r="BD45" s="12"/>
      <c r="BU45" s="12"/>
      <c r="BV45" s="12"/>
      <c r="CM45" s="12"/>
      <c r="CN45" s="12"/>
      <c r="DE45" s="12"/>
      <c r="DF45" s="12"/>
      <c r="DW45" s="12"/>
      <c r="DX45" s="12"/>
      <c r="EO45" s="12"/>
      <c r="EP45" s="12"/>
      <c r="FG45" s="12"/>
      <c r="FH45" s="12"/>
      <c r="FY45" s="12"/>
      <c r="FZ45" s="12"/>
      <c r="GQ45" s="12"/>
      <c r="GR45" s="12"/>
      <c r="HI45" s="12"/>
      <c r="HJ45" s="12"/>
      <c r="IA45" s="12"/>
      <c r="IB45" s="12"/>
      <c r="IS45" s="12"/>
      <c r="IT45" s="12"/>
      <c r="JK45" s="12"/>
      <c r="JL45" s="12"/>
      <c r="KC45" s="12"/>
      <c r="KD45" s="12"/>
      <c r="KU45" s="12"/>
      <c r="KV45" s="12"/>
      <c r="LM45" s="12"/>
      <c r="LN45" s="12"/>
      <c r="ME45" s="12"/>
      <c r="MF45" s="12"/>
      <c r="MW45" s="12"/>
      <c r="MX45" s="12"/>
      <c r="NO45" s="12"/>
      <c r="NP45" s="12"/>
      <c r="OG45" s="12"/>
      <c r="OH45" s="12"/>
      <c r="OY45" s="12"/>
      <c r="OZ45" s="12"/>
      <c r="PQ45" s="12"/>
      <c r="PR45" s="12"/>
      <c r="QI45" s="12"/>
      <c r="QJ45" s="12"/>
      <c r="RA45" s="12"/>
      <c r="RB45" s="12"/>
      <c r="RS45" s="12"/>
      <c r="RT45" s="12"/>
      <c r="SK45" s="12"/>
      <c r="SL45" s="12"/>
      <c r="TC45" s="12"/>
      <c r="TD45" s="12"/>
      <c r="TU45" s="12"/>
      <c r="TV45" s="12"/>
      <c r="UM45" s="12"/>
      <c r="UN45" s="12"/>
      <c r="VE45" s="12"/>
      <c r="VF45" s="12"/>
      <c r="VW45" s="12"/>
      <c r="VX45" s="12"/>
      <c r="WO45" s="12"/>
      <c r="WP45" s="12"/>
      <c r="XG45" s="12"/>
      <c r="XH45" s="12"/>
      <c r="XY45" s="12"/>
      <c r="XZ45" s="12"/>
      <c r="YQ45" s="12"/>
      <c r="YR45" s="12"/>
      <c r="ZI45" s="12"/>
      <c r="ZJ45" s="12"/>
      <c r="AAA45" s="12"/>
      <c r="AAB45" s="12"/>
      <c r="AAS45" s="12"/>
      <c r="AAT45" s="12"/>
      <c r="ABK45" s="12"/>
      <c r="ABL45" s="12"/>
      <c r="ACC45" s="12"/>
      <c r="ACD45" s="12"/>
      <c r="ACU45" s="12"/>
      <c r="ACV45" s="12"/>
      <c r="ADM45" s="12"/>
      <c r="ADN45" s="12"/>
      <c r="AEE45" s="12"/>
      <c r="AEF45" s="12"/>
      <c r="AEW45" s="12"/>
      <c r="AEX45" s="12"/>
      <c r="AFO45" s="12"/>
      <c r="AFP45" s="12"/>
      <c r="AGG45" s="12"/>
      <c r="AGH45" s="12"/>
      <c r="AGY45" s="12"/>
      <c r="AGZ45" s="12"/>
      <c r="AHQ45" s="12"/>
      <c r="AHR45" s="12"/>
      <c r="AII45" s="12"/>
      <c r="AIJ45" s="12"/>
      <c r="AJA45" s="12"/>
      <c r="AJB45" s="12"/>
      <c r="AJS45" s="12"/>
      <c r="AJT45" s="12"/>
      <c r="AKK45" s="12"/>
      <c r="AKL45" s="12"/>
      <c r="ALC45" s="12"/>
      <c r="ALD45" s="12"/>
      <c r="ALU45" s="12"/>
      <c r="ALV45" s="12"/>
      <c r="AMM45" s="12"/>
      <c r="AMN45" s="12"/>
      <c r="ANE45" s="12"/>
      <c r="ANF45" s="12"/>
      <c r="ANW45" s="12"/>
      <c r="ANX45" s="12"/>
      <c r="AOO45" s="12"/>
      <c r="AOP45" s="12"/>
      <c r="APG45" s="12"/>
      <c r="APH45" s="12"/>
      <c r="APY45" s="12"/>
      <c r="APZ45" s="12"/>
      <c r="AQQ45" s="12"/>
      <c r="AQR45" s="12"/>
      <c r="ARI45" s="12"/>
      <c r="ARJ45" s="12"/>
      <c r="ASA45" s="12"/>
      <c r="ASB45" s="12"/>
      <c r="ASS45" s="12"/>
      <c r="AST45" s="12"/>
      <c r="ATK45" s="12"/>
      <c r="ATL45" s="12"/>
      <c r="AUC45" s="12"/>
      <c r="AUD45" s="12"/>
      <c r="AUU45" s="12"/>
      <c r="AUV45" s="12"/>
      <c r="AVM45" s="12"/>
      <c r="AVN45" s="12"/>
      <c r="AWE45" s="12"/>
      <c r="AWF45" s="12"/>
      <c r="AWW45" s="12"/>
      <c r="AWX45" s="12"/>
      <c r="AXO45" s="12"/>
      <c r="AXP45" s="12"/>
      <c r="AYG45" s="12"/>
      <c r="AYH45" s="12"/>
      <c r="AYY45" s="12"/>
      <c r="AYZ45" s="12"/>
      <c r="AZQ45" s="12"/>
      <c r="AZR45" s="12"/>
      <c r="BAI45" s="12"/>
      <c r="BAJ45" s="12"/>
      <c r="BBA45" s="12"/>
      <c r="BBB45" s="12"/>
      <c r="BBS45" s="12"/>
      <c r="BBT45" s="12"/>
      <c r="BCK45" s="12"/>
      <c r="BCL45" s="12"/>
      <c r="BDC45" s="12"/>
      <c r="BDD45" s="12"/>
      <c r="BDU45" s="12"/>
      <c r="BDV45" s="12"/>
      <c r="BEM45" s="12"/>
      <c r="BEN45" s="12"/>
      <c r="BFE45" s="12"/>
      <c r="BFF45" s="12"/>
      <c r="BFW45" s="12"/>
      <c r="BFX45" s="12"/>
      <c r="BGO45" s="12"/>
      <c r="BGP45" s="12"/>
      <c r="BHG45" s="12"/>
      <c r="BHH45" s="12"/>
      <c r="BHY45" s="12"/>
      <c r="BHZ45" s="12"/>
      <c r="BIQ45" s="12"/>
      <c r="BIR45" s="12"/>
      <c r="BJI45" s="12"/>
      <c r="BJJ45" s="12"/>
      <c r="BKA45" s="12"/>
      <c r="BKB45" s="12"/>
      <c r="BKS45" s="12"/>
      <c r="BKT45" s="12"/>
      <c r="BLK45" s="12"/>
      <c r="BLL45" s="12"/>
      <c r="BMC45" s="12"/>
      <c r="BMD45" s="12"/>
      <c r="BMU45" s="12"/>
      <c r="BMV45" s="12"/>
      <c r="BNM45" s="12"/>
      <c r="BNN45" s="12"/>
      <c r="BOE45" s="12"/>
      <c r="BOF45" s="12"/>
      <c r="BOW45" s="12"/>
      <c r="BOX45" s="12"/>
      <c r="BPO45" s="12"/>
      <c r="BPP45" s="12"/>
      <c r="BQG45" s="12"/>
      <c r="BQH45" s="12"/>
      <c r="BQY45" s="12"/>
      <c r="BQZ45" s="12"/>
      <c r="BRQ45" s="12"/>
      <c r="BRR45" s="12"/>
      <c r="BSI45" s="12"/>
      <c r="BSJ45" s="12"/>
      <c r="BTA45" s="12"/>
      <c r="BTB45" s="12"/>
      <c r="BTS45" s="12"/>
      <c r="BTT45" s="12"/>
      <c r="BUK45" s="12"/>
      <c r="BUL45" s="12"/>
      <c r="BVC45" s="12"/>
      <c r="BVD45" s="12"/>
      <c r="BVU45" s="12"/>
      <c r="BVV45" s="12"/>
      <c r="BWM45" s="12"/>
      <c r="BWN45" s="12"/>
      <c r="BXE45" s="12"/>
      <c r="BXF45" s="12"/>
      <c r="BXW45" s="12"/>
      <c r="BXX45" s="12"/>
      <c r="BYO45" s="12"/>
      <c r="BYP45" s="12"/>
      <c r="BZG45" s="12"/>
      <c r="BZH45" s="12"/>
      <c r="BZY45" s="12"/>
      <c r="BZZ45" s="12"/>
      <c r="CAQ45" s="12"/>
      <c r="CAR45" s="12"/>
      <c r="CBI45" s="12"/>
      <c r="CBJ45" s="12"/>
      <c r="CCA45" s="12"/>
      <c r="CCB45" s="12"/>
      <c r="CCS45" s="12"/>
      <c r="CCT45" s="12"/>
      <c r="CDK45" s="12"/>
      <c r="CDL45" s="12"/>
      <c r="CEC45" s="12"/>
      <c r="CED45" s="12"/>
      <c r="CEU45" s="12"/>
      <c r="CEV45" s="12"/>
      <c r="CFM45" s="12"/>
      <c r="CFN45" s="12"/>
      <c r="CGE45" s="12"/>
      <c r="CGF45" s="12"/>
      <c r="CGW45" s="12"/>
      <c r="CGX45" s="12"/>
      <c r="CHO45" s="12"/>
      <c r="CHP45" s="12"/>
      <c r="CIG45" s="12"/>
      <c r="CIH45" s="12"/>
      <c r="CIY45" s="12"/>
      <c r="CIZ45" s="12"/>
      <c r="CJQ45" s="12"/>
      <c r="CJR45" s="12"/>
      <c r="CKI45" s="12"/>
      <c r="CKJ45" s="12"/>
      <c r="CLA45" s="12"/>
      <c r="CLB45" s="12"/>
      <c r="CLS45" s="12"/>
      <c r="CLT45" s="12"/>
      <c r="CMK45" s="12"/>
      <c r="CML45" s="12"/>
      <c r="CNC45" s="12"/>
      <c r="CND45" s="12"/>
      <c r="CNU45" s="12"/>
      <c r="CNV45" s="12"/>
      <c r="COM45" s="12"/>
      <c r="CON45" s="12"/>
      <c r="CPE45" s="12"/>
      <c r="CPF45" s="12"/>
      <c r="CPW45" s="12"/>
      <c r="CPX45" s="12"/>
      <c r="CQO45" s="12"/>
      <c r="CQP45" s="12"/>
      <c r="CRG45" s="12"/>
      <c r="CRH45" s="12"/>
      <c r="CRY45" s="12"/>
      <c r="CRZ45" s="12"/>
      <c r="CSQ45" s="12"/>
      <c r="CSR45" s="12"/>
      <c r="CTI45" s="12"/>
      <c r="CTJ45" s="12"/>
      <c r="CUA45" s="12"/>
      <c r="CUB45" s="12"/>
      <c r="CUS45" s="12"/>
      <c r="CUT45" s="12"/>
      <c r="CVK45" s="12"/>
      <c r="CVL45" s="12"/>
      <c r="CWC45" s="12"/>
      <c r="CWD45" s="12"/>
      <c r="CWU45" s="12"/>
      <c r="CWV45" s="12"/>
      <c r="CXM45" s="12"/>
      <c r="CXN45" s="12"/>
      <c r="CYE45" s="12"/>
      <c r="CYF45" s="12"/>
      <c r="CYW45" s="12"/>
      <c r="CYX45" s="12"/>
      <c r="CZO45" s="12"/>
      <c r="CZP45" s="12"/>
      <c r="DAG45" s="12"/>
      <c r="DAH45" s="12"/>
      <c r="DAY45" s="12"/>
      <c r="DAZ45" s="12"/>
      <c r="DBQ45" s="12"/>
      <c r="DBR45" s="12"/>
      <c r="DCI45" s="12"/>
      <c r="DCJ45" s="12"/>
      <c r="DDA45" s="12"/>
      <c r="DDB45" s="12"/>
      <c r="DDS45" s="12"/>
      <c r="DDT45" s="12"/>
      <c r="DEK45" s="12"/>
      <c r="DEL45" s="12"/>
      <c r="DFC45" s="12"/>
      <c r="DFD45" s="12"/>
      <c r="DFU45" s="12"/>
      <c r="DFV45" s="12"/>
      <c r="DGM45" s="12"/>
      <c r="DGN45" s="12"/>
      <c r="DHE45" s="12"/>
      <c r="DHF45" s="12"/>
      <c r="DHW45" s="12"/>
      <c r="DHX45" s="12"/>
      <c r="DIO45" s="12"/>
      <c r="DIP45" s="12"/>
      <c r="DJG45" s="12"/>
      <c r="DJH45" s="12"/>
      <c r="DJY45" s="12"/>
      <c r="DJZ45" s="12"/>
      <c r="DKQ45" s="12"/>
      <c r="DKR45" s="12"/>
      <c r="DLI45" s="12"/>
      <c r="DLJ45" s="12"/>
      <c r="DMA45" s="12"/>
      <c r="DMB45" s="12"/>
      <c r="DMS45" s="12"/>
      <c r="DMT45" s="12"/>
      <c r="DNK45" s="12"/>
      <c r="DNL45" s="12"/>
      <c r="DOC45" s="12"/>
      <c r="DOD45" s="12"/>
      <c r="DOU45" s="12"/>
      <c r="DOV45" s="12"/>
      <c r="DPM45" s="12"/>
      <c r="DPN45" s="12"/>
      <c r="DQE45" s="12"/>
      <c r="DQF45" s="12"/>
      <c r="DQW45" s="12"/>
      <c r="DQX45" s="12"/>
      <c r="DRO45" s="12"/>
      <c r="DRP45" s="12"/>
      <c r="DSG45" s="12"/>
      <c r="DSH45" s="12"/>
      <c r="DSY45" s="12"/>
      <c r="DSZ45" s="12"/>
      <c r="DTQ45" s="12"/>
      <c r="DTR45" s="12"/>
      <c r="DUI45" s="12"/>
      <c r="DUJ45" s="12"/>
      <c r="DVA45" s="12"/>
      <c r="DVB45" s="12"/>
      <c r="DVS45" s="12"/>
      <c r="DVT45" s="12"/>
      <c r="DWK45" s="12"/>
      <c r="DWL45" s="12"/>
      <c r="DXC45" s="12"/>
      <c r="DXD45" s="12"/>
      <c r="DXU45" s="12"/>
      <c r="DXV45" s="12"/>
      <c r="DYM45" s="12"/>
      <c r="DYN45" s="12"/>
      <c r="DZE45" s="12"/>
      <c r="DZF45" s="12"/>
      <c r="DZW45" s="12"/>
      <c r="DZX45" s="12"/>
      <c r="EAO45" s="12"/>
      <c r="EAP45" s="12"/>
      <c r="EBG45" s="12"/>
      <c r="EBH45" s="12"/>
      <c r="EBY45" s="12"/>
      <c r="EBZ45" s="12"/>
      <c r="ECQ45" s="12"/>
      <c r="ECR45" s="12"/>
      <c r="EDI45" s="12"/>
      <c r="EDJ45" s="12"/>
      <c r="EEA45" s="12"/>
      <c r="EEB45" s="12"/>
      <c r="EES45" s="12"/>
      <c r="EET45" s="12"/>
      <c r="EFK45" s="12"/>
      <c r="EFL45" s="12"/>
      <c r="EGC45" s="12"/>
      <c r="EGD45" s="12"/>
      <c r="EGU45" s="12"/>
      <c r="EGV45" s="12"/>
      <c r="EHM45" s="12"/>
      <c r="EHN45" s="12"/>
      <c r="EIE45" s="12"/>
      <c r="EIF45" s="12"/>
      <c r="EIW45" s="12"/>
      <c r="EIX45" s="12"/>
      <c r="EJO45" s="12"/>
      <c r="EJP45" s="12"/>
      <c r="EKG45" s="12"/>
      <c r="EKH45" s="12"/>
      <c r="EKY45" s="12"/>
      <c r="EKZ45" s="12"/>
      <c r="ELQ45" s="12"/>
      <c r="ELR45" s="12"/>
      <c r="EMI45" s="12"/>
      <c r="EMJ45" s="12"/>
      <c r="ENA45" s="12"/>
      <c r="ENB45" s="12"/>
      <c r="ENS45" s="12"/>
      <c r="ENT45" s="12"/>
      <c r="EOK45" s="12"/>
      <c r="EOL45" s="12"/>
      <c r="EPC45" s="12"/>
      <c r="EPD45" s="12"/>
      <c r="EPU45" s="12"/>
      <c r="EPV45" s="12"/>
      <c r="EQM45" s="12"/>
      <c r="EQN45" s="12"/>
      <c r="ERE45" s="12"/>
      <c r="ERF45" s="12"/>
      <c r="ERW45" s="12"/>
      <c r="ERX45" s="12"/>
      <c r="ESO45" s="12"/>
      <c r="ESP45" s="12"/>
      <c r="ETG45" s="12"/>
      <c r="ETH45" s="12"/>
      <c r="ETY45" s="12"/>
      <c r="ETZ45" s="12"/>
      <c r="EUQ45" s="12"/>
      <c r="EUR45" s="12"/>
      <c r="EVI45" s="12"/>
      <c r="EVJ45" s="12"/>
      <c r="EWA45" s="12"/>
      <c r="EWB45" s="12"/>
      <c r="EWS45" s="12"/>
      <c r="EWT45" s="12"/>
      <c r="EXK45" s="12"/>
      <c r="EXL45" s="12"/>
      <c r="EYC45" s="12"/>
      <c r="EYD45" s="12"/>
      <c r="EYU45" s="12"/>
      <c r="EYV45" s="12"/>
      <c r="EZM45" s="12"/>
      <c r="EZN45" s="12"/>
      <c r="FAE45" s="12"/>
      <c r="FAF45" s="12"/>
      <c r="FAW45" s="12"/>
      <c r="FAX45" s="12"/>
      <c r="FBO45" s="12"/>
      <c r="FBP45" s="12"/>
      <c r="FCG45" s="12"/>
      <c r="FCH45" s="12"/>
      <c r="FCY45" s="12"/>
      <c r="FCZ45" s="12"/>
      <c r="FDQ45" s="12"/>
      <c r="FDR45" s="12"/>
      <c r="FEI45" s="12"/>
      <c r="FEJ45" s="12"/>
      <c r="FFA45" s="12"/>
      <c r="FFB45" s="12"/>
      <c r="FFS45" s="12"/>
      <c r="FFT45" s="12"/>
      <c r="FGK45" s="12"/>
      <c r="FGL45" s="12"/>
      <c r="FHC45" s="12"/>
      <c r="FHD45" s="12"/>
      <c r="FHU45" s="12"/>
      <c r="FHV45" s="12"/>
      <c r="FIM45" s="12"/>
      <c r="FIN45" s="12"/>
      <c r="FJE45" s="12"/>
      <c r="FJF45" s="12"/>
      <c r="FJW45" s="12"/>
      <c r="FJX45" s="12"/>
      <c r="FKO45" s="12"/>
      <c r="FKP45" s="12"/>
      <c r="FLG45" s="12"/>
      <c r="FLH45" s="12"/>
      <c r="FLY45" s="12"/>
      <c r="FLZ45" s="12"/>
      <c r="FMQ45" s="12"/>
      <c r="FMR45" s="12"/>
      <c r="FNI45" s="12"/>
      <c r="FNJ45" s="12"/>
      <c r="FOA45" s="12"/>
      <c r="FOB45" s="12"/>
      <c r="FOS45" s="12"/>
      <c r="FOT45" s="12"/>
      <c r="FPK45" s="12"/>
      <c r="FPL45" s="12"/>
      <c r="FQC45" s="12"/>
      <c r="FQD45" s="12"/>
      <c r="FQU45" s="12"/>
      <c r="FQV45" s="12"/>
      <c r="FRM45" s="12"/>
      <c r="FRN45" s="12"/>
      <c r="FSE45" s="12"/>
      <c r="FSF45" s="12"/>
      <c r="FSW45" s="12"/>
      <c r="FSX45" s="12"/>
      <c r="FTO45" s="12"/>
      <c r="FTP45" s="12"/>
      <c r="FUG45" s="12"/>
      <c r="FUH45" s="12"/>
      <c r="FUY45" s="12"/>
      <c r="FUZ45" s="12"/>
      <c r="FVQ45" s="12"/>
      <c r="FVR45" s="12"/>
      <c r="FWI45" s="12"/>
      <c r="FWJ45" s="12"/>
      <c r="FXA45" s="12"/>
      <c r="FXB45" s="12"/>
      <c r="FXS45" s="12"/>
      <c r="FXT45" s="12"/>
      <c r="FYK45" s="12"/>
      <c r="FYL45" s="12"/>
      <c r="FZC45" s="12"/>
      <c r="FZD45" s="12"/>
      <c r="FZU45" s="12"/>
      <c r="FZV45" s="12"/>
      <c r="GAM45" s="12"/>
      <c r="GAN45" s="12"/>
      <c r="GBE45" s="12"/>
      <c r="GBF45" s="12"/>
      <c r="GBW45" s="12"/>
      <c r="GBX45" s="12"/>
      <c r="GCO45" s="12"/>
      <c r="GCP45" s="12"/>
      <c r="GDG45" s="12"/>
      <c r="GDH45" s="12"/>
      <c r="GDY45" s="12"/>
      <c r="GDZ45" s="12"/>
      <c r="GEQ45" s="12"/>
      <c r="GER45" s="12"/>
      <c r="GFI45" s="12"/>
      <c r="GFJ45" s="12"/>
      <c r="GGA45" s="12"/>
      <c r="GGB45" s="12"/>
      <c r="GGS45" s="12"/>
      <c r="GGT45" s="12"/>
      <c r="GHK45" s="12"/>
      <c r="GHL45" s="12"/>
      <c r="GIC45" s="12"/>
      <c r="GID45" s="12"/>
      <c r="GIU45" s="12"/>
      <c r="GIV45" s="12"/>
      <c r="GJM45" s="12"/>
      <c r="GJN45" s="12"/>
      <c r="GKE45" s="12"/>
      <c r="GKF45" s="12"/>
      <c r="GKW45" s="12"/>
      <c r="GKX45" s="12"/>
      <c r="GLO45" s="12"/>
      <c r="GLP45" s="12"/>
      <c r="GMG45" s="12"/>
      <c r="GMH45" s="12"/>
      <c r="GMY45" s="12"/>
      <c r="GMZ45" s="12"/>
      <c r="GNQ45" s="12"/>
      <c r="GNR45" s="12"/>
      <c r="GOI45" s="12"/>
      <c r="GOJ45" s="12"/>
      <c r="GPA45" s="12"/>
      <c r="GPB45" s="12"/>
      <c r="GPS45" s="12"/>
      <c r="GPT45" s="12"/>
      <c r="GQK45" s="12"/>
      <c r="GQL45" s="12"/>
      <c r="GRC45" s="12"/>
      <c r="GRD45" s="12"/>
      <c r="GRU45" s="12"/>
      <c r="GRV45" s="12"/>
      <c r="GSM45" s="12"/>
      <c r="GSN45" s="12"/>
      <c r="GTE45" s="12"/>
      <c r="GTF45" s="12"/>
      <c r="GTW45" s="12"/>
      <c r="GTX45" s="12"/>
      <c r="GUO45" s="12"/>
      <c r="GUP45" s="12"/>
      <c r="GVG45" s="12"/>
      <c r="GVH45" s="12"/>
      <c r="GVY45" s="12"/>
      <c r="GVZ45" s="12"/>
      <c r="GWQ45" s="12"/>
      <c r="GWR45" s="12"/>
      <c r="GXI45" s="12"/>
      <c r="GXJ45" s="12"/>
      <c r="GYA45" s="12"/>
      <c r="GYB45" s="12"/>
      <c r="GYS45" s="12"/>
      <c r="GYT45" s="12"/>
      <c r="GZK45" s="12"/>
      <c r="GZL45" s="12"/>
      <c r="HAC45" s="12"/>
      <c r="HAD45" s="12"/>
      <c r="HAU45" s="12"/>
      <c r="HAV45" s="12"/>
      <c r="HBM45" s="12"/>
      <c r="HBN45" s="12"/>
      <c r="HCE45" s="12"/>
      <c r="HCF45" s="12"/>
      <c r="HCW45" s="12"/>
      <c r="HCX45" s="12"/>
      <c r="HDO45" s="12"/>
      <c r="HDP45" s="12"/>
      <c r="HEG45" s="12"/>
      <c r="HEH45" s="12"/>
      <c r="HEY45" s="12"/>
      <c r="HEZ45" s="12"/>
      <c r="HFQ45" s="12"/>
      <c r="HFR45" s="12"/>
      <c r="HGI45" s="12"/>
      <c r="HGJ45" s="12"/>
      <c r="HHA45" s="12"/>
      <c r="HHB45" s="12"/>
      <c r="HHS45" s="12"/>
      <c r="HHT45" s="12"/>
      <c r="HIK45" s="12"/>
      <c r="HIL45" s="12"/>
      <c r="HJC45" s="12"/>
      <c r="HJD45" s="12"/>
      <c r="HJU45" s="12"/>
      <c r="HJV45" s="12"/>
      <c r="HKM45" s="12"/>
      <c r="HKN45" s="12"/>
      <c r="HLE45" s="12"/>
      <c r="HLF45" s="12"/>
      <c r="HLW45" s="12"/>
      <c r="HLX45" s="12"/>
      <c r="HMO45" s="12"/>
      <c r="HMP45" s="12"/>
      <c r="HNG45" s="12"/>
      <c r="HNH45" s="12"/>
      <c r="HNY45" s="12"/>
      <c r="HNZ45" s="12"/>
      <c r="HOQ45" s="12"/>
      <c r="HOR45" s="12"/>
      <c r="HPI45" s="12"/>
      <c r="HPJ45" s="12"/>
      <c r="HQA45" s="12"/>
      <c r="HQB45" s="12"/>
      <c r="HQS45" s="12"/>
      <c r="HQT45" s="12"/>
      <c r="HRK45" s="12"/>
      <c r="HRL45" s="12"/>
      <c r="HSC45" s="12"/>
      <c r="HSD45" s="12"/>
      <c r="HSU45" s="12"/>
      <c r="HSV45" s="12"/>
      <c r="HTM45" s="12"/>
      <c r="HTN45" s="12"/>
      <c r="HUE45" s="12"/>
      <c r="HUF45" s="12"/>
      <c r="HUW45" s="12"/>
      <c r="HUX45" s="12"/>
      <c r="HVO45" s="12"/>
      <c r="HVP45" s="12"/>
      <c r="HWG45" s="12"/>
      <c r="HWH45" s="12"/>
      <c r="HWY45" s="12"/>
      <c r="HWZ45" s="12"/>
      <c r="HXQ45" s="12"/>
      <c r="HXR45" s="12"/>
      <c r="HYI45" s="12"/>
      <c r="HYJ45" s="12"/>
      <c r="HZA45" s="12"/>
      <c r="HZB45" s="12"/>
      <c r="HZS45" s="12"/>
      <c r="HZT45" s="12"/>
      <c r="IAK45" s="12"/>
      <c r="IAL45" s="12"/>
      <c r="IBC45" s="12"/>
      <c r="IBD45" s="12"/>
      <c r="IBU45" s="12"/>
      <c r="IBV45" s="12"/>
      <c r="ICM45" s="12"/>
      <c r="ICN45" s="12"/>
      <c r="IDE45" s="12"/>
      <c r="IDF45" s="12"/>
      <c r="IDW45" s="12"/>
      <c r="IDX45" s="12"/>
      <c r="IEO45" s="12"/>
      <c r="IEP45" s="12"/>
      <c r="IFG45" s="12"/>
      <c r="IFH45" s="12"/>
      <c r="IFY45" s="12"/>
      <c r="IFZ45" s="12"/>
      <c r="IGQ45" s="12"/>
      <c r="IGR45" s="12"/>
      <c r="IHI45" s="12"/>
      <c r="IHJ45" s="12"/>
      <c r="IIA45" s="12"/>
      <c r="IIB45" s="12"/>
      <c r="IIS45" s="12"/>
      <c r="IIT45" s="12"/>
      <c r="IJK45" s="12"/>
      <c r="IJL45" s="12"/>
      <c r="IKC45" s="12"/>
      <c r="IKD45" s="12"/>
      <c r="IKU45" s="12"/>
      <c r="IKV45" s="12"/>
      <c r="ILM45" s="12"/>
      <c r="ILN45" s="12"/>
      <c r="IME45" s="12"/>
      <c r="IMF45" s="12"/>
      <c r="IMW45" s="12"/>
      <c r="IMX45" s="12"/>
      <c r="INO45" s="12"/>
      <c r="INP45" s="12"/>
      <c r="IOG45" s="12"/>
      <c r="IOH45" s="12"/>
      <c r="IOY45" s="12"/>
      <c r="IOZ45" s="12"/>
      <c r="IPQ45" s="12"/>
      <c r="IPR45" s="12"/>
      <c r="IQI45" s="12"/>
      <c r="IQJ45" s="12"/>
      <c r="IRA45" s="12"/>
      <c r="IRB45" s="12"/>
      <c r="IRS45" s="12"/>
      <c r="IRT45" s="12"/>
      <c r="ISK45" s="12"/>
      <c r="ISL45" s="12"/>
      <c r="ITC45" s="12"/>
      <c r="ITD45" s="12"/>
      <c r="ITU45" s="12"/>
      <c r="ITV45" s="12"/>
      <c r="IUM45" s="12"/>
      <c r="IUN45" s="12"/>
      <c r="IVE45" s="12"/>
      <c r="IVF45" s="12"/>
      <c r="IVW45" s="12"/>
      <c r="IVX45" s="12"/>
      <c r="IWO45" s="12"/>
      <c r="IWP45" s="12"/>
      <c r="IXG45" s="12"/>
      <c r="IXH45" s="12"/>
      <c r="IXY45" s="12"/>
      <c r="IXZ45" s="12"/>
      <c r="IYQ45" s="12"/>
      <c r="IYR45" s="12"/>
      <c r="IZI45" s="12"/>
      <c r="IZJ45" s="12"/>
      <c r="JAA45" s="12"/>
      <c r="JAB45" s="12"/>
      <c r="JAS45" s="12"/>
      <c r="JAT45" s="12"/>
      <c r="JBK45" s="12"/>
      <c r="JBL45" s="12"/>
      <c r="JCC45" s="12"/>
      <c r="JCD45" s="12"/>
      <c r="JCU45" s="12"/>
      <c r="JCV45" s="12"/>
      <c r="JDM45" s="12"/>
      <c r="JDN45" s="12"/>
      <c r="JEE45" s="12"/>
      <c r="JEF45" s="12"/>
      <c r="JEW45" s="12"/>
      <c r="JEX45" s="12"/>
      <c r="JFO45" s="12"/>
      <c r="JFP45" s="12"/>
      <c r="JGG45" s="12"/>
      <c r="JGH45" s="12"/>
      <c r="JGY45" s="12"/>
      <c r="JGZ45" s="12"/>
      <c r="JHQ45" s="12"/>
      <c r="JHR45" s="12"/>
      <c r="JII45" s="12"/>
      <c r="JIJ45" s="12"/>
      <c r="JJA45" s="12"/>
      <c r="JJB45" s="12"/>
      <c r="JJS45" s="12"/>
      <c r="JJT45" s="12"/>
      <c r="JKK45" s="12"/>
      <c r="JKL45" s="12"/>
      <c r="JLC45" s="12"/>
      <c r="JLD45" s="12"/>
      <c r="JLU45" s="12"/>
      <c r="JLV45" s="12"/>
      <c r="JMM45" s="12"/>
      <c r="JMN45" s="12"/>
      <c r="JNE45" s="12"/>
      <c r="JNF45" s="12"/>
      <c r="JNW45" s="12"/>
      <c r="JNX45" s="12"/>
      <c r="JOO45" s="12"/>
      <c r="JOP45" s="12"/>
      <c r="JPG45" s="12"/>
      <c r="JPH45" s="12"/>
      <c r="JPY45" s="12"/>
      <c r="JPZ45" s="12"/>
      <c r="JQQ45" s="12"/>
      <c r="JQR45" s="12"/>
      <c r="JRI45" s="12"/>
      <c r="JRJ45" s="12"/>
      <c r="JSA45" s="12"/>
      <c r="JSB45" s="12"/>
      <c r="JSS45" s="12"/>
      <c r="JST45" s="12"/>
      <c r="JTK45" s="12"/>
      <c r="JTL45" s="12"/>
      <c r="JUC45" s="12"/>
      <c r="JUD45" s="12"/>
      <c r="JUU45" s="12"/>
      <c r="JUV45" s="12"/>
      <c r="JVM45" s="12"/>
      <c r="JVN45" s="12"/>
      <c r="JWE45" s="12"/>
      <c r="JWF45" s="12"/>
      <c r="JWW45" s="12"/>
      <c r="JWX45" s="12"/>
      <c r="JXO45" s="12"/>
      <c r="JXP45" s="12"/>
      <c r="JYG45" s="12"/>
      <c r="JYH45" s="12"/>
      <c r="JYY45" s="12"/>
      <c r="JYZ45" s="12"/>
      <c r="JZQ45" s="12"/>
      <c r="JZR45" s="12"/>
      <c r="KAI45" s="12"/>
      <c r="KAJ45" s="12"/>
      <c r="KBA45" s="12"/>
      <c r="KBB45" s="12"/>
      <c r="KBS45" s="12"/>
      <c r="KBT45" s="12"/>
      <c r="KCK45" s="12"/>
      <c r="KCL45" s="12"/>
      <c r="KDC45" s="12"/>
      <c r="KDD45" s="12"/>
      <c r="KDU45" s="12"/>
      <c r="KDV45" s="12"/>
      <c r="KEM45" s="12"/>
      <c r="KEN45" s="12"/>
      <c r="KFE45" s="12"/>
      <c r="KFF45" s="12"/>
      <c r="KFW45" s="12"/>
      <c r="KFX45" s="12"/>
      <c r="KGO45" s="12"/>
      <c r="KGP45" s="12"/>
      <c r="KHG45" s="12"/>
      <c r="KHH45" s="12"/>
      <c r="KHY45" s="12"/>
      <c r="KHZ45" s="12"/>
      <c r="KIQ45" s="12"/>
      <c r="KIR45" s="12"/>
      <c r="KJI45" s="12"/>
      <c r="KJJ45" s="12"/>
      <c r="KKA45" s="12"/>
      <c r="KKB45" s="12"/>
      <c r="KKS45" s="12"/>
      <c r="KKT45" s="12"/>
      <c r="KLK45" s="12"/>
      <c r="KLL45" s="12"/>
      <c r="KMC45" s="12"/>
      <c r="KMD45" s="12"/>
      <c r="KMU45" s="12"/>
      <c r="KMV45" s="12"/>
      <c r="KNM45" s="12"/>
      <c r="KNN45" s="12"/>
      <c r="KOE45" s="12"/>
      <c r="KOF45" s="12"/>
      <c r="KOW45" s="12"/>
      <c r="KOX45" s="12"/>
      <c r="KPO45" s="12"/>
      <c r="KPP45" s="12"/>
      <c r="KQG45" s="12"/>
      <c r="KQH45" s="12"/>
      <c r="KQY45" s="12"/>
      <c r="KQZ45" s="12"/>
      <c r="KRQ45" s="12"/>
      <c r="KRR45" s="12"/>
      <c r="KSI45" s="12"/>
      <c r="KSJ45" s="12"/>
      <c r="KTA45" s="12"/>
      <c r="KTB45" s="12"/>
      <c r="KTS45" s="12"/>
      <c r="KTT45" s="12"/>
      <c r="KUK45" s="12"/>
      <c r="KUL45" s="12"/>
      <c r="KVC45" s="12"/>
      <c r="KVD45" s="12"/>
      <c r="KVU45" s="12"/>
      <c r="KVV45" s="12"/>
      <c r="KWM45" s="12"/>
      <c r="KWN45" s="12"/>
      <c r="KXE45" s="12"/>
      <c r="KXF45" s="12"/>
      <c r="KXW45" s="12"/>
      <c r="KXX45" s="12"/>
      <c r="KYO45" s="12"/>
      <c r="KYP45" s="12"/>
      <c r="KZG45" s="12"/>
      <c r="KZH45" s="12"/>
      <c r="KZY45" s="12"/>
      <c r="KZZ45" s="12"/>
      <c r="LAQ45" s="12"/>
      <c r="LAR45" s="12"/>
      <c r="LBI45" s="12"/>
      <c r="LBJ45" s="12"/>
      <c r="LCA45" s="12"/>
      <c r="LCB45" s="12"/>
      <c r="LCS45" s="12"/>
      <c r="LCT45" s="12"/>
      <c r="LDK45" s="12"/>
      <c r="LDL45" s="12"/>
      <c r="LEC45" s="12"/>
      <c r="LED45" s="12"/>
      <c r="LEU45" s="12"/>
      <c r="LEV45" s="12"/>
      <c r="LFM45" s="12"/>
      <c r="LFN45" s="12"/>
      <c r="LGE45" s="12"/>
      <c r="LGF45" s="12"/>
      <c r="LGW45" s="12"/>
      <c r="LGX45" s="12"/>
      <c r="LHO45" s="12"/>
      <c r="LHP45" s="12"/>
      <c r="LIG45" s="12"/>
      <c r="LIH45" s="12"/>
      <c r="LIY45" s="12"/>
      <c r="LIZ45" s="12"/>
      <c r="LJQ45" s="12"/>
      <c r="LJR45" s="12"/>
      <c r="LKI45" s="12"/>
      <c r="LKJ45" s="12"/>
      <c r="LLA45" s="12"/>
      <c r="LLB45" s="12"/>
      <c r="LLS45" s="12"/>
      <c r="LLT45" s="12"/>
      <c r="LMK45" s="12"/>
      <c r="LML45" s="12"/>
      <c r="LNC45" s="12"/>
      <c r="LND45" s="12"/>
      <c r="LNU45" s="12"/>
      <c r="LNV45" s="12"/>
      <c r="LOM45" s="12"/>
      <c r="LON45" s="12"/>
      <c r="LPE45" s="12"/>
      <c r="LPF45" s="12"/>
      <c r="LPW45" s="12"/>
      <c r="LPX45" s="12"/>
      <c r="LQO45" s="12"/>
      <c r="LQP45" s="12"/>
      <c r="LRG45" s="12"/>
      <c r="LRH45" s="12"/>
      <c r="LRY45" s="12"/>
      <c r="LRZ45" s="12"/>
      <c r="LSQ45" s="12"/>
      <c r="LSR45" s="12"/>
      <c r="LTI45" s="12"/>
      <c r="LTJ45" s="12"/>
      <c r="LUA45" s="12"/>
      <c r="LUB45" s="12"/>
      <c r="LUS45" s="12"/>
      <c r="LUT45" s="12"/>
      <c r="LVK45" s="12"/>
      <c r="LVL45" s="12"/>
      <c r="LWC45" s="12"/>
      <c r="LWD45" s="12"/>
      <c r="LWU45" s="12"/>
      <c r="LWV45" s="12"/>
      <c r="LXM45" s="12"/>
      <c r="LXN45" s="12"/>
      <c r="LYE45" s="12"/>
      <c r="LYF45" s="12"/>
      <c r="LYW45" s="12"/>
      <c r="LYX45" s="12"/>
      <c r="LZO45" s="12"/>
      <c r="LZP45" s="12"/>
      <c r="MAG45" s="12"/>
      <c r="MAH45" s="12"/>
      <c r="MAY45" s="12"/>
      <c r="MAZ45" s="12"/>
      <c r="MBQ45" s="12"/>
      <c r="MBR45" s="12"/>
      <c r="MCI45" s="12"/>
      <c r="MCJ45" s="12"/>
      <c r="MDA45" s="12"/>
      <c r="MDB45" s="12"/>
      <c r="MDS45" s="12"/>
      <c r="MDT45" s="12"/>
      <c r="MEK45" s="12"/>
      <c r="MEL45" s="12"/>
      <c r="MFC45" s="12"/>
      <c r="MFD45" s="12"/>
      <c r="MFU45" s="12"/>
      <c r="MFV45" s="12"/>
      <c r="MGM45" s="12"/>
      <c r="MGN45" s="12"/>
      <c r="MHE45" s="12"/>
      <c r="MHF45" s="12"/>
      <c r="MHW45" s="12"/>
      <c r="MHX45" s="12"/>
      <c r="MIO45" s="12"/>
      <c r="MIP45" s="12"/>
      <c r="MJG45" s="12"/>
      <c r="MJH45" s="12"/>
      <c r="MJY45" s="12"/>
      <c r="MJZ45" s="12"/>
      <c r="MKQ45" s="12"/>
      <c r="MKR45" s="12"/>
      <c r="MLI45" s="12"/>
      <c r="MLJ45" s="12"/>
      <c r="MMA45" s="12"/>
      <c r="MMB45" s="12"/>
      <c r="MMS45" s="12"/>
      <c r="MMT45" s="12"/>
      <c r="MNK45" s="12"/>
      <c r="MNL45" s="12"/>
      <c r="MOC45" s="12"/>
      <c r="MOD45" s="12"/>
      <c r="MOU45" s="12"/>
      <c r="MOV45" s="12"/>
      <c r="MPM45" s="12"/>
      <c r="MPN45" s="12"/>
      <c r="MQE45" s="12"/>
      <c r="MQF45" s="12"/>
      <c r="MQW45" s="12"/>
      <c r="MQX45" s="12"/>
      <c r="MRO45" s="12"/>
      <c r="MRP45" s="12"/>
      <c r="MSG45" s="12"/>
      <c r="MSH45" s="12"/>
      <c r="MSY45" s="12"/>
      <c r="MSZ45" s="12"/>
      <c r="MTQ45" s="12"/>
      <c r="MTR45" s="12"/>
      <c r="MUI45" s="12"/>
      <c r="MUJ45" s="12"/>
      <c r="MVA45" s="12"/>
      <c r="MVB45" s="12"/>
      <c r="MVS45" s="12"/>
      <c r="MVT45" s="12"/>
      <c r="MWK45" s="12"/>
      <c r="MWL45" s="12"/>
      <c r="MXC45" s="12"/>
      <c r="MXD45" s="12"/>
      <c r="MXU45" s="12"/>
      <c r="MXV45" s="12"/>
      <c r="MYM45" s="12"/>
      <c r="MYN45" s="12"/>
      <c r="MZE45" s="12"/>
      <c r="MZF45" s="12"/>
      <c r="MZW45" s="12"/>
      <c r="MZX45" s="12"/>
      <c r="NAO45" s="12"/>
      <c r="NAP45" s="12"/>
      <c r="NBG45" s="12"/>
      <c r="NBH45" s="12"/>
      <c r="NBY45" s="12"/>
      <c r="NBZ45" s="12"/>
      <c r="NCQ45" s="12"/>
      <c r="NCR45" s="12"/>
      <c r="NDI45" s="12"/>
      <c r="NDJ45" s="12"/>
      <c r="NEA45" s="12"/>
      <c r="NEB45" s="12"/>
      <c r="NES45" s="12"/>
      <c r="NET45" s="12"/>
      <c r="NFK45" s="12"/>
      <c r="NFL45" s="12"/>
      <c r="NGC45" s="12"/>
      <c r="NGD45" s="12"/>
      <c r="NGU45" s="12"/>
      <c r="NGV45" s="12"/>
      <c r="NHM45" s="12"/>
      <c r="NHN45" s="12"/>
      <c r="NIE45" s="12"/>
      <c r="NIF45" s="12"/>
      <c r="NIW45" s="12"/>
      <c r="NIX45" s="12"/>
      <c r="NJO45" s="12"/>
      <c r="NJP45" s="12"/>
      <c r="NKG45" s="12"/>
      <c r="NKH45" s="12"/>
      <c r="NKY45" s="12"/>
      <c r="NKZ45" s="12"/>
      <c r="NLQ45" s="12"/>
      <c r="NLR45" s="12"/>
      <c r="NMI45" s="12"/>
      <c r="NMJ45" s="12"/>
      <c r="NNA45" s="12"/>
      <c r="NNB45" s="12"/>
      <c r="NNS45" s="12"/>
      <c r="NNT45" s="12"/>
      <c r="NOK45" s="12"/>
      <c r="NOL45" s="12"/>
      <c r="NPC45" s="12"/>
      <c r="NPD45" s="12"/>
      <c r="NPU45" s="12"/>
      <c r="NPV45" s="12"/>
      <c r="NQM45" s="12"/>
      <c r="NQN45" s="12"/>
      <c r="NRE45" s="12"/>
      <c r="NRF45" s="12"/>
      <c r="NRW45" s="12"/>
      <c r="NRX45" s="12"/>
      <c r="NSO45" s="12"/>
      <c r="NSP45" s="12"/>
      <c r="NTG45" s="12"/>
      <c r="NTH45" s="12"/>
      <c r="NTY45" s="12"/>
      <c r="NTZ45" s="12"/>
      <c r="NUQ45" s="12"/>
      <c r="NUR45" s="12"/>
      <c r="NVI45" s="12"/>
      <c r="NVJ45" s="12"/>
      <c r="NWA45" s="12"/>
      <c r="NWB45" s="12"/>
      <c r="NWS45" s="12"/>
      <c r="NWT45" s="12"/>
      <c r="NXK45" s="12"/>
      <c r="NXL45" s="12"/>
      <c r="NYC45" s="12"/>
      <c r="NYD45" s="12"/>
      <c r="NYU45" s="12"/>
      <c r="NYV45" s="12"/>
      <c r="NZM45" s="12"/>
      <c r="NZN45" s="12"/>
      <c r="OAE45" s="12"/>
      <c r="OAF45" s="12"/>
      <c r="OAW45" s="12"/>
      <c r="OAX45" s="12"/>
      <c r="OBO45" s="12"/>
      <c r="OBP45" s="12"/>
      <c r="OCG45" s="12"/>
      <c r="OCH45" s="12"/>
      <c r="OCY45" s="12"/>
      <c r="OCZ45" s="12"/>
      <c r="ODQ45" s="12"/>
      <c r="ODR45" s="12"/>
      <c r="OEI45" s="12"/>
      <c r="OEJ45" s="12"/>
      <c r="OFA45" s="12"/>
      <c r="OFB45" s="12"/>
      <c r="OFS45" s="12"/>
      <c r="OFT45" s="12"/>
      <c r="OGK45" s="12"/>
      <c r="OGL45" s="12"/>
      <c r="OHC45" s="12"/>
      <c r="OHD45" s="12"/>
      <c r="OHU45" s="12"/>
      <c r="OHV45" s="12"/>
      <c r="OIM45" s="12"/>
      <c r="OIN45" s="12"/>
      <c r="OJE45" s="12"/>
      <c r="OJF45" s="12"/>
      <c r="OJW45" s="12"/>
      <c r="OJX45" s="12"/>
      <c r="OKO45" s="12"/>
      <c r="OKP45" s="12"/>
      <c r="OLG45" s="12"/>
      <c r="OLH45" s="12"/>
      <c r="OLY45" s="12"/>
      <c r="OLZ45" s="12"/>
      <c r="OMQ45" s="12"/>
      <c r="OMR45" s="12"/>
      <c r="ONI45" s="12"/>
      <c r="ONJ45" s="12"/>
      <c r="OOA45" s="12"/>
      <c r="OOB45" s="12"/>
      <c r="OOS45" s="12"/>
      <c r="OOT45" s="12"/>
      <c r="OPK45" s="12"/>
      <c r="OPL45" s="12"/>
      <c r="OQC45" s="12"/>
      <c r="OQD45" s="12"/>
      <c r="OQU45" s="12"/>
      <c r="OQV45" s="12"/>
      <c r="ORM45" s="12"/>
      <c r="ORN45" s="12"/>
      <c r="OSE45" s="12"/>
      <c r="OSF45" s="12"/>
      <c r="OSW45" s="12"/>
      <c r="OSX45" s="12"/>
      <c r="OTO45" s="12"/>
      <c r="OTP45" s="12"/>
      <c r="OUG45" s="12"/>
      <c r="OUH45" s="12"/>
      <c r="OUY45" s="12"/>
      <c r="OUZ45" s="12"/>
      <c r="OVQ45" s="12"/>
      <c r="OVR45" s="12"/>
      <c r="OWI45" s="12"/>
      <c r="OWJ45" s="12"/>
      <c r="OXA45" s="12"/>
      <c r="OXB45" s="12"/>
      <c r="OXS45" s="12"/>
      <c r="OXT45" s="12"/>
      <c r="OYK45" s="12"/>
      <c r="OYL45" s="12"/>
      <c r="OZC45" s="12"/>
      <c r="OZD45" s="12"/>
      <c r="OZU45" s="12"/>
      <c r="OZV45" s="12"/>
      <c r="PAM45" s="12"/>
      <c r="PAN45" s="12"/>
      <c r="PBE45" s="12"/>
      <c r="PBF45" s="12"/>
      <c r="PBW45" s="12"/>
      <c r="PBX45" s="12"/>
      <c r="PCO45" s="12"/>
      <c r="PCP45" s="12"/>
      <c r="PDG45" s="12"/>
      <c r="PDH45" s="12"/>
      <c r="PDY45" s="12"/>
      <c r="PDZ45" s="12"/>
      <c r="PEQ45" s="12"/>
      <c r="PER45" s="12"/>
      <c r="PFI45" s="12"/>
      <c r="PFJ45" s="12"/>
      <c r="PGA45" s="12"/>
      <c r="PGB45" s="12"/>
      <c r="PGS45" s="12"/>
      <c r="PGT45" s="12"/>
      <c r="PHK45" s="12"/>
      <c r="PHL45" s="12"/>
      <c r="PIC45" s="12"/>
      <c r="PID45" s="12"/>
      <c r="PIU45" s="12"/>
      <c r="PIV45" s="12"/>
      <c r="PJM45" s="12"/>
      <c r="PJN45" s="12"/>
      <c r="PKE45" s="12"/>
      <c r="PKF45" s="12"/>
      <c r="PKW45" s="12"/>
      <c r="PKX45" s="12"/>
      <c r="PLO45" s="12"/>
      <c r="PLP45" s="12"/>
      <c r="PMG45" s="12"/>
      <c r="PMH45" s="12"/>
      <c r="PMY45" s="12"/>
      <c r="PMZ45" s="12"/>
      <c r="PNQ45" s="12"/>
      <c r="PNR45" s="12"/>
      <c r="POI45" s="12"/>
      <c r="POJ45" s="12"/>
      <c r="PPA45" s="12"/>
      <c r="PPB45" s="12"/>
      <c r="PPS45" s="12"/>
      <c r="PPT45" s="12"/>
      <c r="PQK45" s="12"/>
      <c r="PQL45" s="12"/>
      <c r="PRC45" s="12"/>
      <c r="PRD45" s="12"/>
      <c r="PRU45" s="12"/>
      <c r="PRV45" s="12"/>
      <c r="PSM45" s="12"/>
      <c r="PSN45" s="12"/>
      <c r="PTE45" s="12"/>
      <c r="PTF45" s="12"/>
      <c r="PTW45" s="12"/>
      <c r="PTX45" s="12"/>
      <c r="PUO45" s="12"/>
      <c r="PUP45" s="12"/>
      <c r="PVG45" s="12"/>
      <c r="PVH45" s="12"/>
      <c r="PVY45" s="12"/>
      <c r="PVZ45" s="12"/>
      <c r="PWQ45" s="12"/>
      <c r="PWR45" s="12"/>
      <c r="PXI45" s="12"/>
      <c r="PXJ45" s="12"/>
      <c r="PYA45" s="12"/>
      <c r="PYB45" s="12"/>
      <c r="PYS45" s="12"/>
      <c r="PYT45" s="12"/>
      <c r="PZK45" s="12"/>
      <c r="PZL45" s="12"/>
      <c r="QAC45" s="12"/>
      <c r="QAD45" s="12"/>
      <c r="QAU45" s="12"/>
      <c r="QAV45" s="12"/>
      <c r="QBM45" s="12"/>
      <c r="QBN45" s="12"/>
      <c r="QCE45" s="12"/>
      <c r="QCF45" s="12"/>
      <c r="QCW45" s="12"/>
      <c r="QCX45" s="12"/>
      <c r="QDO45" s="12"/>
      <c r="QDP45" s="12"/>
      <c r="QEG45" s="12"/>
      <c r="QEH45" s="12"/>
      <c r="QEY45" s="12"/>
      <c r="QEZ45" s="12"/>
      <c r="QFQ45" s="12"/>
      <c r="QFR45" s="12"/>
      <c r="QGI45" s="12"/>
      <c r="QGJ45" s="12"/>
      <c r="QHA45" s="12"/>
      <c r="QHB45" s="12"/>
      <c r="QHS45" s="12"/>
      <c r="QHT45" s="12"/>
      <c r="QIK45" s="12"/>
      <c r="QIL45" s="12"/>
      <c r="QJC45" s="12"/>
      <c r="QJD45" s="12"/>
      <c r="QJU45" s="12"/>
      <c r="QJV45" s="12"/>
      <c r="QKM45" s="12"/>
      <c r="QKN45" s="12"/>
      <c r="QLE45" s="12"/>
      <c r="QLF45" s="12"/>
      <c r="QLW45" s="12"/>
      <c r="QLX45" s="12"/>
      <c r="QMO45" s="12"/>
      <c r="QMP45" s="12"/>
      <c r="QNG45" s="12"/>
      <c r="QNH45" s="12"/>
      <c r="QNY45" s="12"/>
      <c r="QNZ45" s="12"/>
      <c r="QOQ45" s="12"/>
      <c r="QOR45" s="12"/>
      <c r="QPI45" s="12"/>
      <c r="QPJ45" s="12"/>
      <c r="QQA45" s="12"/>
      <c r="QQB45" s="12"/>
      <c r="QQS45" s="12"/>
      <c r="QQT45" s="12"/>
      <c r="QRK45" s="12"/>
      <c r="QRL45" s="12"/>
      <c r="QSC45" s="12"/>
      <c r="QSD45" s="12"/>
      <c r="QSU45" s="12"/>
      <c r="QSV45" s="12"/>
      <c r="QTM45" s="12"/>
      <c r="QTN45" s="12"/>
      <c r="QUE45" s="12"/>
      <c r="QUF45" s="12"/>
      <c r="QUW45" s="12"/>
      <c r="QUX45" s="12"/>
      <c r="QVO45" s="12"/>
      <c r="QVP45" s="12"/>
      <c r="QWG45" s="12"/>
      <c r="QWH45" s="12"/>
      <c r="QWY45" s="12"/>
      <c r="QWZ45" s="12"/>
      <c r="QXQ45" s="12"/>
      <c r="QXR45" s="12"/>
      <c r="QYI45" s="12"/>
      <c r="QYJ45" s="12"/>
      <c r="QZA45" s="12"/>
      <c r="QZB45" s="12"/>
      <c r="QZS45" s="12"/>
      <c r="QZT45" s="12"/>
      <c r="RAK45" s="12"/>
      <c r="RAL45" s="12"/>
      <c r="RBC45" s="12"/>
      <c r="RBD45" s="12"/>
      <c r="RBU45" s="12"/>
      <c r="RBV45" s="12"/>
      <c r="RCM45" s="12"/>
      <c r="RCN45" s="12"/>
      <c r="RDE45" s="12"/>
      <c r="RDF45" s="12"/>
      <c r="RDW45" s="12"/>
      <c r="RDX45" s="12"/>
      <c r="REO45" s="12"/>
      <c r="REP45" s="12"/>
      <c r="RFG45" s="12"/>
      <c r="RFH45" s="12"/>
      <c r="RFY45" s="12"/>
      <c r="RFZ45" s="12"/>
      <c r="RGQ45" s="12"/>
      <c r="RGR45" s="12"/>
      <c r="RHI45" s="12"/>
      <c r="RHJ45" s="12"/>
      <c r="RIA45" s="12"/>
      <c r="RIB45" s="12"/>
      <c r="RIS45" s="12"/>
      <c r="RIT45" s="12"/>
      <c r="RJK45" s="12"/>
      <c r="RJL45" s="12"/>
      <c r="RKC45" s="12"/>
      <c r="RKD45" s="12"/>
      <c r="RKU45" s="12"/>
      <c r="RKV45" s="12"/>
      <c r="RLM45" s="12"/>
      <c r="RLN45" s="12"/>
      <c r="RME45" s="12"/>
      <c r="RMF45" s="12"/>
      <c r="RMW45" s="12"/>
      <c r="RMX45" s="12"/>
      <c r="RNO45" s="12"/>
      <c r="RNP45" s="12"/>
      <c r="ROG45" s="12"/>
      <c r="ROH45" s="12"/>
      <c r="ROY45" s="12"/>
      <c r="ROZ45" s="12"/>
      <c r="RPQ45" s="12"/>
      <c r="RPR45" s="12"/>
      <c r="RQI45" s="12"/>
      <c r="RQJ45" s="12"/>
      <c r="RRA45" s="12"/>
      <c r="RRB45" s="12"/>
      <c r="RRS45" s="12"/>
      <c r="RRT45" s="12"/>
      <c r="RSK45" s="12"/>
      <c r="RSL45" s="12"/>
      <c r="RTC45" s="12"/>
      <c r="RTD45" s="12"/>
      <c r="RTU45" s="12"/>
      <c r="RTV45" s="12"/>
      <c r="RUM45" s="12"/>
      <c r="RUN45" s="12"/>
      <c r="RVE45" s="12"/>
      <c r="RVF45" s="12"/>
      <c r="RVW45" s="12"/>
      <c r="RVX45" s="12"/>
      <c r="RWO45" s="12"/>
      <c r="RWP45" s="12"/>
      <c r="RXG45" s="12"/>
      <c r="RXH45" s="12"/>
      <c r="RXY45" s="12"/>
      <c r="RXZ45" s="12"/>
      <c r="RYQ45" s="12"/>
      <c r="RYR45" s="12"/>
      <c r="RZI45" s="12"/>
      <c r="RZJ45" s="12"/>
      <c r="SAA45" s="12"/>
      <c r="SAB45" s="12"/>
      <c r="SAS45" s="12"/>
      <c r="SAT45" s="12"/>
      <c r="SBK45" s="12"/>
      <c r="SBL45" s="12"/>
      <c r="SCC45" s="12"/>
      <c r="SCD45" s="12"/>
      <c r="SCU45" s="12"/>
      <c r="SCV45" s="12"/>
      <c r="SDM45" s="12"/>
      <c r="SDN45" s="12"/>
      <c r="SEE45" s="12"/>
      <c r="SEF45" s="12"/>
      <c r="SEW45" s="12"/>
      <c r="SEX45" s="12"/>
      <c r="SFO45" s="12"/>
      <c r="SFP45" s="12"/>
      <c r="SGG45" s="12"/>
      <c r="SGH45" s="12"/>
      <c r="SGY45" s="12"/>
      <c r="SGZ45" s="12"/>
      <c r="SHQ45" s="12"/>
      <c r="SHR45" s="12"/>
      <c r="SII45" s="12"/>
      <c r="SIJ45" s="12"/>
      <c r="SJA45" s="12"/>
      <c r="SJB45" s="12"/>
      <c r="SJS45" s="12"/>
      <c r="SJT45" s="12"/>
      <c r="SKK45" s="12"/>
      <c r="SKL45" s="12"/>
      <c r="SLC45" s="12"/>
      <c r="SLD45" s="12"/>
      <c r="SLU45" s="12"/>
      <c r="SLV45" s="12"/>
      <c r="SMM45" s="12"/>
      <c r="SMN45" s="12"/>
      <c r="SNE45" s="12"/>
      <c r="SNF45" s="12"/>
      <c r="SNW45" s="12"/>
      <c r="SNX45" s="12"/>
      <c r="SOO45" s="12"/>
      <c r="SOP45" s="12"/>
      <c r="SPG45" s="12"/>
      <c r="SPH45" s="12"/>
      <c r="SPY45" s="12"/>
      <c r="SPZ45" s="12"/>
      <c r="SQQ45" s="12"/>
      <c r="SQR45" s="12"/>
      <c r="SRI45" s="12"/>
      <c r="SRJ45" s="12"/>
      <c r="SSA45" s="12"/>
      <c r="SSB45" s="12"/>
      <c r="SSS45" s="12"/>
      <c r="SST45" s="12"/>
      <c r="STK45" s="12"/>
      <c r="STL45" s="12"/>
      <c r="SUC45" s="12"/>
      <c r="SUD45" s="12"/>
      <c r="SUU45" s="12"/>
      <c r="SUV45" s="12"/>
      <c r="SVM45" s="12"/>
      <c r="SVN45" s="12"/>
      <c r="SWE45" s="12"/>
      <c r="SWF45" s="12"/>
      <c r="SWW45" s="12"/>
      <c r="SWX45" s="12"/>
      <c r="SXO45" s="12"/>
      <c r="SXP45" s="12"/>
      <c r="SYG45" s="12"/>
      <c r="SYH45" s="12"/>
      <c r="SYY45" s="12"/>
      <c r="SYZ45" s="12"/>
      <c r="SZQ45" s="12"/>
      <c r="SZR45" s="12"/>
      <c r="TAI45" s="12"/>
      <c r="TAJ45" s="12"/>
      <c r="TBA45" s="12"/>
      <c r="TBB45" s="12"/>
      <c r="TBS45" s="12"/>
      <c r="TBT45" s="12"/>
      <c r="TCK45" s="12"/>
      <c r="TCL45" s="12"/>
      <c r="TDC45" s="12"/>
      <c r="TDD45" s="12"/>
      <c r="TDU45" s="12"/>
      <c r="TDV45" s="12"/>
      <c r="TEM45" s="12"/>
      <c r="TEN45" s="12"/>
      <c r="TFE45" s="12"/>
      <c r="TFF45" s="12"/>
      <c r="TFW45" s="12"/>
      <c r="TFX45" s="12"/>
      <c r="TGO45" s="12"/>
      <c r="TGP45" s="12"/>
      <c r="THG45" s="12"/>
      <c r="THH45" s="12"/>
      <c r="THY45" s="12"/>
      <c r="THZ45" s="12"/>
      <c r="TIQ45" s="12"/>
      <c r="TIR45" s="12"/>
      <c r="TJI45" s="12"/>
      <c r="TJJ45" s="12"/>
      <c r="TKA45" s="12"/>
      <c r="TKB45" s="12"/>
      <c r="TKS45" s="12"/>
      <c r="TKT45" s="12"/>
      <c r="TLK45" s="12"/>
      <c r="TLL45" s="12"/>
      <c r="TMC45" s="12"/>
      <c r="TMD45" s="12"/>
      <c r="TMU45" s="12"/>
      <c r="TMV45" s="12"/>
      <c r="TNM45" s="12"/>
      <c r="TNN45" s="12"/>
      <c r="TOE45" s="12"/>
      <c r="TOF45" s="12"/>
      <c r="TOW45" s="12"/>
      <c r="TOX45" s="12"/>
      <c r="TPO45" s="12"/>
      <c r="TPP45" s="12"/>
      <c r="TQG45" s="12"/>
      <c r="TQH45" s="12"/>
      <c r="TQY45" s="12"/>
      <c r="TQZ45" s="12"/>
      <c r="TRQ45" s="12"/>
      <c r="TRR45" s="12"/>
      <c r="TSI45" s="12"/>
      <c r="TSJ45" s="12"/>
      <c r="TTA45" s="12"/>
      <c r="TTB45" s="12"/>
      <c r="TTS45" s="12"/>
      <c r="TTT45" s="12"/>
      <c r="TUK45" s="12"/>
      <c r="TUL45" s="12"/>
      <c r="TVC45" s="12"/>
      <c r="TVD45" s="12"/>
      <c r="TVU45" s="12"/>
      <c r="TVV45" s="12"/>
      <c r="TWM45" s="12"/>
      <c r="TWN45" s="12"/>
      <c r="TXE45" s="12"/>
      <c r="TXF45" s="12"/>
      <c r="TXW45" s="12"/>
      <c r="TXX45" s="12"/>
      <c r="TYO45" s="12"/>
      <c r="TYP45" s="12"/>
      <c r="TZG45" s="12"/>
      <c r="TZH45" s="12"/>
      <c r="TZY45" s="12"/>
      <c r="TZZ45" s="12"/>
      <c r="UAQ45" s="12"/>
      <c r="UAR45" s="12"/>
      <c r="UBI45" s="12"/>
      <c r="UBJ45" s="12"/>
      <c r="UCA45" s="12"/>
      <c r="UCB45" s="12"/>
      <c r="UCS45" s="12"/>
      <c r="UCT45" s="12"/>
      <c r="UDK45" s="12"/>
      <c r="UDL45" s="12"/>
      <c r="UEC45" s="12"/>
      <c r="UED45" s="12"/>
      <c r="UEU45" s="12"/>
      <c r="UEV45" s="12"/>
      <c r="UFM45" s="12"/>
      <c r="UFN45" s="12"/>
      <c r="UGE45" s="12"/>
      <c r="UGF45" s="12"/>
      <c r="UGW45" s="12"/>
      <c r="UGX45" s="12"/>
      <c r="UHO45" s="12"/>
      <c r="UHP45" s="12"/>
      <c r="UIG45" s="12"/>
      <c r="UIH45" s="12"/>
      <c r="UIY45" s="12"/>
      <c r="UIZ45" s="12"/>
      <c r="UJQ45" s="12"/>
      <c r="UJR45" s="12"/>
      <c r="UKI45" s="12"/>
      <c r="UKJ45" s="12"/>
      <c r="ULA45" s="12"/>
      <c r="ULB45" s="12"/>
      <c r="ULS45" s="12"/>
      <c r="ULT45" s="12"/>
      <c r="UMK45" s="12"/>
      <c r="UML45" s="12"/>
      <c r="UNC45" s="12"/>
      <c r="UND45" s="12"/>
      <c r="UNU45" s="12"/>
      <c r="UNV45" s="12"/>
      <c r="UOM45" s="12"/>
      <c r="UON45" s="12"/>
      <c r="UPE45" s="12"/>
      <c r="UPF45" s="12"/>
      <c r="UPW45" s="12"/>
      <c r="UPX45" s="12"/>
      <c r="UQO45" s="12"/>
      <c r="UQP45" s="12"/>
      <c r="URG45" s="12"/>
      <c r="URH45" s="12"/>
      <c r="URY45" s="12"/>
      <c r="URZ45" s="12"/>
      <c r="USQ45" s="12"/>
      <c r="USR45" s="12"/>
      <c r="UTI45" s="12"/>
      <c r="UTJ45" s="12"/>
      <c r="UUA45" s="12"/>
      <c r="UUB45" s="12"/>
      <c r="UUS45" s="12"/>
      <c r="UUT45" s="12"/>
      <c r="UVK45" s="12"/>
      <c r="UVL45" s="12"/>
      <c r="UWC45" s="12"/>
      <c r="UWD45" s="12"/>
      <c r="UWU45" s="12"/>
      <c r="UWV45" s="12"/>
      <c r="UXM45" s="12"/>
      <c r="UXN45" s="12"/>
      <c r="UYE45" s="12"/>
      <c r="UYF45" s="12"/>
      <c r="UYW45" s="12"/>
      <c r="UYX45" s="12"/>
      <c r="UZO45" s="12"/>
      <c r="UZP45" s="12"/>
      <c r="VAG45" s="12"/>
      <c r="VAH45" s="12"/>
      <c r="VAY45" s="12"/>
      <c r="VAZ45" s="12"/>
      <c r="VBQ45" s="12"/>
      <c r="VBR45" s="12"/>
      <c r="VCI45" s="12"/>
      <c r="VCJ45" s="12"/>
      <c r="VDA45" s="12"/>
      <c r="VDB45" s="12"/>
      <c r="VDS45" s="12"/>
      <c r="VDT45" s="12"/>
      <c r="VEK45" s="12"/>
      <c r="VEL45" s="12"/>
      <c r="VFC45" s="12"/>
      <c r="VFD45" s="12"/>
      <c r="VFU45" s="12"/>
      <c r="VFV45" s="12"/>
      <c r="VGM45" s="12"/>
      <c r="VGN45" s="12"/>
      <c r="VHE45" s="12"/>
      <c r="VHF45" s="12"/>
      <c r="VHW45" s="12"/>
      <c r="VHX45" s="12"/>
      <c r="VIO45" s="12"/>
      <c r="VIP45" s="12"/>
      <c r="VJG45" s="12"/>
      <c r="VJH45" s="12"/>
      <c r="VJY45" s="12"/>
      <c r="VJZ45" s="12"/>
      <c r="VKQ45" s="12"/>
      <c r="VKR45" s="12"/>
      <c r="VLI45" s="12"/>
      <c r="VLJ45" s="12"/>
      <c r="VMA45" s="12"/>
      <c r="VMB45" s="12"/>
      <c r="VMS45" s="12"/>
      <c r="VMT45" s="12"/>
      <c r="VNK45" s="12"/>
      <c r="VNL45" s="12"/>
      <c r="VOC45" s="12"/>
      <c r="VOD45" s="12"/>
      <c r="VOU45" s="12"/>
      <c r="VOV45" s="12"/>
      <c r="VPM45" s="12"/>
      <c r="VPN45" s="12"/>
      <c r="VQE45" s="12"/>
      <c r="VQF45" s="12"/>
      <c r="VQW45" s="12"/>
      <c r="VQX45" s="12"/>
      <c r="VRO45" s="12"/>
      <c r="VRP45" s="12"/>
      <c r="VSG45" s="12"/>
      <c r="VSH45" s="12"/>
      <c r="VSY45" s="12"/>
      <c r="VSZ45" s="12"/>
      <c r="VTQ45" s="12"/>
      <c r="VTR45" s="12"/>
      <c r="VUI45" s="12"/>
      <c r="VUJ45" s="12"/>
      <c r="VVA45" s="12"/>
      <c r="VVB45" s="12"/>
      <c r="VVS45" s="12"/>
      <c r="VVT45" s="12"/>
      <c r="VWK45" s="12"/>
      <c r="VWL45" s="12"/>
      <c r="VXC45" s="12"/>
      <c r="VXD45" s="12"/>
      <c r="VXU45" s="12"/>
      <c r="VXV45" s="12"/>
      <c r="VYM45" s="12"/>
      <c r="VYN45" s="12"/>
      <c r="VZE45" s="12"/>
      <c r="VZF45" s="12"/>
      <c r="VZW45" s="12"/>
      <c r="VZX45" s="12"/>
      <c r="WAO45" s="12"/>
      <c r="WAP45" s="12"/>
      <c r="WBG45" s="12"/>
      <c r="WBH45" s="12"/>
      <c r="WBY45" s="12"/>
      <c r="WBZ45" s="12"/>
      <c r="WCQ45" s="12"/>
      <c r="WCR45" s="12"/>
      <c r="WDI45" s="12"/>
      <c r="WDJ45" s="12"/>
      <c r="WEA45" s="12"/>
      <c r="WEB45" s="12"/>
      <c r="WES45" s="12"/>
      <c r="WET45" s="12"/>
      <c r="WFK45" s="12"/>
      <c r="WFL45" s="12"/>
      <c r="WGC45" s="12"/>
      <c r="WGD45" s="12"/>
      <c r="WGU45" s="12"/>
      <c r="WGV45" s="12"/>
      <c r="WHM45" s="12"/>
      <c r="WHN45" s="12"/>
      <c r="WIE45" s="12"/>
      <c r="WIF45" s="12"/>
      <c r="WIW45" s="12"/>
      <c r="WIX45" s="12"/>
      <c r="WJO45" s="12"/>
      <c r="WJP45" s="12"/>
      <c r="WKG45" s="12"/>
      <c r="WKH45" s="12"/>
      <c r="WKY45" s="12"/>
      <c r="WKZ45" s="12"/>
      <c r="WLQ45" s="12"/>
      <c r="WLR45" s="12"/>
      <c r="WMI45" s="12"/>
      <c r="WMJ45" s="12"/>
      <c r="WNA45" s="12"/>
      <c r="WNB45" s="12"/>
      <c r="WNS45" s="12"/>
      <c r="WNT45" s="12"/>
      <c r="WOK45" s="12"/>
      <c r="WOL45" s="12"/>
      <c r="WPC45" s="12"/>
      <c r="WPD45" s="12"/>
      <c r="WPU45" s="12"/>
      <c r="WPV45" s="12"/>
      <c r="WQM45" s="12"/>
      <c r="WQN45" s="12"/>
      <c r="WRE45" s="12"/>
      <c r="WRF45" s="12"/>
      <c r="WRW45" s="12"/>
      <c r="WRX45" s="12"/>
      <c r="WSO45" s="12"/>
      <c r="WSP45" s="12"/>
      <c r="WTG45" s="12"/>
      <c r="WTH45" s="12"/>
      <c r="WTY45" s="12"/>
      <c r="WTZ45" s="12"/>
      <c r="WUQ45" s="12"/>
      <c r="WUR45" s="12"/>
      <c r="WVI45" s="12"/>
      <c r="WVJ45" s="12"/>
      <c r="WWA45" s="12"/>
      <c r="WWB45" s="12"/>
      <c r="WWS45" s="12"/>
      <c r="WWT45" s="12"/>
      <c r="WXK45" s="12"/>
      <c r="WXL45" s="12"/>
      <c r="WYC45" s="12"/>
      <c r="WYD45" s="12"/>
      <c r="WYU45" s="12"/>
      <c r="WYV45" s="12"/>
      <c r="WZM45" s="12"/>
      <c r="WZN45" s="12"/>
      <c r="XAE45" s="12"/>
      <c r="XAF45" s="12"/>
      <c r="XAW45" s="12"/>
      <c r="XAX45" s="12"/>
      <c r="XBO45" s="12"/>
      <c r="XBP45" s="12"/>
      <c r="XCG45" s="12"/>
      <c r="XCH45" s="12"/>
      <c r="XCY45" s="12"/>
      <c r="XCZ45" s="12"/>
      <c r="XDQ45" s="12"/>
      <c r="XDR45" s="12"/>
      <c r="XEI45" s="12"/>
      <c r="XEJ45" s="12"/>
      <c r="XFA45" s="12"/>
      <c r="XFB45" s="12"/>
    </row>
    <row r="46" spans="1:1010 1027:2036 2053:3062 3079:4088 4105:5114 5131:6140 6157:7166 7183:8192 8209:9200 9217:10226 10243:11252 11269:12278 12295:13304 13321:14330 14347:15356 15373:16382" x14ac:dyDescent="0.35">
      <c r="A46" s="189" t="s">
        <v>373</v>
      </c>
      <c r="B46" s="296" t="s">
        <v>406</v>
      </c>
      <c r="C46" s="205">
        <v>-9.8979999999999997</v>
      </c>
      <c r="D46" s="205">
        <v>-9.9789999999999992</v>
      </c>
      <c r="E46" s="205">
        <v>18.105</v>
      </c>
      <c r="F46" s="205">
        <v>-21.219000000000001</v>
      </c>
      <c r="G46" s="205">
        <v>-38.514000000000003</v>
      </c>
      <c r="H46" s="205">
        <v>-27.619</v>
      </c>
      <c r="I46" s="205">
        <v>-8.9499999999999993</v>
      </c>
      <c r="J46" s="205">
        <v>-47.417000000000002</v>
      </c>
      <c r="K46" s="205">
        <v>-25.940999999999999</v>
      </c>
      <c r="L46" s="205">
        <v>-48.573999999999998</v>
      </c>
      <c r="M46" s="312">
        <f>IF(OR(K46=0,K46=""),"",L46/K46-1)</f>
        <v>0.87247985813962448</v>
      </c>
      <c r="N46" s="124"/>
      <c r="O46" s="124"/>
      <c r="P46" s="124"/>
      <c r="Q46" s="124"/>
      <c r="R46" s="124"/>
    </row>
    <row r="47" spans="1:1010 1027:2036 2053:3062 3079:4088 4105:5114 5131:6140 6157:7166 7183:8192 8209:9200 9217:10226 10243:11252 11269:12278 12295:13304 13321:14330 14347:15356 15373:16382" x14ac:dyDescent="0.35">
      <c r="A47" s="24" t="s">
        <v>29</v>
      </c>
      <c r="B47" s="21"/>
      <c r="C47" s="324">
        <f t="shared" ref="C47:L47" si="6">ROUND(SUM(C27,C35,C39,C44,C45)-IF(C46="",0,C46),1)</f>
        <v>0</v>
      </c>
      <c r="D47" s="324">
        <f t="shared" si="6"/>
        <v>0</v>
      </c>
      <c r="E47" s="324">
        <f t="shared" si="6"/>
        <v>0</v>
      </c>
      <c r="F47" s="324">
        <f t="shared" si="6"/>
        <v>0</v>
      </c>
      <c r="G47" s="324">
        <f t="shared" si="6"/>
        <v>0</v>
      </c>
      <c r="H47" s="324">
        <f t="shared" si="6"/>
        <v>0</v>
      </c>
      <c r="I47" s="324">
        <f t="shared" si="6"/>
        <v>0</v>
      </c>
      <c r="J47" s="324">
        <f t="shared" si="6"/>
        <v>0</v>
      </c>
      <c r="K47" s="324">
        <f t="shared" si="6"/>
        <v>0</v>
      </c>
      <c r="L47" s="324">
        <f t="shared" si="6"/>
        <v>0</v>
      </c>
      <c r="M47" s="122"/>
      <c r="N47" s="122"/>
      <c r="O47" s="122"/>
      <c r="P47" s="122"/>
      <c r="Q47" s="122"/>
      <c r="R47" s="122"/>
    </row>
    <row r="48" spans="1:1010 1027:2036 2053:3062 3079:4088 4105:5114 5131:6140 6157:7166 7183:8192 8209:9200 9217:10226 10243:11252 11269:12278 12295:13304 13321:14330 14347:15356 15373:16382" s="152" customFormat="1" x14ac:dyDescent="0.35">
      <c r="A48" s="187" t="s">
        <v>407</v>
      </c>
      <c r="B48" s="196"/>
      <c r="C48" s="206">
        <v>-61.371000000000002</v>
      </c>
      <c r="D48" s="206">
        <v>-10.302</v>
      </c>
      <c r="E48" s="206">
        <v>-11.252000000000001</v>
      </c>
      <c r="F48" s="206">
        <v>-14.641999999999999</v>
      </c>
      <c r="G48" s="206">
        <v>-13.438000000000001</v>
      </c>
      <c r="H48" s="206">
        <v>-11.664999999999999</v>
      </c>
      <c r="I48" s="206">
        <v>-12.692</v>
      </c>
      <c r="J48" s="206">
        <v>-17.298999999999999</v>
      </c>
      <c r="K48" s="206">
        <v>-38.640999999999998</v>
      </c>
      <c r="L48" s="206">
        <v>-26.850999999999999</v>
      </c>
      <c r="M48" s="201"/>
      <c r="N48" s="201"/>
      <c r="O48" s="201"/>
      <c r="P48" s="201"/>
      <c r="Q48" s="201"/>
      <c r="R48" s="201"/>
    </row>
    <row r="49" spans="1:1010 1027:2036 2053:3062 3079:4088 4105:5114 5131:6140 6157:7166 7183:8192 8209:9200 9217:10226 10243:11252 11269:12278 12295:13304 13321:14330 14347:15356 15373:16382" s="204" customFormat="1" x14ac:dyDescent="0.35">
      <c r="A49" s="183" t="s">
        <v>408</v>
      </c>
      <c r="B49" s="293" t="s">
        <v>409</v>
      </c>
      <c r="C49" s="184">
        <v>-12.244</v>
      </c>
      <c r="D49" s="184">
        <v>-12.49</v>
      </c>
      <c r="E49" s="184">
        <v>-13.006</v>
      </c>
      <c r="F49" s="184">
        <v>-13.375</v>
      </c>
      <c r="G49" s="184">
        <v>-13.645</v>
      </c>
      <c r="H49" s="184">
        <v>-14.166</v>
      </c>
      <c r="I49" s="184">
        <v>-14.599</v>
      </c>
      <c r="J49" s="184">
        <v>-15.082000000000001</v>
      </c>
      <c r="K49" s="184">
        <v>-15.461</v>
      </c>
      <c r="L49" s="184">
        <v>-15.747999999999999</v>
      </c>
      <c r="M49" s="312">
        <f>IF(OR(K49=0,K49=""),"",L49/K49-1)</f>
        <v>1.8562835521634957E-2</v>
      </c>
      <c r="S49" s="203"/>
      <c r="T49" s="203"/>
      <c r="AK49" s="203"/>
      <c r="AL49" s="203"/>
      <c r="BC49" s="203"/>
      <c r="BD49" s="203"/>
      <c r="BU49" s="203"/>
      <c r="BV49" s="203"/>
      <c r="CM49" s="203"/>
      <c r="CN49" s="203"/>
      <c r="DE49" s="203"/>
      <c r="DF49" s="203"/>
      <c r="DW49" s="203"/>
      <c r="DX49" s="203"/>
      <c r="EO49" s="203"/>
      <c r="EP49" s="203"/>
      <c r="FG49" s="203"/>
      <c r="FH49" s="203"/>
      <c r="FY49" s="203"/>
      <c r="FZ49" s="203"/>
      <c r="GQ49" s="203"/>
      <c r="GR49" s="203"/>
      <c r="HI49" s="203"/>
      <c r="HJ49" s="203"/>
      <c r="IA49" s="203"/>
      <c r="IB49" s="203"/>
      <c r="IS49" s="203"/>
      <c r="IT49" s="203"/>
      <c r="JK49" s="203"/>
      <c r="JL49" s="203"/>
      <c r="KC49" s="203"/>
      <c r="KD49" s="203"/>
      <c r="KU49" s="203"/>
      <c r="KV49" s="203"/>
      <c r="LM49" s="203"/>
      <c r="LN49" s="203"/>
      <c r="ME49" s="203"/>
      <c r="MF49" s="203"/>
      <c r="MW49" s="203"/>
      <c r="MX49" s="203"/>
      <c r="NO49" s="203"/>
      <c r="NP49" s="203"/>
      <c r="OG49" s="203"/>
      <c r="OH49" s="203"/>
      <c r="OY49" s="203"/>
      <c r="OZ49" s="203"/>
      <c r="PQ49" s="203"/>
      <c r="PR49" s="203"/>
      <c r="QI49" s="203"/>
      <c r="QJ49" s="203"/>
      <c r="RA49" s="203"/>
      <c r="RB49" s="203"/>
      <c r="RS49" s="203"/>
      <c r="RT49" s="203"/>
      <c r="SK49" s="203"/>
      <c r="SL49" s="203"/>
      <c r="TC49" s="203"/>
      <c r="TD49" s="203"/>
      <c r="TU49" s="203"/>
      <c r="TV49" s="203"/>
      <c r="UM49" s="203"/>
      <c r="UN49" s="203"/>
      <c r="VE49" s="203"/>
      <c r="VF49" s="203"/>
      <c r="VW49" s="203"/>
      <c r="VX49" s="203"/>
      <c r="WO49" s="203"/>
      <c r="WP49" s="203"/>
      <c r="XG49" s="203"/>
      <c r="XH49" s="203"/>
      <c r="XY49" s="203"/>
      <c r="XZ49" s="203"/>
      <c r="YQ49" s="203"/>
      <c r="YR49" s="203"/>
      <c r="ZI49" s="203"/>
      <c r="ZJ49" s="203"/>
      <c r="AAA49" s="203"/>
      <c r="AAB49" s="203"/>
      <c r="AAS49" s="203"/>
      <c r="AAT49" s="203"/>
      <c r="ABK49" s="203"/>
      <c r="ABL49" s="203"/>
      <c r="ACC49" s="203"/>
      <c r="ACD49" s="203"/>
      <c r="ACU49" s="203"/>
      <c r="ACV49" s="203"/>
      <c r="ADM49" s="203"/>
      <c r="ADN49" s="203"/>
      <c r="AEE49" s="203"/>
      <c r="AEF49" s="203"/>
      <c r="AEW49" s="203"/>
      <c r="AEX49" s="203"/>
      <c r="AFO49" s="203"/>
      <c r="AFP49" s="203"/>
      <c r="AGG49" s="203"/>
      <c r="AGH49" s="203"/>
      <c r="AGY49" s="203"/>
      <c r="AGZ49" s="203"/>
      <c r="AHQ49" s="203"/>
      <c r="AHR49" s="203"/>
      <c r="AII49" s="203"/>
      <c r="AIJ49" s="203"/>
      <c r="AJA49" s="203"/>
      <c r="AJB49" s="203"/>
      <c r="AJS49" s="203"/>
      <c r="AJT49" s="203"/>
      <c r="AKK49" s="203"/>
      <c r="AKL49" s="203"/>
      <c r="ALC49" s="203"/>
      <c r="ALD49" s="203"/>
      <c r="ALU49" s="203"/>
      <c r="ALV49" s="203"/>
      <c r="AMM49" s="203"/>
      <c r="AMN49" s="203"/>
      <c r="ANE49" s="203"/>
      <c r="ANF49" s="203"/>
      <c r="ANW49" s="203"/>
      <c r="ANX49" s="203"/>
      <c r="AOO49" s="203"/>
      <c r="AOP49" s="203"/>
      <c r="APG49" s="203"/>
      <c r="APH49" s="203"/>
      <c r="APY49" s="203"/>
      <c r="APZ49" s="203"/>
      <c r="AQQ49" s="203"/>
      <c r="AQR49" s="203"/>
      <c r="ARI49" s="203"/>
      <c r="ARJ49" s="203"/>
      <c r="ASA49" s="203"/>
      <c r="ASB49" s="203"/>
      <c r="ASS49" s="203"/>
      <c r="AST49" s="203"/>
      <c r="ATK49" s="203"/>
      <c r="ATL49" s="203"/>
      <c r="AUC49" s="203"/>
      <c r="AUD49" s="203"/>
      <c r="AUU49" s="203"/>
      <c r="AUV49" s="203"/>
      <c r="AVM49" s="203"/>
      <c r="AVN49" s="203"/>
      <c r="AWE49" s="203"/>
      <c r="AWF49" s="203"/>
      <c r="AWW49" s="203"/>
      <c r="AWX49" s="203"/>
      <c r="AXO49" s="203"/>
      <c r="AXP49" s="203"/>
      <c r="AYG49" s="203"/>
      <c r="AYH49" s="203"/>
      <c r="AYY49" s="203"/>
      <c r="AYZ49" s="203"/>
      <c r="AZQ49" s="203"/>
      <c r="AZR49" s="203"/>
      <c r="BAI49" s="203"/>
      <c r="BAJ49" s="203"/>
      <c r="BBA49" s="203"/>
      <c r="BBB49" s="203"/>
      <c r="BBS49" s="203"/>
      <c r="BBT49" s="203"/>
      <c r="BCK49" s="203"/>
      <c r="BCL49" s="203"/>
      <c r="BDC49" s="203"/>
      <c r="BDD49" s="203"/>
      <c r="BDU49" s="203"/>
      <c r="BDV49" s="203"/>
      <c r="BEM49" s="203"/>
      <c r="BEN49" s="203"/>
      <c r="BFE49" s="203"/>
      <c r="BFF49" s="203"/>
      <c r="BFW49" s="203"/>
      <c r="BFX49" s="203"/>
      <c r="BGO49" s="203"/>
      <c r="BGP49" s="203"/>
      <c r="BHG49" s="203"/>
      <c r="BHH49" s="203"/>
      <c r="BHY49" s="203"/>
      <c r="BHZ49" s="203"/>
      <c r="BIQ49" s="203"/>
      <c r="BIR49" s="203"/>
      <c r="BJI49" s="203"/>
      <c r="BJJ49" s="203"/>
      <c r="BKA49" s="203"/>
      <c r="BKB49" s="203"/>
      <c r="BKS49" s="203"/>
      <c r="BKT49" s="203"/>
      <c r="BLK49" s="203"/>
      <c r="BLL49" s="203"/>
      <c r="BMC49" s="203"/>
      <c r="BMD49" s="203"/>
      <c r="BMU49" s="203"/>
      <c r="BMV49" s="203"/>
      <c r="BNM49" s="203"/>
      <c r="BNN49" s="203"/>
      <c r="BOE49" s="203"/>
      <c r="BOF49" s="203"/>
      <c r="BOW49" s="203"/>
      <c r="BOX49" s="203"/>
      <c r="BPO49" s="203"/>
      <c r="BPP49" s="203"/>
      <c r="BQG49" s="203"/>
      <c r="BQH49" s="203"/>
      <c r="BQY49" s="203"/>
      <c r="BQZ49" s="203"/>
      <c r="BRQ49" s="203"/>
      <c r="BRR49" s="203"/>
      <c r="BSI49" s="203"/>
      <c r="BSJ49" s="203"/>
      <c r="BTA49" s="203"/>
      <c r="BTB49" s="203"/>
      <c r="BTS49" s="203"/>
      <c r="BTT49" s="203"/>
      <c r="BUK49" s="203"/>
      <c r="BUL49" s="203"/>
      <c r="BVC49" s="203"/>
      <c r="BVD49" s="203"/>
      <c r="BVU49" s="203"/>
      <c r="BVV49" s="203"/>
      <c r="BWM49" s="203"/>
      <c r="BWN49" s="203"/>
      <c r="BXE49" s="203"/>
      <c r="BXF49" s="203"/>
      <c r="BXW49" s="203"/>
      <c r="BXX49" s="203"/>
      <c r="BYO49" s="203"/>
      <c r="BYP49" s="203"/>
      <c r="BZG49" s="203"/>
      <c r="BZH49" s="203"/>
      <c r="BZY49" s="203"/>
      <c r="BZZ49" s="203"/>
      <c r="CAQ49" s="203"/>
      <c r="CAR49" s="203"/>
      <c r="CBI49" s="203"/>
      <c r="CBJ49" s="203"/>
      <c r="CCA49" s="203"/>
      <c r="CCB49" s="203"/>
      <c r="CCS49" s="203"/>
      <c r="CCT49" s="203"/>
      <c r="CDK49" s="203"/>
      <c r="CDL49" s="203"/>
      <c r="CEC49" s="203"/>
      <c r="CED49" s="203"/>
      <c r="CEU49" s="203"/>
      <c r="CEV49" s="203"/>
      <c r="CFM49" s="203"/>
      <c r="CFN49" s="203"/>
      <c r="CGE49" s="203"/>
      <c r="CGF49" s="203"/>
      <c r="CGW49" s="203"/>
      <c r="CGX49" s="203"/>
      <c r="CHO49" s="203"/>
      <c r="CHP49" s="203"/>
      <c r="CIG49" s="203"/>
      <c r="CIH49" s="203"/>
      <c r="CIY49" s="203"/>
      <c r="CIZ49" s="203"/>
      <c r="CJQ49" s="203"/>
      <c r="CJR49" s="203"/>
      <c r="CKI49" s="203"/>
      <c r="CKJ49" s="203"/>
      <c r="CLA49" s="203"/>
      <c r="CLB49" s="203"/>
      <c r="CLS49" s="203"/>
      <c r="CLT49" s="203"/>
      <c r="CMK49" s="203"/>
      <c r="CML49" s="203"/>
      <c r="CNC49" s="203"/>
      <c r="CND49" s="203"/>
      <c r="CNU49" s="203"/>
      <c r="CNV49" s="203"/>
      <c r="COM49" s="203"/>
      <c r="CON49" s="203"/>
      <c r="CPE49" s="203"/>
      <c r="CPF49" s="203"/>
      <c r="CPW49" s="203"/>
      <c r="CPX49" s="203"/>
      <c r="CQO49" s="203"/>
      <c r="CQP49" s="203"/>
      <c r="CRG49" s="203"/>
      <c r="CRH49" s="203"/>
      <c r="CRY49" s="203"/>
      <c r="CRZ49" s="203"/>
      <c r="CSQ49" s="203"/>
      <c r="CSR49" s="203"/>
      <c r="CTI49" s="203"/>
      <c r="CTJ49" s="203"/>
      <c r="CUA49" s="203"/>
      <c r="CUB49" s="203"/>
      <c r="CUS49" s="203"/>
      <c r="CUT49" s="203"/>
      <c r="CVK49" s="203"/>
      <c r="CVL49" s="203"/>
      <c r="CWC49" s="203"/>
      <c r="CWD49" s="203"/>
      <c r="CWU49" s="203"/>
      <c r="CWV49" s="203"/>
      <c r="CXM49" s="203"/>
      <c r="CXN49" s="203"/>
      <c r="CYE49" s="203"/>
      <c r="CYF49" s="203"/>
      <c r="CYW49" s="203"/>
      <c r="CYX49" s="203"/>
      <c r="CZO49" s="203"/>
      <c r="CZP49" s="203"/>
      <c r="DAG49" s="203"/>
      <c r="DAH49" s="203"/>
      <c r="DAY49" s="203"/>
      <c r="DAZ49" s="203"/>
      <c r="DBQ49" s="203"/>
      <c r="DBR49" s="203"/>
      <c r="DCI49" s="203"/>
      <c r="DCJ49" s="203"/>
      <c r="DDA49" s="203"/>
      <c r="DDB49" s="203"/>
      <c r="DDS49" s="203"/>
      <c r="DDT49" s="203"/>
      <c r="DEK49" s="203"/>
      <c r="DEL49" s="203"/>
      <c r="DFC49" s="203"/>
      <c r="DFD49" s="203"/>
      <c r="DFU49" s="203"/>
      <c r="DFV49" s="203"/>
      <c r="DGM49" s="203"/>
      <c r="DGN49" s="203"/>
      <c r="DHE49" s="203"/>
      <c r="DHF49" s="203"/>
      <c r="DHW49" s="203"/>
      <c r="DHX49" s="203"/>
      <c r="DIO49" s="203"/>
      <c r="DIP49" s="203"/>
      <c r="DJG49" s="203"/>
      <c r="DJH49" s="203"/>
      <c r="DJY49" s="203"/>
      <c r="DJZ49" s="203"/>
      <c r="DKQ49" s="203"/>
      <c r="DKR49" s="203"/>
      <c r="DLI49" s="203"/>
      <c r="DLJ49" s="203"/>
      <c r="DMA49" s="203"/>
      <c r="DMB49" s="203"/>
      <c r="DMS49" s="203"/>
      <c r="DMT49" s="203"/>
      <c r="DNK49" s="203"/>
      <c r="DNL49" s="203"/>
      <c r="DOC49" s="203"/>
      <c r="DOD49" s="203"/>
      <c r="DOU49" s="203"/>
      <c r="DOV49" s="203"/>
      <c r="DPM49" s="203"/>
      <c r="DPN49" s="203"/>
      <c r="DQE49" s="203"/>
      <c r="DQF49" s="203"/>
      <c r="DQW49" s="203"/>
      <c r="DQX49" s="203"/>
      <c r="DRO49" s="203"/>
      <c r="DRP49" s="203"/>
      <c r="DSG49" s="203"/>
      <c r="DSH49" s="203"/>
      <c r="DSY49" s="203"/>
      <c r="DSZ49" s="203"/>
      <c r="DTQ49" s="203"/>
      <c r="DTR49" s="203"/>
      <c r="DUI49" s="203"/>
      <c r="DUJ49" s="203"/>
      <c r="DVA49" s="203"/>
      <c r="DVB49" s="203"/>
      <c r="DVS49" s="203"/>
      <c r="DVT49" s="203"/>
      <c r="DWK49" s="203"/>
      <c r="DWL49" s="203"/>
      <c r="DXC49" s="203"/>
      <c r="DXD49" s="203"/>
      <c r="DXU49" s="203"/>
      <c r="DXV49" s="203"/>
      <c r="DYM49" s="203"/>
      <c r="DYN49" s="203"/>
      <c r="DZE49" s="203"/>
      <c r="DZF49" s="203"/>
      <c r="DZW49" s="203"/>
      <c r="DZX49" s="203"/>
      <c r="EAO49" s="203"/>
      <c r="EAP49" s="203"/>
      <c r="EBG49" s="203"/>
      <c r="EBH49" s="203"/>
      <c r="EBY49" s="203"/>
      <c r="EBZ49" s="203"/>
      <c r="ECQ49" s="203"/>
      <c r="ECR49" s="203"/>
      <c r="EDI49" s="203"/>
      <c r="EDJ49" s="203"/>
      <c r="EEA49" s="203"/>
      <c r="EEB49" s="203"/>
      <c r="EES49" s="203"/>
      <c r="EET49" s="203"/>
      <c r="EFK49" s="203"/>
      <c r="EFL49" s="203"/>
      <c r="EGC49" s="203"/>
      <c r="EGD49" s="203"/>
      <c r="EGU49" s="203"/>
      <c r="EGV49" s="203"/>
      <c r="EHM49" s="203"/>
      <c r="EHN49" s="203"/>
      <c r="EIE49" s="203"/>
      <c r="EIF49" s="203"/>
      <c r="EIW49" s="203"/>
      <c r="EIX49" s="203"/>
      <c r="EJO49" s="203"/>
      <c r="EJP49" s="203"/>
      <c r="EKG49" s="203"/>
      <c r="EKH49" s="203"/>
      <c r="EKY49" s="203"/>
      <c r="EKZ49" s="203"/>
      <c r="ELQ49" s="203"/>
      <c r="ELR49" s="203"/>
      <c r="EMI49" s="203"/>
      <c r="EMJ49" s="203"/>
      <c r="ENA49" s="203"/>
      <c r="ENB49" s="203"/>
      <c r="ENS49" s="203"/>
      <c r="ENT49" s="203"/>
      <c r="EOK49" s="203"/>
      <c r="EOL49" s="203"/>
      <c r="EPC49" s="203"/>
      <c r="EPD49" s="203"/>
      <c r="EPU49" s="203"/>
      <c r="EPV49" s="203"/>
      <c r="EQM49" s="203"/>
      <c r="EQN49" s="203"/>
      <c r="ERE49" s="203"/>
      <c r="ERF49" s="203"/>
      <c r="ERW49" s="203"/>
      <c r="ERX49" s="203"/>
      <c r="ESO49" s="203"/>
      <c r="ESP49" s="203"/>
      <c r="ETG49" s="203"/>
      <c r="ETH49" s="203"/>
      <c r="ETY49" s="203"/>
      <c r="ETZ49" s="203"/>
      <c r="EUQ49" s="203"/>
      <c r="EUR49" s="203"/>
      <c r="EVI49" s="203"/>
      <c r="EVJ49" s="203"/>
      <c r="EWA49" s="203"/>
      <c r="EWB49" s="203"/>
      <c r="EWS49" s="203"/>
      <c r="EWT49" s="203"/>
      <c r="EXK49" s="203"/>
      <c r="EXL49" s="203"/>
      <c r="EYC49" s="203"/>
      <c r="EYD49" s="203"/>
      <c r="EYU49" s="203"/>
      <c r="EYV49" s="203"/>
      <c r="EZM49" s="203"/>
      <c r="EZN49" s="203"/>
      <c r="FAE49" s="203"/>
      <c r="FAF49" s="203"/>
      <c r="FAW49" s="203"/>
      <c r="FAX49" s="203"/>
      <c r="FBO49" s="203"/>
      <c r="FBP49" s="203"/>
      <c r="FCG49" s="203"/>
      <c r="FCH49" s="203"/>
      <c r="FCY49" s="203"/>
      <c r="FCZ49" s="203"/>
      <c r="FDQ49" s="203"/>
      <c r="FDR49" s="203"/>
      <c r="FEI49" s="203"/>
      <c r="FEJ49" s="203"/>
      <c r="FFA49" s="203"/>
      <c r="FFB49" s="203"/>
      <c r="FFS49" s="203"/>
      <c r="FFT49" s="203"/>
      <c r="FGK49" s="203"/>
      <c r="FGL49" s="203"/>
      <c r="FHC49" s="203"/>
      <c r="FHD49" s="203"/>
      <c r="FHU49" s="203"/>
      <c r="FHV49" s="203"/>
      <c r="FIM49" s="203"/>
      <c r="FIN49" s="203"/>
      <c r="FJE49" s="203"/>
      <c r="FJF49" s="203"/>
      <c r="FJW49" s="203"/>
      <c r="FJX49" s="203"/>
      <c r="FKO49" s="203"/>
      <c r="FKP49" s="203"/>
      <c r="FLG49" s="203"/>
      <c r="FLH49" s="203"/>
      <c r="FLY49" s="203"/>
      <c r="FLZ49" s="203"/>
      <c r="FMQ49" s="203"/>
      <c r="FMR49" s="203"/>
      <c r="FNI49" s="203"/>
      <c r="FNJ49" s="203"/>
      <c r="FOA49" s="203"/>
      <c r="FOB49" s="203"/>
      <c r="FOS49" s="203"/>
      <c r="FOT49" s="203"/>
      <c r="FPK49" s="203"/>
      <c r="FPL49" s="203"/>
      <c r="FQC49" s="203"/>
      <c r="FQD49" s="203"/>
      <c r="FQU49" s="203"/>
      <c r="FQV49" s="203"/>
      <c r="FRM49" s="203"/>
      <c r="FRN49" s="203"/>
      <c r="FSE49" s="203"/>
      <c r="FSF49" s="203"/>
      <c r="FSW49" s="203"/>
      <c r="FSX49" s="203"/>
      <c r="FTO49" s="203"/>
      <c r="FTP49" s="203"/>
      <c r="FUG49" s="203"/>
      <c r="FUH49" s="203"/>
      <c r="FUY49" s="203"/>
      <c r="FUZ49" s="203"/>
      <c r="FVQ49" s="203"/>
      <c r="FVR49" s="203"/>
      <c r="FWI49" s="203"/>
      <c r="FWJ49" s="203"/>
      <c r="FXA49" s="203"/>
      <c r="FXB49" s="203"/>
      <c r="FXS49" s="203"/>
      <c r="FXT49" s="203"/>
      <c r="FYK49" s="203"/>
      <c r="FYL49" s="203"/>
      <c r="FZC49" s="203"/>
      <c r="FZD49" s="203"/>
      <c r="FZU49" s="203"/>
      <c r="FZV49" s="203"/>
      <c r="GAM49" s="203"/>
      <c r="GAN49" s="203"/>
      <c r="GBE49" s="203"/>
      <c r="GBF49" s="203"/>
      <c r="GBW49" s="203"/>
      <c r="GBX49" s="203"/>
      <c r="GCO49" s="203"/>
      <c r="GCP49" s="203"/>
      <c r="GDG49" s="203"/>
      <c r="GDH49" s="203"/>
      <c r="GDY49" s="203"/>
      <c r="GDZ49" s="203"/>
      <c r="GEQ49" s="203"/>
      <c r="GER49" s="203"/>
      <c r="GFI49" s="203"/>
      <c r="GFJ49" s="203"/>
      <c r="GGA49" s="203"/>
      <c r="GGB49" s="203"/>
      <c r="GGS49" s="203"/>
      <c r="GGT49" s="203"/>
      <c r="GHK49" s="203"/>
      <c r="GHL49" s="203"/>
      <c r="GIC49" s="203"/>
      <c r="GID49" s="203"/>
      <c r="GIU49" s="203"/>
      <c r="GIV49" s="203"/>
      <c r="GJM49" s="203"/>
      <c r="GJN49" s="203"/>
      <c r="GKE49" s="203"/>
      <c r="GKF49" s="203"/>
      <c r="GKW49" s="203"/>
      <c r="GKX49" s="203"/>
      <c r="GLO49" s="203"/>
      <c r="GLP49" s="203"/>
      <c r="GMG49" s="203"/>
      <c r="GMH49" s="203"/>
      <c r="GMY49" s="203"/>
      <c r="GMZ49" s="203"/>
      <c r="GNQ49" s="203"/>
      <c r="GNR49" s="203"/>
      <c r="GOI49" s="203"/>
      <c r="GOJ49" s="203"/>
      <c r="GPA49" s="203"/>
      <c r="GPB49" s="203"/>
      <c r="GPS49" s="203"/>
      <c r="GPT49" s="203"/>
      <c r="GQK49" s="203"/>
      <c r="GQL49" s="203"/>
      <c r="GRC49" s="203"/>
      <c r="GRD49" s="203"/>
      <c r="GRU49" s="203"/>
      <c r="GRV49" s="203"/>
      <c r="GSM49" s="203"/>
      <c r="GSN49" s="203"/>
      <c r="GTE49" s="203"/>
      <c r="GTF49" s="203"/>
      <c r="GTW49" s="203"/>
      <c r="GTX49" s="203"/>
      <c r="GUO49" s="203"/>
      <c r="GUP49" s="203"/>
      <c r="GVG49" s="203"/>
      <c r="GVH49" s="203"/>
      <c r="GVY49" s="203"/>
      <c r="GVZ49" s="203"/>
      <c r="GWQ49" s="203"/>
      <c r="GWR49" s="203"/>
      <c r="GXI49" s="203"/>
      <c r="GXJ49" s="203"/>
      <c r="GYA49" s="203"/>
      <c r="GYB49" s="203"/>
      <c r="GYS49" s="203"/>
      <c r="GYT49" s="203"/>
      <c r="GZK49" s="203"/>
      <c r="GZL49" s="203"/>
      <c r="HAC49" s="203"/>
      <c r="HAD49" s="203"/>
      <c r="HAU49" s="203"/>
      <c r="HAV49" s="203"/>
      <c r="HBM49" s="203"/>
      <c r="HBN49" s="203"/>
      <c r="HCE49" s="203"/>
      <c r="HCF49" s="203"/>
      <c r="HCW49" s="203"/>
      <c r="HCX49" s="203"/>
      <c r="HDO49" s="203"/>
      <c r="HDP49" s="203"/>
      <c r="HEG49" s="203"/>
      <c r="HEH49" s="203"/>
      <c r="HEY49" s="203"/>
      <c r="HEZ49" s="203"/>
      <c r="HFQ49" s="203"/>
      <c r="HFR49" s="203"/>
      <c r="HGI49" s="203"/>
      <c r="HGJ49" s="203"/>
      <c r="HHA49" s="203"/>
      <c r="HHB49" s="203"/>
      <c r="HHS49" s="203"/>
      <c r="HHT49" s="203"/>
      <c r="HIK49" s="203"/>
      <c r="HIL49" s="203"/>
      <c r="HJC49" s="203"/>
      <c r="HJD49" s="203"/>
      <c r="HJU49" s="203"/>
      <c r="HJV49" s="203"/>
      <c r="HKM49" s="203"/>
      <c r="HKN49" s="203"/>
      <c r="HLE49" s="203"/>
      <c r="HLF49" s="203"/>
      <c r="HLW49" s="203"/>
      <c r="HLX49" s="203"/>
      <c r="HMO49" s="203"/>
      <c r="HMP49" s="203"/>
      <c r="HNG49" s="203"/>
      <c r="HNH49" s="203"/>
      <c r="HNY49" s="203"/>
      <c r="HNZ49" s="203"/>
      <c r="HOQ49" s="203"/>
      <c r="HOR49" s="203"/>
      <c r="HPI49" s="203"/>
      <c r="HPJ49" s="203"/>
      <c r="HQA49" s="203"/>
      <c r="HQB49" s="203"/>
      <c r="HQS49" s="203"/>
      <c r="HQT49" s="203"/>
      <c r="HRK49" s="203"/>
      <c r="HRL49" s="203"/>
      <c r="HSC49" s="203"/>
      <c r="HSD49" s="203"/>
      <c r="HSU49" s="203"/>
      <c r="HSV49" s="203"/>
      <c r="HTM49" s="203"/>
      <c r="HTN49" s="203"/>
      <c r="HUE49" s="203"/>
      <c r="HUF49" s="203"/>
      <c r="HUW49" s="203"/>
      <c r="HUX49" s="203"/>
      <c r="HVO49" s="203"/>
      <c r="HVP49" s="203"/>
      <c r="HWG49" s="203"/>
      <c r="HWH49" s="203"/>
      <c r="HWY49" s="203"/>
      <c r="HWZ49" s="203"/>
      <c r="HXQ49" s="203"/>
      <c r="HXR49" s="203"/>
      <c r="HYI49" s="203"/>
      <c r="HYJ49" s="203"/>
      <c r="HZA49" s="203"/>
      <c r="HZB49" s="203"/>
      <c r="HZS49" s="203"/>
      <c r="HZT49" s="203"/>
      <c r="IAK49" s="203"/>
      <c r="IAL49" s="203"/>
      <c r="IBC49" s="203"/>
      <c r="IBD49" s="203"/>
      <c r="IBU49" s="203"/>
      <c r="IBV49" s="203"/>
      <c r="ICM49" s="203"/>
      <c r="ICN49" s="203"/>
      <c r="IDE49" s="203"/>
      <c r="IDF49" s="203"/>
      <c r="IDW49" s="203"/>
      <c r="IDX49" s="203"/>
      <c r="IEO49" s="203"/>
      <c r="IEP49" s="203"/>
      <c r="IFG49" s="203"/>
      <c r="IFH49" s="203"/>
      <c r="IFY49" s="203"/>
      <c r="IFZ49" s="203"/>
      <c r="IGQ49" s="203"/>
      <c r="IGR49" s="203"/>
      <c r="IHI49" s="203"/>
      <c r="IHJ49" s="203"/>
      <c r="IIA49" s="203"/>
      <c r="IIB49" s="203"/>
      <c r="IIS49" s="203"/>
      <c r="IIT49" s="203"/>
      <c r="IJK49" s="203"/>
      <c r="IJL49" s="203"/>
      <c r="IKC49" s="203"/>
      <c r="IKD49" s="203"/>
      <c r="IKU49" s="203"/>
      <c r="IKV49" s="203"/>
      <c r="ILM49" s="203"/>
      <c r="ILN49" s="203"/>
      <c r="IME49" s="203"/>
      <c r="IMF49" s="203"/>
      <c r="IMW49" s="203"/>
      <c r="IMX49" s="203"/>
      <c r="INO49" s="203"/>
      <c r="INP49" s="203"/>
      <c r="IOG49" s="203"/>
      <c r="IOH49" s="203"/>
      <c r="IOY49" s="203"/>
      <c r="IOZ49" s="203"/>
      <c r="IPQ49" s="203"/>
      <c r="IPR49" s="203"/>
      <c r="IQI49" s="203"/>
      <c r="IQJ49" s="203"/>
      <c r="IRA49" s="203"/>
      <c r="IRB49" s="203"/>
      <c r="IRS49" s="203"/>
      <c r="IRT49" s="203"/>
      <c r="ISK49" s="203"/>
      <c r="ISL49" s="203"/>
      <c r="ITC49" s="203"/>
      <c r="ITD49" s="203"/>
      <c r="ITU49" s="203"/>
      <c r="ITV49" s="203"/>
      <c r="IUM49" s="203"/>
      <c r="IUN49" s="203"/>
      <c r="IVE49" s="203"/>
      <c r="IVF49" s="203"/>
      <c r="IVW49" s="203"/>
      <c r="IVX49" s="203"/>
      <c r="IWO49" s="203"/>
      <c r="IWP49" s="203"/>
      <c r="IXG49" s="203"/>
      <c r="IXH49" s="203"/>
      <c r="IXY49" s="203"/>
      <c r="IXZ49" s="203"/>
      <c r="IYQ49" s="203"/>
      <c r="IYR49" s="203"/>
      <c r="IZI49" s="203"/>
      <c r="IZJ49" s="203"/>
      <c r="JAA49" s="203"/>
      <c r="JAB49" s="203"/>
      <c r="JAS49" s="203"/>
      <c r="JAT49" s="203"/>
      <c r="JBK49" s="203"/>
      <c r="JBL49" s="203"/>
      <c r="JCC49" s="203"/>
      <c r="JCD49" s="203"/>
      <c r="JCU49" s="203"/>
      <c r="JCV49" s="203"/>
      <c r="JDM49" s="203"/>
      <c r="JDN49" s="203"/>
      <c r="JEE49" s="203"/>
      <c r="JEF49" s="203"/>
      <c r="JEW49" s="203"/>
      <c r="JEX49" s="203"/>
      <c r="JFO49" s="203"/>
      <c r="JFP49" s="203"/>
      <c r="JGG49" s="203"/>
      <c r="JGH49" s="203"/>
      <c r="JGY49" s="203"/>
      <c r="JGZ49" s="203"/>
      <c r="JHQ49" s="203"/>
      <c r="JHR49" s="203"/>
      <c r="JII49" s="203"/>
      <c r="JIJ49" s="203"/>
      <c r="JJA49" s="203"/>
      <c r="JJB49" s="203"/>
      <c r="JJS49" s="203"/>
      <c r="JJT49" s="203"/>
      <c r="JKK49" s="203"/>
      <c r="JKL49" s="203"/>
      <c r="JLC49" s="203"/>
      <c r="JLD49" s="203"/>
      <c r="JLU49" s="203"/>
      <c r="JLV49" s="203"/>
      <c r="JMM49" s="203"/>
      <c r="JMN49" s="203"/>
      <c r="JNE49" s="203"/>
      <c r="JNF49" s="203"/>
      <c r="JNW49" s="203"/>
      <c r="JNX49" s="203"/>
      <c r="JOO49" s="203"/>
      <c r="JOP49" s="203"/>
      <c r="JPG49" s="203"/>
      <c r="JPH49" s="203"/>
      <c r="JPY49" s="203"/>
      <c r="JPZ49" s="203"/>
      <c r="JQQ49" s="203"/>
      <c r="JQR49" s="203"/>
      <c r="JRI49" s="203"/>
      <c r="JRJ49" s="203"/>
      <c r="JSA49" s="203"/>
      <c r="JSB49" s="203"/>
      <c r="JSS49" s="203"/>
      <c r="JST49" s="203"/>
      <c r="JTK49" s="203"/>
      <c r="JTL49" s="203"/>
      <c r="JUC49" s="203"/>
      <c r="JUD49" s="203"/>
      <c r="JUU49" s="203"/>
      <c r="JUV49" s="203"/>
      <c r="JVM49" s="203"/>
      <c r="JVN49" s="203"/>
      <c r="JWE49" s="203"/>
      <c r="JWF49" s="203"/>
      <c r="JWW49" s="203"/>
      <c r="JWX49" s="203"/>
      <c r="JXO49" s="203"/>
      <c r="JXP49" s="203"/>
      <c r="JYG49" s="203"/>
      <c r="JYH49" s="203"/>
      <c r="JYY49" s="203"/>
      <c r="JYZ49" s="203"/>
      <c r="JZQ49" s="203"/>
      <c r="JZR49" s="203"/>
      <c r="KAI49" s="203"/>
      <c r="KAJ49" s="203"/>
      <c r="KBA49" s="203"/>
      <c r="KBB49" s="203"/>
      <c r="KBS49" s="203"/>
      <c r="KBT49" s="203"/>
      <c r="KCK49" s="203"/>
      <c r="KCL49" s="203"/>
      <c r="KDC49" s="203"/>
      <c r="KDD49" s="203"/>
      <c r="KDU49" s="203"/>
      <c r="KDV49" s="203"/>
      <c r="KEM49" s="203"/>
      <c r="KEN49" s="203"/>
      <c r="KFE49" s="203"/>
      <c r="KFF49" s="203"/>
      <c r="KFW49" s="203"/>
      <c r="KFX49" s="203"/>
      <c r="KGO49" s="203"/>
      <c r="KGP49" s="203"/>
      <c r="KHG49" s="203"/>
      <c r="KHH49" s="203"/>
      <c r="KHY49" s="203"/>
      <c r="KHZ49" s="203"/>
      <c r="KIQ49" s="203"/>
      <c r="KIR49" s="203"/>
      <c r="KJI49" s="203"/>
      <c r="KJJ49" s="203"/>
      <c r="KKA49" s="203"/>
      <c r="KKB49" s="203"/>
      <c r="KKS49" s="203"/>
      <c r="KKT49" s="203"/>
      <c r="KLK49" s="203"/>
      <c r="KLL49" s="203"/>
      <c r="KMC49" s="203"/>
      <c r="KMD49" s="203"/>
      <c r="KMU49" s="203"/>
      <c r="KMV49" s="203"/>
      <c r="KNM49" s="203"/>
      <c r="KNN49" s="203"/>
      <c r="KOE49" s="203"/>
      <c r="KOF49" s="203"/>
      <c r="KOW49" s="203"/>
      <c r="KOX49" s="203"/>
      <c r="KPO49" s="203"/>
      <c r="KPP49" s="203"/>
      <c r="KQG49" s="203"/>
      <c r="KQH49" s="203"/>
      <c r="KQY49" s="203"/>
      <c r="KQZ49" s="203"/>
      <c r="KRQ49" s="203"/>
      <c r="KRR49" s="203"/>
      <c r="KSI49" s="203"/>
      <c r="KSJ49" s="203"/>
      <c r="KTA49" s="203"/>
      <c r="KTB49" s="203"/>
      <c r="KTS49" s="203"/>
      <c r="KTT49" s="203"/>
      <c r="KUK49" s="203"/>
      <c r="KUL49" s="203"/>
      <c r="KVC49" s="203"/>
      <c r="KVD49" s="203"/>
      <c r="KVU49" s="203"/>
      <c r="KVV49" s="203"/>
      <c r="KWM49" s="203"/>
      <c r="KWN49" s="203"/>
      <c r="KXE49" s="203"/>
      <c r="KXF49" s="203"/>
      <c r="KXW49" s="203"/>
      <c r="KXX49" s="203"/>
      <c r="KYO49" s="203"/>
      <c r="KYP49" s="203"/>
      <c r="KZG49" s="203"/>
      <c r="KZH49" s="203"/>
      <c r="KZY49" s="203"/>
      <c r="KZZ49" s="203"/>
      <c r="LAQ49" s="203"/>
      <c r="LAR49" s="203"/>
      <c r="LBI49" s="203"/>
      <c r="LBJ49" s="203"/>
      <c r="LCA49" s="203"/>
      <c r="LCB49" s="203"/>
      <c r="LCS49" s="203"/>
      <c r="LCT49" s="203"/>
      <c r="LDK49" s="203"/>
      <c r="LDL49" s="203"/>
      <c r="LEC49" s="203"/>
      <c r="LED49" s="203"/>
      <c r="LEU49" s="203"/>
      <c r="LEV49" s="203"/>
      <c r="LFM49" s="203"/>
      <c r="LFN49" s="203"/>
      <c r="LGE49" s="203"/>
      <c r="LGF49" s="203"/>
      <c r="LGW49" s="203"/>
      <c r="LGX49" s="203"/>
      <c r="LHO49" s="203"/>
      <c r="LHP49" s="203"/>
      <c r="LIG49" s="203"/>
      <c r="LIH49" s="203"/>
      <c r="LIY49" s="203"/>
      <c r="LIZ49" s="203"/>
      <c r="LJQ49" s="203"/>
      <c r="LJR49" s="203"/>
      <c r="LKI49" s="203"/>
      <c r="LKJ49" s="203"/>
      <c r="LLA49" s="203"/>
      <c r="LLB49" s="203"/>
      <c r="LLS49" s="203"/>
      <c r="LLT49" s="203"/>
      <c r="LMK49" s="203"/>
      <c r="LML49" s="203"/>
      <c r="LNC49" s="203"/>
      <c r="LND49" s="203"/>
      <c r="LNU49" s="203"/>
      <c r="LNV49" s="203"/>
      <c r="LOM49" s="203"/>
      <c r="LON49" s="203"/>
      <c r="LPE49" s="203"/>
      <c r="LPF49" s="203"/>
      <c r="LPW49" s="203"/>
      <c r="LPX49" s="203"/>
      <c r="LQO49" s="203"/>
      <c r="LQP49" s="203"/>
      <c r="LRG49" s="203"/>
      <c r="LRH49" s="203"/>
      <c r="LRY49" s="203"/>
      <c r="LRZ49" s="203"/>
      <c r="LSQ49" s="203"/>
      <c r="LSR49" s="203"/>
      <c r="LTI49" s="203"/>
      <c r="LTJ49" s="203"/>
      <c r="LUA49" s="203"/>
      <c r="LUB49" s="203"/>
      <c r="LUS49" s="203"/>
      <c r="LUT49" s="203"/>
      <c r="LVK49" s="203"/>
      <c r="LVL49" s="203"/>
      <c r="LWC49" s="203"/>
      <c r="LWD49" s="203"/>
      <c r="LWU49" s="203"/>
      <c r="LWV49" s="203"/>
      <c r="LXM49" s="203"/>
      <c r="LXN49" s="203"/>
      <c r="LYE49" s="203"/>
      <c r="LYF49" s="203"/>
      <c r="LYW49" s="203"/>
      <c r="LYX49" s="203"/>
      <c r="LZO49" s="203"/>
      <c r="LZP49" s="203"/>
      <c r="MAG49" s="203"/>
      <c r="MAH49" s="203"/>
      <c r="MAY49" s="203"/>
      <c r="MAZ49" s="203"/>
      <c r="MBQ49" s="203"/>
      <c r="MBR49" s="203"/>
      <c r="MCI49" s="203"/>
      <c r="MCJ49" s="203"/>
      <c r="MDA49" s="203"/>
      <c r="MDB49" s="203"/>
      <c r="MDS49" s="203"/>
      <c r="MDT49" s="203"/>
      <c r="MEK49" s="203"/>
      <c r="MEL49" s="203"/>
      <c r="MFC49" s="203"/>
      <c r="MFD49" s="203"/>
      <c r="MFU49" s="203"/>
      <c r="MFV49" s="203"/>
      <c r="MGM49" s="203"/>
      <c r="MGN49" s="203"/>
      <c r="MHE49" s="203"/>
      <c r="MHF49" s="203"/>
      <c r="MHW49" s="203"/>
      <c r="MHX49" s="203"/>
      <c r="MIO49" s="203"/>
      <c r="MIP49" s="203"/>
      <c r="MJG49" s="203"/>
      <c r="MJH49" s="203"/>
      <c r="MJY49" s="203"/>
      <c r="MJZ49" s="203"/>
      <c r="MKQ49" s="203"/>
      <c r="MKR49" s="203"/>
      <c r="MLI49" s="203"/>
      <c r="MLJ49" s="203"/>
      <c r="MMA49" s="203"/>
      <c r="MMB49" s="203"/>
      <c r="MMS49" s="203"/>
      <c r="MMT49" s="203"/>
      <c r="MNK49" s="203"/>
      <c r="MNL49" s="203"/>
      <c r="MOC49" s="203"/>
      <c r="MOD49" s="203"/>
      <c r="MOU49" s="203"/>
      <c r="MOV49" s="203"/>
      <c r="MPM49" s="203"/>
      <c r="MPN49" s="203"/>
      <c r="MQE49" s="203"/>
      <c r="MQF49" s="203"/>
      <c r="MQW49" s="203"/>
      <c r="MQX49" s="203"/>
      <c r="MRO49" s="203"/>
      <c r="MRP49" s="203"/>
      <c r="MSG49" s="203"/>
      <c r="MSH49" s="203"/>
      <c r="MSY49" s="203"/>
      <c r="MSZ49" s="203"/>
      <c r="MTQ49" s="203"/>
      <c r="MTR49" s="203"/>
      <c r="MUI49" s="203"/>
      <c r="MUJ49" s="203"/>
      <c r="MVA49" s="203"/>
      <c r="MVB49" s="203"/>
      <c r="MVS49" s="203"/>
      <c r="MVT49" s="203"/>
      <c r="MWK49" s="203"/>
      <c r="MWL49" s="203"/>
      <c r="MXC49" s="203"/>
      <c r="MXD49" s="203"/>
      <c r="MXU49" s="203"/>
      <c r="MXV49" s="203"/>
      <c r="MYM49" s="203"/>
      <c r="MYN49" s="203"/>
      <c r="MZE49" s="203"/>
      <c r="MZF49" s="203"/>
      <c r="MZW49" s="203"/>
      <c r="MZX49" s="203"/>
      <c r="NAO49" s="203"/>
      <c r="NAP49" s="203"/>
      <c r="NBG49" s="203"/>
      <c r="NBH49" s="203"/>
      <c r="NBY49" s="203"/>
      <c r="NBZ49" s="203"/>
      <c r="NCQ49" s="203"/>
      <c r="NCR49" s="203"/>
      <c r="NDI49" s="203"/>
      <c r="NDJ49" s="203"/>
      <c r="NEA49" s="203"/>
      <c r="NEB49" s="203"/>
      <c r="NES49" s="203"/>
      <c r="NET49" s="203"/>
      <c r="NFK49" s="203"/>
      <c r="NFL49" s="203"/>
      <c r="NGC49" s="203"/>
      <c r="NGD49" s="203"/>
      <c r="NGU49" s="203"/>
      <c r="NGV49" s="203"/>
      <c r="NHM49" s="203"/>
      <c r="NHN49" s="203"/>
      <c r="NIE49" s="203"/>
      <c r="NIF49" s="203"/>
      <c r="NIW49" s="203"/>
      <c r="NIX49" s="203"/>
      <c r="NJO49" s="203"/>
      <c r="NJP49" s="203"/>
      <c r="NKG49" s="203"/>
      <c r="NKH49" s="203"/>
      <c r="NKY49" s="203"/>
      <c r="NKZ49" s="203"/>
      <c r="NLQ49" s="203"/>
      <c r="NLR49" s="203"/>
      <c r="NMI49" s="203"/>
      <c r="NMJ49" s="203"/>
      <c r="NNA49" s="203"/>
      <c r="NNB49" s="203"/>
      <c r="NNS49" s="203"/>
      <c r="NNT49" s="203"/>
      <c r="NOK49" s="203"/>
      <c r="NOL49" s="203"/>
      <c r="NPC49" s="203"/>
      <c r="NPD49" s="203"/>
      <c r="NPU49" s="203"/>
      <c r="NPV49" s="203"/>
      <c r="NQM49" s="203"/>
      <c r="NQN49" s="203"/>
      <c r="NRE49" s="203"/>
      <c r="NRF49" s="203"/>
      <c r="NRW49" s="203"/>
      <c r="NRX49" s="203"/>
      <c r="NSO49" s="203"/>
      <c r="NSP49" s="203"/>
      <c r="NTG49" s="203"/>
      <c r="NTH49" s="203"/>
      <c r="NTY49" s="203"/>
      <c r="NTZ49" s="203"/>
      <c r="NUQ49" s="203"/>
      <c r="NUR49" s="203"/>
      <c r="NVI49" s="203"/>
      <c r="NVJ49" s="203"/>
      <c r="NWA49" s="203"/>
      <c r="NWB49" s="203"/>
      <c r="NWS49" s="203"/>
      <c r="NWT49" s="203"/>
      <c r="NXK49" s="203"/>
      <c r="NXL49" s="203"/>
      <c r="NYC49" s="203"/>
      <c r="NYD49" s="203"/>
      <c r="NYU49" s="203"/>
      <c r="NYV49" s="203"/>
      <c r="NZM49" s="203"/>
      <c r="NZN49" s="203"/>
      <c r="OAE49" s="203"/>
      <c r="OAF49" s="203"/>
      <c r="OAW49" s="203"/>
      <c r="OAX49" s="203"/>
      <c r="OBO49" s="203"/>
      <c r="OBP49" s="203"/>
      <c r="OCG49" s="203"/>
      <c r="OCH49" s="203"/>
      <c r="OCY49" s="203"/>
      <c r="OCZ49" s="203"/>
      <c r="ODQ49" s="203"/>
      <c r="ODR49" s="203"/>
      <c r="OEI49" s="203"/>
      <c r="OEJ49" s="203"/>
      <c r="OFA49" s="203"/>
      <c r="OFB49" s="203"/>
      <c r="OFS49" s="203"/>
      <c r="OFT49" s="203"/>
      <c r="OGK49" s="203"/>
      <c r="OGL49" s="203"/>
      <c r="OHC49" s="203"/>
      <c r="OHD49" s="203"/>
      <c r="OHU49" s="203"/>
      <c r="OHV49" s="203"/>
      <c r="OIM49" s="203"/>
      <c r="OIN49" s="203"/>
      <c r="OJE49" s="203"/>
      <c r="OJF49" s="203"/>
      <c r="OJW49" s="203"/>
      <c r="OJX49" s="203"/>
      <c r="OKO49" s="203"/>
      <c r="OKP49" s="203"/>
      <c r="OLG49" s="203"/>
      <c r="OLH49" s="203"/>
      <c r="OLY49" s="203"/>
      <c r="OLZ49" s="203"/>
      <c r="OMQ49" s="203"/>
      <c r="OMR49" s="203"/>
      <c r="ONI49" s="203"/>
      <c r="ONJ49" s="203"/>
      <c r="OOA49" s="203"/>
      <c r="OOB49" s="203"/>
      <c r="OOS49" s="203"/>
      <c r="OOT49" s="203"/>
      <c r="OPK49" s="203"/>
      <c r="OPL49" s="203"/>
      <c r="OQC49" s="203"/>
      <c r="OQD49" s="203"/>
      <c r="OQU49" s="203"/>
      <c r="OQV49" s="203"/>
      <c r="ORM49" s="203"/>
      <c r="ORN49" s="203"/>
      <c r="OSE49" s="203"/>
      <c r="OSF49" s="203"/>
      <c r="OSW49" s="203"/>
      <c r="OSX49" s="203"/>
      <c r="OTO49" s="203"/>
      <c r="OTP49" s="203"/>
      <c r="OUG49" s="203"/>
      <c r="OUH49" s="203"/>
      <c r="OUY49" s="203"/>
      <c r="OUZ49" s="203"/>
      <c r="OVQ49" s="203"/>
      <c r="OVR49" s="203"/>
      <c r="OWI49" s="203"/>
      <c r="OWJ49" s="203"/>
      <c r="OXA49" s="203"/>
      <c r="OXB49" s="203"/>
      <c r="OXS49" s="203"/>
      <c r="OXT49" s="203"/>
      <c r="OYK49" s="203"/>
      <c r="OYL49" s="203"/>
      <c r="OZC49" s="203"/>
      <c r="OZD49" s="203"/>
      <c r="OZU49" s="203"/>
      <c r="OZV49" s="203"/>
      <c r="PAM49" s="203"/>
      <c r="PAN49" s="203"/>
      <c r="PBE49" s="203"/>
      <c r="PBF49" s="203"/>
      <c r="PBW49" s="203"/>
      <c r="PBX49" s="203"/>
      <c r="PCO49" s="203"/>
      <c r="PCP49" s="203"/>
      <c r="PDG49" s="203"/>
      <c r="PDH49" s="203"/>
      <c r="PDY49" s="203"/>
      <c r="PDZ49" s="203"/>
      <c r="PEQ49" s="203"/>
      <c r="PER49" s="203"/>
      <c r="PFI49" s="203"/>
      <c r="PFJ49" s="203"/>
      <c r="PGA49" s="203"/>
      <c r="PGB49" s="203"/>
      <c r="PGS49" s="203"/>
      <c r="PGT49" s="203"/>
      <c r="PHK49" s="203"/>
      <c r="PHL49" s="203"/>
      <c r="PIC49" s="203"/>
      <c r="PID49" s="203"/>
      <c r="PIU49" s="203"/>
      <c r="PIV49" s="203"/>
      <c r="PJM49" s="203"/>
      <c r="PJN49" s="203"/>
      <c r="PKE49" s="203"/>
      <c r="PKF49" s="203"/>
      <c r="PKW49" s="203"/>
      <c r="PKX49" s="203"/>
      <c r="PLO49" s="203"/>
      <c r="PLP49" s="203"/>
      <c r="PMG49" s="203"/>
      <c r="PMH49" s="203"/>
      <c r="PMY49" s="203"/>
      <c r="PMZ49" s="203"/>
      <c r="PNQ49" s="203"/>
      <c r="PNR49" s="203"/>
      <c r="POI49" s="203"/>
      <c r="POJ49" s="203"/>
      <c r="PPA49" s="203"/>
      <c r="PPB49" s="203"/>
      <c r="PPS49" s="203"/>
      <c r="PPT49" s="203"/>
      <c r="PQK49" s="203"/>
      <c r="PQL49" s="203"/>
      <c r="PRC49" s="203"/>
      <c r="PRD49" s="203"/>
      <c r="PRU49" s="203"/>
      <c r="PRV49" s="203"/>
      <c r="PSM49" s="203"/>
      <c r="PSN49" s="203"/>
      <c r="PTE49" s="203"/>
      <c r="PTF49" s="203"/>
      <c r="PTW49" s="203"/>
      <c r="PTX49" s="203"/>
      <c r="PUO49" s="203"/>
      <c r="PUP49" s="203"/>
      <c r="PVG49" s="203"/>
      <c r="PVH49" s="203"/>
      <c r="PVY49" s="203"/>
      <c r="PVZ49" s="203"/>
      <c r="PWQ49" s="203"/>
      <c r="PWR49" s="203"/>
      <c r="PXI49" s="203"/>
      <c r="PXJ49" s="203"/>
      <c r="PYA49" s="203"/>
      <c r="PYB49" s="203"/>
      <c r="PYS49" s="203"/>
      <c r="PYT49" s="203"/>
      <c r="PZK49" s="203"/>
      <c r="PZL49" s="203"/>
      <c r="QAC49" s="203"/>
      <c r="QAD49" s="203"/>
      <c r="QAU49" s="203"/>
      <c r="QAV49" s="203"/>
      <c r="QBM49" s="203"/>
      <c r="QBN49" s="203"/>
      <c r="QCE49" s="203"/>
      <c r="QCF49" s="203"/>
      <c r="QCW49" s="203"/>
      <c r="QCX49" s="203"/>
      <c r="QDO49" s="203"/>
      <c r="QDP49" s="203"/>
      <c r="QEG49" s="203"/>
      <c r="QEH49" s="203"/>
      <c r="QEY49" s="203"/>
      <c r="QEZ49" s="203"/>
      <c r="QFQ49" s="203"/>
      <c r="QFR49" s="203"/>
      <c r="QGI49" s="203"/>
      <c r="QGJ49" s="203"/>
      <c r="QHA49" s="203"/>
      <c r="QHB49" s="203"/>
      <c r="QHS49" s="203"/>
      <c r="QHT49" s="203"/>
      <c r="QIK49" s="203"/>
      <c r="QIL49" s="203"/>
      <c r="QJC49" s="203"/>
      <c r="QJD49" s="203"/>
      <c r="QJU49" s="203"/>
      <c r="QJV49" s="203"/>
      <c r="QKM49" s="203"/>
      <c r="QKN49" s="203"/>
      <c r="QLE49" s="203"/>
      <c r="QLF49" s="203"/>
      <c r="QLW49" s="203"/>
      <c r="QLX49" s="203"/>
      <c r="QMO49" s="203"/>
      <c r="QMP49" s="203"/>
      <c r="QNG49" s="203"/>
      <c r="QNH49" s="203"/>
      <c r="QNY49" s="203"/>
      <c r="QNZ49" s="203"/>
      <c r="QOQ49" s="203"/>
      <c r="QOR49" s="203"/>
      <c r="QPI49" s="203"/>
      <c r="QPJ49" s="203"/>
      <c r="QQA49" s="203"/>
      <c r="QQB49" s="203"/>
      <c r="QQS49" s="203"/>
      <c r="QQT49" s="203"/>
      <c r="QRK49" s="203"/>
      <c r="QRL49" s="203"/>
      <c r="QSC49" s="203"/>
      <c r="QSD49" s="203"/>
      <c r="QSU49" s="203"/>
      <c r="QSV49" s="203"/>
      <c r="QTM49" s="203"/>
      <c r="QTN49" s="203"/>
      <c r="QUE49" s="203"/>
      <c r="QUF49" s="203"/>
      <c r="QUW49" s="203"/>
      <c r="QUX49" s="203"/>
      <c r="QVO49" s="203"/>
      <c r="QVP49" s="203"/>
      <c r="QWG49" s="203"/>
      <c r="QWH49" s="203"/>
      <c r="QWY49" s="203"/>
      <c r="QWZ49" s="203"/>
      <c r="QXQ49" s="203"/>
      <c r="QXR49" s="203"/>
      <c r="QYI49" s="203"/>
      <c r="QYJ49" s="203"/>
      <c r="QZA49" s="203"/>
      <c r="QZB49" s="203"/>
      <c r="QZS49" s="203"/>
      <c r="QZT49" s="203"/>
      <c r="RAK49" s="203"/>
      <c r="RAL49" s="203"/>
      <c r="RBC49" s="203"/>
      <c r="RBD49" s="203"/>
      <c r="RBU49" s="203"/>
      <c r="RBV49" s="203"/>
      <c r="RCM49" s="203"/>
      <c r="RCN49" s="203"/>
      <c r="RDE49" s="203"/>
      <c r="RDF49" s="203"/>
      <c r="RDW49" s="203"/>
      <c r="RDX49" s="203"/>
      <c r="REO49" s="203"/>
      <c r="REP49" s="203"/>
      <c r="RFG49" s="203"/>
      <c r="RFH49" s="203"/>
      <c r="RFY49" s="203"/>
      <c r="RFZ49" s="203"/>
      <c r="RGQ49" s="203"/>
      <c r="RGR49" s="203"/>
      <c r="RHI49" s="203"/>
      <c r="RHJ49" s="203"/>
      <c r="RIA49" s="203"/>
      <c r="RIB49" s="203"/>
      <c r="RIS49" s="203"/>
      <c r="RIT49" s="203"/>
      <c r="RJK49" s="203"/>
      <c r="RJL49" s="203"/>
      <c r="RKC49" s="203"/>
      <c r="RKD49" s="203"/>
      <c r="RKU49" s="203"/>
      <c r="RKV49" s="203"/>
      <c r="RLM49" s="203"/>
      <c r="RLN49" s="203"/>
      <c r="RME49" s="203"/>
      <c r="RMF49" s="203"/>
      <c r="RMW49" s="203"/>
      <c r="RMX49" s="203"/>
      <c r="RNO49" s="203"/>
      <c r="RNP49" s="203"/>
      <c r="ROG49" s="203"/>
      <c r="ROH49" s="203"/>
      <c r="ROY49" s="203"/>
      <c r="ROZ49" s="203"/>
      <c r="RPQ49" s="203"/>
      <c r="RPR49" s="203"/>
      <c r="RQI49" s="203"/>
      <c r="RQJ49" s="203"/>
      <c r="RRA49" s="203"/>
      <c r="RRB49" s="203"/>
      <c r="RRS49" s="203"/>
      <c r="RRT49" s="203"/>
      <c r="RSK49" s="203"/>
      <c r="RSL49" s="203"/>
      <c r="RTC49" s="203"/>
      <c r="RTD49" s="203"/>
      <c r="RTU49" s="203"/>
      <c r="RTV49" s="203"/>
      <c r="RUM49" s="203"/>
      <c r="RUN49" s="203"/>
      <c r="RVE49" s="203"/>
      <c r="RVF49" s="203"/>
      <c r="RVW49" s="203"/>
      <c r="RVX49" s="203"/>
      <c r="RWO49" s="203"/>
      <c r="RWP49" s="203"/>
      <c r="RXG49" s="203"/>
      <c r="RXH49" s="203"/>
      <c r="RXY49" s="203"/>
      <c r="RXZ49" s="203"/>
      <c r="RYQ49" s="203"/>
      <c r="RYR49" s="203"/>
      <c r="RZI49" s="203"/>
      <c r="RZJ49" s="203"/>
      <c r="SAA49" s="203"/>
      <c r="SAB49" s="203"/>
      <c r="SAS49" s="203"/>
      <c r="SAT49" s="203"/>
      <c r="SBK49" s="203"/>
      <c r="SBL49" s="203"/>
      <c r="SCC49" s="203"/>
      <c r="SCD49" s="203"/>
      <c r="SCU49" s="203"/>
      <c r="SCV49" s="203"/>
      <c r="SDM49" s="203"/>
      <c r="SDN49" s="203"/>
      <c r="SEE49" s="203"/>
      <c r="SEF49" s="203"/>
      <c r="SEW49" s="203"/>
      <c r="SEX49" s="203"/>
      <c r="SFO49" s="203"/>
      <c r="SFP49" s="203"/>
      <c r="SGG49" s="203"/>
      <c r="SGH49" s="203"/>
      <c r="SGY49" s="203"/>
      <c r="SGZ49" s="203"/>
      <c r="SHQ49" s="203"/>
      <c r="SHR49" s="203"/>
      <c r="SII49" s="203"/>
      <c r="SIJ49" s="203"/>
      <c r="SJA49" s="203"/>
      <c r="SJB49" s="203"/>
      <c r="SJS49" s="203"/>
      <c r="SJT49" s="203"/>
      <c r="SKK49" s="203"/>
      <c r="SKL49" s="203"/>
      <c r="SLC49" s="203"/>
      <c r="SLD49" s="203"/>
      <c r="SLU49" s="203"/>
      <c r="SLV49" s="203"/>
      <c r="SMM49" s="203"/>
      <c r="SMN49" s="203"/>
      <c r="SNE49" s="203"/>
      <c r="SNF49" s="203"/>
      <c r="SNW49" s="203"/>
      <c r="SNX49" s="203"/>
      <c r="SOO49" s="203"/>
      <c r="SOP49" s="203"/>
      <c r="SPG49" s="203"/>
      <c r="SPH49" s="203"/>
      <c r="SPY49" s="203"/>
      <c r="SPZ49" s="203"/>
      <c r="SQQ49" s="203"/>
      <c r="SQR49" s="203"/>
      <c r="SRI49" s="203"/>
      <c r="SRJ49" s="203"/>
      <c r="SSA49" s="203"/>
      <c r="SSB49" s="203"/>
      <c r="SSS49" s="203"/>
      <c r="SST49" s="203"/>
      <c r="STK49" s="203"/>
      <c r="STL49" s="203"/>
      <c r="SUC49" s="203"/>
      <c r="SUD49" s="203"/>
      <c r="SUU49" s="203"/>
      <c r="SUV49" s="203"/>
      <c r="SVM49" s="203"/>
      <c r="SVN49" s="203"/>
      <c r="SWE49" s="203"/>
      <c r="SWF49" s="203"/>
      <c r="SWW49" s="203"/>
      <c r="SWX49" s="203"/>
      <c r="SXO49" s="203"/>
      <c r="SXP49" s="203"/>
      <c r="SYG49" s="203"/>
      <c r="SYH49" s="203"/>
      <c r="SYY49" s="203"/>
      <c r="SYZ49" s="203"/>
      <c r="SZQ49" s="203"/>
      <c r="SZR49" s="203"/>
      <c r="TAI49" s="203"/>
      <c r="TAJ49" s="203"/>
      <c r="TBA49" s="203"/>
      <c r="TBB49" s="203"/>
      <c r="TBS49" s="203"/>
      <c r="TBT49" s="203"/>
      <c r="TCK49" s="203"/>
      <c r="TCL49" s="203"/>
      <c r="TDC49" s="203"/>
      <c r="TDD49" s="203"/>
      <c r="TDU49" s="203"/>
      <c r="TDV49" s="203"/>
      <c r="TEM49" s="203"/>
      <c r="TEN49" s="203"/>
      <c r="TFE49" s="203"/>
      <c r="TFF49" s="203"/>
      <c r="TFW49" s="203"/>
      <c r="TFX49" s="203"/>
      <c r="TGO49" s="203"/>
      <c r="TGP49" s="203"/>
      <c r="THG49" s="203"/>
      <c r="THH49" s="203"/>
      <c r="THY49" s="203"/>
      <c r="THZ49" s="203"/>
      <c r="TIQ49" s="203"/>
      <c r="TIR49" s="203"/>
      <c r="TJI49" s="203"/>
      <c r="TJJ49" s="203"/>
      <c r="TKA49" s="203"/>
      <c r="TKB49" s="203"/>
      <c r="TKS49" s="203"/>
      <c r="TKT49" s="203"/>
      <c r="TLK49" s="203"/>
      <c r="TLL49" s="203"/>
      <c r="TMC49" s="203"/>
      <c r="TMD49" s="203"/>
      <c r="TMU49" s="203"/>
      <c r="TMV49" s="203"/>
      <c r="TNM49" s="203"/>
      <c r="TNN49" s="203"/>
      <c r="TOE49" s="203"/>
      <c r="TOF49" s="203"/>
      <c r="TOW49" s="203"/>
      <c r="TOX49" s="203"/>
      <c r="TPO49" s="203"/>
      <c r="TPP49" s="203"/>
      <c r="TQG49" s="203"/>
      <c r="TQH49" s="203"/>
      <c r="TQY49" s="203"/>
      <c r="TQZ49" s="203"/>
      <c r="TRQ49" s="203"/>
      <c r="TRR49" s="203"/>
      <c r="TSI49" s="203"/>
      <c r="TSJ49" s="203"/>
      <c r="TTA49" s="203"/>
      <c r="TTB49" s="203"/>
      <c r="TTS49" s="203"/>
      <c r="TTT49" s="203"/>
      <c r="TUK49" s="203"/>
      <c r="TUL49" s="203"/>
      <c r="TVC49" s="203"/>
      <c r="TVD49" s="203"/>
      <c r="TVU49" s="203"/>
      <c r="TVV49" s="203"/>
      <c r="TWM49" s="203"/>
      <c r="TWN49" s="203"/>
      <c r="TXE49" s="203"/>
      <c r="TXF49" s="203"/>
      <c r="TXW49" s="203"/>
      <c r="TXX49" s="203"/>
      <c r="TYO49" s="203"/>
      <c r="TYP49" s="203"/>
      <c r="TZG49" s="203"/>
      <c r="TZH49" s="203"/>
      <c r="TZY49" s="203"/>
      <c r="TZZ49" s="203"/>
      <c r="UAQ49" s="203"/>
      <c r="UAR49" s="203"/>
      <c r="UBI49" s="203"/>
      <c r="UBJ49" s="203"/>
      <c r="UCA49" s="203"/>
      <c r="UCB49" s="203"/>
      <c r="UCS49" s="203"/>
      <c r="UCT49" s="203"/>
      <c r="UDK49" s="203"/>
      <c r="UDL49" s="203"/>
      <c r="UEC49" s="203"/>
      <c r="UED49" s="203"/>
      <c r="UEU49" s="203"/>
      <c r="UEV49" s="203"/>
      <c r="UFM49" s="203"/>
      <c r="UFN49" s="203"/>
      <c r="UGE49" s="203"/>
      <c r="UGF49" s="203"/>
      <c r="UGW49" s="203"/>
      <c r="UGX49" s="203"/>
      <c r="UHO49" s="203"/>
      <c r="UHP49" s="203"/>
      <c r="UIG49" s="203"/>
      <c r="UIH49" s="203"/>
      <c r="UIY49" s="203"/>
      <c r="UIZ49" s="203"/>
      <c r="UJQ49" s="203"/>
      <c r="UJR49" s="203"/>
      <c r="UKI49" s="203"/>
      <c r="UKJ49" s="203"/>
      <c r="ULA49" s="203"/>
      <c r="ULB49" s="203"/>
      <c r="ULS49" s="203"/>
      <c r="ULT49" s="203"/>
      <c r="UMK49" s="203"/>
      <c r="UML49" s="203"/>
      <c r="UNC49" s="203"/>
      <c r="UND49" s="203"/>
      <c r="UNU49" s="203"/>
      <c r="UNV49" s="203"/>
      <c r="UOM49" s="203"/>
      <c r="UON49" s="203"/>
      <c r="UPE49" s="203"/>
      <c r="UPF49" s="203"/>
      <c r="UPW49" s="203"/>
      <c r="UPX49" s="203"/>
      <c r="UQO49" s="203"/>
      <c r="UQP49" s="203"/>
      <c r="URG49" s="203"/>
      <c r="URH49" s="203"/>
      <c r="URY49" s="203"/>
      <c r="URZ49" s="203"/>
      <c r="USQ49" s="203"/>
      <c r="USR49" s="203"/>
      <c r="UTI49" s="203"/>
      <c r="UTJ49" s="203"/>
      <c r="UUA49" s="203"/>
      <c r="UUB49" s="203"/>
      <c r="UUS49" s="203"/>
      <c r="UUT49" s="203"/>
      <c r="UVK49" s="203"/>
      <c r="UVL49" s="203"/>
      <c r="UWC49" s="203"/>
      <c r="UWD49" s="203"/>
      <c r="UWU49" s="203"/>
      <c r="UWV49" s="203"/>
      <c r="UXM49" s="203"/>
      <c r="UXN49" s="203"/>
      <c r="UYE49" s="203"/>
      <c r="UYF49" s="203"/>
      <c r="UYW49" s="203"/>
      <c r="UYX49" s="203"/>
      <c r="UZO49" s="203"/>
      <c r="UZP49" s="203"/>
      <c r="VAG49" s="203"/>
      <c r="VAH49" s="203"/>
      <c r="VAY49" s="203"/>
      <c r="VAZ49" s="203"/>
      <c r="VBQ49" s="203"/>
      <c r="VBR49" s="203"/>
      <c r="VCI49" s="203"/>
      <c r="VCJ49" s="203"/>
      <c r="VDA49" s="203"/>
      <c r="VDB49" s="203"/>
      <c r="VDS49" s="203"/>
      <c r="VDT49" s="203"/>
      <c r="VEK49" s="203"/>
      <c r="VEL49" s="203"/>
      <c r="VFC49" s="203"/>
      <c r="VFD49" s="203"/>
      <c r="VFU49" s="203"/>
      <c r="VFV49" s="203"/>
      <c r="VGM49" s="203"/>
      <c r="VGN49" s="203"/>
      <c r="VHE49" s="203"/>
      <c r="VHF49" s="203"/>
      <c r="VHW49" s="203"/>
      <c r="VHX49" s="203"/>
      <c r="VIO49" s="203"/>
      <c r="VIP49" s="203"/>
      <c r="VJG49" s="203"/>
      <c r="VJH49" s="203"/>
      <c r="VJY49" s="203"/>
      <c r="VJZ49" s="203"/>
      <c r="VKQ49" s="203"/>
      <c r="VKR49" s="203"/>
      <c r="VLI49" s="203"/>
      <c r="VLJ49" s="203"/>
      <c r="VMA49" s="203"/>
      <c r="VMB49" s="203"/>
      <c r="VMS49" s="203"/>
      <c r="VMT49" s="203"/>
      <c r="VNK49" s="203"/>
      <c r="VNL49" s="203"/>
      <c r="VOC49" s="203"/>
      <c r="VOD49" s="203"/>
      <c r="VOU49" s="203"/>
      <c r="VOV49" s="203"/>
      <c r="VPM49" s="203"/>
      <c r="VPN49" s="203"/>
      <c r="VQE49" s="203"/>
      <c r="VQF49" s="203"/>
      <c r="VQW49" s="203"/>
      <c r="VQX49" s="203"/>
      <c r="VRO49" s="203"/>
      <c r="VRP49" s="203"/>
      <c r="VSG49" s="203"/>
      <c r="VSH49" s="203"/>
      <c r="VSY49" s="203"/>
      <c r="VSZ49" s="203"/>
      <c r="VTQ49" s="203"/>
      <c r="VTR49" s="203"/>
      <c r="VUI49" s="203"/>
      <c r="VUJ49" s="203"/>
      <c r="VVA49" s="203"/>
      <c r="VVB49" s="203"/>
      <c r="VVS49" s="203"/>
      <c r="VVT49" s="203"/>
      <c r="VWK49" s="203"/>
      <c r="VWL49" s="203"/>
      <c r="VXC49" s="203"/>
      <c r="VXD49" s="203"/>
      <c r="VXU49" s="203"/>
      <c r="VXV49" s="203"/>
      <c r="VYM49" s="203"/>
      <c r="VYN49" s="203"/>
      <c r="VZE49" s="203"/>
      <c r="VZF49" s="203"/>
      <c r="VZW49" s="203"/>
      <c r="VZX49" s="203"/>
      <c r="WAO49" s="203"/>
      <c r="WAP49" s="203"/>
      <c r="WBG49" s="203"/>
      <c r="WBH49" s="203"/>
      <c r="WBY49" s="203"/>
      <c r="WBZ49" s="203"/>
      <c r="WCQ49" s="203"/>
      <c r="WCR49" s="203"/>
      <c r="WDI49" s="203"/>
      <c r="WDJ49" s="203"/>
      <c r="WEA49" s="203"/>
      <c r="WEB49" s="203"/>
      <c r="WES49" s="203"/>
      <c r="WET49" s="203"/>
      <c r="WFK49" s="203"/>
      <c r="WFL49" s="203"/>
      <c r="WGC49" s="203"/>
      <c r="WGD49" s="203"/>
      <c r="WGU49" s="203"/>
      <c r="WGV49" s="203"/>
      <c r="WHM49" s="203"/>
      <c r="WHN49" s="203"/>
      <c r="WIE49" s="203"/>
      <c r="WIF49" s="203"/>
      <c r="WIW49" s="203"/>
      <c r="WIX49" s="203"/>
      <c r="WJO49" s="203"/>
      <c r="WJP49" s="203"/>
      <c r="WKG49" s="203"/>
      <c r="WKH49" s="203"/>
      <c r="WKY49" s="203"/>
      <c r="WKZ49" s="203"/>
      <c r="WLQ49" s="203"/>
      <c r="WLR49" s="203"/>
      <c r="WMI49" s="203"/>
      <c r="WMJ49" s="203"/>
      <c r="WNA49" s="203"/>
      <c r="WNB49" s="203"/>
      <c r="WNS49" s="203"/>
      <c r="WNT49" s="203"/>
      <c r="WOK49" s="203"/>
      <c r="WOL49" s="203"/>
      <c r="WPC49" s="203"/>
      <c r="WPD49" s="203"/>
      <c r="WPU49" s="203"/>
      <c r="WPV49" s="203"/>
      <c r="WQM49" s="203"/>
      <c r="WQN49" s="203"/>
      <c r="WRE49" s="203"/>
      <c r="WRF49" s="203"/>
      <c r="WRW49" s="203"/>
      <c r="WRX49" s="203"/>
      <c r="WSO49" s="203"/>
      <c r="WSP49" s="203"/>
      <c r="WTG49" s="203"/>
      <c r="WTH49" s="203"/>
      <c r="WTY49" s="203"/>
      <c r="WTZ49" s="203"/>
      <c r="WUQ49" s="203"/>
      <c r="WUR49" s="203"/>
      <c r="WVI49" s="203"/>
      <c r="WVJ49" s="203"/>
      <c r="WWA49" s="203"/>
      <c r="WWB49" s="203"/>
      <c r="WWS49" s="203"/>
      <c r="WWT49" s="203"/>
      <c r="WXK49" s="203"/>
      <c r="WXL49" s="203"/>
      <c r="WYC49" s="203"/>
      <c r="WYD49" s="203"/>
      <c r="WYU49" s="203"/>
      <c r="WYV49" s="203"/>
      <c r="WZM49" s="203"/>
      <c r="WZN49" s="203"/>
      <c r="XAE49" s="203"/>
      <c r="XAF49" s="203"/>
      <c r="XAW49" s="203"/>
      <c r="XAX49" s="203"/>
      <c r="XBO49" s="203"/>
      <c r="XBP49" s="203"/>
      <c r="XCG49" s="203"/>
      <c r="XCH49" s="203"/>
      <c r="XCY49" s="203"/>
      <c r="XCZ49" s="203"/>
      <c r="XDQ49" s="203"/>
      <c r="XDR49" s="203"/>
      <c r="XEI49" s="203"/>
      <c r="XEJ49" s="203"/>
      <c r="XFA49" s="203"/>
      <c r="XFB49" s="203"/>
    </row>
    <row r="50" spans="1:1010 1027:2036 2053:3062 3079:4088 4105:5114 5131:6140 6157:7166 7183:8192 8209:9200 9217:10226 10243:11252 11269:12278 12295:13304 13321:14330 14347:15356 15373:16382" s="204" customFormat="1" x14ac:dyDescent="0.35">
      <c r="A50" s="183" t="s">
        <v>410</v>
      </c>
      <c r="B50" s="293" t="s">
        <v>411</v>
      </c>
      <c r="C50" s="184">
        <v>-0.193</v>
      </c>
      <c r="D50" s="184">
        <v>-0.19700000000000001</v>
      </c>
      <c r="E50" s="184">
        <v>-0.20100000000000001</v>
      </c>
      <c r="F50" s="184">
        <v>-0.20499999999999999</v>
      </c>
      <c r="G50" s="184">
        <v>-0.22700000000000001</v>
      </c>
      <c r="H50" s="184">
        <v>-0.19500000000000001</v>
      </c>
      <c r="I50" s="184">
        <v>-0.218</v>
      </c>
      <c r="J50" s="184">
        <v>-0.222</v>
      </c>
      <c r="K50" s="184">
        <v>0.37</v>
      </c>
      <c r="L50" s="184">
        <v>0.372</v>
      </c>
      <c r="S50" s="203"/>
      <c r="T50" s="203"/>
      <c r="AK50" s="203"/>
      <c r="AL50" s="203"/>
      <c r="BC50" s="203"/>
      <c r="BD50" s="203"/>
      <c r="BU50" s="203"/>
      <c r="BV50" s="203"/>
      <c r="CM50" s="203"/>
      <c r="CN50" s="203"/>
      <c r="DE50" s="203"/>
      <c r="DF50" s="203"/>
      <c r="DW50" s="203"/>
      <c r="DX50" s="203"/>
      <c r="EO50" s="203"/>
      <c r="EP50" s="203"/>
      <c r="FG50" s="203"/>
      <c r="FH50" s="203"/>
      <c r="FY50" s="203"/>
      <c r="FZ50" s="203"/>
      <c r="GQ50" s="203"/>
      <c r="GR50" s="203"/>
      <c r="HI50" s="203"/>
      <c r="HJ50" s="203"/>
      <c r="IA50" s="203"/>
      <c r="IB50" s="203"/>
      <c r="IS50" s="203"/>
      <c r="IT50" s="203"/>
      <c r="JK50" s="203"/>
      <c r="JL50" s="203"/>
      <c r="KC50" s="203"/>
      <c r="KD50" s="203"/>
      <c r="KU50" s="203"/>
      <c r="KV50" s="203"/>
      <c r="LM50" s="203"/>
      <c r="LN50" s="203"/>
      <c r="ME50" s="203"/>
      <c r="MF50" s="203"/>
      <c r="MW50" s="203"/>
      <c r="MX50" s="203"/>
      <c r="NO50" s="203"/>
      <c r="NP50" s="203"/>
      <c r="OG50" s="203"/>
      <c r="OH50" s="203"/>
      <c r="OY50" s="203"/>
      <c r="OZ50" s="203"/>
      <c r="PQ50" s="203"/>
      <c r="PR50" s="203"/>
      <c r="QI50" s="203"/>
      <c r="QJ50" s="203"/>
      <c r="RA50" s="203"/>
      <c r="RB50" s="203"/>
      <c r="RS50" s="203"/>
      <c r="RT50" s="203"/>
      <c r="SK50" s="203"/>
      <c r="SL50" s="203"/>
      <c r="TC50" s="203"/>
      <c r="TD50" s="203"/>
      <c r="TU50" s="203"/>
      <c r="TV50" s="203"/>
      <c r="UM50" s="203"/>
      <c r="UN50" s="203"/>
      <c r="VE50" s="203"/>
      <c r="VF50" s="203"/>
      <c r="VW50" s="203"/>
      <c r="VX50" s="203"/>
      <c r="WO50" s="203"/>
      <c r="WP50" s="203"/>
      <c r="XG50" s="203"/>
      <c r="XH50" s="203"/>
      <c r="XY50" s="203"/>
      <c r="XZ50" s="203"/>
      <c r="YQ50" s="203"/>
      <c r="YR50" s="203"/>
      <c r="ZI50" s="203"/>
      <c r="ZJ50" s="203"/>
      <c r="AAA50" s="203"/>
      <c r="AAB50" s="203"/>
      <c r="AAS50" s="203"/>
      <c r="AAT50" s="203"/>
      <c r="ABK50" s="203"/>
      <c r="ABL50" s="203"/>
      <c r="ACC50" s="203"/>
      <c r="ACD50" s="203"/>
      <c r="ACU50" s="203"/>
      <c r="ACV50" s="203"/>
      <c r="ADM50" s="203"/>
      <c r="ADN50" s="203"/>
      <c r="AEE50" s="203"/>
      <c r="AEF50" s="203"/>
      <c r="AEW50" s="203"/>
      <c r="AEX50" s="203"/>
      <c r="AFO50" s="203"/>
      <c r="AFP50" s="203"/>
      <c r="AGG50" s="203"/>
      <c r="AGH50" s="203"/>
      <c r="AGY50" s="203"/>
      <c r="AGZ50" s="203"/>
      <c r="AHQ50" s="203"/>
      <c r="AHR50" s="203"/>
      <c r="AII50" s="203"/>
      <c r="AIJ50" s="203"/>
      <c r="AJA50" s="203"/>
      <c r="AJB50" s="203"/>
      <c r="AJS50" s="203"/>
      <c r="AJT50" s="203"/>
      <c r="AKK50" s="203"/>
      <c r="AKL50" s="203"/>
      <c r="ALC50" s="203"/>
      <c r="ALD50" s="203"/>
      <c r="ALU50" s="203"/>
      <c r="ALV50" s="203"/>
      <c r="AMM50" s="203"/>
      <c r="AMN50" s="203"/>
      <c r="ANE50" s="203"/>
      <c r="ANF50" s="203"/>
      <c r="ANW50" s="203"/>
      <c r="ANX50" s="203"/>
      <c r="AOO50" s="203"/>
      <c r="AOP50" s="203"/>
      <c r="APG50" s="203"/>
      <c r="APH50" s="203"/>
      <c r="APY50" s="203"/>
      <c r="APZ50" s="203"/>
      <c r="AQQ50" s="203"/>
      <c r="AQR50" s="203"/>
      <c r="ARI50" s="203"/>
      <c r="ARJ50" s="203"/>
      <c r="ASA50" s="203"/>
      <c r="ASB50" s="203"/>
      <c r="ASS50" s="203"/>
      <c r="AST50" s="203"/>
      <c r="ATK50" s="203"/>
      <c r="ATL50" s="203"/>
      <c r="AUC50" s="203"/>
      <c r="AUD50" s="203"/>
      <c r="AUU50" s="203"/>
      <c r="AUV50" s="203"/>
      <c r="AVM50" s="203"/>
      <c r="AVN50" s="203"/>
      <c r="AWE50" s="203"/>
      <c r="AWF50" s="203"/>
      <c r="AWW50" s="203"/>
      <c r="AWX50" s="203"/>
      <c r="AXO50" s="203"/>
      <c r="AXP50" s="203"/>
      <c r="AYG50" s="203"/>
      <c r="AYH50" s="203"/>
      <c r="AYY50" s="203"/>
      <c r="AYZ50" s="203"/>
      <c r="AZQ50" s="203"/>
      <c r="AZR50" s="203"/>
      <c r="BAI50" s="203"/>
      <c r="BAJ50" s="203"/>
      <c r="BBA50" s="203"/>
      <c r="BBB50" s="203"/>
      <c r="BBS50" s="203"/>
      <c r="BBT50" s="203"/>
      <c r="BCK50" s="203"/>
      <c r="BCL50" s="203"/>
      <c r="BDC50" s="203"/>
      <c r="BDD50" s="203"/>
      <c r="BDU50" s="203"/>
      <c r="BDV50" s="203"/>
      <c r="BEM50" s="203"/>
      <c r="BEN50" s="203"/>
      <c r="BFE50" s="203"/>
      <c r="BFF50" s="203"/>
      <c r="BFW50" s="203"/>
      <c r="BFX50" s="203"/>
      <c r="BGO50" s="203"/>
      <c r="BGP50" s="203"/>
      <c r="BHG50" s="203"/>
      <c r="BHH50" s="203"/>
      <c r="BHY50" s="203"/>
      <c r="BHZ50" s="203"/>
      <c r="BIQ50" s="203"/>
      <c r="BIR50" s="203"/>
      <c r="BJI50" s="203"/>
      <c r="BJJ50" s="203"/>
      <c r="BKA50" s="203"/>
      <c r="BKB50" s="203"/>
      <c r="BKS50" s="203"/>
      <c r="BKT50" s="203"/>
      <c r="BLK50" s="203"/>
      <c r="BLL50" s="203"/>
      <c r="BMC50" s="203"/>
      <c r="BMD50" s="203"/>
      <c r="BMU50" s="203"/>
      <c r="BMV50" s="203"/>
      <c r="BNM50" s="203"/>
      <c r="BNN50" s="203"/>
      <c r="BOE50" s="203"/>
      <c r="BOF50" s="203"/>
      <c r="BOW50" s="203"/>
      <c r="BOX50" s="203"/>
      <c r="BPO50" s="203"/>
      <c r="BPP50" s="203"/>
      <c r="BQG50" s="203"/>
      <c r="BQH50" s="203"/>
      <c r="BQY50" s="203"/>
      <c r="BQZ50" s="203"/>
      <c r="BRQ50" s="203"/>
      <c r="BRR50" s="203"/>
      <c r="BSI50" s="203"/>
      <c r="BSJ50" s="203"/>
      <c r="BTA50" s="203"/>
      <c r="BTB50" s="203"/>
      <c r="BTS50" s="203"/>
      <c r="BTT50" s="203"/>
      <c r="BUK50" s="203"/>
      <c r="BUL50" s="203"/>
      <c r="BVC50" s="203"/>
      <c r="BVD50" s="203"/>
      <c r="BVU50" s="203"/>
      <c r="BVV50" s="203"/>
      <c r="BWM50" s="203"/>
      <c r="BWN50" s="203"/>
      <c r="BXE50" s="203"/>
      <c r="BXF50" s="203"/>
      <c r="BXW50" s="203"/>
      <c r="BXX50" s="203"/>
      <c r="BYO50" s="203"/>
      <c r="BYP50" s="203"/>
      <c r="BZG50" s="203"/>
      <c r="BZH50" s="203"/>
      <c r="BZY50" s="203"/>
      <c r="BZZ50" s="203"/>
      <c r="CAQ50" s="203"/>
      <c r="CAR50" s="203"/>
      <c r="CBI50" s="203"/>
      <c r="CBJ50" s="203"/>
      <c r="CCA50" s="203"/>
      <c r="CCB50" s="203"/>
      <c r="CCS50" s="203"/>
      <c r="CCT50" s="203"/>
      <c r="CDK50" s="203"/>
      <c r="CDL50" s="203"/>
      <c r="CEC50" s="203"/>
      <c r="CED50" s="203"/>
      <c r="CEU50" s="203"/>
      <c r="CEV50" s="203"/>
      <c r="CFM50" s="203"/>
      <c r="CFN50" s="203"/>
      <c r="CGE50" s="203"/>
      <c r="CGF50" s="203"/>
      <c r="CGW50" s="203"/>
      <c r="CGX50" s="203"/>
      <c r="CHO50" s="203"/>
      <c r="CHP50" s="203"/>
      <c r="CIG50" s="203"/>
      <c r="CIH50" s="203"/>
      <c r="CIY50" s="203"/>
      <c r="CIZ50" s="203"/>
      <c r="CJQ50" s="203"/>
      <c r="CJR50" s="203"/>
      <c r="CKI50" s="203"/>
      <c r="CKJ50" s="203"/>
      <c r="CLA50" s="203"/>
      <c r="CLB50" s="203"/>
      <c r="CLS50" s="203"/>
      <c r="CLT50" s="203"/>
      <c r="CMK50" s="203"/>
      <c r="CML50" s="203"/>
      <c r="CNC50" s="203"/>
      <c r="CND50" s="203"/>
      <c r="CNU50" s="203"/>
      <c r="CNV50" s="203"/>
      <c r="COM50" s="203"/>
      <c r="CON50" s="203"/>
      <c r="CPE50" s="203"/>
      <c r="CPF50" s="203"/>
      <c r="CPW50" s="203"/>
      <c r="CPX50" s="203"/>
      <c r="CQO50" s="203"/>
      <c r="CQP50" s="203"/>
      <c r="CRG50" s="203"/>
      <c r="CRH50" s="203"/>
      <c r="CRY50" s="203"/>
      <c r="CRZ50" s="203"/>
      <c r="CSQ50" s="203"/>
      <c r="CSR50" s="203"/>
      <c r="CTI50" s="203"/>
      <c r="CTJ50" s="203"/>
      <c r="CUA50" s="203"/>
      <c r="CUB50" s="203"/>
      <c r="CUS50" s="203"/>
      <c r="CUT50" s="203"/>
      <c r="CVK50" s="203"/>
      <c r="CVL50" s="203"/>
      <c r="CWC50" s="203"/>
      <c r="CWD50" s="203"/>
      <c r="CWU50" s="203"/>
      <c r="CWV50" s="203"/>
      <c r="CXM50" s="203"/>
      <c r="CXN50" s="203"/>
      <c r="CYE50" s="203"/>
      <c r="CYF50" s="203"/>
      <c r="CYW50" s="203"/>
      <c r="CYX50" s="203"/>
      <c r="CZO50" s="203"/>
      <c r="CZP50" s="203"/>
      <c r="DAG50" s="203"/>
      <c r="DAH50" s="203"/>
      <c r="DAY50" s="203"/>
      <c r="DAZ50" s="203"/>
      <c r="DBQ50" s="203"/>
      <c r="DBR50" s="203"/>
      <c r="DCI50" s="203"/>
      <c r="DCJ50" s="203"/>
      <c r="DDA50" s="203"/>
      <c r="DDB50" s="203"/>
      <c r="DDS50" s="203"/>
      <c r="DDT50" s="203"/>
      <c r="DEK50" s="203"/>
      <c r="DEL50" s="203"/>
      <c r="DFC50" s="203"/>
      <c r="DFD50" s="203"/>
      <c r="DFU50" s="203"/>
      <c r="DFV50" s="203"/>
      <c r="DGM50" s="203"/>
      <c r="DGN50" s="203"/>
      <c r="DHE50" s="203"/>
      <c r="DHF50" s="203"/>
      <c r="DHW50" s="203"/>
      <c r="DHX50" s="203"/>
      <c r="DIO50" s="203"/>
      <c r="DIP50" s="203"/>
      <c r="DJG50" s="203"/>
      <c r="DJH50" s="203"/>
      <c r="DJY50" s="203"/>
      <c r="DJZ50" s="203"/>
      <c r="DKQ50" s="203"/>
      <c r="DKR50" s="203"/>
      <c r="DLI50" s="203"/>
      <c r="DLJ50" s="203"/>
      <c r="DMA50" s="203"/>
      <c r="DMB50" s="203"/>
      <c r="DMS50" s="203"/>
      <c r="DMT50" s="203"/>
      <c r="DNK50" s="203"/>
      <c r="DNL50" s="203"/>
      <c r="DOC50" s="203"/>
      <c r="DOD50" s="203"/>
      <c r="DOU50" s="203"/>
      <c r="DOV50" s="203"/>
      <c r="DPM50" s="203"/>
      <c r="DPN50" s="203"/>
      <c r="DQE50" s="203"/>
      <c r="DQF50" s="203"/>
      <c r="DQW50" s="203"/>
      <c r="DQX50" s="203"/>
      <c r="DRO50" s="203"/>
      <c r="DRP50" s="203"/>
      <c r="DSG50" s="203"/>
      <c r="DSH50" s="203"/>
      <c r="DSY50" s="203"/>
      <c r="DSZ50" s="203"/>
      <c r="DTQ50" s="203"/>
      <c r="DTR50" s="203"/>
      <c r="DUI50" s="203"/>
      <c r="DUJ50" s="203"/>
      <c r="DVA50" s="203"/>
      <c r="DVB50" s="203"/>
      <c r="DVS50" s="203"/>
      <c r="DVT50" s="203"/>
      <c r="DWK50" s="203"/>
      <c r="DWL50" s="203"/>
      <c r="DXC50" s="203"/>
      <c r="DXD50" s="203"/>
      <c r="DXU50" s="203"/>
      <c r="DXV50" s="203"/>
      <c r="DYM50" s="203"/>
      <c r="DYN50" s="203"/>
      <c r="DZE50" s="203"/>
      <c r="DZF50" s="203"/>
      <c r="DZW50" s="203"/>
      <c r="DZX50" s="203"/>
      <c r="EAO50" s="203"/>
      <c r="EAP50" s="203"/>
      <c r="EBG50" s="203"/>
      <c r="EBH50" s="203"/>
      <c r="EBY50" s="203"/>
      <c r="EBZ50" s="203"/>
      <c r="ECQ50" s="203"/>
      <c r="ECR50" s="203"/>
      <c r="EDI50" s="203"/>
      <c r="EDJ50" s="203"/>
      <c r="EEA50" s="203"/>
      <c r="EEB50" s="203"/>
      <c r="EES50" s="203"/>
      <c r="EET50" s="203"/>
      <c r="EFK50" s="203"/>
      <c r="EFL50" s="203"/>
      <c r="EGC50" s="203"/>
      <c r="EGD50" s="203"/>
      <c r="EGU50" s="203"/>
      <c r="EGV50" s="203"/>
      <c r="EHM50" s="203"/>
      <c r="EHN50" s="203"/>
      <c r="EIE50" s="203"/>
      <c r="EIF50" s="203"/>
      <c r="EIW50" s="203"/>
      <c r="EIX50" s="203"/>
      <c r="EJO50" s="203"/>
      <c r="EJP50" s="203"/>
      <c r="EKG50" s="203"/>
      <c r="EKH50" s="203"/>
      <c r="EKY50" s="203"/>
      <c r="EKZ50" s="203"/>
      <c r="ELQ50" s="203"/>
      <c r="ELR50" s="203"/>
      <c r="EMI50" s="203"/>
      <c r="EMJ50" s="203"/>
      <c r="ENA50" s="203"/>
      <c r="ENB50" s="203"/>
      <c r="ENS50" s="203"/>
      <c r="ENT50" s="203"/>
      <c r="EOK50" s="203"/>
      <c r="EOL50" s="203"/>
      <c r="EPC50" s="203"/>
      <c r="EPD50" s="203"/>
      <c r="EPU50" s="203"/>
      <c r="EPV50" s="203"/>
      <c r="EQM50" s="203"/>
      <c r="EQN50" s="203"/>
      <c r="ERE50" s="203"/>
      <c r="ERF50" s="203"/>
      <c r="ERW50" s="203"/>
      <c r="ERX50" s="203"/>
      <c r="ESO50" s="203"/>
      <c r="ESP50" s="203"/>
      <c r="ETG50" s="203"/>
      <c r="ETH50" s="203"/>
      <c r="ETY50" s="203"/>
      <c r="ETZ50" s="203"/>
      <c r="EUQ50" s="203"/>
      <c r="EUR50" s="203"/>
      <c r="EVI50" s="203"/>
      <c r="EVJ50" s="203"/>
      <c r="EWA50" s="203"/>
      <c r="EWB50" s="203"/>
      <c r="EWS50" s="203"/>
      <c r="EWT50" s="203"/>
      <c r="EXK50" s="203"/>
      <c r="EXL50" s="203"/>
      <c r="EYC50" s="203"/>
      <c r="EYD50" s="203"/>
      <c r="EYU50" s="203"/>
      <c r="EYV50" s="203"/>
      <c r="EZM50" s="203"/>
      <c r="EZN50" s="203"/>
      <c r="FAE50" s="203"/>
      <c r="FAF50" s="203"/>
      <c r="FAW50" s="203"/>
      <c r="FAX50" s="203"/>
      <c r="FBO50" s="203"/>
      <c r="FBP50" s="203"/>
      <c r="FCG50" s="203"/>
      <c r="FCH50" s="203"/>
      <c r="FCY50" s="203"/>
      <c r="FCZ50" s="203"/>
      <c r="FDQ50" s="203"/>
      <c r="FDR50" s="203"/>
      <c r="FEI50" s="203"/>
      <c r="FEJ50" s="203"/>
      <c r="FFA50" s="203"/>
      <c r="FFB50" s="203"/>
      <c r="FFS50" s="203"/>
      <c r="FFT50" s="203"/>
      <c r="FGK50" s="203"/>
      <c r="FGL50" s="203"/>
      <c r="FHC50" s="203"/>
      <c r="FHD50" s="203"/>
      <c r="FHU50" s="203"/>
      <c r="FHV50" s="203"/>
      <c r="FIM50" s="203"/>
      <c r="FIN50" s="203"/>
      <c r="FJE50" s="203"/>
      <c r="FJF50" s="203"/>
      <c r="FJW50" s="203"/>
      <c r="FJX50" s="203"/>
      <c r="FKO50" s="203"/>
      <c r="FKP50" s="203"/>
      <c r="FLG50" s="203"/>
      <c r="FLH50" s="203"/>
      <c r="FLY50" s="203"/>
      <c r="FLZ50" s="203"/>
      <c r="FMQ50" s="203"/>
      <c r="FMR50" s="203"/>
      <c r="FNI50" s="203"/>
      <c r="FNJ50" s="203"/>
      <c r="FOA50" s="203"/>
      <c r="FOB50" s="203"/>
      <c r="FOS50" s="203"/>
      <c r="FOT50" s="203"/>
      <c r="FPK50" s="203"/>
      <c r="FPL50" s="203"/>
      <c r="FQC50" s="203"/>
      <c r="FQD50" s="203"/>
      <c r="FQU50" s="203"/>
      <c r="FQV50" s="203"/>
      <c r="FRM50" s="203"/>
      <c r="FRN50" s="203"/>
      <c r="FSE50" s="203"/>
      <c r="FSF50" s="203"/>
      <c r="FSW50" s="203"/>
      <c r="FSX50" s="203"/>
      <c r="FTO50" s="203"/>
      <c r="FTP50" s="203"/>
      <c r="FUG50" s="203"/>
      <c r="FUH50" s="203"/>
      <c r="FUY50" s="203"/>
      <c r="FUZ50" s="203"/>
      <c r="FVQ50" s="203"/>
      <c r="FVR50" s="203"/>
      <c r="FWI50" s="203"/>
      <c r="FWJ50" s="203"/>
      <c r="FXA50" s="203"/>
      <c r="FXB50" s="203"/>
      <c r="FXS50" s="203"/>
      <c r="FXT50" s="203"/>
      <c r="FYK50" s="203"/>
      <c r="FYL50" s="203"/>
      <c r="FZC50" s="203"/>
      <c r="FZD50" s="203"/>
      <c r="FZU50" s="203"/>
      <c r="FZV50" s="203"/>
      <c r="GAM50" s="203"/>
      <c r="GAN50" s="203"/>
      <c r="GBE50" s="203"/>
      <c r="GBF50" s="203"/>
      <c r="GBW50" s="203"/>
      <c r="GBX50" s="203"/>
      <c r="GCO50" s="203"/>
      <c r="GCP50" s="203"/>
      <c r="GDG50" s="203"/>
      <c r="GDH50" s="203"/>
      <c r="GDY50" s="203"/>
      <c r="GDZ50" s="203"/>
      <c r="GEQ50" s="203"/>
      <c r="GER50" s="203"/>
      <c r="GFI50" s="203"/>
      <c r="GFJ50" s="203"/>
      <c r="GGA50" s="203"/>
      <c r="GGB50" s="203"/>
      <c r="GGS50" s="203"/>
      <c r="GGT50" s="203"/>
      <c r="GHK50" s="203"/>
      <c r="GHL50" s="203"/>
      <c r="GIC50" s="203"/>
      <c r="GID50" s="203"/>
      <c r="GIU50" s="203"/>
      <c r="GIV50" s="203"/>
      <c r="GJM50" s="203"/>
      <c r="GJN50" s="203"/>
      <c r="GKE50" s="203"/>
      <c r="GKF50" s="203"/>
      <c r="GKW50" s="203"/>
      <c r="GKX50" s="203"/>
      <c r="GLO50" s="203"/>
      <c r="GLP50" s="203"/>
      <c r="GMG50" s="203"/>
      <c r="GMH50" s="203"/>
      <c r="GMY50" s="203"/>
      <c r="GMZ50" s="203"/>
      <c r="GNQ50" s="203"/>
      <c r="GNR50" s="203"/>
      <c r="GOI50" s="203"/>
      <c r="GOJ50" s="203"/>
      <c r="GPA50" s="203"/>
      <c r="GPB50" s="203"/>
      <c r="GPS50" s="203"/>
      <c r="GPT50" s="203"/>
      <c r="GQK50" s="203"/>
      <c r="GQL50" s="203"/>
      <c r="GRC50" s="203"/>
      <c r="GRD50" s="203"/>
      <c r="GRU50" s="203"/>
      <c r="GRV50" s="203"/>
      <c r="GSM50" s="203"/>
      <c r="GSN50" s="203"/>
      <c r="GTE50" s="203"/>
      <c r="GTF50" s="203"/>
      <c r="GTW50" s="203"/>
      <c r="GTX50" s="203"/>
      <c r="GUO50" s="203"/>
      <c r="GUP50" s="203"/>
      <c r="GVG50" s="203"/>
      <c r="GVH50" s="203"/>
      <c r="GVY50" s="203"/>
      <c r="GVZ50" s="203"/>
      <c r="GWQ50" s="203"/>
      <c r="GWR50" s="203"/>
      <c r="GXI50" s="203"/>
      <c r="GXJ50" s="203"/>
      <c r="GYA50" s="203"/>
      <c r="GYB50" s="203"/>
      <c r="GYS50" s="203"/>
      <c r="GYT50" s="203"/>
      <c r="GZK50" s="203"/>
      <c r="GZL50" s="203"/>
      <c r="HAC50" s="203"/>
      <c r="HAD50" s="203"/>
      <c r="HAU50" s="203"/>
      <c r="HAV50" s="203"/>
      <c r="HBM50" s="203"/>
      <c r="HBN50" s="203"/>
      <c r="HCE50" s="203"/>
      <c r="HCF50" s="203"/>
      <c r="HCW50" s="203"/>
      <c r="HCX50" s="203"/>
      <c r="HDO50" s="203"/>
      <c r="HDP50" s="203"/>
      <c r="HEG50" s="203"/>
      <c r="HEH50" s="203"/>
      <c r="HEY50" s="203"/>
      <c r="HEZ50" s="203"/>
      <c r="HFQ50" s="203"/>
      <c r="HFR50" s="203"/>
      <c r="HGI50" s="203"/>
      <c r="HGJ50" s="203"/>
      <c r="HHA50" s="203"/>
      <c r="HHB50" s="203"/>
      <c r="HHS50" s="203"/>
      <c r="HHT50" s="203"/>
      <c r="HIK50" s="203"/>
      <c r="HIL50" s="203"/>
      <c r="HJC50" s="203"/>
      <c r="HJD50" s="203"/>
      <c r="HJU50" s="203"/>
      <c r="HJV50" s="203"/>
      <c r="HKM50" s="203"/>
      <c r="HKN50" s="203"/>
      <c r="HLE50" s="203"/>
      <c r="HLF50" s="203"/>
      <c r="HLW50" s="203"/>
      <c r="HLX50" s="203"/>
      <c r="HMO50" s="203"/>
      <c r="HMP50" s="203"/>
      <c r="HNG50" s="203"/>
      <c r="HNH50" s="203"/>
      <c r="HNY50" s="203"/>
      <c r="HNZ50" s="203"/>
      <c r="HOQ50" s="203"/>
      <c r="HOR50" s="203"/>
      <c r="HPI50" s="203"/>
      <c r="HPJ50" s="203"/>
      <c r="HQA50" s="203"/>
      <c r="HQB50" s="203"/>
      <c r="HQS50" s="203"/>
      <c r="HQT50" s="203"/>
      <c r="HRK50" s="203"/>
      <c r="HRL50" s="203"/>
      <c r="HSC50" s="203"/>
      <c r="HSD50" s="203"/>
      <c r="HSU50" s="203"/>
      <c r="HSV50" s="203"/>
      <c r="HTM50" s="203"/>
      <c r="HTN50" s="203"/>
      <c r="HUE50" s="203"/>
      <c r="HUF50" s="203"/>
      <c r="HUW50" s="203"/>
      <c r="HUX50" s="203"/>
      <c r="HVO50" s="203"/>
      <c r="HVP50" s="203"/>
      <c r="HWG50" s="203"/>
      <c r="HWH50" s="203"/>
      <c r="HWY50" s="203"/>
      <c r="HWZ50" s="203"/>
      <c r="HXQ50" s="203"/>
      <c r="HXR50" s="203"/>
      <c r="HYI50" s="203"/>
      <c r="HYJ50" s="203"/>
      <c r="HZA50" s="203"/>
      <c r="HZB50" s="203"/>
      <c r="HZS50" s="203"/>
      <c r="HZT50" s="203"/>
      <c r="IAK50" s="203"/>
      <c r="IAL50" s="203"/>
      <c r="IBC50" s="203"/>
      <c r="IBD50" s="203"/>
      <c r="IBU50" s="203"/>
      <c r="IBV50" s="203"/>
      <c r="ICM50" s="203"/>
      <c r="ICN50" s="203"/>
      <c r="IDE50" s="203"/>
      <c r="IDF50" s="203"/>
      <c r="IDW50" s="203"/>
      <c r="IDX50" s="203"/>
      <c r="IEO50" s="203"/>
      <c r="IEP50" s="203"/>
      <c r="IFG50" s="203"/>
      <c r="IFH50" s="203"/>
      <c r="IFY50" s="203"/>
      <c r="IFZ50" s="203"/>
      <c r="IGQ50" s="203"/>
      <c r="IGR50" s="203"/>
      <c r="IHI50" s="203"/>
      <c r="IHJ50" s="203"/>
      <c r="IIA50" s="203"/>
      <c r="IIB50" s="203"/>
      <c r="IIS50" s="203"/>
      <c r="IIT50" s="203"/>
      <c r="IJK50" s="203"/>
      <c r="IJL50" s="203"/>
      <c r="IKC50" s="203"/>
      <c r="IKD50" s="203"/>
      <c r="IKU50" s="203"/>
      <c r="IKV50" s="203"/>
      <c r="ILM50" s="203"/>
      <c r="ILN50" s="203"/>
      <c r="IME50" s="203"/>
      <c r="IMF50" s="203"/>
      <c r="IMW50" s="203"/>
      <c r="IMX50" s="203"/>
      <c r="INO50" s="203"/>
      <c r="INP50" s="203"/>
      <c r="IOG50" s="203"/>
      <c r="IOH50" s="203"/>
      <c r="IOY50" s="203"/>
      <c r="IOZ50" s="203"/>
      <c r="IPQ50" s="203"/>
      <c r="IPR50" s="203"/>
      <c r="IQI50" s="203"/>
      <c r="IQJ50" s="203"/>
      <c r="IRA50" s="203"/>
      <c r="IRB50" s="203"/>
      <c r="IRS50" s="203"/>
      <c r="IRT50" s="203"/>
      <c r="ISK50" s="203"/>
      <c r="ISL50" s="203"/>
      <c r="ITC50" s="203"/>
      <c r="ITD50" s="203"/>
      <c r="ITU50" s="203"/>
      <c r="ITV50" s="203"/>
      <c r="IUM50" s="203"/>
      <c r="IUN50" s="203"/>
      <c r="IVE50" s="203"/>
      <c r="IVF50" s="203"/>
      <c r="IVW50" s="203"/>
      <c r="IVX50" s="203"/>
      <c r="IWO50" s="203"/>
      <c r="IWP50" s="203"/>
      <c r="IXG50" s="203"/>
      <c r="IXH50" s="203"/>
      <c r="IXY50" s="203"/>
      <c r="IXZ50" s="203"/>
      <c r="IYQ50" s="203"/>
      <c r="IYR50" s="203"/>
      <c r="IZI50" s="203"/>
      <c r="IZJ50" s="203"/>
      <c r="JAA50" s="203"/>
      <c r="JAB50" s="203"/>
      <c r="JAS50" s="203"/>
      <c r="JAT50" s="203"/>
      <c r="JBK50" s="203"/>
      <c r="JBL50" s="203"/>
      <c r="JCC50" s="203"/>
      <c r="JCD50" s="203"/>
      <c r="JCU50" s="203"/>
      <c r="JCV50" s="203"/>
      <c r="JDM50" s="203"/>
      <c r="JDN50" s="203"/>
      <c r="JEE50" s="203"/>
      <c r="JEF50" s="203"/>
      <c r="JEW50" s="203"/>
      <c r="JEX50" s="203"/>
      <c r="JFO50" s="203"/>
      <c r="JFP50" s="203"/>
      <c r="JGG50" s="203"/>
      <c r="JGH50" s="203"/>
      <c r="JGY50" s="203"/>
      <c r="JGZ50" s="203"/>
      <c r="JHQ50" s="203"/>
      <c r="JHR50" s="203"/>
      <c r="JII50" s="203"/>
      <c r="JIJ50" s="203"/>
      <c r="JJA50" s="203"/>
      <c r="JJB50" s="203"/>
      <c r="JJS50" s="203"/>
      <c r="JJT50" s="203"/>
      <c r="JKK50" s="203"/>
      <c r="JKL50" s="203"/>
      <c r="JLC50" s="203"/>
      <c r="JLD50" s="203"/>
      <c r="JLU50" s="203"/>
      <c r="JLV50" s="203"/>
      <c r="JMM50" s="203"/>
      <c r="JMN50" s="203"/>
      <c r="JNE50" s="203"/>
      <c r="JNF50" s="203"/>
      <c r="JNW50" s="203"/>
      <c r="JNX50" s="203"/>
      <c r="JOO50" s="203"/>
      <c r="JOP50" s="203"/>
      <c r="JPG50" s="203"/>
      <c r="JPH50" s="203"/>
      <c r="JPY50" s="203"/>
      <c r="JPZ50" s="203"/>
      <c r="JQQ50" s="203"/>
      <c r="JQR50" s="203"/>
      <c r="JRI50" s="203"/>
      <c r="JRJ50" s="203"/>
      <c r="JSA50" s="203"/>
      <c r="JSB50" s="203"/>
      <c r="JSS50" s="203"/>
      <c r="JST50" s="203"/>
      <c r="JTK50" s="203"/>
      <c r="JTL50" s="203"/>
      <c r="JUC50" s="203"/>
      <c r="JUD50" s="203"/>
      <c r="JUU50" s="203"/>
      <c r="JUV50" s="203"/>
      <c r="JVM50" s="203"/>
      <c r="JVN50" s="203"/>
      <c r="JWE50" s="203"/>
      <c r="JWF50" s="203"/>
      <c r="JWW50" s="203"/>
      <c r="JWX50" s="203"/>
      <c r="JXO50" s="203"/>
      <c r="JXP50" s="203"/>
      <c r="JYG50" s="203"/>
      <c r="JYH50" s="203"/>
      <c r="JYY50" s="203"/>
      <c r="JYZ50" s="203"/>
      <c r="JZQ50" s="203"/>
      <c r="JZR50" s="203"/>
      <c r="KAI50" s="203"/>
      <c r="KAJ50" s="203"/>
      <c r="KBA50" s="203"/>
      <c r="KBB50" s="203"/>
      <c r="KBS50" s="203"/>
      <c r="KBT50" s="203"/>
      <c r="KCK50" s="203"/>
      <c r="KCL50" s="203"/>
      <c r="KDC50" s="203"/>
      <c r="KDD50" s="203"/>
      <c r="KDU50" s="203"/>
      <c r="KDV50" s="203"/>
      <c r="KEM50" s="203"/>
      <c r="KEN50" s="203"/>
      <c r="KFE50" s="203"/>
      <c r="KFF50" s="203"/>
      <c r="KFW50" s="203"/>
      <c r="KFX50" s="203"/>
      <c r="KGO50" s="203"/>
      <c r="KGP50" s="203"/>
      <c r="KHG50" s="203"/>
      <c r="KHH50" s="203"/>
      <c r="KHY50" s="203"/>
      <c r="KHZ50" s="203"/>
      <c r="KIQ50" s="203"/>
      <c r="KIR50" s="203"/>
      <c r="KJI50" s="203"/>
      <c r="KJJ50" s="203"/>
      <c r="KKA50" s="203"/>
      <c r="KKB50" s="203"/>
      <c r="KKS50" s="203"/>
      <c r="KKT50" s="203"/>
      <c r="KLK50" s="203"/>
      <c r="KLL50" s="203"/>
      <c r="KMC50" s="203"/>
      <c r="KMD50" s="203"/>
      <c r="KMU50" s="203"/>
      <c r="KMV50" s="203"/>
      <c r="KNM50" s="203"/>
      <c r="KNN50" s="203"/>
      <c r="KOE50" s="203"/>
      <c r="KOF50" s="203"/>
      <c r="KOW50" s="203"/>
      <c r="KOX50" s="203"/>
      <c r="KPO50" s="203"/>
      <c r="KPP50" s="203"/>
      <c r="KQG50" s="203"/>
      <c r="KQH50" s="203"/>
      <c r="KQY50" s="203"/>
      <c r="KQZ50" s="203"/>
      <c r="KRQ50" s="203"/>
      <c r="KRR50" s="203"/>
      <c r="KSI50" s="203"/>
      <c r="KSJ50" s="203"/>
      <c r="KTA50" s="203"/>
      <c r="KTB50" s="203"/>
      <c r="KTS50" s="203"/>
      <c r="KTT50" s="203"/>
      <c r="KUK50" s="203"/>
      <c r="KUL50" s="203"/>
      <c r="KVC50" s="203"/>
      <c r="KVD50" s="203"/>
      <c r="KVU50" s="203"/>
      <c r="KVV50" s="203"/>
      <c r="KWM50" s="203"/>
      <c r="KWN50" s="203"/>
      <c r="KXE50" s="203"/>
      <c r="KXF50" s="203"/>
      <c r="KXW50" s="203"/>
      <c r="KXX50" s="203"/>
      <c r="KYO50" s="203"/>
      <c r="KYP50" s="203"/>
      <c r="KZG50" s="203"/>
      <c r="KZH50" s="203"/>
      <c r="KZY50" s="203"/>
      <c r="KZZ50" s="203"/>
      <c r="LAQ50" s="203"/>
      <c r="LAR50" s="203"/>
      <c r="LBI50" s="203"/>
      <c r="LBJ50" s="203"/>
      <c r="LCA50" s="203"/>
      <c r="LCB50" s="203"/>
      <c r="LCS50" s="203"/>
      <c r="LCT50" s="203"/>
      <c r="LDK50" s="203"/>
      <c r="LDL50" s="203"/>
      <c r="LEC50" s="203"/>
      <c r="LED50" s="203"/>
      <c r="LEU50" s="203"/>
      <c r="LEV50" s="203"/>
      <c r="LFM50" s="203"/>
      <c r="LFN50" s="203"/>
      <c r="LGE50" s="203"/>
      <c r="LGF50" s="203"/>
      <c r="LGW50" s="203"/>
      <c r="LGX50" s="203"/>
      <c r="LHO50" s="203"/>
      <c r="LHP50" s="203"/>
      <c r="LIG50" s="203"/>
      <c r="LIH50" s="203"/>
      <c r="LIY50" s="203"/>
      <c r="LIZ50" s="203"/>
      <c r="LJQ50" s="203"/>
      <c r="LJR50" s="203"/>
      <c r="LKI50" s="203"/>
      <c r="LKJ50" s="203"/>
      <c r="LLA50" s="203"/>
      <c r="LLB50" s="203"/>
      <c r="LLS50" s="203"/>
      <c r="LLT50" s="203"/>
      <c r="LMK50" s="203"/>
      <c r="LML50" s="203"/>
      <c r="LNC50" s="203"/>
      <c r="LND50" s="203"/>
      <c r="LNU50" s="203"/>
      <c r="LNV50" s="203"/>
      <c r="LOM50" s="203"/>
      <c r="LON50" s="203"/>
      <c r="LPE50" s="203"/>
      <c r="LPF50" s="203"/>
      <c r="LPW50" s="203"/>
      <c r="LPX50" s="203"/>
      <c r="LQO50" s="203"/>
      <c r="LQP50" s="203"/>
      <c r="LRG50" s="203"/>
      <c r="LRH50" s="203"/>
      <c r="LRY50" s="203"/>
      <c r="LRZ50" s="203"/>
      <c r="LSQ50" s="203"/>
      <c r="LSR50" s="203"/>
      <c r="LTI50" s="203"/>
      <c r="LTJ50" s="203"/>
      <c r="LUA50" s="203"/>
      <c r="LUB50" s="203"/>
      <c r="LUS50" s="203"/>
      <c r="LUT50" s="203"/>
      <c r="LVK50" s="203"/>
      <c r="LVL50" s="203"/>
      <c r="LWC50" s="203"/>
      <c r="LWD50" s="203"/>
      <c r="LWU50" s="203"/>
      <c r="LWV50" s="203"/>
      <c r="LXM50" s="203"/>
      <c r="LXN50" s="203"/>
      <c r="LYE50" s="203"/>
      <c r="LYF50" s="203"/>
      <c r="LYW50" s="203"/>
      <c r="LYX50" s="203"/>
      <c r="LZO50" s="203"/>
      <c r="LZP50" s="203"/>
      <c r="MAG50" s="203"/>
      <c r="MAH50" s="203"/>
      <c r="MAY50" s="203"/>
      <c r="MAZ50" s="203"/>
      <c r="MBQ50" s="203"/>
      <c r="MBR50" s="203"/>
      <c r="MCI50" s="203"/>
      <c r="MCJ50" s="203"/>
      <c r="MDA50" s="203"/>
      <c r="MDB50" s="203"/>
      <c r="MDS50" s="203"/>
      <c r="MDT50" s="203"/>
      <c r="MEK50" s="203"/>
      <c r="MEL50" s="203"/>
      <c r="MFC50" s="203"/>
      <c r="MFD50" s="203"/>
      <c r="MFU50" s="203"/>
      <c r="MFV50" s="203"/>
      <c r="MGM50" s="203"/>
      <c r="MGN50" s="203"/>
      <c r="MHE50" s="203"/>
      <c r="MHF50" s="203"/>
      <c r="MHW50" s="203"/>
      <c r="MHX50" s="203"/>
      <c r="MIO50" s="203"/>
      <c r="MIP50" s="203"/>
      <c r="MJG50" s="203"/>
      <c r="MJH50" s="203"/>
      <c r="MJY50" s="203"/>
      <c r="MJZ50" s="203"/>
      <c r="MKQ50" s="203"/>
      <c r="MKR50" s="203"/>
      <c r="MLI50" s="203"/>
      <c r="MLJ50" s="203"/>
      <c r="MMA50" s="203"/>
      <c r="MMB50" s="203"/>
      <c r="MMS50" s="203"/>
      <c r="MMT50" s="203"/>
      <c r="MNK50" s="203"/>
      <c r="MNL50" s="203"/>
      <c r="MOC50" s="203"/>
      <c r="MOD50" s="203"/>
      <c r="MOU50" s="203"/>
      <c r="MOV50" s="203"/>
      <c r="MPM50" s="203"/>
      <c r="MPN50" s="203"/>
      <c r="MQE50" s="203"/>
      <c r="MQF50" s="203"/>
      <c r="MQW50" s="203"/>
      <c r="MQX50" s="203"/>
      <c r="MRO50" s="203"/>
      <c r="MRP50" s="203"/>
      <c r="MSG50" s="203"/>
      <c r="MSH50" s="203"/>
      <c r="MSY50" s="203"/>
      <c r="MSZ50" s="203"/>
      <c r="MTQ50" s="203"/>
      <c r="MTR50" s="203"/>
      <c r="MUI50" s="203"/>
      <c r="MUJ50" s="203"/>
      <c r="MVA50" s="203"/>
      <c r="MVB50" s="203"/>
      <c r="MVS50" s="203"/>
      <c r="MVT50" s="203"/>
      <c r="MWK50" s="203"/>
      <c r="MWL50" s="203"/>
      <c r="MXC50" s="203"/>
      <c r="MXD50" s="203"/>
      <c r="MXU50" s="203"/>
      <c r="MXV50" s="203"/>
      <c r="MYM50" s="203"/>
      <c r="MYN50" s="203"/>
      <c r="MZE50" s="203"/>
      <c r="MZF50" s="203"/>
      <c r="MZW50" s="203"/>
      <c r="MZX50" s="203"/>
      <c r="NAO50" s="203"/>
      <c r="NAP50" s="203"/>
      <c r="NBG50" s="203"/>
      <c r="NBH50" s="203"/>
      <c r="NBY50" s="203"/>
      <c r="NBZ50" s="203"/>
      <c r="NCQ50" s="203"/>
      <c r="NCR50" s="203"/>
      <c r="NDI50" s="203"/>
      <c r="NDJ50" s="203"/>
      <c r="NEA50" s="203"/>
      <c r="NEB50" s="203"/>
      <c r="NES50" s="203"/>
      <c r="NET50" s="203"/>
      <c r="NFK50" s="203"/>
      <c r="NFL50" s="203"/>
      <c r="NGC50" s="203"/>
      <c r="NGD50" s="203"/>
      <c r="NGU50" s="203"/>
      <c r="NGV50" s="203"/>
      <c r="NHM50" s="203"/>
      <c r="NHN50" s="203"/>
      <c r="NIE50" s="203"/>
      <c r="NIF50" s="203"/>
      <c r="NIW50" s="203"/>
      <c r="NIX50" s="203"/>
      <c r="NJO50" s="203"/>
      <c r="NJP50" s="203"/>
      <c r="NKG50" s="203"/>
      <c r="NKH50" s="203"/>
      <c r="NKY50" s="203"/>
      <c r="NKZ50" s="203"/>
      <c r="NLQ50" s="203"/>
      <c r="NLR50" s="203"/>
      <c r="NMI50" s="203"/>
      <c r="NMJ50" s="203"/>
      <c r="NNA50" s="203"/>
      <c r="NNB50" s="203"/>
      <c r="NNS50" s="203"/>
      <c r="NNT50" s="203"/>
      <c r="NOK50" s="203"/>
      <c r="NOL50" s="203"/>
      <c r="NPC50" s="203"/>
      <c r="NPD50" s="203"/>
      <c r="NPU50" s="203"/>
      <c r="NPV50" s="203"/>
      <c r="NQM50" s="203"/>
      <c r="NQN50" s="203"/>
      <c r="NRE50" s="203"/>
      <c r="NRF50" s="203"/>
      <c r="NRW50" s="203"/>
      <c r="NRX50" s="203"/>
      <c r="NSO50" s="203"/>
      <c r="NSP50" s="203"/>
      <c r="NTG50" s="203"/>
      <c r="NTH50" s="203"/>
      <c r="NTY50" s="203"/>
      <c r="NTZ50" s="203"/>
      <c r="NUQ50" s="203"/>
      <c r="NUR50" s="203"/>
      <c r="NVI50" s="203"/>
      <c r="NVJ50" s="203"/>
      <c r="NWA50" s="203"/>
      <c r="NWB50" s="203"/>
      <c r="NWS50" s="203"/>
      <c r="NWT50" s="203"/>
      <c r="NXK50" s="203"/>
      <c r="NXL50" s="203"/>
      <c r="NYC50" s="203"/>
      <c r="NYD50" s="203"/>
      <c r="NYU50" s="203"/>
      <c r="NYV50" s="203"/>
      <c r="NZM50" s="203"/>
      <c r="NZN50" s="203"/>
      <c r="OAE50" s="203"/>
      <c r="OAF50" s="203"/>
      <c r="OAW50" s="203"/>
      <c r="OAX50" s="203"/>
      <c r="OBO50" s="203"/>
      <c r="OBP50" s="203"/>
      <c r="OCG50" s="203"/>
      <c r="OCH50" s="203"/>
      <c r="OCY50" s="203"/>
      <c r="OCZ50" s="203"/>
      <c r="ODQ50" s="203"/>
      <c r="ODR50" s="203"/>
      <c r="OEI50" s="203"/>
      <c r="OEJ50" s="203"/>
      <c r="OFA50" s="203"/>
      <c r="OFB50" s="203"/>
      <c r="OFS50" s="203"/>
      <c r="OFT50" s="203"/>
      <c r="OGK50" s="203"/>
      <c r="OGL50" s="203"/>
      <c r="OHC50" s="203"/>
      <c r="OHD50" s="203"/>
      <c r="OHU50" s="203"/>
      <c r="OHV50" s="203"/>
      <c r="OIM50" s="203"/>
      <c r="OIN50" s="203"/>
      <c r="OJE50" s="203"/>
      <c r="OJF50" s="203"/>
      <c r="OJW50" s="203"/>
      <c r="OJX50" s="203"/>
      <c r="OKO50" s="203"/>
      <c r="OKP50" s="203"/>
      <c r="OLG50" s="203"/>
      <c r="OLH50" s="203"/>
      <c r="OLY50" s="203"/>
      <c r="OLZ50" s="203"/>
      <c r="OMQ50" s="203"/>
      <c r="OMR50" s="203"/>
      <c r="ONI50" s="203"/>
      <c r="ONJ50" s="203"/>
      <c r="OOA50" s="203"/>
      <c r="OOB50" s="203"/>
      <c r="OOS50" s="203"/>
      <c r="OOT50" s="203"/>
      <c r="OPK50" s="203"/>
      <c r="OPL50" s="203"/>
      <c r="OQC50" s="203"/>
      <c r="OQD50" s="203"/>
      <c r="OQU50" s="203"/>
      <c r="OQV50" s="203"/>
      <c r="ORM50" s="203"/>
      <c r="ORN50" s="203"/>
      <c r="OSE50" s="203"/>
      <c r="OSF50" s="203"/>
      <c r="OSW50" s="203"/>
      <c r="OSX50" s="203"/>
      <c r="OTO50" s="203"/>
      <c r="OTP50" s="203"/>
      <c r="OUG50" s="203"/>
      <c r="OUH50" s="203"/>
      <c r="OUY50" s="203"/>
      <c r="OUZ50" s="203"/>
      <c r="OVQ50" s="203"/>
      <c r="OVR50" s="203"/>
      <c r="OWI50" s="203"/>
      <c r="OWJ50" s="203"/>
      <c r="OXA50" s="203"/>
      <c r="OXB50" s="203"/>
      <c r="OXS50" s="203"/>
      <c r="OXT50" s="203"/>
      <c r="OYK50" s="203"/>
      <c r="OYL50" s="203"/>
      <c r="OZC50" s="203"/>
      <c r="OZD50" s="203"/>
      <c r="OZU50" s="203"/>
      <c r="OZV50" s="203"/>
      <c r="PAM50" s="203"/>
      <c r="PAN50" s="203"/>
      <c r="PBE50" s="203"/>
      <c r="PBF50" s="203"/>
      <c r="PBW50" s="203"/>
      <c r="PBX50" s="203"/>
      <c r="PCO50" s="203"/>
      <c r="PCP50" s="203"/>
      <c r="PDG50" s="203"/>
      <c r="PDH50" s="203"/>
      <c r="PDY50" s="203"/>
      <c r="PDZ50" s="203"/>
      <c r="PEQ50" s="203"/>
      <c r="PER50" s="203"/>
      <c r="PFI50" s="203"/>
      <c r="PFJ50" s="203"/>
      <c r="PGA50" s="203"/>
      <c r="PGB50" s="203"/>
      <c r="PGS50" s="203"/>
      <c r="PGT50" s="203"/>
      <c r="PHK50" s="203"/>
      <c r="PHL50" s="203"/>
      <c r="PIC50" s="203"/>
      <c r="PID50" s="203"/>
      <c r="PIU50" s="203"/>
      <c r="PIV50" s="203"/>
      <c r="PJM50" s="203"/>
      <c r="PJN50" s="203"/>
      <c r="PKE50" s="203"/>
      <c r="PKF50" s="203"/>
      <c r="PKW50" s="203"/>
      <c r="PKX50" s="203"/>
      <c r="PLO50" s="203"/>
      <c r="PLP50" s="203"/>
      <c r="PMG50" s="203"/>
      <c r="PMH50" s="203"/>
      <c r="PMY50" s="203"/>
      <c r="PMZ50" s="203"/>
      <c r="PNQ50" s="203"/>
      <c r="PNR50" s="203"/>
      <c r="POI50" s="203"/>
      <c r="POJ50" s="203"/>
      <c r="PPA50" s="203"/>
      <c r="PPB50" s="203"/>
      <c r="PPS50" s="203"/>
      <c r="PPT50" s="203"/>
      <c r="PQK50" s="203"/>
      <c r="PQL50" s="203"/>
      <c r="PRC50" s="203"/>
      <c r="PRD50" s="203"/>
      <c r="PRU50" s="203"/>
      <c r="PRV50" s="203"/>
      <c r="PSM50" s="203"/>
      <c r="PSN50" s="203"/>
      <c r="PTE50" s="203"/>
      <c r="PTF50" s="203"/>
      <c r="PTW50" s="203"/>
      <c r="PTX50" s="203"/>
      <c r="PUO50" s="203"/>
      <c r="PUP50" s="203"/>
      <c r="PVG50" s="203"/>
      <c r="PVH50" s="203"/>
      <c r="PVY50" s="203"/>
      <c r="PVZ50" s="203"/>
      <c r="PWQ50" s="203"/>
      <c r="PWR50" s="203"/>
      <c r="PXI50" s="203"/>
      <c r="PXJ50" s="203"/>
      <c r="PYA50" s="203"/>
      <c r="PYB50" s="203"/>
      <c r="PYS50" s="203"/>
      <c r="PYT50" s="203"/>
      <c r="PZK50" s="203"/>
      <c r="PZL50" s="203"/>
      <c r="QAC50" s="203"/>
      <c r="QAD50" s="203"/>
      <c r="QAU50" s="203"/>
      <c r="QAV50" s="203"/>
      <c r="QBM50" s="203"/>
      <c r="QBN50" s="203"/>
      <c r="QCE50" s="203"/>
      <c r="QCF50" s="203"/>
      <c r="QCW50" s="203"/>
      <c r="QCX50" s="203"/>
      <c r="QDO50" s="203"/>
      <c r="QDP50" s="203"/>
      <c r="QEG50" s="203"/>
      <c r="QEH50" s="203"/>
      <c r="QEY50" s="203"/>
      <c r="QEZ50" s="203"/>
      <c r="QFQ50" s="203"/>
      <c r="QFR50" s="203"/>
      <c r="QGI50" s="203"/>
      <c r="QGJ50" s="203"/>
      <c r="QHA50" s="203"/>
      <c r="QHB50" s="203"/>
      <c r="QHS50" s="203"/>
      <c r="QHT50" s="203"/>
      <c r="QIK50" s="203"/>
      <c r="QIL50" s="203"/>
      <c r="QJC50" s="203"/>
      <c r="QJD50" s="203"/>
      <c r="QJU50" s="203"/>
      <c r="QJV50" s="203"/>
      <c r="QKM50" s="203"/>
      <c r="QKN50" s="203"/>
      <c r="QLE50" s="203"/>
      <c r="QLF50" s="203"/>
      <c r="QLW50" s="203"/>
      <c r="QLX50" s="203"/>
      <c r="QMO50" s="203"/>
      <c r="QMP50" s="203"/>
      <c r="QNG50" s="203"/>
      <c r="QNH50" s="203"/>
      <c r="QNY50" s="203"/>
      <c r="QNZ50" s="203"/>
      <c r="QOQ50" s="203"/>
      <c r="QOR50" s="203"/>
      <c r="QPI50" s="203"/>
      <c r="QPJ50" s="203"/>
      <c r="QQA50" s="203"/>
      <c r="QQB50" s="203"/>
      <c r="QQS50" s="203"/>
      <c r="QQT50" s="203"/>
      <c r="QRK50" s="203"/>
      <c r="QRL50" s="203"/>
      <c r="QSC50" s="203"/>
      <c r="QSD50" s="203"/>
      <c r="QSU50" s="203"/>
      <c r="QSV50" s="203"/>
      <c r="QTM50" s="203"/>
      <c r="QTN50" s="203"/>
      <c r="QUE50" s="203"/>
      <c r="QUF50" s="203"/>
      <c r="QUW50" s="203"/>
      <c r="QUX50" s="203"/>
      <c r="QVO50" s="203"/>
      <c r="QVP50" s="203"/>
      <c r="QWG50" s="203"/>
      <c r="QWH50" s="203"/>
      <c r="QWY50" s="203"/>
      <c r="QWZ50" s="203"/>
      <c r="QXQ50" s="203"/>
      <c r="QXR50" s="203"/>
      <c r="QYI50" s="203"/>
      <c r="QYJ50" s="203"/>
      <c r="QZA50" s="203"/>
      <c r="QZB50" s="203"/>
      <c r="QZS50" s="203"/>
      <c r="QZT50" s="203"/>
      <c r="RAK50" s="203"/>
      <c r="RAL50" s="203"/>
      <c r="RBC50" s="203"/>
      <c r="RBD50" s="203"/>
      <c r="RBU50" s="203"/>
      <c r="RBV50" s="203"/>
      <c r="RCM50" s="203"/>
      <c r="RCN50" s="203"/>
      <c r="RDE50" s="203"/>
      <c r="RDF50" s="203"/>
      <c r="RDW50" s="203"/>
      <c r="RDX50" s="203"/>
      <c r="REO50" s="203"/>
      <c r="REP50" s="203"/>
      <c r="RFG50" s="203"/>
      <c r="RFH50" s="203"/>
      <c r="RFY50" s="203"/>
      <c r="RFZ50" s="203"/>
      <c r="RGQ50" s="203"/>
      <c r="RGR50" s="203"/>
      <c r="RHI50" s="203"/>
      <c r="RHJ50" s="203"/>
      <c r="RIA50" s="203"/>
      <c r="RIB50" s="203"/>
      <c r="RIS50" s="203"/>
      <c r="RIT50" s="203"/>
      <c r="RJK50" s="203"/>
      <c r="RJL50" s="203"/>
      <c r="RKC50" s="203"/>
      <c r="RKD50" s="203"/>
      <c r="RKU50" s="203"/>
      <c r="RKV50" s="203"/>
      <c r="RLM50" s="203"/>
      <c r="RLN50" s="203"/>
      <c r="RME50" s="203"/>
      <c r="RMF50" s="203"/>
      <c r="RMW50" s="203"/>
      <c r="RMX50" s="203"/>
      <c r="RNO50" s="203"/>
      <c r="RNP50" s="203"/>
      <c r="ROG50" s="203"/>
      <c r="ROH50" s="203"/>
      <c r="ROY50" s="203"/>
      <c r="ROZ50" s="203"/>
      <c r="RPQ50" s="203"/>
      <c r="RPR50" s="203"/>
      <c r="RQI50" s="203"/>
      <c r="RQJ50" s="203"/>
      <c r="RRA50" s="203"/>
      <c r="RRB50" s="203"/>
      <c r="RRS50" s="203"/>
      <c r="RRT50" s="203"/>
      <c r="RSK50" s="203"/>
      <c r="RSL50" s="203"/>
      <c r="RTC50" s="203"/>
      <c r="RTD50" s="203"/>
      <c r="RTU50" s="203"/>
      <c r="RTV50" s="203"/>
      <c r="RUM50" s="203"/>
      <c r="RUN50" s="203"/>
      <c r="RVE50" s="203"/>
      <c r="RVF50" s="203"/>
      <c r="RVW50" s="203"/>
      <c r="RVX50" s="203"/>
      <c r="RWO50" s="203"/>
      <c r="RWP50" s="203"/>
      <c r="RXG50" s="203"/>
      <c r="RXH50" s="203"/>
      <c r="RXY50" s="203"/>
      <c r="RXZ50" s="203"/>
      <c r="RYQ50" s="203"/>
      <c r="RYR50" s="203"/>
      <c r="RZI50" s="203"/>
      <c r="RZJ50" s="203"/>
      <c r="SAA50" s="203"/>
      <c r="SAB50" s="203"/>
      <c r="SAS50" s="203"/>
      <c r="SAT50" s="203"/>
      <c r="SBK50" s="203"/>
      <c r="SBL50" s="203"/>
      <c r="SCC50" s="203"/>
      <c r="SCD50" s="203"/>
      <c r="SCU50" s="203"/>
      <c r="SCV50" s="203"/>
      <c r="SDM50" s="203"/>
      <c r="SDN50" s="203"/>
      <c r="SEE50" s="203"/>
      <c r="SEF50" s="203"/>
      <c r="SEW50" s="203"/>
      <c r="SEX50" s="203"/>
      <c r="SFO50" s="203"/>
      <c r="SFP50" s="203"/>
      <c r="SGG50" s="203"/>
      <c r="SGH50" s="203"/>
      <c r="SGY50" s="203"/>
      <c r="SGZ50" s="203"/>
      <c r="SHQ50" s="203"/>
      <c r="SHR50" s="203"/>
      <c r="SII50" s="203"/>
      <c r="SIJ50" s="203"/>
      <c r="SJA50" s="203"/>
      <c r="SJB50" s="203"/>
      <c r="SJS50" s="203"/>
      <c r="SJT50" s="203"/>
      <c r="SKK50" s="203"/>
      <c r="SKL50" s="203"/>
      <c r="SLC50" s="203"/>
      <c r="SLD50" s="203"/>
      <c r="SLU50" s="203"/>
      <c r="SLV50" s="203"/>
      <c r="SMM50" s="203"/>
      <c r="SMN50" s="203"/>
      <c r="SNE50" s="203"/>
      <c r="SNF50" s="203"/>
      <c r="SNW50" s="203"/>
      <c r="SNX50" s="203"/>
      <c r="SOO50" s="203"/>
      <c r="SOP50" s="203"/>
      <c r="SPG50" s="203"/>
      <c r="SPH50" s="203"/>
      <c r="SPY50" s="203"/>
      <c r="SPZ50" s="203"/>
      <c r="SQQ50" s="203"/>
      <c r="SQR50" s="203"/>
      <c r="SRI50" s="203"/>
      <c r="SRJ50" s="203"/>
      <c r="SSA50" s="203"/>
      <c r="SSB50" s="203"/>
      <c r="SSS50" s="203"/>
      <c r="SST50" s="203"/>
      <c r="STK50" s="203"/>
      <c r="STL50" s="203"/>
      <c r="SUC50" s="203"/>
      <c r="SUD50" s="203"/>
      <c r="SUU50" s="203"/>
      <c r="SUV50" s="203"/>
      <c r="SVM50" s="203"/>
      <c r="SVN50" s="203"/>
      <c r="SWE50" s="203"/>
      <c r="SWF50" s="203"/>
      <c r="SWW50" s="203"/>
      <c r="SWX50" s="203"/>
      <c r="SXO50" s="203"/>
      <c r="SXP50" s="203"/>
      <c r="SYG50" s="203"/>
      <c r="SYH50" s="203"/>
      <c r="SYY50" s="203"/>
      <c r="SYZ50" s="203"/>
      <c r="SZQ50" s="203"/>
      <c r="SZR50" s="203"/>
      <c r="TAI50" s="203"/>
      <c r="TAJ50" s="203"/>
      <c r="TBA50" s="203"/>
      <c r="TBB50" s="203"/>
      <c r="TBS50" s="203"/>
      <c r="TBT50" s="203"/>
      <c r="TCK50" s="203"/>
      <c r="TCL50" s="203"/>
      <c r="TDC50" s="203"/>
      <c r="TDD50" s="203"/>
      <c r="TDU50" s="203"/>
      <c r="TDV50" s="203"/>
      <c r="TEM50" s="203"/>
      <c r="TEN50" s="203"/>
      <c r="TFE50" s="203"/>
      <c r="TFF50" s="203"/>
      <c r="TFW50" s="203"/>
      <c r="TFX50" s="203"/>
      <c r="TGO50" s="203"/>
      <c r="TGP50" s="203"/>
      <c r="THG50" s="203"/>
      <c r="THH50" s="203"/>
      <c r="THY50" s="203"/>
      <c r="THZ50" s="203"/>
      <c r="TIQ50" s="203"/>
      <c r="TIR50" s="203"/>
      <c r="TJI50" s="203"/>
      <c r="TJJ50" s="203"/>
      <c r="TKA50" s="203"/>
      <c r="TKB50" s="203"/>
      <c r="TKS50" s="203"/>
      <c r="TKT50" s="203"/>
      <c r="TLK50" s="203"/>
      <c r="TLL50" s="203"/>
      <c r="TMC50" s="203"/>
      <c r="TMD50" s="203"/>
      <c r="TMU50" s="203"/>
      <c r="TMV50" s="203"/>
      <c r="TNM50" s="203"/>
      <c r="TNN50" s="203"/>
      <c r="TOE50" s="203"/>
      <c r="TOF50" s="203"/>
      <c r="TOW50" s="203"/>
      <c r="TOX50" s="203"/>
      <c r="TPO50" s="203"/>
      <c r="TPP50" s="203"/>
      <c r="TQG50" s="203"/>
      <c r="TQH50" s="203"/>
      <c r="TQY50" s="203"/>
      <c r="TQZ50" s="203"/>
      <c r="TRQ50" s="203"/>
      <c r="TRR50" s="203"/>
      <c r="TSI50" s="203"/>
      <c r="TSJ50" s="203"/>
      <c r="TTA50" s="203"/>
      <c r="TTB50" s="203"/>
      <c r="TTS50" s="203"/>
      <c r="TTT50" s="203"/>
      <c r="TUK50" s="203"/>
      <c r="TUL50" s="203"/>
      <c r="TVC50" s="203"/>
      <c r="TVD50" s="203"/>
      <c r="TVU50" s="203"/>
      <c r="TVV50" s="203"/>
      <c r="TWM50" s="203"/>
      <c r="TWN50" s="203"/>
      <c r="TXE50" s="203"/>
      <c r="TXF50" s="203"/>
      <c r="TXW50" s="203"/>
      <c r="TXX50" s="203"/>
      <c r="TYO50" s="203"/>
      <c r="TYP50" s="203"/>
      <c r="TZG50" s="203"/>
      <c r="TZH50" s="203"/>
      <c r="TZY50" s="203"/>
      <c r="TZZ50" s="203"/>
      <c r="UAQ50" s="203"/>
      <c r="UAR50" s="203"/>
      <c r="UBI50" s="203"/>
      <c r="UBJ50" s="203"/>
      <c r="UCA50" s="203"/>
      <c r="UCB50" s="203"/>
      <c r="UCS50" s="203"/>
      <c r="UCT50" s="203"/>
      <c r="UDK50" s="203"/>
      <c r="UDL50" s="203"/>
      <c r="UEC50" s="203"/>
      <c r="UED50" s="203"/>
      <c r="UEU50" s="203"/>
      <c r="UEV50" s="203"/>
      <c r="UFM50" s="203"/>
      <c r="UFN50" s="203"/>
      <c r="UGE50" s="203"/>
      <c r="UGF50" s="203"/>
      <c r="UGW50" s="203"/>
      <c r="UGX50" s="203"/>
      <c r="UHO50" s="203"/>
      <c r="UHP50" s="203"/>
      <c r="UIG50" s="203"/>
      <c r="UIH50" s="203"/>
      <c r="UIY50" s="203"/>
      <c r="UIZ50" s="203"/>
      <c r="UJQ50" s="203"/>
      <c r="UJR50" s="203"/>
      <c r="UKI50" s="203"/>
      <c r="UKJ50" s="203"/>
      <c r="ULA50" s="203"/>
      <c r="ULB50" s="203"/>
      <c r="ULS50" s="203"/>
      <c r="ULT50" s="203"/>
      <c r="UMK50" s="203"/>
      <c r="UML50" s="203"/>
      <c r="UNC50" s="203"/>
      <c r="UND50" s="203"/>
      <c r="UNU50" s="203"/>
      <c r="UNV50" s="203"/>
      <c r="UOM50" s="203"/>
      <c r="UON50" s="203"/>
      <c r="UPE50" s="203"/>
      <c r="UPF50" s="203"/>
      <c r="UPW50" s="203"/>
      <c r="UPX50" s="203"/>
      <c r="UQO50" s="203"/>
      <c r="UQP50" s="203"/>
      <c r="URG50" s="203"/>
      <c r="URH50" s="203"/>
      <c r="URY50" s="203"/>
      <c r="URZ50" s="203"/>
      <c r="USQ50" s="203"/>
      <c r="USR50" s="203"/>
      <c r="UTI50" s="203"/>
      <c r="UTJ50" s="203"/>
      <c r="UUA50" s="203"/>
      <c r="UUB50" s="203"/>
      <c r="UUS50" s="203"/>
      <c r="UUT50" s="203"/>
      <c r="UVK50" s="203"/>
      <c r="UVL50" s="203"/>
      <c r="UWC50" s="203"/>
      <c r="UWD50" s="203"/>
      <c r="UWU50" s="203"/>
      <c r="UWV50" s="203"/>
      <c r="UXM50" s="203"/>
      <c r="UXN50" s="203"/>
      <c r="UYE50" s="203"/>
      <c r="UYF50" s="203"/>
      <c r="UYW50" s="203"/>
      <c r="UYX50" s="203"/>
      <c r="UZO50" s="203"/>
      <c r="UZP50" s="203"/>
      <c r="VAG50" s="203"/>
      <c r="VAH50" s="203"/>
      <c r="VAY50" s="203"/>
      <c r="VAZ50" s="203"/>
      <c r="VBQ50" s="203"/>
      <c r="VBR50" s="203"/>
      <c r="VCI50" s="203"/>
      <c r="VCJ50" s="203"/>
      <c r="VDA50" s="203"/>
      <c r="VDB50" s="203"/>
      <c r="VDS50" s="203"/>
      <c r="VDT50" s="203"/>
      <c r="VEK50" s="203"/>
      <c r="VEL50" s="203"/>
      <c r="VFC50" s="203"/>
      <c r="VFD50" s="203"/>
      <c r="VFU50" s="203"/>
      <c r="VFV50" s="203"/>
      <c r="VGM50" s="203"/>
      <c r="VGN50" s="203"/>
      <c r="VHE50" s="203"/>
      <c r="VHF50" s="203"/>
      <c r="VHW50" s="203"/>
      <c r="VHX50" s="203"/>
      <c r="VIO50" s="203"/>
      <c r="VIP50" s="203"/>
      <c r="VJG50" s="203"/>
      <c r="VJH50" s="203"/>
      <c r="VJY50" s="203"/>
      <c r="VJZ50" s="203"/>
      <c r="VKQ50" s="203"/>
      <c r="VKR50" s="203"/>
      <c r="VLI50" s="203"/>
      <c r="VLJ50" s="203"/>
      <c r="VMA50" s="203"/>
      <c r="VMB50" s="203"/>
      <c r="VMS50" s="203"/>
      <c r="VMT50" s="203"/>
      <c r="VNK50" s="203"/>
      <c r="VNL50" s="203"/>
      <c r="VOC50" s="203"/>
      <c r="VOD50" s="203"/>
      <c r="VOU50" s="203"/>
      <c r="VOV50" s="203"/>
      <c r="VPM50" s="203"/>
      <c r="VPN50" s="203"/>
      <c r="VQE50" s="203"/>
      <c r="VQF50" s="203"/>
      <c r="VQW50" s="203"/>
      <c r="VQX50" s="203"/>
      <c r="VRO50" s="203"/>
      <c r="VRP50" s="203"/>
      <c r="VSG50" s="203"/>
      <c r="VSH50" s="203"/>
      <c r="VSY50" s="203"/>
      <c r="VSZ50" s="203"/>
      <c r="VTQ50" s="203"/>
      <c r="VTR50" s="203"/>
      <c r="VUI50" s="203"/>
      <c r="VUJ50" s="203"/>
      <c r="VVA50" s="203"/>
      <c r="VVB50" s="203"/>
      <c r="VVS50" s="203"/>
      <c r="VVT50" s="203"/>
      <c r="VWK50" s="203"/>
      <c r="VWL50" s="203"/>
      <c r="VXC50" s="203"/>
      <c r="VXD50" s="203"/>
      <c r="VXU50" s="203"/>
      <c r="VXV50" s="203"/>
      <c r="VYM50" s="203"/>
      <c r="VYN50" s="203"/>
      <c r="VZE50" s="203"/>
      <c r="VZF50" s="203"/>
      <c r="VZW50" s="203"/>
      <c r="VZX50" s="203"/>
      <c r="WAO50" s="203"/>
      <c r="WAP50" s="203"/>
      <c r="WBG50" s="203"/>
      <c r="WBH50" s="203"/>
      <c r="WBY50" s="203"/>
      <c r="WBZ50" s="203"/>
      <c r="WCQ50" s="203"/>
      <c r="WCR50" s="203"/>
      <c r="WDI50" s="203"/>
      <c r="WDJ50" s="203"/>
      <c r="WEA50" s="203"/>
      <c r="WEB50" s="203"/>
      <c r="WES50" s="203"/>
      <c r="WET50" s="203"/>
      <c r="WFK50" s="203"/>
      <c r="WFL50" s="203"/>
      <c r="WGC50" s="203"/>
      <c r="WGD50" s="203"/>
      <c r="WGU50" s="203"/>
      <c r="WGV50" s="203"/>
      <c r="WHM50" s="203"/>
      <c r="WHN50" s="203"/>
      <c r="WIE50" s="203"/>
      <c r="WIF50" s="203"/>
      <c r="WIW50" s="203"/>
      <c r="WIX50" s="203"/>
      <c r="WJO50" s="203"/>
      <c r="WJP50" s="203"/>
      <c r="WKG50" s="203"/>
      <c r="WKH50" s="203"/>
      <c r="WKY50" s="203"/>
      <c r="WKZ50" s="203"/>
      <c r="WLQ50" s="203"/>
      <c r="WLR50" s="203"/>
      <c r="WMI50" s="203"/>
      <c r="WMJ50" s="203"/>
      <c r="WNA50" s="203"/>
      <c r="WNB50" s="203"/>
      <c r="WNS50" s="203"/>
      <c r="WNT50" s="203"/>
      <c r="WOK50" s="203"/>
      <c r="WOL50" s="203"/>
      <c r="WPC50" s="203"/>
      <c r="WPD50" s="203"/>
      <c r="WPU50" s="203"/>
      <c r="WPV50" s="203"/>
      <c r="WQM50" s="203"/>
      <c r="WQN50" s="203"/>
      <c r="WRE50" s="203"/>
      <c r="WRF50" s="203"/>
      <c r="WRW50" s="203"/>
      <c r="WRX50" s="203"/>
      <c r="WSO50" s="203"/>
      <c r="WSP50" s="203"/>
      <c r="WTG50" s="203"/>
      <c r="WTH50" s="203"/>
      <c r="WTY50" s="203"/>
      <c r="WTZ50" s="203"/>
      <c r="WUQ50" s="203"/>
      <c r="WUR50" s="203"/>
      <c r="WVI50" s="203"/>
      <c r="WVJ50" s="203"/>
      <c r="WWA50" s="203"/>
      <c r="WWB50" s="203"/>
      <c r="WWS50" s="203"/>
      <c r="WWT50" s="203"/>
      <c r="WXK50" s="203"/>
      <c r="WXL50" s="203"/>
      <c r="WYC50" s="203"/>
      <c r="WYD50" s="203"/>
      <c r="WYU50" s="203"/>
      <c r="WYV50" s="203"/>
      <c r="WZM50" s="203"/>
      <c r="WZN50" s="203"/>
      <c r="XAE50" s="203"/>
      <c r="XAF50" s="203"/>
      <c r="XAW50" s="203"/>
      <c r="XAX50" s="203"/>
      <c r="XBO50" s="203"/>
      <c r="XBP50" s="203"/>
      <c r="XCG50" s="203"/>
      <c r="XCH50" s="203"/>
      <c r="XCY50" s="203"/>
      <c r="XCZ50" s="203"/>
      <c r="XDQ50" s="203"/>
      <c r="XDR50" s="203"/>
      <c r="XEI50" s="203"/>
      <c r="XEJ50" s="203"/>
      <c r="XFA50" s="203"/>
      <c r="XFB50" s="203"/>
    </row>
    <row r="51" spans="1:1010 1027:2036 2053:3062 3079:4088 4105:5114 5131:6140 6157:7166 7183:8192 8209:9200 9217:10226 10243:11252 11269:12278 12295:13304 13321:14330 14347:15356 15373:16382" s="152" customFormat="1" x14ac:dyDescent="0.35">
      <c r="A51" s="181" t="s">
        <v>412</v>
      </c>
      <c r="B51" s="294" t="s">
        <v>413</v>
      </c>
      <c r="C51" s="198">
        <v>0</v>
      </c>
      <c r="D51" s="198">
        <v>0</v>
      </c>
      <c r="E51" s="198">
        <v>0</v>
      </c>
      <c r="F51" s="198">
        <v>0</v>
      </c>
      <c r="G51" s="198">
        <v>0</v>
      </c>
      <c r="H51" s="198">
        <v>0</v>
      </c>
      <c r="I51" s="198">
        <v>0</v>
      </c>
      <c r="J51" s="198">
        <v>0</v>
      </c>
      <c r="K51" s="198">
        <v>0</v>
      </c>
      <c r="L51" s="198">
        <v>0</v>
      </c>
      <c r="M51" s="204"/>
      <c r="N51" s="204"/>
      <c r="O51" s="204"/>
      <c r="P51" s="204"/>
      <c r="Q51" s="204"/>
      <c r="R51" s="204"/>
    </row>
    <row r="52" spans="1:1010 1027:2036 2053:3062 3079:4088 4105:5114 5131:6140 6157:7166 7183:8192 8209:9200 9217:10226 10243:11252 11269:12278 12295:13304 13321:14330 14347:15356 15373:16382" s="152" customFormat="1" x14ac:dyDescent="0.35">
      <c r="A52" s="181" t="s">
        <v>414</v>
      </c>
      <c r="B52" s="294" t="s">
        <v>415</v>
      </c>
      <c r="C52" s="198">
        <v>0</v>
      </c>
      <c r="D52" s="198">
        <v>0</v>
      </c>
      <c r="E52" s="198">
        <v>0</v>
      </c>
      <c r="F52" s="198">
        <v>0</v>
      </c>
      <c r="G52" s="198">
        <v>0</v>
      </c>
      <c r="H52" s="198">
        <v>0</v>
      </c>
      <c r="I52" s="198">
        <v>0</v>
      </c>
      <c r="J52" s="198">
        <v>0</v>
      </c>
      <c r="K52" s="198">
        <v>0.37</v>
      </c>
      <c r="L52" s="198">
        <v>0.372</v>
      </c>
      <c r="M52" s="204"/>
      <c r="N52" s="204"/>
      <c r="O52" s="204"/>
      <c r="P52" s="204"/>
      <c r="Q52" s="204"/>
      <c r="R52" s="204"/>
    </row>
    <row r="53" spans="1:1010 1027:2036 2053:3062 3079:4088 4105:5114 5131:6140 6157:7166 7183:8192 8209:9200 9217:10226 10243:11252 11269:12278 12295:13304 13321:14330 14347:15356 15373:16382" s="152" customFormat="1" x14ac:dyDescent="0.35">
      <c r="A53" s="181" t="s">
        <v>416</v>
      </c>
      <c r="B53" s="294" t="s">
        <v>417</v>
      </c>
      <c r="C53" s="198">
        <v>-0.193</v>
      </c>
      <c r="D53" s="198">
        <v>-0.19700000000000001</v>
      </c>
      <c r="E53" s="198">
        <v>-0.20100000000000001</v>
      </c>
      <c r="F53" s="198">
        <v>-0.20499999999999999</v>
      </c>
      <c r="G53" s="198">
        <v>-0.22700000000000001</v>
      </c>
      <c r="H53" s="198">
        <v>-0.19500000000000001</v>
      </c>
      <c r="I53" s="198">
        <v>-0.218</v>
      </c>
      <c r="J53" s="198">
        <v>-0.222</v>
      </c>
      <c r="K53" s="198">
        <v>0</v>
      </c>
      <c r="L53" s="198">
        <v>0</v>
      </c>
      <c r="M53" s="204"/>
      <c r="N53" s="204"/>
      <c r="O53" s="204"/>
      <c r="P53" s="204"/>
      <c r="Q53" s="204"/>
      <c r="R53" s="204"/>
    </row>
    <row r="54" spans="1:1010 1027:2036 2053:3062 3079:4088 4105:5114 5131:6140 6157:7166 7183:8192 8209:9200 9217:10226 10243:11252 11269:12278 12295:13304 13321:14330 14347:15356 15373:16382" x14ac:dyDescent="0.35">
      <c r="A54" s="23" t="s">
        <v>29</v>
      </c>
      <c r="B54" s="295"/>
      <c r="C54" s="321">
        <f t="shared" ref="C54:L54" si="7">IF(AND(C51="",C52="",C53=""),0,ROUND(SUM(C51:C53)-IF(C50="",0,C50),1))</f>
        <v>0</v>
      </c>
      <c r="D54" s="321">
        <f t="shared" si="7"/>
        <v>0</v>
      </c>
      <c r="E54" s="321">
        <f t="shared" si="7"/>
        <v>0</v>
      </c>
      <c r="F54" s="321">
        <f t="shared" si="7"/>
        <v>0</v>
      </c>
      <c r="G54" s="321">
        <f t="shared" si="7"/>
        <v>0</v>
      </c>
      <c r="H54" s="321">
        <f t="shared" si="7"/>
        <v>0</v>
      </c>
      <c r="I54" s="321">
        <f t="shared" si="7"/>
        <v>0</v>
      </c>
      <c r="J54" s="321">
        <f t="shared" si="7"/>
        <v>0</v>
      </c>
      <c r="K54" s="321">
        <f t="shared" si="7"/>
        <v>0</v>
      </c>
      <c r="L54" s="321">
        <f t="shared" si="7"/>
        <v>0</v>
      </c>
      <c r="M54" s="118"/>
      <c r="N54" s="118"/>
      <c r="O54" s="118"/>
      <c r="P54" s="118"/>
      <c r="Q54" s="118"/>
      <c r="R54" s="118"/>
    </row>
    <row r="55" spans="1:1010 1027:2036 2053:3062 3079:4088 4105:5114 5131:6140 6157:7166 7183:8192 8209:9200 9217:10226 10243:11252 11269:12278 12295:13304 13321:14330 14347:15356 15373:16382" s="11" customFormat="1" x14ac:dyDescent="0.35">
      <c r="A55" s="183" t="s">
        <v>418</v>
      </c>
      <c r="B55" s="293" t="s">
        <v>419</v>
      </c>
      <c r="C55" s="184">
        <v>-48.222000000000001</v>
      </c>
      <c r="D55" s="184">
        <v>3.02</v>
      </c>
      <c r="E55" s="184">
        <v>2.7879999999999998</v>
      </c>
      <c r="F55" s="184">
        <v>0.17699999999999999</v>
      </c>
      <c r="G55" s="184">
        <v>1.5449999999999999</v>
      </c>
      <c r="H55" s="184">
        <v>3.9649999999999999</v>
      </c>
      <c r="I55" s="184">
        <v>2.8940000000000001</v>
      </c>
      <c r="J55" s="184">
        <v>3.2000000000000001E-2</v>
      </c>
      <c r="K55" s="184">
        <v>-21.975000000000001</v>
      </c>
      <c r="L55" s="184">
        <v>-10.025</v>
      </c>
      <c r="M55" s="312">
        <f>IF(OR(K55=0,K55=""),"",L55/K55-1)</f>
        <v>-0.54379977246871447</v>
      </c>
      <c r="S55" s="12"/>
      <c r="T55" s="12"/>
      <c r="AK55" s="12"/>
      <c r="AL55" s="12"/>
      <c r="BC55" s="12"/>
      <c r="BD55" s="12"/>
      <c r="BU55" s="12"/>
      <c r="BV55" s="12"/>
      <c r="CM55" s="12"/>
      <c r="CN55" s="12"/>
      <c r="DE55" s="12"/>
      <c r="DF55" s="12"/>
      <c r="DW55" s="12"/>
      <c r="DX55" s="12"/>
      <c r="EO55" s="12"/>
      <c r="EP55" s="12"/>
      <c r="FG55" s="12"/>
      <c r="FH55" s="12"/>
      <c r="FY55" s="12"/>
      <c r="FZ55" s="12"/>
      <c r="GQ55" s="12"/>
      <c r="GR55" s="12"/>
      <c r="HI55" s="12"/>
      <c r="HJ55" s="12"/>
      <c r="IA55" s="12"/>
      <c r="IB55" s="12"/>
      <c r="IS55" s="12"/>
      <c r="IT55" s="12"/>
      <c r="JK55" s="12"/>
      <c r="JL55" s="12"/>
      <c r="KC55" s="12"/>
      <c r="KD55" s="12"/>
      <c r="KU55" s="12"/>
      <c r="KV55" s="12"/>
      <c r="LM55" s="12"/>
      <c r="LN55" s="12"/>
      <c r="ME55" s="12"/>
      <c r="MF55" s="12"/>
      <c r="MW55" s="12"/>
      <c r="MX55" s="12"/>
      <c r="NO55" s="12"/>
      <c r="NP55" s="12"/>
      <c r="OG55" s="12"/>
      <c r="OH55" s="12"/>
      <c r="OY55" s="12"/>
      <c r="OZ55" s="12"/>
      <c r="PQ55" s="12"/>
      <c r="PR55" s="12"/>
      <c r="QI55" s="12"/>
      <c r="QJ55" s="12"/>
      <c r="RA55" s="12"/>
      <c r="RB55" s="12"/>
      <c r="RS55" s="12"/>
      <c r="RT55" s="12"/>
      <c r="SK55" s="12"/>
      <c r="SL55" s="12"/>
      <c r="TC55" s="12"/>
      <c r="TD55" s="12"/>
      <c r="TU55" s="12"/>
      <c r="TV55" s="12"/>
      <c r="UM55" s="12"/>
      <c r="UN55" s="12"/>
      <c r="VE55" s="12"/>
      <c r="VF55" s="12"/>
      <c r="VW55" s="12"/>
      <c r="VX55" s="12"/>
      <c r="WO55" s="12"/>
      <c r="WP55" s="12"/>
      <c r="XG55" s="12"/>
      <c r="XH55" s="12"/>
      <c r="XY55" s="12"/>
      <c r="XZ55" s="12"/>
      <c r="YQ55" s="12"/>
      <c r="YR55" s="12"/>
      <c r="ZI55" s="12"/>
      <c r="ZJ55" s="12"/>
      <c r="AAA55" s="12"/>
      <c r="AAB55" s="12"/>
      <c r="AAS55" s="12"/>
      <c r="AAT55" s="12"/>
      <c r="ABK55" s="12"/>
      <c r="ABL55" s="12"/>
      <c r="ACC55" s="12"/>
      <c r="ACD55" s="12"/>
      <c r="ACU55" s="12"/>
      <c r="ACV55" s="12"/>
      <c r="ADM55" s="12"/>
      <c r="ADN55" s="12"/>
      <c r="AEE55" s="12"/>
      <c r="AEF55" s="12"/>
      <c r="AEW55" s="12"/>
      <c r="AEX55" s="12"/>
      <c r="AFO55" s="12"/>
      <c r="AFP55" s="12"/>
      <c r="AGG55" s="12"/>
      <c r="AGH55" s="12"/>
      <c r="AGY55" s="12"/>
      <c r="AGZ55" s="12"/>
      <c r="AHQ55" s="12"/>
      <c r="AHR55" s="12"/>
      <c r="AII55" s="12"/>
      <c r="AIJ55" s="12"/>
      <c r="AJA55" s="12"/>
      <c r="AJB55" s="12"/>
      <c r="AJS55" s="12"/>
      <c r="AJT55" s="12"/>
      <c r="AKK55" s="12"/>
      <c r="AKL55" s="12"/>
      <c r="ALC55" s="12"/>
      <c r="ALD55" s="12"/>
      <c r="ALU55" s="12"/>
      <c r="ALV55" s="12"/>
      <c r="AMM55" s="12"/>
      <c r="AMN55" s="12"/>
      <c r="ANE55" s="12"/>
      <c r="ANF55" s="12"/>
      <c r="ANW55" s="12"/>
      <c r="ANX55" s="12"/>
      <c r="AOO55" s="12"/>
      <c r="AOP55" s="12"/>
      <c r="APG55" s="12"/>
      <c r="APH55" s="12"/>
      <c r="APY55" s="12"/>
      <c r="APZ55" s="12"/>
      <c r="AQQ55" s="12"/>
      <c r="AQR55" s="12"/>
      <c r="ARI55" s="12"/>
      <c r="ARJ55" s="12"/>
      <c r="ASA55" s="12"/>
      <c r="ASB55" s="12"/>
      <c r="ASS55" s="12"/>
      <c r="AST55" s="12"/>
      <c r="ATK55" s="12"/>
      <c r="ATL55" s="12"/>
      <c r="AUC55" s="12"/>
      <c r="AUD55" s="12"/>
      <c r="AUU55" s="12"/>
      <c r="AUV55" s="12"/>
      <c r="AVM55" s="12"/>
      <c r="AVN55" s="12"/>
      <c r="AWE55" s="12"/>
      <c r="AWF55" s="12"/>
      <c r="AWW55" s="12"/>
      <c r="AWX55" s="12"/>
      <c r="AXO55" s="12"/>
      <c r="AXP55" s="12"/>
      <c r="AYG55" s="12"/>
      <c r="AYH55" s="12"/>
      <c r="AYY55" s="12"/>
      <c r="AYZ55" s="12"/>
      <c r="AZQ55" s="12"/>
      <c r="AZR55" s="12"/>
      <c r="BAI55" s="12"/>
      <c r="BAJ55" s="12"/>
      <c r="BBA55" s="12"/>
      <c r="BBB55" s="12"/>
      <c r="BBS55" s="12"/>
      <c r="BBT55" s="12"/>
      <c r="BCK55" s="12"/>
      <c r="BCL55" s="12"/>
      <c r="BDC55" s="12"/>
      <c r="BDD55" s="12"/>
      <c r="BDU55" s="12"/>
      <c r="BDV55" s="12"/>
      <c r="BEM55" s="12"/>
      <c r="BEN55" s="12"/>
      <c r="BFE55" s="12"/>
      <c r="BFF55" s="12"/>
      <c r="BFW55" s="12"/>
      <c r="BFX55" s="12"/>
      <c r="BGO55" s="12"/>
      <c r="BGP55" s="12"/>
      <c r="BHG55" s="12"/>
      <c r="BHH55" s="12"/>
      <c r="BHY55" s="12"/>
      <c r="BHZ55" s="12"/>
      <c r="BIQ55" s="12"/>
      <c r="BIR55" s="12"/>
      <c r="BJI55" s="12"/>
      <c r="BJJ55" s="12"/>
      <c r="BKA55" s="12"/>
      <c r="BKB55" s="12"/>
      <c r="BKS55" s="12"/>
      <c r="BKT55" s="12"/>
      <c r="BLK55" s="12"/>
      <c r="BLL55" s="12"/>
      <c r="BMC55" s="12"/>
      <c r="BMD55" s="12"/>
      <c r="BMU55" s="12"/>
      <c r="BMV55" s="12"/>
      <c r="BNM55" s="12"/>
      <c r="BNN55" s="12"/>
      <c r="BOE55" s="12"/>
      <c r="BOF55" s="12"/>
      <c r="BOW55" s="12"/>
      <c r="BOX55" s="12"/>
      <c r="BPO55" s="12"/>
      <c r="BPP55" s="12"/>
      <c r="BQG55" s="12"/>
      <c r="BQH55" s="12"/>
      <c r="BQY55" s="12"/>
      <c r="BQZ55" s="12"/>
      <c r="BRQ55" s="12"/>
      <c r="BRR55" s="12"/>
      <c r="BSI55" s="12"/>
      <c r="BSJ55" s="12"/>
      <c r="BTA55" s="12"/>
      <c r="BTB55" s="12"/>
      <c r="BTS55" s="12"/>
      <c r="BTT55" s="12"/>
      <c r="BUK55" s="12"/>
      <c r="BUL55" s="12"/>
      <c r="BVC55" s="12"/>
      <c r="BVD55" s="12"/>
      <c r="BVU55" s="12"/>
      <c r="BVV55" s="12"/>
      <c r="BWM55" s="12"/>
      <c r="BWN55" s="12"/>
      <c r="BXE55" s="12"/>
      <c r="BXF55" s="12"/>
      <c r="BXW55" s="12"/>
      <c r="BXX55" s="12"/>
      <c r="BYO55" s="12"/>
      <c r="BYP55" s="12"/>
      <c r="BZG55" s="12"/>
      <c r="BZH55" s="12"/>
      <c r="BZY55" s="12"/>
      <c r="BZZ55" s="12"/>
      <c r="CAQ55" s="12"/>
      <c r="CAR55" s="12"/>
      <c r="CBI55" s="12"/>
      <c r="CBJ55" s="12"/>
      <c r="CCA55" s="12"/>
      <c r="CCB55" s="12"/>
      <c r="CCS55" s="12"/>
      <c r="CCT55" s="12"/>
      <c r="CDK55" s="12"/>
      <c r="CDL55" s="12"/>
      <c r="CEC55" s="12"/>
      <c r="CED55" s="12"/>
      <c r="CEU55" s="12"/>
      <c r="CEV55" s="12"/>
      <c r="CFM55" s="12"/>
      <c r="CFN55" s="12"/>
      <c r="CGE55" s="12"/>
      <c r="CGF55" s="12"/>
      <c r="CGW55" s="12"/>
      <c r="CGX55" s="12"/>
      <c r="CHO55" s="12"/>
      <c r="CHP55" s="12"/>
      <c r="CIG55" s="12"/>
      <c r="CIH55" s="12"/>
      <c r="CIY55" s="12"/>
      <c r="CIZ55" s="12"/>
      <c r="CJQ55" s="12"/>
      <c r="CJR55" s="12"/>
      <c r="CKI55" s="12"/>
      <c r="CKJ55" s="12"/>
      <c r="CLA55" s="12"/>
      <c r="CLB55" s="12"/>
      <c r="CLS55" s="12"/>
      <c r="CLT55" s="12"/>
      <c r="CMK55" s="12"/>
      <c r="CML55" s="12"/>
      <c r="CNC55" s="12"/>
      <c r="CND55" s="12"/>
      <c r="CNU55" s="12"/>
      <c r="CNV55" s="12"/>
      <c r="COM55" s="12"/>
      <c r="CON55" s="12"/>
      <c r="CPE55" s="12"/>
      <c r="CPF55" s="12"/>
      <c r="CPW55" s="12"/>
      <c r="CPX55" s="12"/>
      <c r="CQO55" s="12"/>
      <c r="CQP55" s="12"/>
      <c r="CRG55" s="12"/>
      <c r="CRH55" s="12"/>
      <c r="CRY55" s="12"/>
      <c r="CRZ55" s="12"/>
      <c r="CSQ55" s="12"/>
      <c r="CSR55" s="12"/>
      <c r="CTI55" s="12"/>
      <c r="CTJ55" s="12"/>
      <c r="CUA55" s="12"/>
      <c r="CUB55" s="12"/>
      <c r="CUS55" s="12"/>
      <c r="CUT55" s="12"/>
      <c r="CVK55" s="12"/>
      <c r="CVL55" s="12"/>
      <c r="CWC55" s="12"/>
      <c r="CWD55" s="12"/>
      <c r="CWU55" s="12"/>
      <c r="CWV55" s="12"/>
      <c r="CXM55" s="12"/>
      <c r="CXN55" s="12"/>
      <c r="CYE55" s="12"/>
      <c r="CYF55" s="12"/>
      <c r="CYW55" s="12"/>
      <c r="CYX55" s="12"/>
      <c r="CZO55" s="12"/>
      <c r="CZP55" s="12"/>
      <c r="DAG55" s="12"/>
      <c r="DAH55" s="12"/>
      <c r="DAY55" s="12"/>
      <c r="DAZ55" s="12"/>
      <c r="DBQ55" s="12"/>
      <c r="DBR55" s="12"/>
      <c r="DCI55" s="12"/>
      <c r="DCJ55" s="12"/>
      <c r="DDA55" s="12"/>
      <c r="DDB55" s="12"/>
      <c r="DDS55" s="12"/>
      <c r="DDT55" s="12"/>
      <c r="DEK55" s="12"/>
      <c r="DEL55" s="12"/>
      <c r="DFC55" s="12"/>
      <c r="DFD55" s="12"/>
      <c r="DFU55" s="12"/>
      <c r="DFV55" s="12"/>
      <c r="DGM55" s="12"/>
      <c r="DGN55" s="12"/>
      <c r="DHE55" s="12"/>
      <c r="DHF55" s="12"/>
      <c r="DHW55" s="12"/>
      <c r="DHX55" s="12"/>
      <c r="DIO55" s="12"/>
      <c r="DIP55" s="12"/>
      <c r="DJG55" s="12"/>
      <c r="DJH55" s="12"/>
      <c r="DJY55" s="12"/>
      <c r="DJZ55" s="12"/>
      <c r="DKQ55" s="12"/>
      <c r="DKR55" s="12"/>
      <c r="DLI55" s="12"/>
      <c r="DLJ55" s="12"/>
      <c r="DMA55" s="12"/>
      <c r="DMB55" s="12"/>
      <c r="DMS55" s="12"/>
      <c r="DMT55" s="12"/>
      <c r="DNK55" s="12"/>
      <c r="DNL55" s="12"/>
      <c r="DOC55" s="12"/>
      <c r="DOD55" s="12"/>
      <c r="DOU55" s="12"/>
      <c r="DOV55" s="12"/>
      <c r="DPM55" s="12"/>
      <c r="DPN55" s="12"/>
      <c r="DQE55" s="12"/>
      <c r="DQF55" s="12"/>
      <c r="DQW55" s="12"/>
      <c r="DQX55" s="12"/>
      <c r="DRO55" s="12"/>
      <c r="DRP55" s="12"/>
      <c r="DSG55" s="12"/>
      <c r="DSH55" s="12"/>
      <c r="DSY55" s="12"/>
      <c r="DSZ55" s="12"/>
      <c r="DTQ55" s="12"/>
      <c r="DTR55" s="12"/>
      <c r="DUI55" s="12"/>
      <c r="DUJ55" s="12"/>
      <c r="DVA55" s="12"/>
      <c r="DVB55" s="12"/>
      <c r="DVS55" s="12"/>
      <c r="DVT55" s="12"/>
      <c r="DWK55" s="12"/>
      <c r="DWL55" s="12"/>
      <c r="DXC55" s="12"/>
      <c r="DXD55" s="12"/>
      <c r="DXU55" s="12"/>
      <c r="DXV55" s="12"/>
      <c r="DYM55" s="12"/>
      <c r="DYN55" s="12"/>
      <c r="DZE55" s="12"/>
      <c r="DZF55" s="12"/>
      <c r="DZW55" s="12"/>
      <c r="DZX55" s="12"/>
      <c r="EAO55" s="12"/>
      <c r="EAP55" s="12"/>
      <c r="EBG55" s="12"/>
      <c r="EBH55" s="12"/>
      <c r="EBY55" s="12"/>
      <c r="EBZ55" s="12"/>
      <c r="ECQ55" s="12"/>
      <c r="ECR55" s="12"/>
      <c r="EDI55" s="12"/>
      <c r="EDJ55" s="12"/>
      <c r="EEA55" s="12"/>
      <c r="EEB55" s="12"/>
      <c r="EES55" s="12"/>
      <c r="EET55" s="12"/>
      <c r="EFK55" s="12"/>
      <c r="EFL55" s="12"/>
      <c r="EGC55" s="12"/>
      <c r="EGD55" s="12"/>
      <c r="EGU55" s="12"/>
      <c r="EGV55" s="12"/>
      <c r="EHM55" s="12"/>
      <c r="EHN55" s="12"/>
      <c r="EIE55" s="12"/>
      <c r="EIF55" s="12"/>
      <c r="EIW55" s="12"/>
      <c r="EIX55" s="12"/>
      <c r="EJO55" s="12"/>
      <c r="EJP55" s="12"/>
      <c r="EKG55" s="12"/>
      <c r="EKH55" s="12"/>
      <c r="EKY55" s="12"/>
      <c r="EKZ55" s="12"/>
      <c r="ELQ55" s="12"/>
      <c r="ELR55" s="12"/>
      <c r="EMI55" s="12"/>
      <c r="EMJ55" s="12"/>
      <c r="ENA55" s="12"/>
      <c r="ENB55" s="12"/>
      <c r="ENS55" s="12"/>
      <c r="ENT55" s="12"/>
      <c r="EOK55" s="12"/>
      <c r="EOL55" s="12"/>
      <c r="EPC55" s="12"/>
      <c r="EPD55" s="12"/>
      <c r="EPU55" s="12"/>
      <c r="EPV55" s="12"/>
      <c r="EQM55" s="12"/>
      <c r="EQN55" s="12"/>
      <c r="ERE55" s="12"/>
      <c r="ERF55" s="12"/>
      <c r="ERW55" s="12"/>
      <c r="ERX55" s="12"/>
      <c r="ESO55" s="12"/>
      <c r="ESP55" s="12"/>
      <c r="ETG55" s="12"/>
      <c r="ETH55" s="12"/>
      <c r="ETY55" s="12"/>
      <c r="ETZ55" s="12"/>
      <c r="EUQ55" s="12"/>
      <c r="EUR55" s="12"/>
      <c r="EVI55" s="12"/>
      <c r="EVJ55" s="12"/>
      <c r="EWA55" s="12"/>
      <c r="EWB55" s="12"/>
      <c r="EWS55" s="12"/>
      <c r="EWT55" s="12"/>
      <c r="EXK55" s="12"/>
      <c r="EXL55" s="12"/>
      <c r="EYC55" s="12"/>
      <c r="EYD55" s="12"/>
      <c r="EYU55" s="12"/>
      <c r="EYV55" s="12"/>
      <c r="EZM55" s="12"/>
      <c r="EZN55" s="12"/>
      <c r="FAE55" s="12"/>
      <c r="FAF55" s="12"/>
      <c r="FAW55" s="12"/>
      <c r="FAX55" s="12"/>
      <c r="FBO55" s="12"/>
      <c r="FBP55" s="12"/>
      <c r="FCG55" s="12"/>
      <c r="FCH55" s="12"/>
      <c r="FCY55" s="12"/>
      <c r="FCZ55" s="12"/>
      <c r="FDQ55" s="12"/>
      <c r="FDR55" s="12"/>
      <c r="FEI55" s="12"/>
      <c r="FEJ55" s="12"/>
      <c r="FFA55" s="12"/>
      <c r="FFB55" s="12"/>
      <c r="FFS55" s="12"/>
      <c r="FFT55" s="12"/>
      <c r="FGK55" s="12"/>
      <c r="FGL55" s="12"/>
      <c r="FHC55" s="12"/>
      <c r="FHD55" s="12"/>
      <c r="FHU55" s="12"/>
      <c r="FHV55" s="12"/>
      <c r="FIM55" s="12"/>
      <c r="FIN55" s="12"/>
      <c r="FJE55" s="12"/>
      <c r="FJF55" s="12"/>
      <c r="FJW55" s="12"/>
      <c r="FJX55" s="12"/>
      <c r="FKO55" s="12"/>
      <c r="FKP55" s="12"/>
      <c r="FLG55" s="12"/>
      <c r="FLH55" s="12"/>
      <c r="FLY55" s="12"/>
      <c r="FLZ55" s="12"/>
      <c r="FMQ55" s="12"/>
      <c r="FMR55" s="12"/>
      <c r="FNI55" s="12"/>
      <c r="FNJ55" s="12"/>
      <c r="FOA55" s="12"/>
      <c r="FOB55" s="12"/>
      <c r="FOS55" s="12"/>
      <c r="FOT55" s="12"/>
      <c r="FPK55" s="12"/>
      <c r="FPL55" s="12"/>
      <c r="FQC55" s="12"/>
      <c r="FQD55" s="12"/>
      <c r="FQU55" s="12"/>
      <c r="FQV55" s="12"/>
      <c r="FRM55" s="12"/>
      <c r="FRN55" s="12"/>
      <c r="FSE55" s="12"/>
      <c r="FSF55" s="12"/>
      <c r="FSW55" s="12"/>
      <c r="FSX55" s="12"/>
      <c r="FTO55" s="12"/>
      <c r="FTP55" s="12"/>
      <c r="FUG55" s="12"/>
      <c r="FUH55" s="12"/>
      <c r="FUY55" s="12"/>
      <c r="FUZ55" s="12"/>
      <c r="FVQ55" s="12"/>
      <c r="FVR55" s="12"/>
      <c r="FWI55" s="12"/>
      <c r="FWJ55" s="12"/>
      <c r="FXA55" s="12"/>
      <c r="FXB55" s="12"/>
      <c r="FXS55" s="12"/>
      <c r="FXT55" s="12"/>
      <c r="FYK55" s="12"/>
      <c r="FYL55" s="12"/>
      <c r="FZC55" s="12"/>
      <c r="FZD55" s="12"/>
      <c r="FZU55" s="12"/>
      <c r="FZV55" s="12"/>
      <c r="GAM55" s="12"/>
      <c r="GAN55" s="12"/>
      <c r="GBE55" s="12"/>
      <c r="GBF55" s="12"/>
      <c r="GBW55" s="12"/>
      <c r="GBX55" s="12"/>
      <c r="GCO55" s="12"/>
      <c r="GCP55" s="12"/>
      <c r="GDG55" s="12"/>
      <c r="GDH55" s="12"/>
      <c r="GDY55" s="12"/>
      <c r="GDZ55" s="12"/>
      <c r="GEQ55" s="12"/>
      <c r="GER55" s="12"/>
      <c r="GFI55" s="12"/>
      <c r="GFJ55" s="12"/>
      <c r="GGA55" s="12"/>
      <c r="GGB55" s="12"/>
      <c r="GGS55" s="12"/>
      <c r="GGT55" s="12"/>
      <c r="GHK55" s="12"/>
      <c r="GHL55" s="12"/>
      <c r="GIC55" s="12"/>
      <c r="GID55" s="12"/>
      <c r="GIU55" s="12"/>
      <c r="GIV55" s="12"/>
      <c r="GJM55" s="12"/>
      <c r="GJN55" s="12"/>
      <c r="GKE55" s="12"/>
      <c r="GKF55" s="12"/>
      <c r="GKW55" s="12"/>
      <c r="GKX55" s="12"/>
      <c r="GLO55" s="12"/>
      <c r="GLP55" s="12"/>
      <c r="GMG55" s="12"/>
      <c r="GMH55" s="12"/>
      <c r="GMY55" s="12"/>
      <c r="GMZ55" s="12"/>
      <c r="GNQ55" s="12"/>
      <c r="GNR55" s="12"/>
      <c r="GOI55" s="12"/>
      <c r="GOJ55" s="12"/>
      <c r="GPA55" s="12"/>
      <c r="GPB55" s="12"/>
      <c r="GPS55" s="12"/>
      <c r="GPT55" s="12"/>
      <c r="GQK55" s="12"/>
      <c r="GQL55" s="12"/>
      <c r="GRC55" s="12"/>
      <c r="GRD55" s="12"/>
      <c r="GRU55" s="12"/>
      <c r="GRV55" s="12"/>
      <c r="GSM55" s="12"/>
      <c r="GSN55" s="12"/>
      <c r="GTE55" s="12"/>
      <c r="GTF55" s="12"/>
      <c r="GTW55" s="12"/>
      <c r="GTX55" s="12"/>
      <c r="GUO55" s="12"/>
      <c r="GUP55" s="12"/>
      <c r="GVG55" s="12"/>
      <c r="GVH55" s="12"/>
      <c r="GVY55" s="12"/>
      <c r="GVZ55" s="12"/>
      <c r="GWQ55" s="12"/>
      <c r="GWR55" s="12"/>
      <c r="GXI55" s="12"/>
      <c r="GXJ55" s="12"/>
      <c r="GYA55" s="12"/>
      <c r="GYB55" s="12"/>
      <c r="GYS55" s="12"/>
      <c r="GYT55" s="12"/>
      <c r="GZK55" s="12"/>
      <c r="GZL55" s="12"/>
      <c r="HAC55" s="12"/>
      <c r="HAD55" s="12"/>
      <c r="HAU55" s="12"/>
      <c r="HAV55" s="12"/>
      <c r="HBM55" s="12"/>
      <c r="HBN55" s="12"/>
      <c r="HCE55" s="12"/>
      <c r="HCF55" s="12"/>
      <c r="HCW55" s="12"/>
      <c r="HCX55" s="12"/>
      <c r="HDO55" s="12"/>
      <c r="HDP55" s="12"/>
      <c r="HEG55" s="12"/>
      <c r="HEH55" s="12"/>
      <c r="HEY55" s="12"/>
      <c r="HEZ55" s="12"/>
      <c r="HFQ55" s="12"/>
      <c r="HFR55" s="12"/>
      <c r="HGI55" s="12"/>
      <c r="HGJ55" s="12"/>
      <c r="HHA55" s="12"/>
      <c r="HHB55" s="12"/>
      <c r="HHS55" s="12"/>
      <c r="HHT55" s="12"/>
      <c r="HIK55" s="12"/>
      <c r="HIL55" s="12"/>
      <c r="HJC55" s="12"/>
      <c r="HJD55" s="12"/>
      <c r="HJU55" s="12"/>
      <c r="HJV55" s="12"/>
      <c r="HKM55" s="12"/>
      <c r="HKN55" s="12"/>
      <c r="HLE55" s="12"/>
      <c r="HLF55" s="12"/>
      <c r="HLW55" s="12"/>
      <c r="HLX55" s="12"/>
      <c r="HMO55" s="12"/>
      <c r="HMP55" s="12"/>
      <c r="HNG55" s="12"/>
      <c r="HNH55" s="12"/>
      <c r="HNY55" s="12"/>
      <c r="HNZ55" s="12"/>
      <c r="HOQ55" s="12"/>
      <c r="HOR55" s="12"/>
      <c r="HPI55" s="12"/>
      <c r="HPJ55" s="12"/>
      <c r="HQA55" s="12"/>
      <c r="HQB55" s="12"/>
      <c r="HQS55" s="12"/>
      <c r="HQT55" s="12"/>
      <c r="HRK55" s="12"/>
      <c r="HRL55" s="12"/>
      <c r="HSC55" s="12"/>
      <c r="HSD55" s="12"/>
      <c r="HSU55" s="12"/>
      <c r="HSV55" s="12"/>
      <c r="HTM55" s="12"/>
      <c r="HTN55" s="12"/>
      <c r="HUE55" s="12"/>
      <c r="HUF55" s="12"/>
      <c r="HUW55" s="12"/>
      <c r="HUX55" s="12"/>
      <c r="HVO55" s="12"/>
      <c r="HVP55" s="12"/>
      <c r="HWG55" s="12"/>
      <c r="HWH55" s="12"/>
      <c r="HWY55" s="12"/>
      <c r="HWZ55" s="12"/>
      <c r="HXQ55" s="12"/>
      <c r="HXR55" s="12"/>
      <c r="HYI55" s="12"/>
      <c r="HYJ55" s="12"/>
      <c r="HZA55" s="12"/>
      <c r="HZB55" s="12"/>
      <c r="HZS55" s="12"/>
      <c r="HZT55" s="12"/>
      <c r="IAK55" s="12"/>
      <c r="IAL55" s="12"/>
      <c r="IBC55" s="12"/>
      <c r="IBD55" s="12"/>
      <c r="IBU55" s="12"/>
      <c r="IBV55" s="12"/>
      <c r="ICM55" s="12"/>
      <c r="ICN55" s="12"/>
      <c r="IDE55" s="12"/>
      <c r="IDF55" s="12"/>
      <c r="IDW55" s="12"/>
      <c r="IDX55" s="12"/>
      <c r="IEO55" s="12"/>
      <c r="IEP55" s="12"/>
      <c r="IFG55" s="12"/>
      <c r="IFH55" s="12"/>
      <c r="IFY55" s="12"/>
      <c r="IFZ55" s="12"/>
      <c r="IGQ55" s="12"/>
      <c r="IGR55" s="12"/>
      <c r="IHI55" s="12"/>
      <c r="IHJ55" s="12"/>
      <c r="IIA55" s="12"/>
      <c r="IIB55" s="12"/>
      <c r="IIS55" s="12"/>
      <c r="IIT55" s="12"/>
      <c r="IJK55" s="12"/>
      <c r="IJL55" s="12"/>
      <c r="IKC55" s="12"/>
      <c r="IKD55" s="12"/>
      <c r="IKU55" s="12"/>
      <c r="IKV55" s="12"/>
      <c r="ILM55" s="12"/>
      <c r="ILN55" s="12"/>
      <c r="IME55" s="12"/>
      <c r="IMF55" s="12"/>
      <c r="IMW55" s="12"/>
      <c r="IMX55" s="12"/>
      <c r="INO55" s="12"/>
      <c r="INP55" s="12"/>
      <c r="IOG55" s="12"/>
      <c r="IOH55" s="12"/>
      <c r="IOY55" s="12"/>
      <c r="IOZ55" s="12"/>
      <c r="IPQ55" s="12"/>
      <c r="IPR55" s="12"/>
      <c r="IQI55" s="12"/>
      <c r="IQJ55" s="12"/>
      <c r="IRA55" s="12"/>
      <c r="IRB55" s="12"/>
      <c r="IRS55" s="12"/>
      <c r="IRT55" s="12"/>
      <c r="ISK55" s="12"/>
      <c r="ISL55" s="12"/>
      <c r="ITC55" s="12"/>
      <c r="ITD55" s="12"/>
      <c r="ITU55" s="12"/>
      <c r="ITV55" s="12"/>
      <c r="IUM55" s="12"/>
      <c r="IUN55" s="12"/>
      <c r="IVE55" s="12"/>
      <c r="IVF55" s="12"/>
      <c r="IVW55" s="12"/>
      <c r="IVX55" s="12"/>
      <c r="IWO55" s="12"/>
      <c r="IWP55" s="12"/>
      <c r="IXG55" s="12"/>
      <c r="IXH55" s="12"/>
      <c r="IXY55" s="12"/>
      <c r="IXZ55" s="12"/>
      <c r="IYQ55" s="12"/>
      <c r="IYR55" s="12"/>
      <c r="IZI55" s="12"/>
      <c r="IZJ55" s="12"/>
      <c r="JAA55" s="12"/>
      <c r="JAB55" s="12"/>
      <c r="JAS55" s="12"/>
      <c r="JAT55" s="12"/>
      <c r="JBK55" s="12"/>
      <c r="JBL55" s="12"/>
      <c r="JCC55" s="12"/>
      <c r="JCD55" s="12"/>
      <c r="JCU55" s="12"/>
      <c r="JCV55" s="12"/>
      <c r="JDM55" s="12"/>
      <c r="JDN55" s="12"/>
      <c r="JEE55" s="12"/>
      <c r="JEF55" s="12"/>
      <c r="JEW55" s="12"/>
      <c r="JEX55" s="12"/>
      <c r="JFO55" s="12"/>
      <c r="JFP55" s="12"/>
      <c r="JGG55" s="12"/>
      <c r="JGH55" s="12"/>
      <c r="JGY55" s="12"/>
      <c r="JGZ55" s="12"/>
      <c r="JHQ55" s="12"/>
      <c r="JHR55" s="12"/>
      <c r="JII55" s="12"/>
      <c r="JIJ55" s="12"/>
      <c r="JJA55" s="12"/>
      <c r="JJB55" s="12"/>
      <c r="JJS55" s="12"/>
      <c r="JJT55" s="12"/>
      <c r="JKK55" s="12"/>
      <c r="JKL55" s="12"/>
      <c r="JLC55" s="12"/>
      <c r="JLD55" s="12"/>
      <c r="JLU55" s="12"/>
      <c r="JLV55" s="12"/>
      <c r="JMM55" s="12"/>
      <c r="JMN55" s="12"/>
      <c r="JNE55" s="12"/>
      <c r="JNF55" s="12"/>
      <c r="JNW55" s="12"/>
      <c r="JNX55" s="12"/>
      <c r="JOO55" s="12"/>
      <c r="JOP55" s="12"/>
      <c r="JPG55" s="12"/>
      <c r="JPH55" s="12"/>
      <c r="JPY55" s="12"/>
      <c r="JPZ55" s="12"/>
      <c r="JQQ55" s="12"/>
      <c r="JQR55" s="12"/>
      <c r="JRI55" s="12"/>
      <c r="JRJ55" s="12"/>
      <c r="JSA55" s="12"/>
      <c r="JSB55" s="12"/>
      <c r="JSS55" s="12"/>
      <c r="JST55" s="12"/>
      <c r="JTK55" s="12"/>
      <c r="JTL55" s="12"/>
      <c r="JUC55" s="12"/>
      <c r="JUD55" s="12"/>
      <c r="JUU55" s="12"/>
      <c r="JUV55" s="12"/>
      <c r="JVM55" s="12"/>
      <c r="JVN55" s="12"/>
      <c r="JWE55" s="12"/>
      <c r="JWF55" s="12"/>
      <c r="JWW55" s="12"/>
      <c r="JWX55" s="12"/>
      <c r="JXO55" s="12"/>
      <c r="JXP55" s="12"/>
      <c r="JYG55" s="12"/>
      <c r="JYH55" s="12"/>
      <c r="JYY55" s="12"/>
      <c r="JYZ55" s="12"/>
      <c r="JZQ55" s="12"/>
      <c r="JZR55" s="12"/>
      <c r="KAI55" s="12"/>
      <c r="KAJ55" s="12"/>
      <c r="KBA55" s="12"/>
      <c r="KBB55" s="12"/>
      <c r="KBS55" s="12"/>
      <c r="KBT55" s="12"/>
      <c r="KCK55" s="12"/>
      <c r="KCL55" s="12"/>
      <c r="KDC55" s="12"/>
      <c r="KDD55" s="12"/>
      <c r="KDU55" s="12"/>
      <c r="KDV55" s="12"/>
      <c r="KEM55" s="12"/>
      <c r="KEN55" s="12"/>
      <c r="KFE55" s="12"/>
      <c r="KFF55" s="12"/>
      <c r="KFW55" s="12"/>
      <c r="KFX55" s="12"/>
      <c r="KGO55" s="12"/>
      <c r="KGP55" s="12"/>
      <c r="KHG55" s="12"/>
      <c r="KHH55" s="12"/>
      <c r="KHY55" s="12"/>
      <c r="KHZ55" s="12"/>
      <c r="KIQ55" s="12"/>
      <c r="KIR55" s="12"/>
      <c r="KJI55" s="12"/>
      <c r="KJJ55" s="12"/>
      <c r="KKA55" s="12"/>
      <c r="KKB55" s="12"/>
      <c r="KKS55" s="12"/>
      <c r="KKT55" s="12"/>
      <c r="KLK55" s="12"/>
      <c r="KLL55" s="12"/>
      <c r="KMC55" s="12"/>
      <c r="KMD55" s="12"/>
      <c r="KMU55" s="12"/>
      <c r="KMV55" s="12"/>
      <c r="KNM55" s="12"/>
      <c r="KNN55" s="12"/>
      <c r="KOE55" s="12"/>
      <c r="KOF55" s="12"/>
      <c r="KOW55" s="12"/>
      <c r="KOX55" s="12"/>
      <c r="KPO55" s="12"/>
      <c r="KPP55" s="12"/>
      <c r="KQG55" s="12"/>
      <c r="KQH55" s="12"/>
      <c r="KQY55" s="12"/>
      <c r="KQZ55" s="12"/>
      <c r="KRQ55" s="12"/>
      <c r="KRR55" s="12"/>
      <c r="KSI55" s="12"/>
      <c r="KSJ55" s="12"/>
      <c r="KTA55" s="12"/>
      <c r="KTB55" s="12"/>
      <c r="KTS55" s="12"/>
      <c r="KTT55" s="12"/>
      <c r="KUK55" s="12"/>
      <c r="KUL55" s="12"/>
      <c r="KVC55" s="12"/>
      <c r="KVD55" s="12"/>
      <c r="KVU55" s="12"/>
      <c r="KVV55" s="12"/>
      <c r="KWM55" s="12"/>
      <c r="KWN55" s="12"/>
      <c r="KXE55" s="12"/>
      <c r="KXF55" s="12"/>
      <c r="KXW55" s="12"/>
      <c r="KXX55" s="12"/>
      <c r="KYO55" s="12"/>
      <c r="KYP55" s="12"/>
      <c r="KZG55" s="12"/>
      <c r="KZH55" s="12"/>
      <c r="KZY55" s="12"/>
      <c r="KZZ55" s="12"/>
      <c r="LAQ55" s="12"/>
      <c r="LAR55" s="12"/>
      <c r="LBI55" s="12"/>
      <c r="LBJ55" s="12"/>
      <c r="LCA55" s="12"/>
      <c r="LCB55" s="12"/>
      <c r="LCS55" s="12"/>
      <c r="LCT55" s="12"/>
      <c r="LDK55" s="12"/>
      <c r="LDL55" s="12"/>
      <c r="LEC55" s="12"/>
      <c r="LED55" s="12"/>
      <c r="LEU55" s="12"/>
      <c r="LEV55" s="12"/>
      <c r="LFM55" s="12"/>
      <c r="LFN55" s="12"/>
      <c r="LGE55" s="12"/>
      <c r="LGF55" s="12"/>
      <c r="LGW55" s="12"/>
      <c r="LGX55" s="12"/>
      <c r="LHO55" s="12"/>
      <c r="LHP55" s="12"/>
      <c r="LIG55" s="12"/>
      <c r="LIH55" s="12"/>
      <c r="LIY55" s="12"/>
      <c r="LIZ55" s="12"/>
      <c r="LJQ55" s="12"/>
      <c r="LJR55" s="12"/>
      <c r="LKI55" s="12"/>
      <c r="LKJ55" s="12"/>
      <c r="LLA55" s="12"/>
      <c r="LLB55" s="12"/>
      <c r="LLS55" s="12"/>
      <c r="LLT55" s="12"/>
      <c r="LMK55" s="12"/>
      <c r="LML55" s="12"/>
      <c r="LNC55" s="12"/>
      <c r="LND55" s="12"/>
      <c r="LNU55" s="12"/>
      <c r="LNV55" s="12"/>
      <c r="LOM55" s="12"/>
      <c r="LON55" s="12"/>
      <c r="LPE55" s="12"/>
      <c r="LPF55" s="12"/>
      <c r="LPW55" s="12"/>
      <c r="LPX55" s="12"/>
      <c r="LQO55" s="12"/>
      <c r="LQP55" s="12"/>
      <c r="LRG55" s="12"/>
      <c r="LRH55" s="12"/>
      <c r="LRY55" s="12"/>
      <c r="LRZ55" s="12"/>
      <c r="LSQ55" s="12"/>
      <c r="LSR55" s="12"/>
      <c r="LTI55" s="12"/>
      <c r="LTJ55" s="12"/>
      <c r="LUA55" s="12"/>
      <c r="LUB55" s="12"/>
      <c r="LUS55" s="12"/>
      <c r="LUT55" s="12"/>
      <c r="LVK55" s="12"/>
      <c r="LVL55" s="12"/>
      <c r="LWC55" s="12"/>
      <c r="LWD55" s="12"/>
      <c r="LWU55" s="12"/>
      <c r="LWV55" s="12"/>
      <c r="LXM55" s="12"/>
      <c r="LXN55" s="12"/>
      <c r="LYE55" s="12"/>
      <c r="LYF55" s="12"/>
      <c r="LYW55" s="12"/>
      <c r="LYX55" s="12"/>
      <c r="LZO55" s="12"/>
      <c r="LZP55" s="12"/>
      <c r="MAG55" s="12"/>
      <c r="MAH55" s="12"/>
      <c r="MAY55" s="12"/>
      <c r="MAZ55" s="12"/>
      <c r="MBQ55" s="12"/>
      <c r="MBR55" s="12"/>
      <c r="MCI55" s="12"/>
      <c r="MCJ55" s="12"/>
      <c r="MDA55" s="12"/>
      <c r="MDB55" s="12"/>
      <c r="MDS55" s="12"/>
      <c r="MDT55" s="12"/>
      <c r="MEK55" s="12"/>
      <c r="MEL55" s="12"/>
      <c r="MFC55" s="12"/>
      <c r="MFD55" s="12"/>
      <c r="MFU55" s="12"/>
      <c r="MFV55" s="12"/>
      <c r="MGM55" s="12"/>
      <c r="MGN55" s="12"/>
      <c r="MHE55" s="12"/>
      <c r="MHF55" s="12"/>
      <c r="MHW55" s="12"/>
      <c r="MHX55" s="12"/>
      <c r="MIO55" s="12"/>
      <c r="MIP55" s="12"/>
      <c r="MJG55" s="12"/>
      <c r="MJH55" s="12"/>
      <c r="MJY55" s="12"/>
      <c r="MJZ55" s="12"/>
      <c r="MKQ55" s="12"/>
      <c r="MKR55" s="12"/>
      <c r="MLI55" s="12"/>
      <c r="MLJ55" s="12"/>
      <c r="MMA55" s="12"/>
      <c r="MMB55" s="12"/>
      <c r="MMS55" s="12"/>
      <c r="MMT55" s="12"/>
      <c r="MNK55" s="12"/>
      <c r="MNL55" s="12"/>
      <c r="MOC55" s="12"/>
      <c r="MOD55" s="12"/>
      <c r="MOU55" s="12"/>
      <c r="MOV55" s="12"/>
      <c r="MPM55" s="12"/>
      <c r="MPN55" s="12"/>
      <c r="MQE55" s="12"/>
      <c r="MQF55" s="12"/>
      <c r="MQW55" s="12"/>
      <c r="MQX55" s="12"/>
      <c r="MRO55" s="12"/>
      <c r="MRP55" s="12"/>
      <c r="MSG55" s="12"/>
      <c r="MSH55" s="12"/>
      <c r="MSY55" s="12"/>
      <c r="MSZ55" s="12"/>
      <c r="MTQ55" s="12"/>
      <c r="MTR55" s="12"/>
      <c r="MUI55" s="12"/>
      <c r="MUJ55" s="12"/>
      <c r="MVA55" s="12"/>
      <c r="MVB55" s="12"/>
      <c r="MVS55" s="12"/>
      <c r="MVT55" s="12"/>
      <c r="MWK55" s="12"/>
      <c r="MWL55" s="12"/>
      <c r="MXC55" s="12"/>
      <c r="MXD55" s="12"/>
      <c r="MXU55" s="12"/>
      <c r="MXV55" s="12"/>
      <c r="MYM55" s="12"/>
      <c r="MYN55" s="12"/>
      <c r="MZE55" s="12"/>
      <c r="MZF55" s="12"/>
      <c r="MZW55" s="12"/>
      <c r="MZX55" s="12"/>
      <c r="NAO55" s="12"/>
      <c r="NAP55" s="12"/>
      <c r="NBG55" s="12"/>
      <c r="NBH55" s="12"/>
      <c r="NBY55" s="12"/>
      <c r="NBZ55" s="12"/>
      <c r="NCQ55" s="12"/>
      <c r="NCR55" s="12"/>
      <c r="NDI55" s="12"/>
      <c r="NDJ55" s="12"/>
      <c r="NEA55" s="12"/>
      <c r="NEB55" s="12"/>
      <c r="NES55" s="12"/>
      <c r="NET55" s="12"/>
      <c r="NFK55" s="12"/>
      <c r="NFL55" s="12"/>
      <c r="NGC55" s="12"/>
      <c r="NGD55" s="12"/>
      <c r="NGU55" s="12"/>
      <c r="NGV55" s="12"/>
      <c r="NHM55" s="12"/>
      <c r="NHN55" s="12"/>
      <c r="NIE55" s="12"/>
      <c r="NIF55" s="12"/>
      <c r="NIW55" s="12"/>
      <c r="NIX55" s="12"/>
      <c r="NJO55" s="12"/>
      <c r="NJP55" s="12"/>
      <c r="NKG55" s="12"/>
      <c r="NKH55" s="12"/>
      <c r="NKY55" s="12"/>
      <c r="NKZ55" s="12"/>
      <c r="NLQ55" s="12"/>
      <c r="NLR55" s="12"/>
      <c r="NMI55" s="12"/>
      <c r="NMJ55" s="12"/>
      <c r="NNA55" s="12"/>
      <c r="NNB55" s="12"/>
      <c r="NNS55" s="12"/>
      <c r="NNT55" s="12"/>
      <c r="NOK55" s="12"/>
      <c r="NOL55" s="12"/>
      <c r="NPC55" s="12"/>
      <c r="NPD55" s="12"/>
      <c r="NPU55" s="12"/>
      <c r="NPV55" s="12"/>
      <c r="NQM55" s="12"/>
      <c r="NQN55" s="12"/>
      <c r="NRE55" s="12"/>
      <c r="NRF55" s="12"/>
      <c r="NRW55" s="12"/>
      <c r="NRX55" s="12"/>
      <c r="NSO55" s="12"/>
      <c r="NSP55" s="12"/>
      <c r="NTG55" s="12"/>
      <c r="NTH55" s="12"/>
      <c r="NTY55" s="12"/>
      <c r="NTZ55" s="12"/>
      <c r="NUQ55" s="12"/>
      <c r="NUR55" s="12"/>
      <c r="NVI55" s="12"/>
      <c r="NVJ55" s="12"/>
      <c r="NWA55" s="12"/>
      <c r="NWB55" s="12"/>
      <c r="NWS55" s="12"/>
      <c r="NWT55" s="12"/>
      <c r="NXK55" s="12"/>
      <c r="NXL55" s="12"/>
      <c r="NYC55" s="12"/>
      <c r="NYD55" s="12"/>
      <c r="NYU55" s="12"/>
      <c r="NYV55" s="12"/>
      <c r="NZM55" s="12"/>
      <c r="NZN55" s="12"/>
      <c r="OAE55" s="12"/>
      <c r="OAF55" s="12"/>
      <c r="OAW55" s="12"/>
      <c r="OAX55" s="12"/>
      <c r="OBO55" s="12"/>
      <c r="OBP55" s="12"/>
      <c r="OCG55" s="12"/>
      <c r="OCH55" s="12"/>
      <c r="OCY55" s="12"/>
      <c r="OCZ55" s="12"/>
      <c r="ODQ55" s="12"/>
      <c r="ODR55" s="12"/>
      <c r="OEI55" s="12"/>
      <c r="OEJ55" s="12"/>
      <c r="OFA55" s="12"/>
      <c r="OFB55" s="12"/>
      <c r="OFS55" s="12"/>
      <c r="OFT55" s="12"/>
      <c r="OGK55" s="12"/>
      <c r="OGL55" s="12"/>
      <c r="OHC55" s="12"/>
      <c r="OHD55" s="12"/>
      <c r="OHU55" s="12"/>
      <c r="OHV55" s="12"/>
      <c r="OIM55" s="12"/>
      <c r="OIN55" s="12"/>
      <c r="OJE55" s="12"/>
      <c r="OJF55" s="12"/>
      <c r="OJW55" s="12"/>
      <c r="OJX55" s="12"/>
      <c r="OKO55" s="12"/>
      <c r="OKP55" s="12"/>
      <c r="OLG55" s="12"/>
      <c r="OLH55" s="12"/>
      <c r="OLY55" s="12"/>
      <c r="OLZ55" s="12"/>
      <c r="OMQ55" s="12"/>
      <c r="OMR55" s="12"/>
      <c r="ONI55" s="12"/>
      <c r="ONJ55" s="12"/>
      <c r="OOA55" s="12"/>
      <c r="OOB55" s="12"/>
      <c r="OOS55" s="12"/>
      <c r="OOT55" s="12"/>
      <c r="OPK55" s="12"/>
      <c r="OPL55" s="12"/>
      <c r="OQC55" s="12"/>
      <c r="OQD55" s="12"/>
      <c r="OQU55" s="12"/>
      <c r="OQV55" s="12"/>
      <c r="ORM55" s="12"/>
      <c r="ORN55" s="12"/>
      <c r="OSE55" s="12"/>
      <c r="OSF55" s="12"/>
      <c r="OSW55" s="12"/>
      <c r="OSX55" s="12"/>
      <c r="OTO55" s="12"/>
      <c r="OTP55" s="12"/>
      <c r="OUG55" s="12"/>
      <c r="OUH55" s="12"/>
      <c r="OUY55" s="12"/>
      <c r="OUZ55" s="12"/>
      <c r="OVQ55" s="12"/>
      <c r="OVR55" s="12"/>
      <c r="OWI55" s="12"/>
      <c r="OWJ55" s="12"/>
      <c r="OXA55" s="12"/>
      <c r="OXB55" s="12"/>
      <c r="OXS55" s="12"/>
      <c r="OXT55" s="12"/>
      <c r="OYK55" s="12"/>
      <c r="OYL55" s="12"/>
      <c r="OZC55" s="12"/>
      <c r="OZD55" s="12"/>
      <c r="OZU55" s="12"/>
      <c r="OZV55" s="12"/>
      <c r="PAM55" s="12"/>
      <c r="PAN55" s="12"/>
      <c r="PBE55" s="12"/>
      <c r="PBF55" s="12"/>
      <c r="PBW55" s="12"/>
      <c r="PBX55" s="12"/>
      <c r="PCO55" s="12"/>
      <c r="PCP55" s="12"/>
      <c r="PDG55" s="12"/>
      <c r="PDH55" s="12"/>
      <c r="PDY55" s="12"/>
      <c r="PDZ55" s="12"/>
      <c r="PEQ55" s="12"/>
      <c r="PER55" s="12"/>
      <c r="PFI55" s="12"/>
      <c r="PFJ55" s="12"/>
      <c r="PGA55" s="12"/>
      <c r="PGB55" s="12"/>
      <c r="PGS55" s="12"/>
      <c r="PGT55" s="12"/>
      <c r="PHK55" s="12"/>
      <c r="PHL55" s="12"/>
      <c r="PIC55" s="12"/>
      <c r="PID55" s="12"/>
      <c r="PIU55" s="12"/>
      <c r="PIV55" s="12"/>
      <c r="PJM55" s="12"/>
      <c r="PJN55" s="12"/>
      <c r="PKE55" s="12"/>
      <c r="PKF55" s="12"/>
      <c r="PKW55" s="12"/>
      <c r="PKX55" s="12"/>
      <c r="PLO55" s="12"/>
      <c r="PLP55" s="12"/>
      <c r="PMG55" s="12"/>
      <c r="PMH55" s="12"/>
      <c r="PMY55" s="12"/>
      <c r="PMZ55" s="12"/>
      <c r="PNQ55" s="12"/>
      <c r="PNR55" s="12"/>
      <c r="POI55" s="12"/>
      <c r="POJ55" s="12"/>
      <c r="PPA55" s="12"/>
      <c r="PPB55" s="12"/>
      <c r="PPS55" s="12"/>
      <c r="PPT55" s="12"/>
      <c r="PQK55" s="12"/>
      <c r="PQL55" s="12"/>
      <c r="PRC55" s="12"/>
      <c r="PRD55" s="12"/>
      <c r="PRU55" s="12"/>
      <c r="PRV55" s="12"/>
      <c r="PSM55" s="12"/>
      <c r="PSN55" s="12"/>
      <c r="PTE55" s="12"/>
      <c r="PTF55" s="12"/>
      <c r="PTW55" s="12"/>
      <c r="PTX55" s="12"/>
      <c r="PUO55" s="12"/>
      <c r="PUP55" s="12"/>
      <c r="PVG55" s="12"/>
      <c r="PVH55" s="12"/>
      <c r="PVY55" s="12"/>
      <c r="PVZ55" s="12"/>
      <c r="PWQ55" s="12"/>
      <c r="PWR55" s="12"/>
      <c r="PXI55" s="12"/>
      <c r="PXJ55" s="12"/>
      <c r="PYA55" s="12"/>
      <c r="PYB55" s="12"/>
      <c r="PYS55" s="12"/>
      <c r="PYT55" s="12"/>
      <c r="PZK55" s="12"/>
      <c r="PZL55" s="12"/>
      <c r="QAC55" s="12"/>
      <c r="QAD55" s="12"/>
      <c r="QAU55" s="12"/>
      <c r="QAV55" s="12"/>
      <c r="QBM55" s="12"/>
      <c r="QBN55" s="12"/>
      <c r="QCE55" s="12"/>
      <c r="QCF55" s="12"/>
      <c r="QCW55" s="12"/>
      <c r="QCX55" s="12"/>
      <c r="QDO55" s="12"/>
      <c r="QDP55" s="12"/>
      <c r="QEG55" s="12"/>
      <c r="QEH55" s="12"/>
      <c r="QEY55" s="12"/>
      <c r="QEZ55" s="12"/>
      <c r="QFQ55" s="12"/>
      <c r="QFR55" s="12"/>
      <c r="QGI55" s="12"/>
      <c r="QGJ55" s="12"/>
      <c r="QHA55" s="12"/>
      <c r="QHB55" s="12"/>
      <c r="QHS55" s="12"/>
      <c r="QHT55" s="12"/>
      <c r="QIK55" s="12"/>
      <c r="QIL55" s="12"/>
      <c r="QJC55" s="12"/>
      <c r="QJD55" s="12"/>
      <c r="QJU55" s="12"/>
      <c r="QJV55" s="12"/>
      <c r="QKM55" s="12"/>
      <c r="QKN55" s="12"/>
      <c r="QLE55" s="12"/>
      <c r="QLF55" s="12"/>
      <c r="QLW55" s="12"/>
      <c r="QLX55" s="12"/>
      <c r="QMO55" s="12"/>
      <c r="QMP55" s="12"/>
      <c r="QNG55" s="12"/>
      <c r="QNH55" s="12"/>
      <c r="QNY55" s="12"/>
      <c r="QNZ55" s="12"/>
      <c r="QOQ55" s="12"/>
      <c r="QOR55" s="12"/>
      <c r="QPI55" s="12"/>
      <c r="QPJ55" s="12"/>
      <c r="QQA55" s="12"/>
      <c r="QQB55" s="12"/>
      <c r="QQS55" s="12"/>
      <c r="QQT55" s="12"/>
      <c r="QRK55" s="12"/>
      <c r="QRL55" s="12"/>
      <c r="QSC55" s="12"/>
      <c r="QSD55" s="12"/>
      <c r="QSU55" s="12"/>
      <c r="QSV55" s="12"/>
      <c r="QTM55" s="12"/>
      <c r="QTN55" s="12"/>
      <c r="QUE55" s="12"/>
      <c r="QUF55" s="12"/>
      <c r="QUW55" s="12"/>
      <c r="QUX55" s="12"/>
      <c r="QVO55" s="12"/>
      <c r="QVP55" s="12"/>
      <c r="QWG55" s="12"/>
      <c r="QWH55" s="12"/>
      <c r="QWY55" s="12"/>
      <c r="QWZ55" s="12"/>
      <c r="QXQ55" s="12"/>
      <c r="QXR55" s="12"/>
      <c r="QYI55" s="12"/>
      <c r="QYJ55" s="12"/>
      <c r="QZA55" s="12"/>
      <c r="QZB55" s="12"/>
      <c r="QZS55" s="12"/>
      <c r="QZT55" s="12"/>
      <c r="RAK55" s="12"/>
      <c r="RAL55" s="12"/>
      <c r="RBC55" s="12"/>
      <c r="RBD55" s="12"/>
      <c r="RBU55" s="12"/>
      <c r="RBV55" s="12"/>
      <c r="RCM55" s="12"/>
      <c r="RCN55" s="12"/>
      <c r="RDE55" s="12"/>
      <c r="RDF55" s="12"/>
      <c r="RDW55" s="12"/>
      <c r="RDX55" s="12"/>
      <c r="REO55" s="12"/>
      <c r="REP55" s="12"/>
      <c r="RFG55" s="12"/>
      <c r="RFH55" s="12"/>
      <c r="RFY55" s="12"/>
      <c r="RFZ55" s="12"/>
      <c r="RGQ55" s="12"/>
      <c r="RGR55" s="12"/>
      <c r="RHI55" s="12"/>
      <c r="RHJ55" s="12"/>
      <c r="RIA55" s="12"/>
      <c r="RIB55" s="12"/>
      <c r="RIS55" s="12"/>
      <c r="RIT55" s="12"/>
      <c r="RJK55" s="12"/>
      <c r="RJL55" s="12"/>
      <c r="RKC55" s="12"/>
      <c r="RKD55" s="12"/>
      <c r="RKU55" s="12"/>
      <c r="RKV55" s="12"/>
      <c r="RLM55" s="12"/>
      <c r="RLN55" s="12"/>
      <c r="RME55" s="12"/>
      <c r="RMF55" s="12"/>
      <c r="RMW55" s="12"/>
      <c r="RMX55" s="12"/>
      <c r="RNO55" s="12"/>
      <c r="RNP55" s="12"/>
      <c r="ROG55" s="12"/>
      <c r="ROH55" s="12"/>
      <c r="ROY55" s="12"/>
      <c r="ROZ55" s="12"/>
      <c r="RPQ55" s="12"/>
      <c r="RPR55" s="12"/>
      <c r="RQI55" s="12"/>
      <c r="RQJ55" s="12"/>
      <c r="RRA55" s="12"/>
      <c r="RRB55" s="12"/>
      <c r="RRS55" s="12"/>
      <c r="RRT55" s="12"/>
      <c r="RSK55" s="12"/>
      <c r="RSL55" s="12"/>
      <c r="RTC55" s="12"/>
      <c r="RTD55" s="12"/>
      <c r="RTU55" s="12"/>
      <c r="RTV55" s="12"/>
      <c r="RUM55" s="12"/>
      <c r="RUN55" s="12"/>
      <c r="RVE55" s="12"/>
      <c r="RVF55" s="12"/>
      <c r="RVW55" s="12"/>
      <c r="RVX55" s="12"/>
      <c r="RWO55" s="12"/>
      <c r="RWP55" s="12"/>
      <c r="RXG55" s="12"/>
      <c r="RXH55" s="12"/>
      <c r="RXY55" s="12"/>
      <c r="RXZ55" s="12"/>
      <c r="RYQ55" s="12"/>
      <c r="RYR55" s="12"/>
      <c r="RZI55" s="12"/>
      <c r="RZJ55" s="12"/>
      <c r="SAA55" s="12"/>
      <c r="SAB55" s="12"/>
      <c r="SAS55" s="12"/>
      <c r="SAT55" s="12"/>
      <c r="SBK55" s="12"/>
      <c r="SBL55" s="12"/>
      <c r="SCC55" s="12"/>
      <c r="SCD55" s="12"/>
      <c r="SCU55" s="12"/>
      <c r="SCV55" s="12"/>
      <c r="SDM55" s="12"/>
      <c r="SDN55" s="12"/>
      <c r="SEE55" s="12"/>
      <c r="SEF55" s="12"/>
      <c r="SEW55" s="12"/>
      <c r="SEX55" s="12"/>
      <c r="SFO55" s="12"/>
      <c r="SFP55" s="12"/>
      <c r="SGG55" s="12"/>
      <c r="SGH55" s="12"/>
      <c r="SGY55" s="12"/>
      <c r="SGZ55" s="12"/>
      <c r="SHQ55" s="12"/>
      <c r="SHR55" s="12"/>
      <c r="SII55" s="12"/>
      <c r="SIJ55" s="12"/>
      <c r="SJA55" s="12"/>
      <c r="SJB55" s="12"/>
      <c r="SJS55" s="12"/>
      <c r="SJT55" s="12"/>
      <c r="SKK55" s="12"/>
      <c r="SKL55" s="12"/>
      <c r="SLC55" s="12"/>
      <c r="SLD55" s="12"/>
      <c r="SLU55" s="12"/>
      <c r="SLV55" s="12"/>
      <c r="SMM55" s="12"/>
      <c r="SMN55" s="12"/>
      <c r="SNE55" s="12"/>
      <c r="SNF55" s="12"/>
      <c r="SNW55" s="12"/>
      <c r="SNX55" s="12"/>
      <c r="SOO55" s="12"/>
      <c r="SOP55" s="12"/>
      <c r="SPG55" s="12"/>
      <c r="SPH55" s="12"/>
      <c r="SPY55" s="12"/>
      <c r="SPZ55" s="12"/>
      <c r="SQQ55" s="12"/>
      <c r="SQR55" s="12"/>
      <c r="SRI55" s="12"/>
      <c r="SRJ55" s="12"/>
      <c r="SSA55" s="12"/>
      <c r="SSB55" s="12"/>
      <c r="SSS55" s="12"/>
      <c r="SST55" s="12"/>
      <c r="STK55" s="12"/>
      <c r="STL55" s="12"/>
      <c r="SUC55" s="12"/>
      <c r="SUD55" s="12"/>
      <c r="SUU55" s="12"/>
      <c r="SUV55" s="12"/>
      <c r="SVM55" s="12"/>
      <c r="SVN55" s="12"/>
      <c r="SWE55" s="12"/>
      <c r="SWF55" s="12"/>
      <c r="SWW55" s="12"/>
      <c r="SWX55" s="12"/>
      <c r="SXO55" s="12"/>
      <c r="SXP55" s="12"/>
      <c r="SYG55" s="12"/>
      <c r="SYH55" s="12"/>
      <c r="SYY55" s="12"/>
      <c r="SYZ55" s="12"/>
      <c r="SZQ55" s="12"/>
      <c r="SZR55" s="12"/>
      <c r="TAI55" s="12"/>
      <c r="TAJ55" s="12"/>
      <c r="TBA55" s="12"/>
      <c r="TBB55" s="12"/>
      <c r="TBS55" s="12"/>
      <c r="TBT55" s="12"/>
      <c r="TCK55" s="12"/>
      <c r="TCL55" s="12"/>
      <c r="TDC55" s="12"/>
      <c r="TDD55" s="12"/>
      <c r="TDU55" s="12"/>
      <c r="TDV55" s="12"/>
      <c r="TEM55" s="12"/>
      <c r="TEN55" s="12"/>
      <c r="TFE55" s="12"/>
      <c r="TFF55" s="12"/>
      <c r="TFW55" s="12"/>
      <c r="TFX55" s="12"/>
      <c r="TGO55" s="12"/>
      <c r="TGP55" s="12"/>
      <c r="THG55" s="12"/>
      <c r="THH55" s="12"/>
      <c r="THY55" s="12"/>
      <c r="THZ55" s="12"/>
      <c r="TIQ55" s="12"/>
      <c r="TIR55" s="12"/>
      <c r="TJI55" s="12"/>
      <c r="TJJ55" s="12"/>
      <c r="TKA55" s="12"/>
      <c r="TKB55" s="12"/>
      <c r="TKS55" s="12"/>
      <c r="TKT55" s="12"/>
      <c r="TLK55" s="12"/>
      <c r="TLL55" s="12"/>
      <c r="TMC55" s="12"/>
      <c r="TMD55" s="12"/>
      <c r="TMU55" s="12"/>
      <c r="TMV55" s="12"/>
      <c r="TNM55" s="12"/>
      <c r="TNN55" s="12"/>
      <c r="TOE55" s="12"/>
      <c r="TOF55" s="12"/>
      <c r="TOW55" s="12"/>
      <c r="TOX55" s="12"/>
      <c r="TPO55" s="12"/>
      <c r="TPP55" s="12"/>
      <c r="TQG55" s="12"/>
      <c r="TQH55" s="12"/>
      <c r="TQY55" s="12"/>
      <c r="TQZ55" s="12"/>
      <c r="TRQ55" s="12"/>
      <c r="TRR55" s="12"/>
      <c r="TSI55" s="12"/>
      <c r="TSJ55" s="12"/>
      <c r="TTA55" s="12"/>
      <c r="TTB55" s="12"/>
      <c r="TTS55" s="12"/>
      <c r="TTT55" s="12"/>
      <c r="TUK55" s="12"/>
      <c r="TUL55" s="12"/>
      <c r="TVC55" s="12"/>
      <c r="TVD55" s="12"/>
      <c r="TVU55" s="12"/>
      <c r="TVV55" s="12"/>
      <c r="TWM55" s="12"/>
      <c r="TWN55" s="12"/>
      <c r="TXE55" s="12"/>
      <c r="TXF55" s="12"/>
      <c r="TXW55" s="12"/>
      <c r="TXX55" s="12"/>
      <c r="TYO55" s="12"/>
      <c r="TYP55" s="12"/>
      <c r="TZG55" s="12"/>
      <c r="TZH55" s="12"/>
      <c r="TZY55" s="12"/>
      <c r="TZZ55" s="12"/>
      <c r="UAQ55" s="12"/>
      <c r="UAR55" s="12"/>
      <c r="UBI55" s="12"/>
      <c r="UBJ55" s="12"/>
      <c r="UCA55" s="12"/>
      <c r="UCB55" s="12"/>
      <c r="UCS55" s="12"/>
      <c r="UCT55" s="12"/>
      <c r="UDK55" s="12"/>
      <c r="UDL55" s="12"/>
      <c r="UEC55" s="12"/>
      <c r="UED55" s="12"/>
      <c r="UEU55" s="12"/>
      <c r="UEV55" s="12"/>
      <c r="UFM55" s="12"/>
      <c r="UFN55" s="12"/>
      <c r="UGE55" s="12"/>
      <c r="UGF55" s="12"/>
      <c r="UGW55" s="12"/>
      <c r="UGX55" s="12"/>
      <c r="UHO55" s="12"/>
      <c r="UHP55" s="12"/>
      <c r="UIG55" s="12"/>
      <c r="UIH55" s="12"/>
      <c r="UIY55" s="12"/>
      <c r="UIZ55" s="12"/>
      <c r="UJQ55" s="12"/>
      <c r="UJR55" s="12"/>
      <c r="UKI55" s="12"/>
      <c r="UKJ55" s="12"/>
      <c r="ULA55" s="12"/>
      <c r="ULB55" s="12"/>
      <c r="ULS55" s="12"/>
      <c r="ULT55" s="12"/>
      <c r="UMK55" s="12"/>
      <c r="UML55" s="12"/>
      <c r="UNC55" s="12"/>
      <c r="UND55" s="12"/>
      <c r="UNU55" s="12"/>
      <c r="UNV55" s="12"/>
      <c r="UOM55" s="12"/>
      <c r="UON55" s="12"/>
      <c r="UPE55" s="12"/>
      <c r="UPF55" s="12"/>
      <c r="UPW55" s="12"/>
      <c r="UPX55" s="12"/>
      <c r="UQO55" s="12"/>
      <c r="UQP55" s="12"/>
      <c r="URG55" s="12"/>
      <c r="URH55" s="12"/>
      <c r="URY55" s="12"/>
      <c r="URZ55" s="12"/>
      <c r="USQ55" s="12"/>
      <c r="USR55" s="12"/>
      <c r="UTI55" s="12"/>
      <c r="UTJ55" s="12"/>
      <c r="UUA55" s="12"/>
      <c r="UUB55" s="12"/>
      <c r="UUS55" s="12"/>
      <c r="UUT55" s="12"/>
      <c r="UVK55" s="12"/>
      <c r="UVL55" s="12"/>
      <c r="UWC55" s="12"/>
      <c r="UWD55" s="12"/>
      <c r="UWU55" s="12"/>
      <c r="UWV55" s="12"/>
      <c r="UXM55" s="12"/>
      <c r="UXN55" s="12"/>
      <c r="UYE55" s="12"/>
      <c r="UYF55" s="12"/>
      <c r="UYW55" s="12"/>
      <c r="UYX55" s="12"/>
      <c r="UZO55" s="12"/>
      <c r="UZP55" s="12"/>
      <c r="VAG55" s="12"/>
      <c r="VAH55" s="12"/>
      <c r="VAY55" s="12"/>
      <c r="VAZ55" s="12"/>
      <c r="VBQ55" s="12"/>
      <c r="VBR55" s="12"/>
      <c r="VCI55" s="12"/>
      <c r="VCJ55" s="12"/>
      <c r="VDA55" s="12"/>
      <c r="VDB55" s="12"/>
      <c r="VDS55" s="12"/>
      <c r="VDT55" s="12"/>
      <c r="VEK55" s="12"/>
      <c r="VEL55" s="12"/>
      <c r="VFC55" s="12"/>
      <c r="VFD55" s="12"/>
      <c r="VFU55" s="12"/>
      <c r="VFV55" s="12"/>
      <c r="VGM55" s="12"/>
      <c r="VGN55" s="12"/>
      <c r="VHE55" s="12"/>
      <c r="VHF55" s="12"/>
      <c r="VHW55" s="12"/>
      <c r="VHX55" s="12"/>
      <c r="VIO55" s="12"/>
      <c r="VIP55" s="12"/>
      <c r="VJG55" s="12"/>
      <c r="VJH55" s="12"/>
      <c r="VJY55" s="12"/>
      <c r="VJZ55" s="12"/>
      <c r="VKQ55" s="12"/>
      <c r="VKR55" s="12"/>
      <c r="VLI55" s="12"/>
      <c r="VLJ55" s="12"/>
      <c r="VMA55" s="12"/>
      <c r="VMB55" s="12"/>
      <c r="VMS55" s="12"/>
      <c r="VMT55" s="12"/>
      <c r="VNK55" s="12"/>
      <c r="VNL55" s="12"/>
      <c r="VOC55" s="12"/>
      <c r="VOD55" s="12"/>
      <c r="VOU55" s="12"/>
      <c r="VOV55" s="12"/>
      <c r="VPM55" s="12"/>
      <c r="VPN55" s="12"/>
      <c r="VQE55" s="12"/>
      <c r="VQF55" s="12"/>
      <c r="VQW55" s="12"/>
      <c r="VQX55" s="12"/>
      <c r="VRO55" s="12"/>
      <c r="VRP55" s="12"/>
      <c r="VSG55" s="12"/>
      <c r="VSH55" s="12"/>
      <c r="VSY55" s="12"/>
      <c r="VSZ55" s="12"/>
      <c r="VTQ55" s="12"/>
      <c r="VTR55" s="12"/>
      <c r="VUI55" s="12"/>
      <c r="VUJ55" s="12"/>
      <c r="VVA55" s="12"/>
      <c r="VVB55" s="12"/>
      <c r="VVS55" s="12"/>
      <c r="VVT55" s="12"/>
      <c r="VWK55" s="12"/>
      <c r="VWL55" s="12"/>
      <c r="VXC55" s="12"/>
      <c r="VXD55" s="12"/>
      <c r="VXU55" s="12"/>
      <c r="VXV55" s="12"/>
      <c r="VYM55" s="12"/>
      <c r="VYN55" s="12"/>
      <c r="VZE55" s="12"/>
      <c r="VZF55" s="12"/>
      <c r="VZW55" s="12"/>
      <c r="VZX55" s="12"/>
      <c r="WAO55" s="12"/>
      <c r="WAP55" s="12"/>
      <c r="WBG55" s="12"/>
      <c r="WBH55" s="12"/>
      <c r="WBY55" s="12"/>
      <c r="WBZ55" s="12"/>
      <c r="WCQ55" s="12"/>
      <c r="WCR55" s="12"/>
      <c r="WDI55" s="12"/>
      <c r="WDJ55" s="12"/>
      <c r="WEA55" s="12"/>
      <c r="WEB55" s="12"/>
      <c r="WES55" s="12"/>
      <c r="WET55" s="12"/>
      <c r="WFK55" s="12"/>
      <c r="WFL55" s="12"/>
      <c r="WGC55" s="12"/>
      <c r="WGD55" s="12"/>
      <c r="WGU55" s="12"/>
      <c r="WGV55" s="12"/>
      <c r="WHM55" s="12"/>
      <c r="WHN55" s="12"/>
      <c r="WIE55" s="12"/>
      <c r="WIF55" s="12"/>
      <c r="WIW55" s="12"/>
      <c r="WIX55" s="12"/>
      <c r="WJO55" s="12"/>
      <c r="WJP55" s="12"/>
      <c r="WKG55" s="12"/>
      <c r="WKH55" s="12"/>
      <c r="WKY55" s="12"/>
      <c r="WKZ55" s="12"/>
      <c r="WLQ55" s="12"/>
      <c r="WLR55" s="12"/>
      <c r="WMI55" s="12"/>
      <c r="WMJ55" s="12"/>
      <c r="WNA55" s="12"/>
      <c r="WNB55" s="12"/>
      <c r="WNS55" s="12"/>
      <c r="WNT55" s="12"/>
      <c r="WOK55" s="12"/>
      <c r="WOL55" s="12"/>
      <c r="WPC55" s="12"/>
      <c r="WPD55" s="12"/>
      <c r="WPU55" s="12"/>
      <c r="WPV55" s="12"/>
      <c r="WQM55" s="12"/>
      <c r="WQN55" s="12"/>
      <c r="WRE55" s="12"/>
      <c r="WRF55" s="12"/>
      <c r="WRW55" s="12"/>
      <c r="WRX55" s="12"/>
      <c r="WSO55" s="12"/>
      <c r="WSP55" s="12"/>
      <c r="WTG55" s="12"/>
      <c r="WTH55" s="12"/>
      <c r="WTY55" s="12"/>
      <c r="WTZ55" s="12"/>
      <c r="WUQ55" s="12"/>
      <c r="WUR55" s="12"/>
      <c r="WVI55" s="12"/>
      <c r="WVJ55" s="12"/>
      <c r="WWA55" s="12"/>
      <c r="WWB55" s="12"/>
      <c r="WWS55" s="12"/>
      <c r="WWT55" s="12"/>
      <c r="WXK55" s="12"/>
      <c r="WXL55" s="12"/>
      <c r="WYC55" s="12"/>
      <c r="WYD55" s="12"/>
      <c r="WYU55" s="12"/>
      <c r="WYV55" s="12"/>
      <c r="WZM55" s="12"/>
      <c r="WZN55" s="12"/>
      <c r="XAE55" s="12"/>
      <c r="XAF55" s="12"/>
      <c r="XAW55" s="12"/>
      <c r="XAX55" s="12"/>
      <c r="XBO55" s="12"/>
      <c r="XBP55" s="12"/>
      <c r="XCG55" s="12"/>
      <c r="XCH55" s="12"/>
      <c r="XCY55" s="12"/>
      <c r="XCZ55" s="12"/>
      <c r="XDQ55" s="12"/>
      <c r="XDR55" s="12"/>
      <c r="XEI55" s="12"/>
      <c r="XEJ55" s="12"/>
      <c r="XFA55" s="12"/>
      <c r="XFB55" s="12"/>
    </row>
    <row r="56" spans="1:1010 1027:2036 2053:3062 3079:4088 4105:5114 5131:6140 6157:7166 7183:8192 8209:9200 9217:10226 10243:11252 11269:12278 12295:13304 13321:14330 14347:15356 15373:16382" x14ac:dyDescent="0.35">
      <c r="A56" s="181" t="s">
        <v>420</v>
      </c>
      <c r="B56" s="294" t="s">
        <v>421</v>
      </c>
      <c r="C56" s="198">
        <v>0.113</v>
      </c>
      <c r="D56" s="198">
        <v>3.02</v>
      </c>
      <c r="E56" s="198">
        <v>2.7879999999999998</v>
      </c>
      <c r="F56" s="198">
        <v>0.17699999999999999</v>
      </c>
      <c r="G56" s="198">
        <v>1.5449999999999999</v>
      </c>
      <c r="H56" s="198">
        <v>3.9649999999999999</v>
      </c>
      <c r="I56" s="198">
        <v>2.8940000000000001</v>
      </c>
      <c r="J56" s="198">
        <v>3.2000000000000001E-2</v>
      </c>
      <c r="K56" s="198">
        <v>0.47899999999999998</v>
      </c>
      <c r="L56" s="198">
        <v>1.5069999999999999</v>
      </c>
      <c r="M56" s="11"/>
      <c r="N56" s="11"/>
      <c r="O56" s="11"/>
      <c r="P56" s="11"/>
      <c r="Q56" s="11"/>
      <c r="R56" s="11"/>
    </row>
    <row r="57" spans="1:1010 1027:2036 2053:3062 3079:4088 4105:5114 5131:6140 6157:7166 7183:8192 8209:9200 9217:10226 10243:11252 11269:12278 12295:13304 13321:14330 14347:15356 15373:16382" x14ac:dyDescent="0.35">
      <c r="A57" s="181" t="s">
        <v>422</v>
      </c>
      <c r="B57" s="294" t="s">
        <v>423</v>
      </c>
      <c r="C57" s="198">
        <v>-48.335000000000001</v>
      </c>
      <c r="D57" s="198">
        <v>0</v>
      </c>
      <c r="E57" s="198">
        <v>0</v>
      </c>
      <c r="F57" s="198">
        <v>0</v>
      </c>
      <c r="G57" s="198">
        <v>0</v>
      </c>
      <c r="H57" s="198">
        <v>0</v>
      </c>
      <c r="I57" s="198">
        <v>0</v>
      </c>
      <c r="J57" s="198">
        <v>0</v>
      </c>
      <c r="K57" s="198">
        <v>-22.454000000000001</v>
      </c>
      <c r="L57" s="198">
        <v>-11.532</v>
      </c>
      <c r="M57" s="11"/>
      <c r="N57" s="11"/>
      <c r="O57" s="11"/>
      <c r="P57" s="11"/>
      <c r="Q57" s="11"/>
      <c r="R57" s="11"/>
    </row>
    <row r="58" spans="1:1010 1027:2036 2053:3062 3079:4088 4105:5114 5131:6140 6157:7166 7183:8192 8209:9200 9217:10226 10243:11252 11269:12278 12295:13304 13321:14330 14347:15356 15373:16382" x14ac:dyDescent="0.35">
      <c r="A58" s="23" t="s">
        <v>29</v>
      </c>
      <c r="B58" s="295"/>
      <c r="C58" s="321">
        <f t="shared" ref="C58:L58" si="8">ROUND(SUM(C56:C57)-IF(C55="",0,C55),1)</f>
        <v>0</v>
      </c>
      <c r="D58" s="321">
        <f t="shared" si="8"/>
        <v>0</v>
      </c>
      <c r="E58" s="321">
        <f t="shared" si="8"/>
        <v>0</v>
      </c>
      <c r="F58" s="321">
        <f t="shared" si="8"/>
        <v>0</v>
      </c>
      <c r="G58" s="321">
        <f t="shared" si="8"/>
        <v>0</v>
      </c>
      <c r="H58" s="321">
        <f t="shared" si="8"/>
        <v>0</v>
      </c>
      <c r="I58" s="321">
        <f t="shared" si="8"/>
        <v>0</v>
      </c>
      <c r="J58" s="321">
        <f t="shared" si="8"/>
        <v>0</v>
      </c>
      <c r="K58" s="321">
        <f t="shared" si="8"/>
        <v>0</v>
      </c>
      <c r="L58" s="321">
        <f t="shared" si="8"/>
        <v>0</v>
      </c>
      <c r="M58" s="118"/>
      <c r="N58" s="118"/>
      <c r="O58" s="118"/>
      <c r="P58" s="118"/>
      <c r="Q58" s="118"/>
      <c r="R58" s="118"/>
    </row>
    <row r="59" spans="1:1010 1027:2036 2053:3062 3079:4088 4105:5114 5131:6140 6157:7166 7183:8192 8209:9200 9217:10226 10243:11252 11269:12278 12295:13304 13321:14330 14347:15356 15373:16382" s="11" customFormat="1" x14ac:dyDescent="0.35">
      <c r="A59" s="183" t="s">
        <v>424</v>
      </c>
      <c r="B59" s="293" t="s">
        <v>425</v>
      </c>
      <c r="C59" s="184">
        <v>-0.71199999999999997</v>
      </c>
      <c r="D59" s="184">
        <v>-0.63500000000000001</v>
      </c>
      <c r="E59" s="184">
        <v>-0.83299999999999996</v>
      </c>
      <c r="F59" s="184">
        <v>-1.2390000000000001</v>
      </c>
      <c r="G59" s="184">
        <v>-1.111</v>
      </c>
      <c r="H59" s="184">
        <v>-1.2689999999999999</v>
      </c>
      <c r="I59" s="184">
        <v>-0.76900000000000002</v>
      </c>
      <c r="J59" s="184">
        <v>-2.0270000000000001</v>
      </c>
      <c r="K59" s="184">
        <v>-1.575</v>
      </c>
      <c r="L59" s="184">
        <v>-1.45</v>
      </c>
      <c r="S59" s="12"/>
      <c r="T59" s="12"/>
      <c r="AK59" s="12"/>
      <c r="AL59" s="12"/>
      <c r="BC59" s="12"/>
      <c r="BD59" s="12"/>
      <c r="BU59" s="12"/>
      <c r="BV59" s="12"/>
      <c r="CM59" s="12"/>
      <c r="CN59" s="12"/>
      <c r="DE59" s="12"/>
      <c r="DF59" s="12"/>
      <c r="DW59" s="12"/>
      <c r="DX59" s="12"/>
      <c r="EO59" s="12"/>
      <c r="EP59" s="12"/>
      <c r="FG59" s="12"/>
      <c r="FH59" s="12"/>
      <c r="FY59" s="12"/>
      <c r="FZ59" s="12"/>
      <c r="GQ59" s="12"/>
      <c r="GR59" s="12"/>
      <c r="HI59" s="12"/>
      <c r="HJ59" s="12"/>
      <c r="IA59" s="12"/>
      <c r="IB59" s="12"/>
      <c r="IS59" s="12"/>
      <c r="IT59" s="12"/>
      <c r="JK59" s="12"/>
      <c r="JL59" s="12"/>
      <c r="KC59" s="12"/>
      <c r="KD59" s="12"/>
      <c r="KU59" s="12"/>
      <c r="KV59" s="12"/>
      <c r="LM59" s="12"/>
      <c r="LN59" s="12"/>
      <c r="ME59" s="12"/>
      <c r="MF59" s="12"/>
      <c r="MW59" s="12"/>
      <c r="MX59" s="12"/>
      <c r="NO59" s="12"/>
      <c r="NP59" s="12"/>
      <c r="OG59" s="12"/>
      <c r="OH59" s="12"/>
      <c r="OY59" s="12"/>
      <c r="OZ59" s="12"/>
      <c r="PQ59" s="12"/>
      <c r="PR59" s="12"/>
      <c r="QI59" s="12"/>
      <c r="QJ59" s="12"/>
      <c r="RA59" s="12"/>
      <c r="RB59" s="12"/>
      <c r="RS59" s="12"/>
      <c r="RT59" s="12"/>
      <c r="SK59" s="12"/>
      <c r="SL59" s="12"/>
      <c r="TC59" s="12"/>
      <c r="TD59" s="12"/>
      <c r="TU59" s="12"/>
      <c r="TV59" s="12"/>
      <c r="UM59" s="12"/>
      <c r="UN59" s="12"/>
      <c r="VE59" s="12"/>
      <c r="VF59" s="12"/>
      <c r="VW59" s="12"/>
      <c r="VX59" s="12"/>
      <c r="WO59" s="12"/>
      <c r="WP59" s="12"/>
      <c r="XG59" s="12"/>
      <c r="XH59" s="12"/>
      <c r="XY59" s="12"/>
      <c r="XZ59" s="12"/>
      <c r="YQ59" s="12"/>
      <c r="YR59" s="12"/>
      <c r="ZI59" s="12"/>
      <c r="ZJ59" s="12"/>
      <c r="AAA59" s="12"/>
      <c r="AAB59" s="12"/>
      <c r="AAS59" s="12"/>
      <c r="AAT59" s="12"/>
      <c r="ABK59" s="12"/>
      <c r="ABL59" s="12"/>
      <c r="ACC59" s="12"/>
      <c r="ACD59" s="12"/>
      <c r="ACU59" s="12"/>
      <c r="ACV59" s="12"/>
      <c r="ADM59" s="12"/>
      <c r="ADN59" s="12"/>
      <c r="AEE59" s="12"/>
      <c r="AEF59" s="12"/>
      <c r="AEW59" s="12"/>
      <c r="AEX59" s="12"/>
      <c r="AFO59" s="12"/>
      <c r="AFP59" s="12"/>
      <c r="AGG59" s="12"/>
      <c r="AGH59" s="12"/>
      <c r="AGY59" s="12"/>
      <c r="AGZ59" s="12"/>
      <c r="AHQ59" s="12"/>
      <c r="AHR59" s="12"/>
      <c r="AII59" s="12"/>
      <c r="AIJ59" s="12"/>
      <c r="AJA59" s="12"/>
      <c r="AJB59" s="12"/>
      <c r="AJS59" s="12"/>
      <c r="AJT59" s="12"/>
      <c r="AKK59" s="12"/>
      <c r="AKL59" s="12"/>
      <c r="ALC59" s="12"/>
      <c r="ALD59" s="12"/>
      <c r="ALU59" s="12"/>
      <c r="ALV59" s="12"/>
      <c r="AMM59" s="12"/>
      <c r="AMN59" s="12"/>
      <c r="ANE59" s="12"/>
      <c r="ANF59" s="12"/>
      <c r="ANW59" s="12"/>
      <c r="ANX59" s="12"/>
      <c r="AOO59" s="12"/>
      <c r="AOP59" s="12"/>
      <c r="APG59" s="12"/>
      <c r="APH59" s="12"/>
      <c r="APY59" s="12"/>
      <c r="APZ59" s="12"/>
      <c r="AQQ59" s="12"/>
      <c r="AQR59" s="12"/>
      <c r="ARI59" s="12"/>
      <c r="ARJ59" s="12"/>
      <c r="ASA59" s="12"/>
      <c r="ASB59" s="12"/>
      <c r="ASS59" s="12"/>
      <c r="AST59" s="12"/>
      <c r="ATK59" s="12"/>
      <c r="ATL59" s="12"/>
      <c r="AUC59" s="12"/>
      <c r="AUD59" s="12"/>
      <c r="AUU59" s="12"/>
      <c r="AUV59" s="12"/>
      <c r="AVM59" s="12"/>
      <c r="AVN59" s="12"/>
      <c r="AWE59" s="12"/>
      <c r="AWF59" s="12"/>
      <c r="AWW59" s="12"/>
      <c r="AWX59" s="12"/>
      <c r="AXO59" s="12"/>
      <c r="AXP59" s="12"/>
      <c r="AYG59" s="12"/>
      <c r="AYH59" s="12"/>
      <c r="AYY59" s="12"/>
      <c r="AYZ59" s="12"/>
      <c r="AZQ59" s="12"/>
      <c r="AZR59" s="12"/>
      <c r="BAI59" s="12"/>
      <c r="BAJ59" s="12"/>
      <c r="BBA59" s="12"/>
      <c r="BBB59" s="12"/>
      <c r="BBS59" s="12"/>
      <c r="BBT59" s="12"/>
      <c r="BCK59" s="12"/>
      <c r="BCL59" s="12"/>
      <c r="BDC59" s="12"/>
      <c r="BDD59" s="12"/>
      <c r="BDU59" s="12"/>
      <c r="BDV59" s="12"/>
      <c r="BEM59" s="12"/>
      <c r="BEN59" s="12"/>
      <c r="BFE59" s="12"/>
      <c r="BFF59" s="12"/>
      <c r="BFW59" s="12"/>
      <c r="BFX59" s="12"/>
      <c r="BGO59" s="12"/>
      <c r="BGP59" s="12"/>
      <c r="BHG59" s="12"/>
      <c r="BHH59" s="12"/>
      <c r="BHY59" s="12"/>
      <c r="BHZ59" s="12"/>
      <c r="BIQ59" s="12"/>
      <c r="BIR59" s="12"/>
      <c r="BJI59" s="12"/>
      <c r="BJJ59" s="12"/>
      <c r="BKA59" s="12"/>
      <c r="BKB59" s="12"/>
      <c r="BKS59" s="12"/>
      <c r="BKT59" s="12"/>
      <c r="BLK59" s="12"/>
      <c r="BLL59" s="12"/>
      <c r="BMC59" s="12"/>
      <c r="BMD59" s="12"/>
      <c r="BMU59" s="12"/>
      <c r="BMV59" s="12"/>
      <c r="BNM59" s="12"/>
      <c r="BNN59" s="12"/>
      <c r="BOE59" s="12"/>
      <c r="BOF59" s="12"/>
      <c r="BOW59" s="12"/>
      <c r="BOX59" s="12"/>
      <c r="BPO59" s="12"/>
      <c r="BPP59" s="12"/>
      <c r="BQG59" s="12"/>
      <c r="BQH59" s="12"/>
      <c r="BQY59" s="12"/>
      <c r="BQZ59" s="12"/>
      <c r="BRQ59" s="12"/>
      <c r="BRR59" s="12"/>
      <c r="BSI59" s="12"/>
      <c r="BSJ59" s="12"/>
      <c r="BTA59" s="12"/>
      <c r="BTB59" s="12"/>
      <c r="BTS59" s="12"/>
      <c r="BTT59" s="12"/>
      <c r="BUK59" s="12"/>
      <c r="BUL59" s="12"/>
      <c r="BVC59" s="12"/>
      <c r="BVD59" s="12"/>
      <c r="BVU59" s="12"/>
      <c r="BVV59" s="12"/>
      <c r="BWM59" s="12"/>
      <c r="BWN59" s="12"/>
      <c r="BXE59" s="12"/>
      <c r="BXF59" s="12"/>
      <c r="BXW59" s="12"/>
      <c r="BXX59" s="12"/>
      <c r="BYO59" s="12"/>
      <c r="BYP59" s="12"/>
      <c r="BZG59" s="12"/>
      <c r="BZH59" s="12"/>
      <c r="BZY59" s="12"/>
      <c r="BZZ59" s="12"/>
      <c r="CAQ59" s="12"/>
      <c r="CAR59" s="12"/>
      <c r="CBI59" s="12"/>
      <c r="CBJ59" s="12"/>
      <c r="CCA59" s="12"/>
      <c r="CCB59" s="12"/>
      <c r="CCS59" s="12"/>
      <c r="CCT59" s="12"/>
      <c r="CDK59" s="12"/>
      <c r="CDL59" s="12"/>
      <c r="CEC59" s="12"/>
      <c r="CED59" s="12"/>
      <c r="CEU59" s="12"/>
      <c r="CEV59" s="12"/>
      <c r="CFM59" s="12"/>
      <c r="CFN59" s="12"/>
      <c r="CGE59" s="12"/>
      <c r="CGF59" s="12"/>
      <c r="CGW59" s="12"/>
      <c r="CGX59" s="12"/>
      <c r="CHO59" s="12"/>
      <c r="CHP59" s="12"/>
      <c r="CIG59" s="12"/>
      <c r="CIH59" s="12"/>
      <c r="CIY59" s="12"/>
      <c r="CIZ59" s="12"/>
      <c r="CJQ59" s="12"/>
      <c r="CJR59" s="12"/>
      <c r="CKI59" s="12"/>
      <c r="CKJ59" s="12"/>
      <c r="CLA59" s="12"/>
      <c r="CLB59" s="12"/>
      <c r="CLS59" s="12"/>
      <c r="CLT59" s="12"/>
      <c r="CMK59" s="12"/>
      <c r="CML59" s="12"/>
      <c r="CNC59" s="12"/>
      <c r="CND59" s="12"/>
      <c r="CNU59" s="12"/>
      <c r="CNV59" s="12"/>
      <c r="COM59" s="12"/>
      <c r="CON59" s="12"/>
      <c r="CPE59" s="12"/>
      <c r="CPF59" s="12"/>
      <c r="CPW59" s="12"/>
      <c r="CPX59" s="12"/>
      <c r="CQO59" s="12"/>
      <c r="CQP59" s="12"/>
      <c r="CRG59" s="12"/>
      <c r="CRH59" s="12"/>
      <c r="CRY59" s="12"/>
      <c r="CRZ59" s="12"/>
      <c r="CSQ59" s="12"/>
      <c r="CSR59" s="12"/>
      <c r="CTI59" s="12"/>
      <c r="CTJ59" s="12"/>
      <c r="CUA59" s="12"/>
      <c r="CUB59" s="12"/>
      <c r="CUS59" s="12"/>
      <c r="CUT59" s="12"/>
      <c r="CVK59" s="12"/>
      <c r="CVL59" s="12"/>
      <c r="CWC59" s="12"/>
      <c r="CWD59" s="12"/>
      <c r="CWU59" s="12"/>
      <c r="CWV59" s="12"/>
      <c r="CXM59" s="12"/>
      <c r="CXN59" s="12"/>
      <c r="CYE59" s="12"/>
      <c r="CYF59" s="12"/>
      <c r="CYW59" s="12"/>
      <c r="CYX59" s="12"/>
      <c r="CZO59" s="12"/>
      <c r="CZP59" s="12"/>
      <c r="DAG59" s="12"/>
      <c r="DAH59" s="12"/>
      <c r="DAY59" s="12"/>
      <c r="DAZ59" s="12"/>
      <c r="DBQ59" s="12"/>
      <c r="DBR59" s="12"/>
      <c r="DCI59" s="12"/>
      <c r="DCJ59" s="12"/>
      <c r="DDA59" s="12"/>
      <c r="DDB59" s="12"/>
      <c r="DDS59" s="12"/>
      <c r="DDT59" s="12"/>
      <c r="DEK59" s="12"/>
      <c r="DEL59" s="12"/>
      <c r="DFC59" s="12"/>
      <c r="DFD59" s="12"/>
      <c r="DFU59" s="12"/>
      <c r="DFV59" s="12"/>
      <c r="DGM59" s="12"/>
      <c r="DGN59" s="12"/>
      <c r="DHE59" s="12"/>
      <c r="DHF59" s="12"/>
      <c r="DHW59" s="12"/>
      <c r="DHX59" s="12"/>
      <c r="DIO59" s="12"/>
      <c r="DIP59" s="12"/>
      <c r="DJG59" s="12"/>
      <c r="DJH59" s="12"/>
      <c r="DJY59" s="12"/>
      <c r="DJZ59" s="12"/>
      <c r="DKQ59" s="12"/>
      <c r="DKR59" s="12"/>
      <c r="DLI59" s="12"/>
      <c r="DLJ59" s="12"/>
      <c r="DMA59" s="12"/>
      <c r="DMB59" s="12"/>
      <c r="DMS59" s="12"/>
      <c r="DMT59" s="12"/>
      <c r="DNK59" s="12"/>
      <c r="DNL59" s="12"/>
      <c r="DOC59" s="12"/>
      <c r="DOD59" s="12"/>
      <c r="DOU59" s="12"/>
      <c r="DOV59" s="12"/>
      <c r="DPM59" s="12"/>
      <c r="DPN59" s="12"/>
      <c r="DQE59" s="12"/>
      <c r="DQF59" s="12"/>
      <c r="DQW59" s="12"/>
      <c r="DQX59" s="12"/>
      <c r="DRO59" s="12"/>
      <c r="DRP59" s="12"/>
      <c r="DSG59" s="12"/>
      <c r="DSH59" s="12"/>
      <c r="DSY59" s="12"/>
      <c r="DSZ59" s="12"/>
      <c r="DTQ59" s="12"/>
      <c r="DTR59" s="12"/>
      <c r="DUI59" s="12"/>
      <c r="DUJ59" s="12"/>
      <c r="DVA59" s="12"/>
      <c r="DVB59" s="12"/>
      <c r="DVS59" s="12"/>
      <c r="DVT59" s="12"/>
      <c r="DWK59" s="12"/>
      <c r="DWL59" s="12"/>
      <c r="DXC59" s="12"/>
      <c r="DXD59" s="12"/>
      <c r="DXU59" s="12"/>
      <c r="DXV59" s="12"/>
      <c r="DYM59" s="12"/>
      <c r="DYN59" s="12"/>
      <c r="DZE59" s="12"/>
      <c r="DZF59" s="12"/>
      <c r="DZW59" s="12"/>
      <c r="DZX59" s="12"/>
      <c r="EAO59" s="12"/>
      <c r="EAP59" s="12"/>
      <c r="EBG59" s="12"/>
      <c r="EBH59" s="12"/>
      <c r="EBY59" s="12"/>
      <c r="EBZ59" s="12"/>
      <c r="ECQ59" s="12"/>
      <c r="ECR59" s="12"/>
      <c r="EDI59" s="12"/>
      <c r="EDJ59" s="12"/>
      <c r="EEA59" s="12"/>
      <c r="EEB59" s="12"/>
      <c r="EES59" s="12"/>
      <c r="EET59" s="12"/>
      <c r="EFK59" s="12"/>
      <c r="EFL59" s="12"/>
      <c r="EGC59" s="12"/>
      <c r="EGD59" s="12"/>
      <c r="EGU59" s="12"/>
      <c r="EGV59" s="12"/>
      <c r="EHM59" s="12"/>
      <c r="EHN59" s="12"/>
      <c r="EIE59" s="12"/>
      <c r="EIF59" s="12"/>
      <c r="EIW59" s="12"/>
      <c r="EIX59" s="12"/>
      <c r="EJO59" s="12"/>
      <c r="EJP59" s="12"/>
      <c r="EKG59" s="12"/>
      <c r="EKH59" s="12"/>
      <c r="EKY59" s="12"/>
      <c r="EKZ59" s="12"/>
      <c r="ELQ59" s="12"/>
      <c r="ELR59" s="12"/>
      <c r="EMI59" s="12"/>
      <c r="EMJ59" s="12"/>
      <c r="ENA59" s="12"/>
      <c r="ENB59" s="12"/>
      <c r="ENS59" s="12"/>
      <c r="ENT59" s="12"/>
      <c r="EOK59" s="12"/>
      <c r="EOL59" s="12"/>
      <c r="EPC59" s="12"/>
      <c r="EPD59" s="12"/>
      <c r="EPU59" s="12"/>
      <c r="EPV59" s="12"/>
      <c r="EQM59" s="12"/>
      <c r="EQN59" s="12"/>
      <c r="ERE59" s="12"/>
      <c r="ERF59" s="12"/>
      <c r="ERW59" s="12"/>
      <c r="ERX59" s="12"/>
      <c r="ESO59" s="12"/>
      <c r="ESP59" s="12"/>
      <c r="ETG59" s="12"/>
      <c r="ETH59" s="12"/>
      <c r="ETY59" s="12"/>
      <c r="ETZ59" s="12"/>
      <c r="EUQ59" s="12"/>
      <c r="EUR59" s="12"/>
      <c r="EVI59" s="12"/>
      <c r="EVJ59" s="12"/>
      <c r="EWA59" s="12"/>
      <c r="EWB59" s="12"/>
      <c r="EWS59" s="12"/>
      <c r="EWT59" s="12"/>
      <c r="EXK59" s="12"/>
      <c r="EXL59" s="12"/>
      <c r="EYC59" s="12"/>
      <c r="EYD59" s="12"/>
      <c r="EYU59" s="12"/>
      <c r="EYV59" s="12"/>
      <c r="EZM59" s="12"/>
      <c r="EZN59" s="12"/>
      <c r="FAE59" s="12"/>
      <c r="FAF59" s="12"/>
      <c r="FAW59" s="12"/>
      <c r="FAX59" s="12"/>
      <c r="FBO59" s="12"/>
      <c r="FBP59" s="12"/>
      <c r="FCG59" s="12"/>
      <c r="FCH59" s="12"/>
      <c r="FCY59" s="12"/>
      <c r="FCZ59" s="12"/>
      <c r="FDQ59" s="12"/>
      <c r="FDR59" s="12"/>
      <c r="FEI59" s="12"/>
      <c r="FEJ59" s="12"/>
      <c r="FFA59" s="12"/>
      <c r="FFB59" s="12"/>
      <c r="FFS59" s="12"/>
      <c r="FFT59" s="12"/>
      <c r="FGK59" s="12"/>
      <c r="FGL59" s="12"/>
      <c r="FHC59" s="12"/>
      <c r="FHD59" s="12"/>
      <c r="FHU59" s="12"/>
      <c r="FHV59" s="12"/>
      <c r="FIM59" s="12"/>
      <c r="FIN59" s="12"/>
      <c r="FJE59" s="12"/>
      <c r="FJF59" s="12"/>
      <c r="FJW59" s="12"/>
      <c r="FJX59" s="12"/>
      <c r="FKO59" s="12"/>
      <c r="FKP59" s="12"/>
      <c r="FLG59" s="12"/>
      <c r="FLH59" s="12"/>
      <c r="FLY59" s="12"/>
      <c r="FLZ59" s="12"/>
      <c r="FMQ59" s="12"/>
      <c r="FMR59" s="12"/>
      <c r="FNI59" s="12"/>
      <c r="FNJ59" s="12"/>
      <c r="FOA59" s="12"/>
      <c r="FOB59" s="12"/>
      <c r="FOS59" s="12"/>
      <c r="FOT59" s="12"/>
      <c r="FPK59" s="12"/>
      <c r="FPL59" s="12"/>
      <c r="FQC59" s="12"/>
      <c r="FQD59" s="12"/>
      <c r="FQU59" s="12"/>
      <c r="FQV59" s="12"/>
      <c r="FRM59" s="12"/>
      <c r="FRN59" s="12"/>
      <c r="FSE59" s="12"/>
      <c r="FSF59" s="12"/>
      <c r="FSW59" s="12"/>
      <c r="FSX59" s="12"/>
      <c r="FTO59" s="12"/>
      <c r="FTP59" s="12"/>
      <c r="FUG59" s="12"/>
      <c r="FUH59" s="12"/>
      <c r="FUY59" s="12"/>
      <c r="FUZ59" s="12"/>
      <c r="FVQ59" s="12"/>
      <c r="FVR59" s="12"/>
      <c r="FWI59" s="12"/>
      <c r="FWJ59" s="12"/>
      <c r="FXA59" s="12"/>
      <c r="FXB59" s="12"/>
      <c r="FXS59" s="12"/>
      <c r="FXT59" s="12"/>
      <c r="FYK59" s="12"/>
      <c r="FYL59" s="12"/>
      <c r="FZC59" s="12"/>
      <c r="FZD59" s="12"/>
      <c r="FZU59" s="12"/>
      <c r="FZV59" s="12"/>
      <c r="GAM59" s="12"/>
      <c r="GAN59" s="12"/>
      <c r="GBE59" s="12"/>
      <c r="GBF59" s="12"/>
      <c r="GBW59" s="12"/>
      <c r="GBX59" s="12"/>
      <c r="GCO59" s="12"/>
      <c r="GCP59" s="12"/>
      <c r="GDG59" s="12"/>
      <c r="GDH59" s="12"/>
      <c r="GDY59" s="12"/>
      <c r="GDZ59" s="12"/>
      <c r="GEQ59" s="12"/>
      <c r="GER59" s="12"/>
      <c r="GFI59" s="12"/>
      <c r="GFJ59" s="12"/>
      <c r="GGA59" s="12"/>
      <c r="GGB59" s="12"/>
      <c r="GGS59" s="12"/>
      <c r="GGT59" s="12"/>
      <c r="GHK59" s="12"/>
      <c r="GHL59" s="12"/>
      <c r="GIC59" s="12"/>
      <c r="GID59" s="12"/>
      <c r="GIU59" s="12"/>
      <c r="GIV59" s="12"/>
      <c r="GJM59" s="12"/>
      <c r="GJN59" s="12"/>
      <c r="GKE59" s="12"/>
      <c r="GKF59" s="12"/>
      <c r="GKW59" s="12"/>
      <c r="GKX59" s="12"/>
      <c r="GLO59" s="12"/>
      <c r="GLP59" s="12"/>
      <c r="GMG59" s="12"/>
      <c r="GMH59" s="12"/>
      <c r="GMY59" s="12"/>
      <c r="GMZ59" s="12"/>
      <c r="GNQ59" s="12"/>
      <c r="GNR59" s="12"/>
      <c r="GOI59" s="12"/>
      <c r="GOJ59" s="12"/>
      <c r="GPA59" s="12"/>
      <c r="GPB59" s="12"/>
      <c r="GPS59" s="12"/>
      <c r="GPT59" s="12"/>
      <c r="GQK59" s="12"/>
      <c r="GQL59" s="12"/>
      <c r="GRC59" s="12"/>
      <c r="GRD59" s="12"/>
      <c r="GRU59" s="12"/>
      <c r="GRV59" s="12"/>
      <c r="GSM59" s="12"/>
      <c r="GSN59" s="12"/>
      <c r="GTE59" s="12"/>
      <c r="GTF59" s="12"/>
      <c r="GTW59" s="12"/>
      <c r="GTX59" s="12"/>
      <c r="GUO59" s="12"/>
      <c r="GUP59" s="12"/>
      <c r="GVG59" s="12"/>
      <c r="GVH59" s="12"/>
      <c r="GVY59" s="12"/>
      <c r="GVZ59" s="12"/>
      <c r="GWQ59" s="12"/>
      <c r="GWR59" s="12"/>
      <c r="GXI59" s="12"/>
      <c r="GXJ59" s="12"/>
      <c r="GYA59" s="12"/>
      <c r="GYB59" s="12"/>
      <c r="GYS59" s="12"/>
      <c r="GYT59" s="12"/>
      <c r="GZK59" s="12"/>
      <c r="GZL59" s="12"/>
      <c r="HAC59" s="12"/>
      <c r="HAD59" s="12"/>
      <c r="HAU59" s="12"/>
      <c r="HAV59" s="12"/>
      <c r="HBM59" s="12"/>
      <c r="HBN59" s="12"/>
      <c r="HCE59" s="12"/>
      <c r="HCF59" s="12"/>
      <c r="HCW59" s="12"/>
      <c r="HCX59" s="12"/>
      <c r="HDO59" s="12"/>
      <c r="HDP59" s="12"/>
      <c r="HEG59" s="12"/>
      <c r="HEH59" s="12"/>
      <c r="HEY59" s="12"/>
      <c r="HEZ59" s="12"/>
      <c r="HFQ59" s="12"/>
      <c r="HFR59" s="12"/>
      <c r="HGI59" s="12"/>
      <c r="HGJ59" s="12"/>
      <c r="HHA59" s="12"/>
      <c r="HHB59" s="12"/>
      <c r="HHS59" s="12"/>
      <c r="HHT59" s="12"/>
      <c r="HIK59" s="12"/>
      <c r="HIL59" s="12"/>
      <c r="HJC59" s="12"/>
      <c r="HJD59" s="12"/>
      <c r="HJU59" s="12"/>
      <c r="HJV59" s="12"/>
      <c r="HKM59" s="12"/>
      <c r="HKN59" s="12"/>
      <c r="HLE59" s="12"/>
      <c r="HLF59" s="12"/>
      <c r="HLW59" s="12"/>
      <c r="HLX59" s="12"/>
      <c r="HMO59" s="12"/>
      <c r="HMP59" s="12"/>
      <c r="HNG59" s="12"/>
      <c r="HNH59" s="12"/>
      <c r="HNY59" s="12"/>
      <c r="HNZ59" s="12"/>
      <c r="HOQ59" s="12"/>
      <c r="HOR59" s="12"/>
      <c r="HPI59" s="12"/>
      <c r="HPJ59" s="12"/>
      <c r="HQA59" s="12"/>
      <c r="HQB59" s="12"/>
      <c r="HQS59" s="12"/>
      <c r="HQT59" s="12"/>
      <c r="HRK59" s="12"/>
      <c r="HRL59" s="12"/>
      <c r="HSC59" s="12"/>
      <c r="HSD59" s="12"/>
      <c r="HSU59" s="12"/>
      <c r="HSV59" s="12"/>
      <c r="HTM59" s="12"/>
      <c r="HTN59" s="12"/>
      <c r="HUE59" s="12"/>
      <c r="HUF59" s="12"/>
      <c r="HUW59" s="12"/>
      <c r="HUX59" s="12"/>
      <c r="HVO59" s="12"/>
      <c r="HVP59" s="12"/>
      <c r="HWG59" s="12"/>
      <c r="HWH59" s="12"/>
      <c r="HWY59" s="12"/>
      <c r="HWZ59" s="12"/>
      <c r="HXQ59" s="12"/>
      <c r="HXR59" s="12"/>
      <c r="HYI59" s="12"/>
      <c r="HYJ59" s="12"/>
      <c r="HZA59" s="12"/>
      <c r="HZB59" s="12"/>
      <c r="HZS59" s="12"/>
      <c r="HZT59" s="12"/>
      <c r="IAK59" s="12"/>
      <c r="IAL59" s="12"/>
      <c r="IBC59" s="12"/>
      <c r="IBD59" s="12"/>
      <c r="IBU59" s="12"/>
      <c r="IBV59" s="12"/>
      <c r="ICM59" s="12"/>
      <c r="ICN59" s="12"/>
      <c r="IDE59" s="12"/>
      <c r="IDF59" s="12"/>
      <c r="IDW59" s="12"/>
      <c r="IDX59" s="12"/>
      <c r="IEO59" s="12"/>
      <c r="IEP59" s="12"/>
      <c r="IFG59" s="12"/>
      <c r="IFH59" s="12"/>
      <c r="IFY59" s="12"/>
      <c r="IFZ59" s="12"/>
      <c r="IGQ59" s="12"/>
      <c r="IGR59" s="12"/>
      <c r="IHI59" s="12"/>
      <c r="IHJ59" s="12"/>
      <c r="IIA59" s="12"/>
      <c r="IIB59" s="12"/>
      <c r="IIS59" s="12"/>
      <c r="IIT59" s="12"/>
      <c r="IJK59" s="12"/>
      <c r="IJL59" s="12"/>
      <c r="IKC59" s="12"/>
      <c r="IKD59" s="12"/>
      <c r="IKU59" s="12"/>
      <c r="IKV59" s="12"/>
      <c r="ILM59" s="12"/>
      <c r="ILN59" s="12"/>
      <c r="IME59" s="12"/>
      <c r="IMF59" s="12"/>
      <c r="IMW59" s="12"/>
      <c r="IMX59" s="12"/>
      <c r="INO59" s="12"/>
      <c r="INP59" s="12"/>
      <c r="IOG59" s="12"/>
      <c r="IOH59" s="12"/>
      <c r="IOY59" s="12"/>
      <c r="IOZ59" s="12"/>
      <c r="IPQ59" s="12"/>
      <c r="IPR59" s="12"/>
      <c r="IQI59" s="12"/>
      <c r="IQJ59" s="12"/>
      <c r="IRA59" s="12"/>
      <c r="IRB59" s="12"/>
      <c r="IRS59" s="12"/>
      <c r="IRT59" s="12"/>
      <c r="ISK59" s="12"/>
      <c r="ISL59" s="12"/>
      <c r="ITC59" s="12"/>
      <c r="ITD59" s="12"/>
      <c r="ITU59" s="12"/>
      <c r="ITV59" s="12"/>
      <c r="IUM59" s="12"/>
      <c r="IUN59" s="12"/>
      <c r="IVE59" s="12"/>
      <c r="IVF59" s="12"/>
      <c r="IVW59" s="12"/>
      <c r="IVX59" s="12"/>
      <c r="IWO59" s="12"/>
      <c r="IWP59" s="12"/>
      <c r="IXG59" s="12"/>
      <c r="IXH59" s="12"/>
      <c r="IXY59" s="12"/>
      <c r="IXZ59" s="12"/>
      <c r="IYQ59" s="12"/>
      <c r="IYR59" s="12"/>
      <c r="IZI59" s="12"/>
      <c r="IZJ59" s="12"/>
      <c r="JAA59" s="12"/>
      <c r="JAB59" s="12"/>
      <c r="JAS59" s="12"/>
      <c r="JAT59" s="12"/>
      <c r="JBK59" s="12"/>
      <c r="JBL59" s="12"/>
      <c r="JCC59" s="12"/>
      <c r="JCD59" s="12"/>
      <c r="JCU59" s="12"/>
      <c r="JCV59" s="12"/>
      <c r="JDM59" s="12"/>
      <c r="JDN59" s="12"/>
      <c r="JEE59" s="12"/>
      <c r="JEF59" s="12"/>
      <c r="JEW59" s="12"/>
      <c r="JEX59" s="12"/>
      <c r="JFO59" s="12"/>
      <c r="JFP59" s="12"/>
      <c r="JGG59" s="12"/>
      <c r="JGH59" s="12"/>
      <c r="JGY59" s="12"/>
      <c r="JGZ59" s="12"/>
      <c r="JHQ59" s="12"/>
      <c r="JHR59" s="12"/>
      <c r="JII59" s="12"/>
      <c r="JIJ59" s="12"/>
      <c r="JJA59" s="12"/>
      <c r="JJB59" s="12"/>
      <c r="JJS59" s="12"/>
      <c r="JJT59" s="12"/>
      <c r="JKK59" s="12"/>
      <c r="JKL59" s="12"/>
      <c r="JLC59" s="12"/>
      <c r="JLD59" s="12"/>
      <c r="JLU59" s="12"/>
      <c r="JLV59" s="12"/>
      <c r="JMM59" s="12"/>
      <c r="JMN59" s="12"/>
      <c r="JNE59" s="12"/>
      <c r="JNF59" s="12"/>
      <c r="JNW59" s="12"/>
      <c r="JNX59" s="12"/>
      <c r="JOO59" s="12"/>
      <c r="JOP59" s="12"/>
      <c r="JPG59" s="12"/>
      <c r="JPH59" s="12"/>
      <c r="JPY59" s="12"/>
      <c r="JPZ59" s="12"/>
      <c r="JQQ59" s="12"/>
      <c r="JQR59" s="12"/>
      <c r="JRI59" s="12"/>
      <c r="JRJ59" s="12"/>
      <c r="JSA59" s="12"/>
      <c r="JSB59" s="12"/>
      <c r="JSS59" s="12"/>
      <c r="JST59" s="12"/>
      <c r="JTK59" s="12"/>
      <c r="JTL59" s="12"/>
      <c r="JUC59" s="12"/>
      <c r="JUD59" s="12"/>
      <c r="JUU59" s="12"/>
      <c r="JUV59" s="12"/>
      <c r="JVM59" s="12"/>
      <c r="JVN59" s="12"/>
      <c r="JWE59" s="12"/>
      <c r="JWF59" s="12"/>
      <c r="JWW59" s="12"/>
      <c r="JWX59" s="12"/>
      <c r="JXO59" s="12"/>
      <c r="JXP59" s="12"/>
      <c r="JYG59" s="12"/>
      <c r="JYH59" s="12"/>
      <c r="JYY59" s="12"/>
      <c r="JYZ59" s="12"/>
      <c r="JZQ59" s="12"/>
      <c r="JZR59" s="12"/>
      <c r="KAI59" s="12"/>
      <c r="KAJ59" s="12"/>
      <c r="KBA59" s="12"/>
      <c r="KBB59" s="12"/>
      <c r="KBS59" s="12"/>
      <c r="KBT59" s="12"/>
      <c r="KCK59" s="12"/>
      <c r="KCL59" s="12"/>
      <c r="KDC59" s="12"/>
      <c r="KDD59" s="12"/>
      <c r="KDU59" s="12"/>
      <c r="KDV59" s="12"/>
      <c r="KEM59" s="12"/>
      <c r="KEN59" s="12"/>
      <c r="KFE59" s="12"/>
      <c r="KFF59" s="12"/>
      <c r="KFW59" s="12"/>
      <c r="KFX59" s="12"/>
      <c r="KGO59" s="12"/>
      <c r="KGP59" s="12"/>
      <c r="KHG59" s="12"/>
      <c r="KHH59" s="12"/>
      <c r="KHY59" s="12"/>
      <c r="KHZ59" s="12"/>
      <c r="KIQ59" s="12"/>
      <c r="KIR59" s="12"/>
      <c r="KJI59" s="12"/>
      <c r="KJJ59" s="12"/>
      <c r="KKA59" s="12"/>
      <c r="KKB59" s="12"/>
      <c r="KKS59" s="12"/>
      <c r="KKT59" s="12"/>
      <c r="KLK59" s="12"/>
      <c r="KLL59" s="12"/>
      <c r="KMC59" s="12"/>
      <c r="KMD59" s="12"/>
      <c r="KMU59" s="12"/>
      <c r="KMV59" s="12"/>
      <c r="KNM59" s="12"/>
      <c r="KNN59" s="12"/>
      <c r="KOE59" s="12"/>
      <c r="KOF59" s="12"/>
      <c r="KOW59" s="12"/>
      <c r="KOX59" s="12"/>
      <c r="KPO59" s="12"/>
      <c r="KPP59" s="12"/>
      <c r="KQG59" s="12"/>
      <c r="KQH59" s="12"/>
      <c r="KQY59" s="12"/>
      <c r="KQZ59" s="12"/>
      <c r="KRQ59" s="12"/>
      <c r="KRR59" s="12"/>
      <c r="KSI59" s="12"/>
      <c r="KSJ59" s="12"/>
      <c r="KTA59" s="12"/>
      <c r="KTB59" s="12"/>
      <c r="KTS59" s="12"/>
      <c r="KTT59" s="12"/>
      <c r="KUK59" s="12"/>
      <c r="KUL59" s="12"/>
      <c r="KVC59" s="12"/>
      <c r="KVD59" s="12"/>
      <c r="KVU59" s="12"/>
      <c r="KVV59" s="12"/>
      <c r="KWM59" s="12"/>
      <c r="KWN59" s="12"/>
      <c r="KXE59" s="12"/>
      <c r="KXF59" s="12"/>
      <c r="KXW59" s="12"/>
      <c r="KXX59" s="12"/>
      <c r="KYO59" s="12"/>
      <c r="KYP59" s="12"/>
      <c r="KZG59" s="12"/>
      <c r="KZH59" s="12"/>
      <c r="KZY59" s="12"/>
      <c r="KZZ59" s="12"/>
      <c r="LAQ59" s="12"/>
      <c r="LAR59" s="12"/>
      <c r="LBI59" s="12"/>
      <c r="LBJ59" s="12"/>
      <c r="LCA59" s="12"/>
      <c r="LCB59" s="12"/>
      <c r="LCS59" s="12"/>
      <c r="LCT59" s="12"/>
      <c r="LDK59" s="12"/>
      <c r="LDL59" s="12"/>
      <c r="LEC59" s="12"/>
      <c r="LED59" s="12"/>
      <c r="LEU59" s="12"/>
      <c r="LEV59" s="12"/>
      <c r="LFM59" s="12"/>
      <c r="LFN59" s="12"/>
      <c r="LGE59" s="12"/>
      <c r="LGF59" s="12"/>
      <c r="LGW59" s="12"/>
      <c r="LGX59" s="12"/>
      <c r="LHO59" s="12"/>
      <c r="LHP59" s="12"/>
      <c r="LIG59" s="12"/>
      <c r="LIH59" s="12"/>
      <c r="LIY59" s="12"/>
      <c r="LIZ59" s="12"/>
      <c r="LJQ59" s="12"/>
      <c r="LJR59" s="12"/>
      <c r="LKI59" s="12"/>
      <c r="LKJ59" s="12"/>
      <c r="LLA59" s="12"/>
      <c r="LLB59" s="12"/>
      <c r="LLS59" s="12"/>
      <c r="LLT59" s="12"/>
      <c r="LMK59" s="12"/>
      <c r="LML59" s="12"/>
      <c r="LNC59" s="12"/>
      <c r="LND59" s="12"/>
      <c r="LNU59" s="12"/>
      <c r="LNV59" s="12"/>
      <c r="LOM59" s="12"/>
      <c r="LON59" s="12"/>
      <c r="LPE59" s="12"/>
      <c r="LPF59" s="12"/>
      <c r="LPW59" s="12"/>
      <c r="LPX59" s="12"/>
      <c r="LQO59" s="12"/>
      <c r="LQP59" s="12"/>
      <c r="LRG59" s="12"/>
      <c r="LRH59" s="12"/>
      <c r="LRY59" s="12"/>
      <c r="LRZ59" s="12"/>
      <c r="LSQ59" s="12"/>
      <c r="LSR59" s="12"/>
      <c r="LTI59" s="12"/>
      <c r="LTJ59" s="12"/>
      <c r="LUA59" s="12"/>
      <c r="LUB59" s="12"/>
      <c r="LUS59" s="12"/>
      <c r="LUT59" s="12"/>
      <c r="LVK59" s="12"/>
      <c r="LVL59" s="12"/>
      <c r="LWC59" s="12"/>
      <c r="LWD59" s="12"/>
      <c r="LWU59" s="12"/>
      <c r="LWV59" s="12"/>
      <c r="LXM59" s="12"/>
      <c r="LXN59" s="12"/>
      <c r="LYE59" s="12"/>
      <c r="LYF59" s="12"/>
      <c r="LYW59" s="12"/>
      <c r="LYX59" s="12"/>
      <c r="LZO59" s="12"/>
      <c r="LZP59" s="12"/>
      <c r="MAG59" s="12"/>
      <c r="MAH59" s="12"/>
      <c r="MAY59" s="12"/>
      <c r="MAZ59" s="12"/>
      <c r="MBQ59" s="12"/>
      <c r="MBR59" s="12"/>
      <c r="MCI59" s="12"/>
      <c r="MCJ59" s="12"/>
      <c r="MDA59" s="12"/>
      <c r="MDB59" s="12"/>
      <c r="MDS59" s="12"/>
      <c r="MDT59" s="12"/>
      <c r="MEK59" s="12"/>
      <c r="MEL59" s="12"/>
      <c r="MFC59" s="12"/>
      <c r="MFD59" s="12"/>
      <c r="MFU59" s="12"/>
      <c r="MFV59" s="12"/>
      <c r="MGM59" s="12"/>
      <c r="MGN59" s="12"/>
      <c r="MHE59" s="12"/>
      <c r="MHF59" s="12"/>
      <c r="MHW59" s="12"/>
      <c r="MHX59" s="12"/>
      <c r="MIO59" s="12"/>
      <c r="MIP59" s="12"/>
      <c r="MJG59" s="12"/>
      <c r="MJH59" s="12"/>
      <c r="MJY59" s="12"/>
      <c r="MJZ59" s="12"/>
      <c r="MKQ59" s="12"/>
      <c r="MKR59" s="12"/>
      <c r="MLI59" s="12"/>
      <c r="MLJ59" s="12"/>
      <c r="MMA59" s="12"/>
      <c r="MMB59" s="12"/>
      <c r="MMS59" s="12"/>
      <c r="MMT59" s="12"/>
      <c r="MNK59" s="12"/>
      <c r="MNL59" s="12"/>
      <c r="MOC59" s="12"/>
      <c r="MOD59" s="12"/>
      <c r="MOU59" s="12"/>
      <c r="MOV59" s="12"/>
      <c r="MPM59" s="12"/>
      <c r="MPN59" s="12"/>
      <c r="MQE59" s="12"/>
      <c r="MQF59" s="12"/>
      <c r="MQW59" s="12"/>
      <c r="MQX59" s="12"/>
      <c r="MRO59" s="12"/>
      <c r="MRP59" s="12"/>
      <c r="MSG59" s="12"/>
      <c r="MSH59" s="12"/>
      <c r="MSY59" s="12"/>
      <c r="MSZ59" s="12"/>
      <c r="MTQ59" s="12"/>
      <c r="MTR59" s="12"/>
      <c r="MUI59" s="12"/>
      <c r="MUJ59" s="12"/>
      <c r="MVA59" s="12"/>
      <c r="MVB59" s="12"/>
      <c r="MVS59" s="12"/>
      <c r="MVT59" s="12"/>
      <c r="MWK59" s="12"/>
      <c r="MWL59" s="12"/>
      <c r="MXC59" s="12"/>
      <c r="MXD59" s="12"/>
      <c r="MXU59" s="12"/>
      <c r="MXV59" s="12"/>
      <c r="MYM59" s="12"/>
      <c r="MYN59" s="12"/>
      <c r="MZE59" s="12"/>
      <c r="MZF59" s="12"/>
      <c r="MZW59" s="12"/>
      <c r="MZX59" s="12"/>
      <c r="NAO59" s="12"/>
      <c r="NAP59" s="12"/>
      <c r="NBG59" s="12"/>
      <c r="NBH59" s="12"/>
      <c r="NBY59" s="12"/>
      <c r="NBZ59" s="12"/>
      <c r="NCQ59" s="12"/>
      <c r="NCR59" s="12"/>
      <c r="NDI59" s="12"/>
      <c r="NDJ59" s="12"/>
      <c r="NEA59" s="12"/>
      <c r="NEB59" s="12"/>
      <c r="NES59" s="12"/>
      <c r="NET59" s="12"/>
      <c r="NFK59" s="12"/>
      <c r="NFL59" s="12"/>
      <c r="NGC59" s="12"/>
      <c r="NGD59" s="12"/>
      <c r="NGU59" s="12"/>
      <c r="NGV59" s="12"/>
      <c r="NHM59" s="12"/>
      <c r="NHN59" s="12"/>
      <c r="NIE59" s="12"/>
      <c r="NIF59" s="12"/>
      <c r="NIW59" s="12"/>
      <c r="NIX59" s="12"/>
      <c r="NJO59" s="12"/>
      <c r="NJP59" s="12"/>
      <c r="NKG59" s="12"/>
      <c r="NKH59" s="12"/>
      <c r="NKY59" s="12"/>
      <c r="NKZ59" s="12"/>
      <c r="NLQ59" s="12"/>
      <c r="NLR59" s="12"/>
      <c r="NMI59" s="12"/>
      <c r="NMJ59" s="12"/>
      <c r="NNA59" s="12"/>
      <c r="NNB59" s="12"/>
      <c r="NNS59" s="12"/>
      <c r="NNT59" s="12"/>
      <c r="NOK59" s="12"/>
      <c r="NOL59" s="12"/>
      <c r="NPC59" s="12"/>
      <c r="NPD59" s="12"/>
      <c r="NPU59" s="12"/>
      <c r="NPV59" s="12"/>
      <c r="NQM59" s="12"/>
      <c r="NQN59" s="12"/>
      <c r="NRE59" s="12"/>
      <c r="NRF59" s="12"/>
      <c r="NRW59" s="12"/>
      <c r="NRX59" s="12"/>
      <c r="NSO59" s="12"/>
      <c r="NSP59" s="12"/>
      <c r="NTG59" s="12"/>
      <c r="NTH59" s="12"/>
      <c r="NTY59" s="12"/>
      <c r="NTZ59" s="12"/>
      <c r="NUQ59" s="12"/>
      <c r="NUR59" s="12"/>
      <c r="NVI59" s="12"/>
      <c r="NVJ59" s="12"/>
      <c r="NWA59" s="12"/>
      <c r="NWB59" s="12"/>
      <c r="NWS59" s="12"/>
      <c r="NWT59" s="12"/>
      <c r="NXK59" s="12"/>
      <c r="NXL59" s="12"/>
      <c r="NYC59" s="12"/>
      <c r="NYD59" s="12"/>
      <c r="NYU59" s="12"/>
      <c r="NYV59" s="12"/>
      <c r="NZM59" s="12"/>
      <c r="NZN59" s="12"/>
      <c r="OAE59" s="12"/>
      <c r="OAF59" s="12"/>
      <c r="OAW59" s="12"/>
      <c r="OAX59" s="12"/>
      <c r="OBO59" s="12"/>
      <c r="OBP59" s="12"/>
      <c r="OCG59" s="12"/>
      <c r="OCH59" s="12"/>
      <c r="OCY59" s="12"/>
      <c r="OCZ59" s="12"/>
      <c r="ODQ59" s="12"/>
      <c r="ODR59" s="12"/>
      <c r="OEI59" s="12"/>
      <c r="OEJ59" s="12"/>
      <c r="OFA59" s="12"/>
      <c r="OFB59" s="12"/>
      <c r="OFS59" s="12"/>
      <c r="OFT59" s="12"/>
      <c r="OGK59" s="12"/>
      <c r="OGL59" s="12"/>
      <c r="OHC59" s="12"/>
      <c r="OHD59" s="12"/>
      <c r="OHU59" s="12"/>
      <c r="OHV59" s="12"/>
      <c r="OIM59" s="12"/>
      <c r="OIN59" s="12"/>
      <c r="OJE59" s="12"/>
      <c r="OJF59" s="12"/>
      <c r="OJW59" s="12"/>
      <c r="OJX59" s="12"/>
      <c r="OKO59" s="12"/>
      <c r="OKP59" s="12"/>
      <c r="OLG59" s="12"/>
      <c r="OLH59" s="12"/>
      <c r="OLY59" s="12"/>
      <c r="OLZ59" s="12"/>
      <c r="OMQ59" s="12"/>
      <c r="OMR59" s="12"/>
      <c r="ONI59" s="12"/>
      <c r="ONJ59" s="12"/>
      <c r="OOA59" s="12"/>
      <c r="OOB59" s="12"/>
      <c r="OOS59" s="12"/>
      <c r="OOT59" s="12"/>
      <c r="OPK59" s="12"/>
      <c r="OPL59" s="12"/>
      <c r="OQC59" s="12"/>
      <c r="OQD59" s="12"/>
      <c r="OQU59" s="12"/>
      <c r="OQV59" s="12"/>
      <c r="ORM59" s="12"/>
      <c r="ORN59" s="12"/>
      <c r="OSE59" s="12"/>
      <c r="OSF59" s="12"/>
      <c r="OSW59" s="12"/>
      <c r="OSX59" s="12"/>
      <c r="OTO59" s="12"/>
      <c r="OTP59" s="12"/>
      <c r="OUG59" s="12"/>
      <c r="OUH59" s="12"/>
      <c r="OUY59" s="12"/>
      <c r="OUZ59" s="12"/>
      <c r="OVQ59" s="12"/>
      <c r="OVR59" s="12"/>
      <c r="OWI59" s="12"/>
      <c r="OWJ59" s="12"/>
      <c r="OXA59" s="12"/>
      <c r="OXB59" s="12"/>
      <c r="OXS59" s="12"/>
      <c r="OXT59" s="12"/>
      <c r="OYK59" s="12"/>
      <c r="OYL59" s="12"/>
      <c r="OZC59" s="12"/>
      <c r="OZD59" s="12"/>
      <c r="OZU59" s="12"/>
      <c r="OZV59" s="12"/>
      <c r="PAM59" s="12"/>
      <c r="PAN59" s="12"/>
      <c r="PBE59" s="12"/>
      <c r="PBF59" s="12"/>
      <c r="PBW59" s="12"/>
      <c r="PBX59" s="12"/>
      <c r="PCO59" s="12"/>
      <c r="PCP59" s="12"/>
      <c r="PDG59" s="12"/>
      <c r="PDH59" s="12"/>
      <c r="PDY59" s="12"/>
      <c r="PDZ59" s="12"/>
      <c r="PEQ59" s="12"/>
      <c r="PER59" s="12"/>
      <c r="PFI59" s="12"/>
      <c r="PFJ59" s="12"/>
      <c r="PGA59" s="12"/>
      <c r="PGB59" s="12"/>
      <c r="PGS59" s="12"/>
      <c r="PGT59" s="12"/>
      <c r="PHK59" s="12"/>
      <c r="PHL59" s="12"/>
      <c r="PIC59" s="12"/>
      <c r="PID59" s="12"/>
      <c r="PIU59" s="12"/>
      <c r="PIV59" s="12"/>
      <c r="PJM59" s="12"/>
      <c r="PJN59" s="12"/>
      <c r="PKE59" s="12"/>
      <c r="PKF59" s="12"/>
      <c r="PKW59" s="12"/>
      <c r="PKX59" s="12"/>
      <c r="PLO59" s="12"/>
      <c r="PLP59" s="12"/>
      <c r="PMG59" s="12"/>
      <c r="PMH59" s="12"/>
      <c r="PMY59" s="12"/>
      <c r="PMZ59" s="12"/>
      <c r="PNQ59" s="12"/>
      <c r="PNR59" s="12"/>
      <c r="POI59" s="12"/>
      <c r="POJ59" s="12"/>
      <c r="PPA59" s="12"/>
      <c r="PPB59" s="12"/>
      <c r="PPS59" s="12"/>
      <c r="PPT59" s="12"/>
      <c r="PQK59" s="12"/>
      <c r="PQL59" s="12"/>
      <c r="PRC59" s="12"/>
      <c r="PRD59" s="12"/>
      <c r="PRU59" s="12"/>
      <c r="PRV59" s="12"/>
      <c r="PSM59" s="12"/>
      <c r="PSN59" s="12"/>
      <c r="PTE59" s="12"/>
      <c r="PTF59" s="12"/>
      <c r="PTW59" s="12"/>
      <c r="PTX59" s="12"/>
      <c r="PUO59" s="12"/>
      <c r="PUP59" s="12"/>
      <c r="PVG59" s="12"/>
      <c r="PVH59" s="12"/>
      <c r="PVY59" s="12"/>
      <c r="PVZ59" s="12"/>
      <c r="PWQ59" s="12"/>
      <c r="PWR59" s="12"/>
      <c r="PXI59" s="12"/>
      <c r="PXJ59" s="12"/>
      <c r="PYA59" s="12"/>
      <c r="PYB59" s="12"/>
      <c r="PYS59" s="12"/>
      <c r="PYT59" s="12"/>
      <c r="PZK59" s="12"/>
      <c r="PZL59" s="12"/>
      <c r="QAC59" s="12"/>
      <c r="QAD59" s="12"/>
      <c r="QAU59" s="12"/>
      <c r="QAV59" s="12"/>
      <c r="QBM59" s="12"/>
      <c r="QBN59" s="12"/>
      <c r="QCE59" s="12"/>
      <c r="QCF59" s="12"/>
      <c r="QCW59" s="12"/>
      <c r="QCX59" s="12"/>
      <c r="QDO59" s="12"/>
      <c r="QDP59" s="12"/>
      <c r="QEG59" s="12"/>
      <c r="QEH59" s="12"/>
      <c r="QEY59" s="12"/>
      <c r="QEZ59" s="12"/>
      <c r="QFQ59" s="12"/>
      <c r="QFR59" s="12"/>
      <c r="QGI59" s="12"/>
      <c r="QGJ59" s="12"/>
      <c r="QHA59" s="12"/>
      <c r="QHB59" s="12"/>
      <c r="QHS59" s="12"/>
      <c r="QHT59" s="12"/>
      <c r="QIK59" s="12"/>
      <c r="QIL59" s="12"/>
      <c r="QJC59" s="12"/>
      <c r="QJD59" s="12"/>
      <c r="QJU59" s="12"/>
      <c r="QJV59" s="12"/>
      <c r="QKM59" s="12"/>
      <c r="QKN59" s="12"/>
      <c r="QLE59" s="12"/>
      <c r="QLF59" s="12"/>
      <c r="QLW59" s="12"/>
      <c r="QLX59" s="12"/>
      <c r="QMO59" s="12"/>
      <c r="QMP59" s="12"/>
      <c r="QNG59" s="12"/>
      <c r="QNH59" s="12"/>
      <c r="QNY59" s="12"/>
      <c r="QNZ59" s="12"/>
      <c r="QOQ59" s="12"/>
      <c r="QOR59" s="12"/>
      <c r="QPI59" s="12"/>
      <c r="QPJ59" s="12"/>
      <c r="QQA59" s="12"/>
      <c r="QQB59" s="12"/>
      <c r="QQS59" s="12"/>
      <c r="QQT59" s="12"/>
      <c r="QRK59" s="12"/>
      <c r="QRL59" s="12"/>
      <c r="QSC59" s="12"/>
      <c r="QSD59" s="12"/>
      <c r="QSU59" s="12"/>
      <c r="QSV59" s="12"/>
      <c r="QTM59" s="12"/>
      <c r="QTN59" s="12"/>
      <c r="QUE59" s="12"/>
      <c r="QUF59" s="12"/>
      <c r="QUW59" s="12"/>
      <c r="QUX59" s="12"/>
      <c r="QVO59" s="12"/>
      <c r="QVP59" s="12"/>
      <c r="QWG59" s="12"/>
      <c r="QWH59" s="12"/>
      <c r="QWY59" s="12"/>
      <c r="QWZ59" s="12"/>
      <c r="QXQ59" s="12"/>
      <c r="QXR59" s="12"/>
      <c r="QYI59" s="12"/>
      <c r="QYJ59" s="12"/>
      <c r="QZA59" s="12"/>
      <c r="QZB59" s="12"/>
      <c r="QZS59" s="12"/>
      <c r="QZT59" s="12"/>
      <c r="RAK59" s="12"/>
      <c r="RAL59" s="12"/>
      <c r="RBC59" s="12"/>
      <c r="RBD59" s="12"/>
      <c r="RBU59" s="12"/>
      <c r="RBV59" s="12"/>
      <c r="RCM59" s="12"/>
      <c r="RCN59" s="12"/>
      <c r="RDE59" s="12"/>
      <c r="RDF59" s="12"/>
      <c r="RDW59" s="12"/>
      <c r="RDX59" s="12"/>
      <c r="REO59" s="12"/>
      <c r="REP59" s="12"/>
      <c r="RFG59" s="12"/>
      <c r="RFH59" s="12"/>
      <c r="RFY59" s="12"/>
      <c r="RFZ59" s="12"/>
      <c r="RGQ59" s="12"/>
      <c r="RGR59" s="12"/>
      <c r="RHI59" s="12"/>
      <c r="RHJ59" s="12"/>
      <c r="RIA59" s="12"/>
      <c r="RIB59" s="12"/>
      <c r="RIS59" s="12"/>
      <c r="RIT59" s="12"/>
      <c r="RJK59" s="12"/>
      <c r="RJL59" s="12"/>
      <c r="RKC59" s="12"/>
      <c r="RKD59" s="12"/>
      <c r="RKU59" s="12"/>
      <c r="RKV59" s="12"/>
      <c r="RLM59" s="12"/>
      <c r="RLN59" s="12"/>
      <c r="RME59" s="12"/>
      <c r="RMF59" s="12"/>
      <c r="RMW59" s="12"/>
      <c r="RMX59" s="12"/>
      <c r="RNO59" s="12"/>
      <c r="RNP59" s="12"/>
      <c r="ROG59" s="12"/>
      <c r="ROH59" s="12"/>
      <c r="ROY59" s="12"/>
      <c r="ROZ59" s="12"/>
      <c r="RPQ59" s="12"/>
      <c r="RPR59" s="12"/>
      <c r="RQI59" s="12"/>
      <c r="RQJ59" s="12"/>
      <c r="RRA59" s="12"/>
      <c r="RRB59" s="12"/>
      <c r="RRS59" s="12"/>
      <c r="RRT59" s="12"/>
      <c r="RSK59" s="12"/>
      <c r="RSL59" s="12"/>
      <c r="RTC59" s="12"/>
      <c r="RTD59" s="12"/>
      <c r="RTU59" s="12"/>
      <c r="RTV59" s="12"/>
      <c r="RUM59" s="12"/>
      <c r="RUN59" s="12"/>
      <c r="RVE59" s="12"/>
      <c r="RVF59" s="12"/>
      <c r="RVW59" s="12"/>
      <c r="RVX59" s="12"/>
      <c r="RWO59" s="12"/>
      <c r="RWP59" s="12"/>
      <c r="RXG59" s="12"/>
      <c r="RXH59" s="12"/>
      <c r="RXY59" s="12"/>
      <c r="RXZ59" s="12"/>
      <c r="RYQ59" s="12"/>
      <c r="RYR59" s="12"/>
      <c r="RZI59" s="12"/>
      <c r="RZJ59" s="12"/>
      <c r="SAA59" s="12"/>
      <c r="SAB59" s="12"/>
      <c r="SAS59" s="12"/>
      <c r="SAT59" s="12"/>
      <c r="SBK59" s="12"/>
      <c r="SBL59" s="12"/>
      <c r="SCC59" s="12"/>
      <c r="SCD59" s="12"/>
      <c r="SCU59" s="12"/>
      <c r="SCV59" s="12"/>
      <c r="SDM59" s="12"/>
      <c r="SDN59" s="12"/>
      <c r="SEE59" s="12"/>
      <c r="SEF59" s="12"/>
      <c r="SEW59" s="12"/>
      <c r="SEX59" s="12"/>
      <c r="SFO59" s="12"/>
      <c r="SFP59" s="12"/>
      <c r="SGG59" s="12"/>
      <c r="SGH59" s="12"/>
      <c r="SGY59" s="12"/>
      <c r="SGZ59" s="12"/>
      <c r="SHQ59" s="12"/>
      <c r="SHR59" s="12"/>
      <c r="SII59" s="12"/>
      <c r="SIJ59" s="12"/>
      <c r="SJA59" s="12"/>
      <c r="SJB59" s="12"/>
      <c r="SJS59" s="12"/>
      <c r="SJT59" s="12"/>
      <c r="SKK59" s="12"/>
      <c r="SKL59" s="12"/>
      <c r="SLC59" s="12"/>
      <c r="SLD59" s="12"/>
      <c r="SLU59" s="12"/>
      <c r="SLV59" s="12"/>
      <c r="SMM59" s="12"/>
      <c r="SMN59" s="12"/>
      <c r="SNE59" s="12"/>
      <c r="SNF59" s="12"/>
      <c r="SNW59" s="12"/>
      <c r="SNX59" s="12"/>
      <c r="SOO59" s="12"/>
      <c r="SOP59" s="12"/>
      <c r="SPG59" s="12"/>
      <c r="SPH59" s="12"/>
      <c r="SPY59" s="12"/>
      <c r="SPZ59" s="12"/>
      <c r="SQQ59" s="12"/>
      <c r="SQR59" s="12"/>
      <c r="SRI59" s="12"/>
      <c r="SRJ59" s="12"/>
      <c r="SSA59" s="12"/>
      <c r="SSB59" s="12"/>
      <c r="SSS59" s="12"/>
      <c r="SST59" s="12"/>
      <c r="STK59" s="12"/>
      <c r="STL59" s="12"/>
      <c r="SUC59" s="12"/>
      <c r="SUD59" s="12"/>
      <c r="SUU59" s="12"/>
      <c r="SUV59" s="12"/>
      <c r="SVM59" s="12"/>
      <c r="SVN59" s="12"/>
      <c r="SWE59" s="12"/>
      <c r="SWF59" s="12"/>
      <c r="SWW59" s="12"/>
      <c r="SWX59" s="12"/>
      <c r="SXO59" s="12"/>
      <c r="SXP59" s="12"/>
      <c r="SYG59" s="12"/>
      <c r="SYH59" s="12"/>
      <c r="SYY59" s="12"/>
      <c r="SYZ59" s="12"/>
      <c r="SZQ59" s="12"/>
      <c r="SZR59" s="12"/>
      <c r="TAI59" s="12"/>
      <c r="TAJ59" s="12"/>
      <c r="TBA59" s="12"/>
      <c r="TBB59" s="12"/>
      <c r="TBS59" s="12"/>
      <c r="TBT59" s="12"/>
      <c r="TCK59" s="12"/>
      <c r="TCL59" s="12"/>
      <c r="TDC59" s="12"/>
      <c r="TDD59" s="12"/>
      <c r="TDU59" s="12"/>
      <c r="TDV59" s="12"/>
      <c r="TEM59" s="12"/>
      <c r="TEN59" s="12"/>
      <c r="TFE59" s="12"/>
      <c r="TFF59" s="12"/>
      <c r="TFW59" s="12"/>
      <c r="TFX59" s="12"/>
      <c r="TGO59" s="12"/>
      <c r="TGP59" s="12"/>
      <c r="THG59" s="12"/>
      <c r="THH59" s="12"/>
      <c r="THY59" s="12"/>
      <c r="THZ59" s="12"/>
      <c r="TIQ59" s="12"/>
      <c r="TIR59" s="12"/>
      <c r="TJI59" s="12"/>
      <c r="TJJ59" s="12"/>
      <c r="TKA59" s="12"/>
      <c r="TKB59" s="12"/>
      <c r="TKS59" s="12"/>
      <c r="TKT59" s="12"/>
      <c r="TLK59" s="12"/>
      <c r="TLL59" s="12"/>
      <c r="TMC59" s="12"/>
      <c r="TMD59" s="12"/>
      <c r="TMU59" s="12"/>
      <c r="TMV59" s="12"/>
      <c r="TNM59" s="12"/>
      <c r="TNN59" s="12"/>
      <c r="TOE59" s="12"/>
      <c r="TOF59" s="12"/>
      <c r="TOW59" s="12"/>
      <c r="TOX59" s="12"/>
      <c r="TPO59" s="12"/>
      <c r="TPP59" s="12"/>
      <c r="TQG59" s="12"/>
      <c r="TQH59" s="12"/>
      <c r="TQY59" s="12"/>
      <c r="TQZ59" s="12"/>
      <c r="TRQ59" s="12"/>
      <c r="TRR59" s="12"/>
      <c r="TSI59" s="12"/>
      <c r="TSJ59" s="12"/>
      <c r="TTA59" s="12"/>
      <c r="TTB59" s="12"/>
      <c r="TTS59" s="12"/>
      <c r="TTT59" s="12"/>
      <c r="TUK59" s="12"/>
      <c r="TUL59" s="12"/>
      <c r="TVC59" s="12"/>
      <c r="TVD59" s="12"/>
      <c r="TVU59" s="12"/>
      <c r="TVV59" s="12"/>
      <c r="TWM59" s="12"/>
      <c r="TWN59" s="12"/>
      <c r="TXE59" s="12"/>
      <c r="TXF59" s="12"/>
      <c r="TXW59" s="12"/>
      <c r="TXX59" s="12"/>
      <c r="TYO59" s="12"/>
      <c r="TYP59" s="12"/>
      <c r="TZG59" s="12"/>
      <c r="TZH59" s="12"/>
      <c r="TZY59" s="12"/>
      <c r="TZZ59" s="12"/>
      <c r="UAQ59" s="12"/>
      <c r="UAR59" s="12"/>
      <c r="UBI59" s="12"/>
      <c r="UBJ59" s="12"/>
      <c r="UCA59" s="12"/>
      <c r="UCB59" s="12"/>
      <c r="UCS59" s="12"/>
      <c r="UCT59" s="12"/>
      <c r="UDK59" s="12"/>
      <c r="UDL59" s="12"/>
      <c r="UEC59" s="12"/>
      <c r="UED59" s="12"/>
      <c r="UEU59" s="12"/>
      <c r="UEV59" s="12"/>
      <c r="UFM59" s="12"/>
      <c r="UFN59" s="12"/>
      <c r="UGE59" s="12"/>
      <c r="UGF59" s="12"/>
      <c r="UGW59" s="12"/>
      <c r="UGX59" s="12"/>
      <c r="UHO59" s="12"/>
      <c r="UHP59" s="12"/>
      <c r="UIG59" s="12"/>
      <c r="UIH59" s="12"/>
      <c r="UIY59" s="12"/>
      <c r="UIZ59" s="12"/>
      <c r="UJQ59" s="12"/>
      <c r="UJR59" s="12"/>
      <c r="UKI59" s="12"/>
      <c r="UKJ59" s="12"/>
      <c r="ULA59" s="12"/>
      <c r="ULB59" s="12"/>
      <c r="ULS59" s="12"/>
      <c r="ULT59" s="12"/>
      <c r="UMK59" s="12"/>
      <c r="UML59" s="12"/>
      <c r="UNC59" s="12"/>
      <c r="UND59" s="12"/>
      <c r="UNU59" s="12"/>
      <c r="UNV59" s="12"/>
      <c r="UOM59" s="12"/>
      <c r="UON59" s="12"/>
      <c r="UPE59" s="12"/>
      <c r="UPF59" s="12"/>
      <c r="UPW59" s="12"/>
      <c r="UPX59" s="12"/>
      <c r="UQO59" s="12"/>
      <c r="UQP59" s="12"/>
      <c r="URG59" s="12"/>
      <c r="URH59" s="12"/>
      <c r="URY59" s="12"/>
      <c r="URZ59" s="12"/>
      <c r="USQ59" s="12"/>
      <c r="USR59" s="12"/>
      <c r="UTI59" s="12"/>
      <c r="UTJ59" s="12"/>
      <c r="UUA59" s="12"/>
      <c r="UUB59" s="12"/>
      <c r="UUS59" s="12"/>
      <c r="UUT59" s="12"/>
      <c r="UVK59" s="12"/>
      <c r="UVL59" s="12"/>
      <c r="UWC59" s="12"/>
      <c r="UWD59" s="12"/>
      <c r="UWU59" s="12"/>
      <c r="UWV59" s="12"/>
      <c r="UXM59" s="12"/>
      <c r="UXN59" s="12"/>
      <c r="UYE59" s="12"/>
      <c r="UYF59" s="12"/>
      <c r="UYW59" s="12"/>
      <c r="UYX59" s="12"/>
      <c r="UZO59" s="12"/>
      <c r="UZP59" s="12"/>
      <c r="VAG59" s="12"/>
      <c r="VAH59" s="12"/>
      <c r="VAY59" s="12"/>
      <c r="VAZ59" s="12"/>
      <c r="VBQ59" s="12"/>
      <c r="VBR59" s="12"/>
      <c r="VCI59" s="12"/>
      <c r="VCJ59" s="12"/>
      <c r="VDA59" s="12"/>
      <c r="VDB59" s="12"/>
      <c r="VDS59" s="12"/>
      <c r="VDT59" s="12"/>
      <c r="VEK59" s="12"/>
      <c r="VEL59" s="12"/>
      <c r="VFC59" s="12"/>
      <c r="VFD59" s="12"/>
      <c r="VFU59" s="12"/>
      <c r="VFV59" s="12"/>
      <c r="VGM59" s="12"/>
      <c r="VGN59" s="12"/>
      <c r="VHE59" s="12"/>
      <c r="VHF59" s="12"/>
      <c r="VHW59" s="12"/>
      <c r="VHX59" s="12"/>
      <c r="VIO59" s="12"/>
      <c r="VIP59" s="12"/>
      <c r="VJG59" s="12"/>
      <c r="VJH59" s="12"/>
      <c r="VJY59" s="12"/>
      <c r="VJZ59" s="12"/>
      <c r="VKQ59" s="12"/>
      <c r="VKR59" s="12"/>
      <c r="VLI59" s="12"/>
      <c r="VLJ59" s="12"/>
      <c r="VMA59" s="12"/>
      <c r="VMB59" s="12"/>
      <c r="VMS59" s="12"/>
      <c r="VMT59" s="12"/>
      <c r="VNK59" s="12"/>
      <c r="VNL59" s="12"/>
      <c r="VOC59" s="12"/>
      <c r="VOD59" s="12"/>
      <c r="VOU59" s="12"/>
      <c r="VOV59" s="12"/>
      <c r="VPM59" s="12"/>
      <c r="VPN59" s="12"/>
      <c r="VQE59" s="12"/>
      <c r="VQF59" s="12"/>
      <c r="VQW59" s="12"/>
      <c r="VQX59" s="12"/>
      <c r="VRO59" s="12"/>
      <c r="VRP59" s="12"/>
      <c r="VSG59" s="12"/>
      <c r="VSH59" s="12"/>
      <c r="VSY59" s="12"/>
      <c r="VSZ59" s="12"/>
      <c r="VTQ59" s="12"/>
      <c r="VTR59" s="12"/>
      <c r="VUI59" s="12"/>
      <c r="VUJ59" s="12"/>
      <c r="VVA59" s="12"/>
      <c r="VVB59" s="12"/>
      <c r="VVS59" s="12"/>
      <c r="VVT59" s="12"/>
      <c r="VWK59" s="12"/>
      <c r="VWL59" s="12"/>
      <c r="VXC59" s="12"/>
      <c r="VXD59" s="12"/>
      <c r="VXU59" s="12"/>
      <c r="VXV59" s="12"/>
      <c r="VYM59" s="12"/>
      <c r="VYN59" s="12"/>
      <c r="VZE59" s="12"/>
      <c r="VZF59" s="12"/>
      <c r="VZW59" s="12"/>
      <c r="VZX59" s="12"/>
      <c r="WAO59" s="12"/>
      <c r="WAP59" s="12"/>
      <c r="WBG59" s="12"/>
      <c r="WBH59" s="12"/>
      <c r="WBY59" s="12"/>
      <c r="WBZ59" s="12"/>
      <c r="WCQ59" s="12"/>
      <c r="WCR59" s="12"/>
      <c r="WDI59" s="12"/>
      <c r="WDJ59" s="12"/>
      <c r="WEA59" s="12"/>
      <c r="WEB59" s="12"/>
      <c r="WES59" s="12"/>
      <c r="WET59" s="12"/>
      <c r="WFK59" s="12"/>
      <c r="WFL59" s="12"/>
      <c r="WGC59" s="12"/>
      <c r="WGD59" s="12"/>
      <c r="WGU59" s="12"/>
      <c r="WGV59" s="12"/>
      <c r="WHM59" s="12"/>
      <c r="WHN59" s="12"/>
      <c r="WIE59" s="12"/>
      <c r="WIF59" s="12"/>
      <c r="WIW59" s="12"/>
      <c r="WIX59" s="12"/>
      <c r="WJO59" s="12"/>
      <c r="WJP59" s="12"/>
      <c r="WKG59" s="12"/>
      <c r="WKH59" s="12"/>
      <c r="WKY59" s="12"/>
      <c r="WKZ59" s="12"/>
      <c r="WLQ59" s="12"/>
      <c r="WLR59" s="12"/>
      <c r="WMI59" s="12"/>
      <c r="WMJ59" s="12"/>
      <c r="WNA59" s="12"/>
      <c r="WNB59" s="12"/>
      <c r="WNS59" s="12"/>
      <c r="WNT59" s="12"/>
      <c r="WOK59" s="12"/>
      <c r="WOL59" s="12"/>
      <c r="WPC59" s="12"/>
      <c r="WPD59" s="12"/>
      <c r="WPU59" s="12"/>
      <c r="WPV59" s="12"/>
      <c r="WQM59" s="12"/>
      <c r="WQN59" s="12"/>
      <c r="WRE59" s="12"/>
      <c r="WRF59" s="12"/>
      <c r="WRW59" s="12"/>
      <c r="WRX59" s="12"/>
      <c r="WSO59" s="12"/>
      <c r="WSP59" s="12"/>
      <c r="WTG59" s="12"/>
      <c r="WTH59" s="12"/>
      <c r="WTY59" s="12"/>
      <c r="WTZ59" s="12"/>
      <c r="WUQ59" s="12"/>
      <c r="WUR59" s="12"/>
      <c r="WVI59" s="12"/>
      <c r="WVJ59" s="12"/>
      <c r="WWA59" s="12"/>
      <c r="WWB59" s="12"/>
      <c r="WWS59" s="12"/>
      <c r="WWT59" s="12"/>
      <c r="WXK59" s="12"/>
      <c r="WXL59" s="12"/>
      <c r="WYC59" s="12"/>
      <c r="WYD59" s="12"/>
      <c r="WYU59" s="12"/>
      <c r="WYV59" s="12"/>
      <c r="WZM59" s="12"/>
      <c r="WZN59" s="12"/>
      <c r="XAE59" s="12"/>
      <c r="XAF59" s="12"/>
      <c r="XAW59" s="12"/>
      <c r="XAX59" s="12"/>
      <c r="XBO59" s="12"/>
      <c r="XBP59" s="12"/>
      <c r="XCG59" s="12"/>
      <c r="XCH59" s="12"/>
      <c r="XCY59" s="12"/>
      <c r="XCZ59" s="12"/>
      <c r="XDQ59" s="12"/>
      <c r="XDR59" s="12"/>
      <c r="XEI59" s="12"/>
      <c r="XEJ59" s="12"/>
      <c r="XFA59" s="12"/>
      <c r="XFB59" s="12"/>
    </row>
    <row r="60" spans="1:1010 1027:2036 2053:3062 3079:4088 4105:5114 5131:6140 6157:7166 7183:8192 8209:9200 9217:10226 10243:11252 11269:12278 12295:13304 13321:14330 14347:15356 15373:16382" s="11" customFormat="1" x14ac:dyDescent="0.35">
      <c r="A60" s="183" t="s">
        <v>426</v>
      </c>
      <c r="B60" s="293" t="s">
        <v>427</v>
      </c>
      <c r="C60" s="184">
        <v>0</v>
      </c>
      <c r="D60" s="184">
        <v>0</v>
      </c>
      <c r="E60" s="184">
        <v>0</v>
      </c>
      <c r="F60" s="184">
        <v>0</v>
      </c>
      <c r="G60" s="184">
        <v>0</v>
      </c>
      <c r="H60" s="184">
        <v>0</v>
      </c>
      <c r="I60" s="184">
        <v>0</v>
      </c>
      <c r="J60" s="184">
        <v>0</v>
      </c>
      <c r="K60" s="184">
        <v>0</v>
      </c>
      <c r="L60" s="184">
        <v>0</v>
      </c>
      <c r="S60" s="12"/>
      <c r="T60" s="12"/>
      <c r="AK60" s="12"/>
      <c r="AL60" s="12"/>
      <c r="BC60" s="12"/>
      <c r="BD60" s="12"/>
      <c r="BU60" s="12"/>
      <c r="BV60" s="12"/>
      <c r="CM60" s="12"/>
      <c r="CN60" s="12"/>
      <c r="DE60" s="12"/>
      <c r="DF60" s="12"/>
      <c r="DW60" s="12"/>
      <c r="DX60" s="12"/>
      <c r="EO60" s="12"/>
      <c r="EP60" s="12"/>
      <c r="FG60" s="12"/>
      <c r="FH60" s="12"/>
      <c r="FY60" s="12"/>
      <c r="FZ60" s="12"/>
      <c r="GQ60" s="12"/>
      <c r="GR60" s="12"/>
      <c r="HI60" s="12"/>
      <c r="HJ60" s="12"/>
      <c r="IA60" s="12"/>
      <c r="IB60" s="12"/>
      <c r="IS60" s="12"/>
      <c r="IT60" s="12"/>
      <c r="JK60" s="12"/>
      <c r="JL60" s="12"/>
      <c r="KC60" s="12"/>
      <c r="KD60" s="12"/>
      <c r="KU60" s="12"/>
      <c r="KV60" s="12"/>
      <c r="LM60" s="12"/>
      <c r="LN60" s="12"/>
      <c r="ME60" s="12"/>
      <c r="MF60" s="12"/>
      <c r="MW60" s="12"/>
      <c r="MX60" s="12"/>
      <c r="NO60" s="12"/>
      <c r="NP60" s="12"/>
      <c r="OG60" s="12"/>
      <c r="OH60" s="12"/>
      <c r="OY60" s="12"/>
      <c r="OZ60" s="12"/>
      <c r="PQ60" s="12"/>
      <c r="PR60" s="12"/>
      <c r="QI60" s="12"/>
      <c r="QJ60" s="12"/>
      <c r="RA60" s="12"/>
      <c r="RB60" s="12"/>
      <c r="RS60" s="12"/>
      <c r="RT60" s="12"/>
      <c r="SK60" s="12"/>
      <c r="SL60" s="12"/>
      <c r="TC60" s="12"/>
      <c r="TD60" s="12"/>
      <c r="TU60" s="12"/>
      <c r="TV60" s="12"/>
      <c r="UM60" s="12"/>
      <c r="UN60" s="12"/>
      <c r="VE60" s="12"/>
      <c r="VF60" s="12"/>
      <c r="VW60" s="12"/>
      <c r="VX60" s="12"/>
      <c r="WO60" s="12"/>
      <c r="WP60" s="12"/>
      <c r="XG60" s="12"/>
      <c r="XH60" s="12"/>
      <c r="XY60" s="12"/>
      <c r="XZ60" s="12"/>
      <c r="YQ60" s="12"/>
      <c r="YR60" s="12"/>
      <c r="ZI60" s="12"/>
      <c r="ZJ60" s="12"/>
      <c r="AAA60" s="12"/>
      <c r="AAB60" s="12"/>
      <c r="AAS60" s="12"/>
      <c r="AAT60" s="12"/>
      <c r="ABK60" s="12"/>
      <c r="ABL60" s="12"/>
      <c r="ACC60" s="12"/>
      <c r="ACD60" s="12"/>
      <c r="ACU60" s="12"/>
      <c r="ACV60" s="12"/>
      <c r="ADM60" s="12"/>
      <c r="ADN60" s="12"/>
      <c r="AEE60" s="12"/>
      <c r="AEF60" s="12"/>
      <c r="AEW60" s="12"/>
      <c r="AEX60" s="12"/>
      <c r="AFO60" s="12"/>
      <c r="AFP60" s="12"/>
      <c r="AGG60" s="12"/>
      <c r="AGH60" s="12"/>
      <c r="AGY60" s="12"/>
      <c r="AGZ60" s="12"/>
      <c r="AHQ60" s="12"/>
      <c r="AHR60" s="12"/>
      <c r="AII60" s="12"/>
      <c r="AIJ60" s="12"/>
      <c r="AJA60" s="12"/>
      <c r="AJB60" s="12"/>
      <c r="AJS60" s="12"/>
      <c r="AJT60" s="12"/>
      <c r="AKK60" s="12"/>
      <c r="AKL60" s="12"/>
      <c r="ALC60" s="12"/>
      <c r="ALD60" s="12"/>
      <c r="ALU60" s="12"/>
      <c r="ALV60" s="12"/>
      <c r="AMM60" s="12"/>
      <c r="AMN60" s="12"/>
      <c r="ANE60" s="12"/>
      <c r="ANF60" s="12"/>
      <c r="ANW60" s="12"/>
      <c r="ANX60" s="12"/>
      <c r="AOO60" s="12"/>
      <c r="AOP60" s="12"/>
      <c r="APG60" s="12"/>
      <c r="APH60" s="12"/>
      <c r="APY60" s="12"/>
      <c r="APZ60" s="12"/>
      <c r="AQQ60" s="12"/>
      <c r="AQR60" s="12"/>
      <c r="ARI60" s="12"/>
      <c r="ARJ60" s="12"/>
      <c r="ASA60" s="12"/>
      <c r="ASB60" s="12"/>
      <c r="ASS60" s="12"/>
      <c r="AST60" s="12"/>
      <c r="ATK60" s="12"/>
      <c r="ATL60" s="12"/>
      <c r="AUC60" s="12"/>
      <c r="AUD60" s="12"/>
      <c r="AUU60" s="12"/>
      <c r="AUV60" s="12"/>
      <c r="AVM60" s="12"/>
      <c r="AVN60" s="12"/>
      <c r="AWE60" s="12"/>
      <c r="AWF60" s="12"/>
      <c r="AWW60" s="12"/>
      <c r="AWX60" s="12"/>
      <c r="AXO60" s="12"/>
      <c r="AXP60" s="12"/>
      <c r="AYG60" s="12"/>
      <c r="AYH60" s="12"/>
      <c r="AYY60" s="12"/>
      <c r="AYZ60" s="12"/>
      <c r="AZQ60" s="12"/>
      <c r="AZR60" s="12"/>
      <c r="BAI60" s="12"/>
      <c r="BAJ60" s="12"/>
      <c r="BBA60" s="12"/>
      <c r="BBB60" s="12"/>
      <c r="BBS60" s="12"/>
      <c r="BBT60" s="12"/>
      <c r="BCK60" s="12"/>
      <c r="BCL60" s="12"/>
      <c r="BDC60" s="12"/>
      <c r="BDD60" s="12"/>
      <c r="BDU60" s="12"/>
      <c r="BDV60" s="12"/>
      <c r="BEM60" s="12"/>
      <c r="BEN60" s="12"/>
      <c r="BFE60" s="12"/>
      <c r="BFF60" s="12"/>
      <c r="BFW60" s="12"/>
      <c r="BFX60" s="12"/>
      <c r="BGO60" s="12"/>
      <c r="BGP60" s="12"/>
      <c r="BHG60" s="12"/>
      <c r="BHH60" s="12"/>
      <c r="BHY60" s="12"/>
      <c r="BHZ60" s="12"/>
      <c r="BIQ60" s="12"/>
      <c r="BIR60" s="12"/>
      <c r="BJI60" s="12"/>
      <c r="BJJ60" s="12"/>
      <c r="BKA60" s="12"/>
      <c r="BKB60" s="12"/>
      <c r="BKS60" s="12"/>
      <c r="BKT60" s="12"/>
      <c r="BLK60" s="12"/>
      <c r="BLL60" s="12"/>
      <c r="BMC60" s="12"/>
      <c r="BMD60" s="12"/>
      <c r="BMU60" s="12"/>
      <c r="BMV60" s="12"/>
      <c r="BNM60" s="12"/>
      <c r="BNN60" s="12"/>
      <c r="BOE60" s="12"/>
      <c r="BOF60" s="12"/>
      <c r="BOW60" s="12"/>
      <c r="BOX60" s="12"/>
      <c r="BPO60" s="12"/>
      <c r="BPP60" s="12"/>
      <c r="BQG60" s="12"/>
      <c r="BQH60" s="12"/>
      <c r="BQY60" s="12"/>
      <c r="BQZ60" s="12"/>
      <c r="BRQ60" s="12"/>
      <c r="BRR60" s="12"/>
      <c r="BSI60" s="12"/>
      <c r="BSJ60" s="12"/>
      <c r="BTA60" s="12"/>
      <c r="BTB60" s="12"/>
      <c r="BTS60" s="12"/>
      <c r="BTT60" s="12"/>
      <c r="BUK60" s="12"/>
      <c r="BUL60" s="12"/>
      <c r="BVC60" s="12"/>
      <c r="BVD60" s="12"/>
      <c r="BVU60" s="12"/>
      <c r="BVV60" s="12"/>
      <c r="BWM60" s="12"/>
      <c r="BWN60" s="12"/>
      <c r="BXE60" s="12"/>
      <c r="BXF60" s="12"/>
      <c r="BXW60" s="12"/>
      <c r="BXX60" s="12"/>
      <c r="BYO60" s="12"/>
      <c r="BYP60" s="12"/>
      <c r="BZG60" s="12"/>
      <c r="BZH60" s="12"/>
      <c r="BZY60" s="12"/>
      <c r="BZZ60" s="12"/>
      <c r="CAQ60" s="12"/>
      <c r="CAR60" s="12"/>
      <c r="CBI60" s="12"/>
      <c r="CBJ60" s="12"/>
      <c r="CCA60" s="12"/>
      <c r="CCB60" s="12"/>
      <c r="CCS60" s="12"/>
      <c r="CCT60" s="12"/>
      <c r="CDK60" s="12"/>
      <c r="CDL60" s="12"/>
      <c r="CEC60" s="12"/>
      <c r="CED60" s="12"/>
      <c r="CEU60" s="12"/>
      <c r="CEV60" s="12"/>
      <c r="CFM60" s="12"/>
      <c r="CFN60" s="12"/>
      <c r="CGE60" s="12"/>
      <c r="CGF60" s="12"/>
      <c r="CGW60" s="12"/>
      <c r="CGX60" s="12"/>
      <c r="CHO60" s="12"/>
      <c r="CHP60" s="12"/>
      <c r="CIG60" s="12"/>
      <c r="CIH60" s="12"/>
      <c r="CIY60" s="12"/>
      <c r="CIZ60" s="12"/>
      <c r="CJQ60" s="12"/>
      <c r="CJR60" s="12"/>
      <c r="CKI60" s="12"/>
      <c r="CKJ60" s="12"/>
      <c r="CLA60" s="12"/>
      <c r="CLB60" s="12"/>
      <c r="CLS60" s="12"/>
      <c r="CLT60" s="12"/>
      <c r="CMK60" s="12"/>
      <c r="CML60" s="12"/>
      <c r="CNC60" s="12"/>
      <c r="CND60" s="12"/>
      <c r="CNU60" s="12"/>
      <c r="CNV60" s="12"/>
      <c r="COM60" s="12"/>
      <c r="CON60" s="12"/>
      <c r="CPE60" s="12"/>
      <c r="CPF60" s="12"/>
      <c r="CPW60" s="12"/>
      <c r="CPX60" s="12"/>
      <c r="CQO60" s="12"/>
      <c r="CQP60" s="12"/>
      <c r="CRG60" s="12"/>
      <c r="CRH60" s="12"/>
      <c r="CRY60" s="12"/>
      <c r="CRZ60" s="12"/>
      <c r="CSQ60" s="12"/>
      <c r="CSR60" s="12"/>
      <c r="CTI60" s="12"/>
      <c r="CTJ60" s="12"/>
      <c r="CUA60" s="12"/>
      <c r="CUB60" s="12"/>
      <c r="CUS60" s="12"/>
      <c r="CUT60" s="12"/>
      <c r="CVK60" s="12"/>
      <c r="CVL60" s="12"/>
      <c r="CWC60" s="12"/>
      <c r="CWD60" s="12"/>
      <c r="CWU60" s="12"/>
      <c r="CWV60" s="12"/>
      <c r="CXM60" s="12"/>
      <c r="CXN60" s="12"/>
      <c r="CYE60" s="12"/>
      <c r="CYF60" s="12"/>
      <c r="CYW60" s="12"/>
      <c r="CYX60" s="12"/>
      <c r="CZO60" s="12"/>
      <c r="CZP60" s="12"/>
      <c r="DAG60" s="12"/>
      <c r="DAH60" s="12"/>
      <c r="DAY60" s="12"/>
      <c r="DAZ60" s="12"/>
      <c r="DBQ60" s="12"/>
      <c r="DBR60" s="12"/>
      <c r="DCI60" s="12"/>
      <c r="DCJ60" s="12"/>
      <c r="DDA60" s="12"/>
      <c r="DDB60" s="12"/>
      <c r="DDS60" s="12"/>
      <c r="DDT60" s="12"/>
      <c r="DEK60" s="12"/>
      <c r="DEL60" s="12"/>
      <c r="DFC60" s="12"/>
      <c r="DFD60" s="12"/>
      <c r="DFU60" s="12"/>
      <c r="DFV60" s="12"/>
      <c r="DGM60" s="12"/>
      <c r="DGN60" s="12"/>
      <c r="DHE60" s="12"/>
      <c r="DHF60" s="12"/>
      <c r="DHW60" s="12"/>
      <c r="DHX60" s="12"/>
      <c r="DIO60" s="12"/>
      <c r="DIP60" s="12"/>
      <c r="DJG60" s="12"/>
      <c r="DJH60" s="12"/>
      <c r="DJY60" s="12"/>
      <c r="DJZ60" s="12"/>
      <c r="DKQ60" s="12"/>
      <c r="DKR60" s="12"/>
      <c r="DLI60" s="12"/>
      <c r="DLJ60" s="12"/>
      <c r="DMA60" s="12"/>
      <c r="DMB60" s="12"/>
      <c r="DMS60" s="12"/>
      <c r="DMT60" s="12"/>
      <c r="DNK60" s="12"/>
      <c r="DNL60" s="12"/>
      <c r="DOC60" s="12"/>
      <c r="DOD60" s="12"/>
      <c r="DOU60" s="12"/>
      <c r="DOV60" s="12"/>
      <c r="DPM60" s="12"/>
      <c r="DPN60" s="12"/>
      <c r="DQE60" s="12"/>
      <c r="DQF60" s="12"/>
      <c r="DQW60" s="12"/>
      <c r="DQX60" s="12"/>
      <c r="DRO60" s="12"/>
      <c r="DRP60" s="12"/>
      <c r="DSG60" s="12"/>
      <c r="DSH60" s="12"/>
      <c r="DSY60" s="12"/>
      <c r="DSZ60" s="12"/>
      <c r="DTQ60" s="12"/>
      <c r="DTR60" s="12"/>
      <c r="DUI60" s="12"/>
      <c r="DUJ60" s="12"/>
      <c r="DVA60" s="12"/>
      <c r="DVB60" s="12"/>
      <c r="DVS60" s="12"/>
      <c r="DVT60" s="12"/>
      <c r="DWK60" s="12"/>
      <c r="DWL60" s="12"/>
      <c r="DXC60" s="12"/>
      <c r="DXD60" s="12"/>
      <c r="DXU60" s="12"/>
      <c r="DXV60" s="12"/>
      <c r="DYM60" s="12"/>
      <c r="DYN60" s="12"/>
      <c r="DZE60" s="12"/>
      <c r="DZF60" s="12"/>
      <c r="DZW60" s="12"/>
      <c r="DZX60" s="12"/>
      <c r="EAO60" s="12"/>
      <c r="EAP60" s="12"/>
      <c r="EBG60" s="12"/>
      <c r="EBH60" s="12"/>
      <c r="EBY60" s="12"/>
      <c r="EBZ60" s="12"/>
      <c r="ECQ60" s="12"/>
      <c r="ECR60" s="12"/>
      <c r="EDI60" s="12"/>
      <c r="EDJ60" s="12"/>
      <c r="EEA60" s="12"/>
      <c r="EEB60" s="12"/>
      <c r="EES60" s="12"/>
      <c r="EET60" s="12"/>
      <c r="EFK60" s="12"/>
      <c r="EFL60" s="12"/>
      <c r="EGC60" s="12"/>
      <c r="EGD60" s="12"/>
      <c r="EGU60" s="12"/>
      <c r="EGV60" s="12"/>
      <c r="EHM60" s="12"/>
      <c r="EHN60" s="12"/>
      <c r="EIE60" s="12"/>
      <c r="EIF60" s="12"/>
      <c r="EIW60" s="12"/>
      <c r="EIX60" s="12"/>
      <c r="EJO60" s="12"/>
      <c r="EJP60" s="12"/>
      <c r="EKG60" s="12"/>
      <c r="EKH60" s="12"/>
      <c r="EKY60" s="12"/>
      <c r="EKZ60" s="12"/>
      <c r="ELQ60" s="12"/>
      <c r="ELR60" s="12"/>
      <c r="EMI60" s="12"/>
      <c r="EMJ60" s="12"/>
      <c r="ENA60" s="12"/>
      <c r="ENB60" s="12"/>
      <c r="ENS60" s="12"/>
      <c r="ENT60" s="12"/>
      <c r="EOK60" s="12"/>
      <c r="EOL60" s="12"/>
      <c r="EPC60" s="12"/>
      <c r="EPD60" s="12"/>
      <c r="EPU60" s="12"/>
      <c r="EPV60" s="12"/>
      <c r="EQM60" s="12"/>
      <c r="EQN60" s="12"/>
      <c r="ERE60" s="12"/>
      <c r="ERF60" s="12"/>
      <c r="ERW60" s="12"/>
      <c r="ERX60" s="12"/>
      <c r="ESO60" s="12"/>
      <c r="ESP60" s="12"/>
      <c r="ETG60" s="12"/>
      <c r="ETH60" s="12"/>
      <c r="ETY60" s="12"/>
      <c r="ETZ60" s="12"/>
      <c r="EUQ60" s="12"/>
      <c r="EUR60" s="12"/>
      <c r="EVI60" s="12"/>
      <c r="EVJ60" s="12"/>
      <c r="EWA60" s="12"/>
      <c r="EWB60" s="12"/>
      <c r="EWS60" s="12"/>
      <c r="EWT60" s="12"/>
      <c r="EXK60" s="12"/>
      <c r="EXL60" s="12"/>
      <c r="EYC60" s="12"/>
      <c r="EYD60" s="12"/>
      <c r="EYU60" s="12"/>
      <c r="EYV60" s="12"/>
      <c r="EZM60" s="12"/>
      <c r="EZN60" s="12"/>
      <c r="FAE60" s="12"/>
      <c r="FAF60" s="12"/>
      <c r="FAW60" s="12"/>
      <c r="FAX60" s="12"/>
      <c r="FBO60" s="12"/>
      <c r="FBP60" s="12"/>
      <c r="FCG60" s="12"/>
      <c r="FCH60" s="12"/>
      <c r="FCY60" s="12"/>
      <c r="FCZ60" s="12"/>
      <c r="FDQ60" s="12"/>
      <c r="FDR60" s="12"/>
      <c r="FEI60" s="12"/>
      <c r="FEJ60" s="12"/>
      <c r="FFA60" s="12"/>
      <c r="FFB60" s="12"/>
      <c r="FFS60" s="12"/>
      <c r="FFT60" s="12"/>
      <c r="FGK60" s="12"/>
      <c r="FGL60" s="12"/>
      <c r="FHC60" s="12"/>
      <c r="FHD60" s="12"/>
      <c r="FHU60" s="12"/>
      <c r="FHV60" s="12"/>
      <c r="FIM60" s="12"/>
      <c r="FIN60" s="12"/>
      <c r="FJE60" s="12"/>
      <c r="FJF60" s="12"/>
      <c r="FJW60" s="12"/>
      <c r="FJX60" s="12"/>
      <c r="FKO60" s="12"/>
      <c r="FKP60" s="12"/>
      <c r="FLG60" s="12"/>
      <c r="FLH60" s="12"/>
      <c r="FLY60" s="12"/>
      <c r="FLZ60" s="12"/>
      <c r="FMQ60" s="12"/>
      <c r="FMR60" s="12"/>
      <c r="FNI60" s="12"/>
      <c r="FNJ60" s="12"/>
      <c r="FOA60" s="12"/>
      <c r="FOB60" s="12"/>
      <c r="FOS60" s="12"/>
      <c r="FOT60" s="12"/>
      <c r="FPK60" s="12"/>
      <c r="FPL60" s="12"/>
      <c r="FQC60" s="12"/>
      <c r="FQD60" s="12"/>
      <c r="FQU60" s="12"/>
      <c r="FQV60" s="12"/>
      <c r="FRM60" s="12"/>
      <c r="FRN60" s="12"/>
      <c r="FSE60" s="12"/>
      <c r="FSF60" s="12"/>
      <c r="FSW60" s="12"/>
      <c r="FSX60" s="12"/>
      <c r="FTO60" s="12"/>
      <c r="FTP60" s="12"/>
      <c r="FUG60" s="12"/>
      <c r="FUH60" s="12"/>
      <c r="FUY60" s="12"/>
      <c r="FUZ60" s="12"/>
      <c r="FVQ60" s="12"/>
      <c r="FVR60" s="12"/>
      <c r="FWI60" s="12"/>
      <c r="FWJ60" s="12"/>
      <c r="FXA60" s="12"/>
      <c r="FXB60" s="12"/>
      <c r="FXS60" s="12"/>
      <c r="FXT60" s="12"/>
      <c r="FYK60" s="12"/>
      <c r="FYL60" s="12"/>
      <c r="FZC60" s="12"/>
      <c r="FZD60" s="12"/>
      <c r="FZU60" s="12"/>
      <c r="FZV60" s="12"/>
      <c r="GAM60" s="12"/>
      <c r="GAN60" s="12"/>
      <c r="GBE60" s="12"/>
      <c r="GBF60" s="12"/>
      <c r="GBW60" s="12"/>
      <c r="GBX60" s="12"/>
      <c r="GCO60" s="12"/>
      <c r="GCP60" s="12"/>
      <c r="GDG60" s="12"/>
      <c r="GDH60" s="12"/>
      <c r="GDY60" s="12"/>
      <c r="GDZ60" s="12"/>
      <c r="GEQ60" s="12"/>
      <c r="GER60" s="12"/>
      <c r="GFI60" s="12"/>
      <c r="GFJ60" s="12"/>
      <c r="GGA60" s="12"/>
      <c r="GGB60" s="12"/>
      <c r="GGS60" s="12"/>
      <c r="GGT60" s="12"/>
      <c r="GHK60" s="12"/>
      <c r="GHL60" s="12"/>
      <c r="GIC60" s="12"/>
      <c r="GID60" s="12"/>
      <c r="GIU60" s="12"/>
      <c r="GIV60" s="12"/>
      <c r="GJM60" s="12"/>
      <c r="GJN60" s="12"/>
      <c r="GKE60" s="12"/>
      <c r="GKF60" s="12"/>
      <c r="GKW60" s="12"/>
      <c r="GKX60" s="12"/>
      <c r="GLO60" s="12"/>
      <c r="GLP60" s="12"/>
      <c r="GMG60" s="12"/>
      <c r="GMH60" s="12"/>
      <c r="GMY60" s="12"/>
      <c r="GMZ60" s="12"/>
      <c r="GNQ60" s="12"/>
      <c r="GNR60" s="12"/>
      <c r="GOI60" s="12"/>
      <c r="GOJ60" s="12"/>
      <c r="GPA60" s="12"/>
      <c r="GPB60" s="12"/>
      <c r="GPS60" s="12"/>
      <c r="GPT60" s="12"/>
      <c r="GQK60" s="12"/>
      <c r="GQL60" s="12"/>
      <c r="GRC60" s="12"/>
      <c r="GRD60" s="12"/>
      <c r="GRU60" s="12"/>
      <c r="GRV60" s="12"/>
      <c r="GSM60" s="12"/>
      <c r="GSN60" s="12"/>
      <c r="GTE60" s="12"/>
      <c r="GTF60" s="12"/>
      <c r="GTW60" s="12"/>
      <c r="GTX60" s="12"/>
      <c r="GUO60" s="12"/>
      <c r="GUP60" s="12"/>
      <c r="GVG60" s="12"/>
      <c r="GVH60" s="12"/>
      <c r="GVY60" s="12"/>
      <c r="GVZ60" s="12"/>
      <c r="GWQ60" s="12"/>
      <c r="GWR60" s="12"/>
      <c r="GXI60" s="12"/>
      <c r="GXJ60" s="12"/>
      <c r="GYA60" s="12"/>
      <c r="GYB60" s="12"/>
      <c r="GYS60" s="12"/>
      <c r="GYT60" s="12"/>
      <c r="GZK60" s="12"/>
      <c r="GZL60" s="12"/>
      <c r="HAC60" s="12"/>
      <c r="HAD60" s="12"/>
      <c r="HAU60" s="12"/>
      <c r="HAV60" s="12"/>
      <c r="HBM60" s="12"/>
      <c r="HBN60" s="12"/>
      <c r="HCE60" s="12"/>
      <c r="HCF60" s="12"/>
      <c r="HCW60" s="12"/>
      <c r="HCX60" s="12"/>
      <c r="HDO60" s="12"/>
      <c r="HDP60" s="12"/>
      <c r="HEG60" s="12"/>
      <c r="HEH60" s="12"/>
      <c r="HEY60" s="12"/>
      <c r="HEZ60" s="12"/>
      <c r="HFQ60" s="12"/>
      <c r="HFR60" s="12"/>
      <c r="HGI60" s="12"/>
      <c r="HGJ60" s="12"/>
      <c r="HHA60" s="12"/>
      <c r="HHB60" s="12"/>
      <c r="HHS60" s="12"/>
      <c r="HHT60" s="12"/>
      <c r="HIK60" s="12"/>
      <c r="HIL60" s="12"/>
      <c r="HJC60" s="12"/>
      <c r="HJD60" s="12"/>
      <c r="HJU60" s="12"/>
      <c r="HJV60" s="12"/>
      <c r="HKM60" s="12"/>
      <c r="HKN60" s="12"/>
      <c r="HLE60" s="12"/>
      <c r="HLF60" s="12"/>
      <c r="HLW60" s="12"/>
      <c r="HLX60" s="12"/>
      <c r="HMO60" s="12"/>
      <c r="HMP60" s="12"/>
      <c r="HNG60" s="12"/>
      <c r="HNH60" s="12"/>
      <c r="HNY60" s="12"/>
      <c r="HNZ60" s="12"/>
      <c r="HOQ60" s="12"/>
      <c r="HOR60" s="12"/>
      <c r="HPI60" s="12"/>
      <c r="HPJ60" s="12"/>
      <c r="HQA60" s="12"/>
      <c r="HQB60" s="12"/>
      <c r="HQS60" s="12"/>
      <c r="HQT60" s="12"/>
      <c r="HRK60" s="12"/>
      <c r="HRL60" s="12"/>
      <c r="HSC60" s="12"/>
      <c r="HSD60" s="12"/>
      <c r="HSU60" s="12"/>
      <c r="HSV60" s="12"/>
      <c r="HTM60" s="12"/>
      <c r="HTN60" s="12"/>
      <c r="HUE60" s="12"/>
      <c r="HUF60" s="12"/>
      <c r="HUW60" s="12"/>
      <c r="HUX60" s="12"/>
      <c r="HVO60" s="12"/>
      <c r="HVP60" s="12"/>
      <c r="HWG60" s="12"/>
      <c r="HWH60" s="12"/>
      <c r="HWY60" s="12"/>
      <c r="HWZ60" s="12"/>
      <c r="HXQ60" s="12"/>
      <c r="HXR60" s="12"/>
      <c r="HYI60" s="12"/>
      <c r="HYJ60" s="12"/>
      <c r="HZA60" s="12"/>
      <c r="HZB60" s="12"/>
      <c r="HZS60" s="12"/>
      <c r="HZT60" s="12"/>
      <c r="IAK60" s="12"/>
      <c r="IAL60" s="12"/>
      <c r="IBC60" s="12"/>
      <c r="IBD60" s="12"/>
      <c r="IBU60" s="12"/>
      <c r="IBV60" s="12"/>
      <c r="ICM60" s="12"/>
      <c r="ICN60" s="12"/>
      <c r="IDE60" s="12"/>
      <c r="IDF60" s="12"/>
      <c r="IDW60" s="12"/>
      <c r="IDX60" s="12"/>
      <c r="IEO60" s="12"/>
      <c r="IEP60" s="12"/>
      <c r="IFG60" s="12"/>
      <c r="IFH60" s="12"/>
      <c r="IFY60" s="12"/>
      <c r="IFZ60" s="12"/>
      <c r="IGQ60" s="12"/>
      <c r="IGR60" s="12"/>
      <c r="IHI60" s="12"/>
      <c r="IHJ60" s="12"/>
      <c r="IIA60" s="12"/>
      <c r="IIB60" s="12"/>
      <c r="IIS60" s="12"/>
      <c r="IIT60" s="12"/>
      <c r="IJK60" s="12"/>
      <c r="IJL60" s="12"/>
      <c r="IKC60" s="12"/>
      <c r="IKD60" s="12"/>
      <c r="IKU60" s="12"/>
      <c r="IKV60" s="12"/>
      <c r="ILM60" s="12"/>
      <c r="ILN60" s="12"/>
      <c r="IME60" s="12"/>
      <c r="IMF60" s="12"/>
      <c r="IMW60" s="12"/>
      <c r="IMX60" s="12"/>
      <c r="INO60" s="12"/>
      <c r="INP60" s="12"/>
      <c r="IOG60" s="12"/>
      <c r="IOH60" s="12"/>
      <c r="IOY60" s="12"/>
      <c r="IOZ60" s="12"/>
      <c r="IPQ60" s="12"/>
      <c r="IPR60" s="12"/>
      <c r="IQI60" s="12"/>
      <c r="IQJ60" s="12"/>
      <c r="IRA60" s="12"/>
      <c r="IRB60" s="12"/>
      <c r="IRS60" s="12"/>
      <c r="IRT60" s="12"/>
      <c r="ISK60" s="12"/>
      <c r="ISL60" s="12"/>
      <c r="ITC60" s="12"/>
      <c r="ITD60" s="12"/>
      <c r="ITU60" s="12"/>
      <c r="ITV60" s="12"/>
      <c r="IUM60" s="12"/>
      <c r="IUN60" s="12"/>
      <c r="IVE60" s="12"/>
      <c r="IVF60" s="12"/>
      <c r="IVW60" s="12"/>
      <c r="IVX60" s="12"/>
      <c r="IWO60" s="12"/>
      <c r="IWP60" s="12"/>
      <c r="IXG60" s="12"/>
      <c r="IXH60" s="12"/>
      <c r="IXY60" s="12"/>
      <c r="IXZ60" s="12"/>
      <c r="IYQ60" s="12"/>
      <c r="IYR60" s="12"/>
      <c r="IZI60" s="12"/>
      <c r="IZJ60" s="12"/>
      <c r="JAA60" s="12"/>
      <c r="JAB60" s="12"/>
      <c r="JAS60" s="12"/>
      <c r="JAT60" s="12"/>
      <c r="JBK60" s="12"/>
      <c r="JBL60" s="12"/>
      <c r="JCC60" s="12"/>
      <c r="JCD60" s="12"/>
      <c r="JCU60" s="12"/>
      <c r="JCV60" s="12"/>
      <c r="JDM60" s="12"/>
      <c r="JDN60" s="12"/>
      <c r="JEE60" s="12"/>
      <c r="JEF60" s="12"/>
      <c r="JEW60" s="12"/>
      <c r="JEX60" s="12"/>
      <c r="JFO60" s="12"/>
      <c r="JFP60" s="12"/>
      <c r="JGG60" s="12"/>
      <c r="JGH60" s="12"/>
      <c r="JGY60" s="12"/>
      <c r="JGZ60" s="12"/>
      <c r="JHQ60" s="12"/>
      <c r="JHR60" s="12"/>
      <c r="JII60" s="12"/>
      <c r="JIJ60" s="12"/>
      <c r="JJA60" s="12"/>
      <c r="JJB60" s="12"/>
      <c r="JJS60" s="12"/>
      <c r="JJT60" s="12"/>
      <c r="JKK60" s="12"/>
      <c r="JKL60" s="12"/>
      <c r="JLC60" s="12"/>
      <c r="JLD60" s="12"/>
      <c r="JLU60" s="12"/>
      <c r="JLV60" s="12"/>
      <c r="JMM60" s="12"/>
      <c r="JMN60" s="12"/>
      <c r="JNE60" s="12"/>
      <c r="JNF60" s="12"/>
      <c r="JNW60" s="12"/>
      <c r="JNX60" s="12"/>
      <c r="JOO60" s="12"/>
      <c r="JOP60" s="12"/>
      <c r="JPG60" s="12"/>
      <c r="JPH60" s="12"/>
      <c r="JPY60" s="12"/>
      <c r="JPZ60" s="12"/>
      <c r="JQQ60" s="12"/>
      <c r="JQR60" s="12"/>
      <c r="JRI60" s="12"/>
      <c r="JRJ60" s="12"/>
      <c r="JSA60" s="12"/>
      <c r="JSB60" s="12"/>
      <c r="JSS60" s="12"/>
      <c r="JST60" s="12"/>
      <c r="JTK60" s="12"/>
      <c r="JTL60" s="12"/>
      <c r="JUC60" s="12"/>
      <c r="JUD60" s="12"/>
      <c r="JUU60" s="12"/>
      <c r="JUV60" s="12"/>
      <c r="JVM60" s="12"/>
      <c r="JVN60" s="12"/>
      <c r="JWE60" s="12"/>
      <c r="JWF60" s="12"/>
      <c r="JWW60" s="12"/>
      <c r="JWX60" s="12"/>
      <c r="JXO60" s="12"/>
      <c r="JXP60" s="12"/>
      <c r="JYG60" s="12"/>
      <c r="JYH60" s="12"/>
      <c r="JYY60" s="12"/>
      <c r="JYZ60" s="12"/>
      <c r="JZQ60" s="12"/>
      <c r="JZR60" s="12"/>
      <c r="KAI60" s="12"/>
      <c r="KAJ60" s="12"/>
      <c r="KBA60" s="12"/>
      <c r="KBB60" s="12"/>
      <c r="KBS60" s="12"/>
      <c r="KBT60" s="12"/>
      <c r="KCK60" s="12"/>
      <c r="KCL60" s="12"/>
      <c r="KDC60" s="12"/>
      <c r="KDD60" s="12"/>
      <c r="KDU60" s="12"/>
      <c r="KDV60" s="12"/>
      <c r="KEM60" s="12"/>
      <c r="KEN60" s="12"/>
      <c r="KFE60" s="12"/>
      <c r="KFF60" s="12"/>
      <c r="KFW60" s="12"/>
      <c r="KFX60" s="12"/>
      <c r="KGO60" s="12"/>
      <c r="KGP60" s="12"/>
      <c r="KHG60" s="12"/>
      <c r="KHH60" s="12"/>
      <c r="KHY60" s="12"/>
      <c r="KHZ60" s="12"/>
      <c r="KIQ60" s="12"/>
      <c r="KIR60" s="12"/>
      <c r="KJI60" s="12"/>
      <c r="KJJ60" s="12"/>
      <c r="KKA60" s="12"/>
      <c r="KKB60" s="12"/>
      <c r="KKS60" s="12"/>
      <c r="KKT60" s="12"/>
      <c r="KLK60" s="12"/>
      <c r="KLL60" s="12"/>
      <c r="KMC60" s="12"/>
      <c r="KMD60" s="12"/>
      <c r="KMU60" s="12"/>
      <c r="KMV60" s="12"/>
      <c r="KNM60" s="12"/>
      <c r="KNN60" s="12"/>
      <c r="KOE60" s="12"/>
      <c r="KOF60" s="12"/>
      <c r="KOW60" s="12"/>
      <c r="KOX60" s="12"/>
      <c r="KPO60" s="12"/>
      <c r="KPP60" s="12"/>
      <c r="KQG60" s="12"/>
      <c r="KQH60" s="12"/>
      <c r="KQY60" s="12"/>
      <c r="KQZ60" s="12"/>
      <c r="KRQ60" s="12"/>
      <c r="KRR60" s="12"/>
      <c r="KSI60" s="12"/>
      <c r="KSJ60" s="12"/>
      <c r="KTA60" s="12"/>
      <c r="KTB60" s="12"/>
      <c r="KTS60" s="12"/>
      <c r="KTT60" s="12"/>
      <c r="KUK60" s="12"/>
      <c r="KUL60" s="12"/>
      <c r="KVC60" s="12"/>
      <c r="KVD60" s="12"/>
      <c r="KVU60" s="12"/>
      <c r="KVV60" s="12"/>
      <c r="KWM60" s="12"/>
      <c r="KWN60" s="12"/>
      <c r="KXE60" s="12"/>
      <c r="KXF60" s="12"/>
      <c r="KXW60" s="12"/>
      <c r="KXX60" s="12"/>
      <c r="KYO60" s="12"/>
      <c r="KYP60" s="12"/>
      <c r="KZG60" s="12"/>
      <c r="KZH60" s="12"/>
      <c r="KZY60" s="12"/>
      <c r="KZZ60" s="12"/>
      <c r="LAQ60" s="12"/>
      <c r="LAR60" s="12"/>
      <c r="LBI60" s="12"/>
      <c r="LBJ60" s="12"/>
      <c r="LCA60" s="12"/>
      <c r="LCB60" s="12"/>
      <c r="LCS60" s="12"/>
      <c r="LCT60" s="12"/>
      <c r="LDK60" s="12"/>
      <c r="LDL60" s="12"/>
      <c r="LEC60" s="12"/>
      <c r="LED60" s="12"/>
      <c r="LEU60" s="12"/>
      <c r="LEV60" s="12"/>
      <c r="LFM60" s="12"/>
      <c r="LFN60" s="12"/>
      <c r="LGE60" s="12"/>
      <c r="LGF60" s="12"/>
      <c r="LGW60" s="12"/>
      <c r="LGX60" s="12"/>
      <c r="LHO60" s="12"/>
      <c r="LHP60" s="12"/>
      <c r="LIG60" s="12"/>
      <c r="LIH60" s="12"/>
      <c r="LIY60" s="12"/>
      <c r="LIZ60" s="12"/>
      <c r="LJQ60" s="12"/>
      <c r="LJR60" s="12"/>
      <c r="LKI60" s="12"/>
      <c r="LKJ60" s="12"/>
      <c r="LLA60" s="12"/>
      <c r="LLB60" s="12"/>
      <c r="LLS60" s="12"/>
      <c r="LLT60" s="12"/>
      <c r="LMK60" s="12"/>
      <c r="LML60" s="12"/>
      <c r="LNC60" s="12"/>
      <c r="LND60" s="12"/>
      <c r="LNU60" s="12"/>
      <c r="LNV60" s="12"/>
      <c r="LOM60" s="12"/>
      <c r="LON60" s="12"/>
      <c r="LPE60" s="12"/>
      <c r="LPF60" s="12"/>
      <c r="LPW60" s="12"/>
      <c r="LPX60" s="12"/>
      <c r="LQO60" s="12"/>
      <c r="LQP60" s="12"/>
      <c r="LRG60" s="12"/>
      <c r="LRH60" s="12"/>
      <c r="LRY60" s="12"/>
      <c r="LRZ60" s="12"/>
      <c r="LSQ60" s="12"/>
      <c r="LSR60" s="12"/>
      <c r="LTI60" s="12"/>
      <c r="LTJ60" s="12"/>
      <c r="LUA60" s="12"/>
      <c r="LUB60" s="12"/>
      <c r="LUS60" s="12"/>
      <c r="LUT60" s="12"/>
      <c r="LVK60" s="12"/>
      <c r="LVL60" s="12"/>
      <c r="LWC60" s="12"/>
      <c r="LWD60" s="12"/>
      <c r="LWU60" s="12"/>
      <c r="LWV60" s="12"/>
      <c r="LXM60" s="12"/>
      <c r="LXN60" s="12"/>
      <c r="LYE60" s="12"/>
      <c r="LYF60" s="12"/>
      <c r="LYW60" s="12"/>
      <c r="LYX60" s="12"/>
      <c r="LZO60" s="12"/>
      <c r="LZP60" s="12"/>
      <c r="MAG60" s="12"/>
      <c r="MAH60" s="12"/>
      <c r="MAY60" s="12"/>
      <c r="MAZ60" s="12"/>
      <c r="MBQ60" s="12"/>
      <c r="MBR60" s="12"/>
      <c r="MCI60" s="12"/>
      <c r="MCJ60" s="12"/>
      <c r="MDA60" s="12"/>
      <c r="MDB60" s="12"/>
      <c r="MDS60" s="12"/>
      <c r="MDT60" s="12"/>
      <c r="MEK60" s="12"/>
      <c r="MEL60" s="12"/>
      <c r="MFC60" s="12"/>
      <c r="MFD60" s="12"/>
      <c r="MFU60" s="12"/>
      <c r="MFV60" s="12"/>
      <c r="MGM60" s="12"/>
      <c r="MGN60" s="12"/>
      <c r="MHE60" s="12"/>
      <c r="MHF60" s="12"/>
      <c r="MHW60" s="12"/>
      <c r="MHX60" s="12"/>
      <c r="MIO60" s="12"/>
      <c r="MIP60" s="12"/>
      <c r="MJG60" s="12"/>
      <c r="MJH60" s="12"/>
      <c r="MJY60" s="12"/>
      <c r="MJZ60" s="12"/>
      <c r="MKQ60" s="12"/>
      <c r="MKR60" s="12"/>
      <c r="MLI60" s="12"/>
      <c r="MLJ60" s="12"/>
      <c r="MMA60" s="12"/>
      <c r="MMB60" s="12"/>
      <c r="MMS60" s="12"/>
      <c r="MMT60" s="12"/>
      <c r="MNK60" s="12"/>
      <c r="MNL60" s="12"/>
      <c r="MOC60" s="12"/>
      <c r="MOD60" s="12"/>
      <c r="MOU60" s="12"/>
      <c r="MOV60" s="12"/>
      <c r="MPM60" s="12"/>
      <c r="MPN60" s="12"/>
      <c r="MQE60" s="12"/>
      <c r="MQF60" s="12"/>
      <c r="MQW60" s="12"/>
      <c r="MQX60" s="12"/>
      <c r="MRO60" s="12"/>
      <c r="MRP60" s="12"/>
      <c r="MSG60" s="12"/>
      <c r="MSH60" s="12"/>
      <c r="MSY60" s="12"/>
      <c r="MSZ60" s="12"/>
      <c r="MTQ60" s="12"/>
      <c r="MTR60" s="12"/>
      <c r="MUI60" s="12"/>
      <c r="MUJ60" s="12"/>
      <c r="MVA60" s="12"/>
      <c r="MVB60" s="12"/>
      <c r="MVS60" s="12"/>
      <c r="MVT60" s="12"/>
      <c r="MWK60" s="12"/>
      <c r="MWL60" s="12"/>
      <c r="MXC60" s="12"/>
      <c r="MXD60" s="12"/>
      <c r="MXU60" s="12"/>
      <c r="MXV60" s="12"/>
      <c r="MYM60" s="12"/>
      <c r="MYN60" s="12"/>
      <c r="MZE60" s="12"/>
      <c r="MZF60" s="12"/>
      <c r="MZW60" s="12"/>
      <c r="MZX60" s="12"/>
      <c r="NAO60" s="12"/>
      <c r="NAP60" s="12"/>
      <c r="NBG60" s="12"/>
      <c r="NBH60" s="12"/>
      <c r="NBY60" s="12"/>
      <c r="NBZ60" s="12"/>
      <c r="NCQ60" s="12"/>
      <c r="NCR60" s="12"/>
      <c r="NDI60" s="12"/>
      <c r="NDJ60" s="12"/>
      <c r="NEA60" s="12"/>
      <c r="NEB60" s="12"/>
      <c r="NES60" s="12"/>
      <c r="NET60" s="12"/>
      <c r="NFK60" s="12"/>
      <c r="NFL60" s="12"/>
      <c r="NGC60" s="12"/>
      <c r="NGD60" s="12"/>
      <c r="NGU60" s="12"/>
      <c r="NGV60" s="12"/>
      <c r="NHM60" s="12"/>
      <c r="NHN60" s="12"/>
      <c r="NIE60" s="12"/>
      <c r="NIF60" s="12"/>
      <c r="NIW60" s="12"/>
      <c r="NIX60" s="12"/>
      <c r="NJO60" s="12"/>
      <c r="NJP60" s="12"/>
      <c r="NKG60" s="12"/>
      <c r="NKH60" s="12"/>
      <c r="NKY60" s="12"/>
      <c r="NKZ60" s="12"/>
      <c r="NLQ60" s="12"/>
      <c r="NLR60" s="12"/>
      <c r="NMI60" s="12"/>
      <c r="NMJ60" s="12"/>
      <c r="NNA60" s="12"/>
      <c r="NNB60" s="12"/>
      <c r="NNS60" s="12"/>
      <c r="NNT60" s="12"/>
      <c r="NOK60" s="12"/>
      <c r="NOL60" s="12"/>
      <c r="NPC60" s="12"/>
      <c r="NPD60" s="12"/>
      <c r="NPU60" s="12"/>
      <c r="NPV60" s="12"/>
      <c r="NQM60" s="12"/>
      <c r="NQN60" s="12"/>
      <c r="NRE60" s="12"/>
      <c r="NRF60" s="12"/>
      <c r="NRW60" s="12"/>
      <c r="NRX60" s="12"/>
      <c r="NSO60" s="12"/>
      <c r="NSP60" s="12"/>
      <c r="NTG60" s="12"/>
      <c r="NTH60" s="12"/>
      <c r="NTY60" s="12"/>
      <c r="NTZ60" s="12"/>
      <c r="NUQ60" s="12"/>
      <c r="NUR60" s="12"/>
      <c r="NVI60" s="12"/>
      <c r="NVJ60" s="12"/>
      <c r="NWA60" s="12"/>
      <c r="NWB60" s="12"/>
      <c r="NWS60" s="12"/>
      <c r="NWT60" s="12"/>
      <c r="NXK60" s="12"/>
      <c r="NXL60" s="12"/>
      <c r="NYC60" s="12"/>
      <c r="NYD60" s="12"/>
      <c r="NYU60" s="12"/>
      <c r="NYV60" s="12"/>
      <c r="NZM60" s="12"/>
      <c r="NZN60" s="12"/>
      <c r="OAE60" s="12"/>
      <c r="OAF60" s="12"/>
      <c r="OAW60" s="12"/>
      <c r="OAX60" s="12"/>
      <c r="OBO60" s="12"/>
      <c r="OBP60" s="12"/>
      <c r="OCG60" s="12"/>
      <c r="OCH60" s="12"/>
      <c r="OCY60" s="12"/>
      <c r="OCZ60" s="12"/>
      <c r="ODQ60" s="12"/>
      <c r="ODR60" s="12"/>
      <c r="OEI60" s="12"/>
      <c r="OEJ60" s="12"/>
      <c r="OFA60" s="12"/>
      <c r="OFB60" s="12"/>
      <c r="OFS60" s="12"/>
      <c r="OFT60" s="12"/>
      <c r="OGK60" s="12"/>
      <c r="OGL60" s="12"/>
      <c r="OHC60" s="12"/>
      <c r="OHD60" s="12"/>
      <c r="OHU60" s="12"/>
      <c r="OHV60" s="12"/>
      <c r="OIM60" s="12"/>
      <c r="OIN60" s="12"/>
      <c r="OJE60" s="12"/>
      <c r="OJF60" s="12"/>
      <c r="OJW60" s="12"/>
      <c r="OJX60" s="12"/>
      <c r="OKO60" s="12"/>
      <c r="OKP60" s="12"/>
      <c r="OLG60" s="12"/>
      <c r="OLH60" s="12"/>
      <c r="OLY60" s="12"/>
      <c r="OLZ60" s="12"/>
      <c r="OMQ60" s="12"/>
      <c r="OMR60" s="12"/>
      <c r="ONI60" s="12"/>
      <c r="ONJ60" s="12"/>
      <c r="OOA60" s="12"/>
      <c r="OOB60" s="12"/>
      <c r="OOS60" s="12"/>
      <c r="OOT60" s="12"/>
      <c r="OPK60" s="12"/>
      <c r="OPL60" s="12"/>
      <c r="OQC60" s="12"/>
      <c r="OQD60" s="12"/>
      <c r="OQU60" s="12"/>
      <c r="OQV60" s="12"/>
      <c r="ORM60" s="12"/>
      <c r="ORN60" s="12"/>
      <c r="OSE60" s="12"/>
      <c r="OSF60" s="12"/>
      <c r="OSW60" s="12"/>
      <c r="OSX60" s="12"/>
      <c r="OTO60" s="12"/>
      <c r="OTP60" s="12"/>
      <c r="OUG60" s="12"/>
      <c r="OUH60" s="12"/>
      <c r="OUY60" s="12"/>
      <c r="OUZ60" s="12"/>
      <c r="OVQ60" s="12"/>
      <c r="OVR60" s="12"/>
      <c r="OWI60" s="12"/>
      <c r="OWJ60" s="12"/>
      <c r="OXA60" s="12"/>
      <c r="OXB60" s="12"/>
      <c r="OXS60" s="12"/>
      <c r="OXT60" s="12"/>
      <c r="OYK60" s="12"/>
      <c r="OYL60" s="12"/>
      <c r="OZC60" s="12"/>
      <c r="OZD60" s="12"/>
      <c r="OZU60" s="12"/>
      <c r="OZV60" s="12"/>
      <c r="PAM60" s="12"/>
      <c r="PAN60" s="12"/>
      <c r="PBE60" s="12"/>
      <c r="PBF60" s="12"/>
      <c r="PBW60" s="12"/>
      <c r="PBX60" s="12"/>
      <c r="PCO60" s="12"/>
      <c r="PCP60" s="12"/>
      <c r="PDG60" s="12"/>
      <c r="PDH60" s="12"/>
      <c r="PDY60" s="12"/>
      <c r="PDZ60" s="12"/>
      <c r="PEQ60" s="12"/>
      <c r="PER60" s="12"/>
      <c r="PFI60" s="12"/>
      <c r="PFJ60" s="12"/>
      <c r="PGA60" s="12"/>
      <c r="PGB60" s="12"/>
      <c r="PGS60" s="12"/>
      <c r="PGT60" s="12"/>
      <c r="PHK60" s="12"/>
      <c r="PHL60" s="12"/>
      <c r="PIC60" s="12"/>
      <c r="PID60" s="12"/>
      <c r="PIU60" s="12"/>
      <c r="PIV60" s="12"/>
      <c r="PJM60" s="12"/>
      <c r="PJN60" s="12"/>
      <c r="PKE60" s="12"/>
      <c r="PKF60" s="12"/>
      <c r="PKW60" s="12"/>
      <c r="PKX60" s="12"/>
      <c r="PLO60" s="12"/>
      <c r="PLP60" s="12"/>
      <c r="PMG60" s="12"/>
      <c r="PMH60" s="12"/>
      <c r="PMY60" s="12"/>
      <c r="PMZ60" s="12"/>
      <c r="PNQ60" s="12"/>
      <c r="PNR60" s="12"/>
      <c r="POI60" s="12"/>
      <c r="POJ60" s="12"/>
      <c r="PPA60" s="12"/>
      <c r="PPB60" s="12"/>
      <c r="PPS60" s="12"/>
      <c r="PPT60" s="12"/>
      <c r="PQK60" s="12"/>
      <c r="PQL60" s="12"/>
      <c r="PRC60" s="12"/>
      <c r="PRD60" s="12"/>
      <c r="PRU60" s="12"/>
      <c r="PRV60" s="12"/>
      <c r="PSM60" s="12"/>
      <c r="PSN60" s="12"/>
      <c r="PTE60" s="12"/>
      <c r="PTF60" s="12"/>
      <c r="PTW60" s="12"/>
      <c r="PTX60" s="12"/>
      <c r="PUO60" s="12"/>
      <c r="PUP60" s="12"/>
      <c r="PVG60" s="12"/>
      <c r="PVH60" s="12"/>
      <c r="PVY60" s="12"/>
      <c r="PVZ60" s="12"/>
      <c r="PWQ60" s="12"/>
      <c r="PWR60" s="12"/>
      <c r="PXI60" s="12"/>
      <c r="PXJ60" s="12"/>
      <c r="PYA60" s="12"/>
      <c r="PYB60" s="12"/>
      <c r="PYS60" s="12"/>
      <c r="PYT60" s="12"/>
      <c r="PZK60" s="12"/>
      <c r="PZL60" s="12"/>
      <c r="QAC60" s="12"/>
      <c r="QAD60" s="12"/>
      <c r="QAU60" s="12"/>
      <c r="QAV60" s="12"/>
      <c r="QBM60" s="12"/>
      <c r="QBN60" s="12"/>
      <c r="QCE60" s="12"/>
      <c r="QCF60" s="12"/>
      <c r="QCW60" s="12"/>
      <c r="QCX60" s="12"/>
      <c r="QDO60" s="12"/>
      <c r="QDP60" s="12"/>
      <c r="QEG60" s="12"/>
      <c r="QEH60" s="12"/>
      <c r="QEY60" s="12"/>
      <c r="QEZ60" s="12"/>
      <c r="QFQ60" s="12"/>
      <c r="QFR60" s="12"/>
      <c r="QGI60" s="12"/>
      <c r="QGJ60" s="12"/>
      <c r="QHA60" s="12"/>
      <c r="QHB60" s="12"/>
      <c r="QHS60" s="12"/>
      <c r="QHT60" s="12"/>
      <c r="QIK60" s="12"/>
      <c r="QIL60" s="12"/>
      <c r="QJC60" s="12"/>
      <c r="QJD60" s="12"/>
      <c r="QJU60" s="12"/>
      <c r="QJV60" s="12"/>
      <c r="QKM60" s="12"/>
      <c r="QKN60" s="12"/>
      <c r="QLE60" s="12"/>
      <c r="QLF60" s="12"/>
      <c r="QLW60" s="12"/>
      <c r="QLX60" s="12"/>
      <c r="QMO60" s="12"/>
      <c r="QMP60" s="12"/>
      <c r="QNG60" s="12"/>
      <c r="QNH60" s="12"/>
      <c r="QNY60" s="12"/>
      <c r="QNZ60" s="12"/>
      <c r="QOQ60" s="12"/>
      <c r="QOR60" s="12"/>
      <c r="QPI60" s="12"/>
      <c r="QPJ60" s="12"/>
      <c r="QQA60" s="12"/>
      <c r="QQB60" s="12"/>
      <c r="QQS60" s="12"/>
      <c r="QQT60" s="12"/>
      <c r="QRK60" s="12"/>
      <c r="QRL60" s="12"/>
      <c r="QSC60" s="12"/>
      <c r="QSD60" s="12"/>
      <c r="QSU60" s="12"/>
      <c r="QSV60" s="12"/>
      <c r="QTM60" s="12"/>
      <c r="QTN60" s="12"/>
      <c r="QUE60" s="12"/>
      <c r="QUF60" s="12"/>
      <c r="QUW60" s="12"/>
      <c r="QUX60" s="12"/>
      <c r="QVO60" s="12"/>
      <c r="QVP60" s="12"/>
      <c r="QWG60" s="12"/>
      <c r="QWH60" s="12"/>
      <c r="QWY60" s="12"/>
      <c r="QWZ60" s="12"/>
      <c r="QXQ60" s="12"/>
      <c r="QXR60" s="12"/>
      <c r="QYI60" s="12"/>
      <c r="QYJ60" s="12"/>
      <c r="QZA60" s="12"/>
      <c r="QZB60" s="12"/>
      <c r="QZS60" s="12"/>
      <c r="QZT60" s="12"/>
      <c r="RAK60" s="12"/>
      <c r="RAL60" s="12"/>
      <c r="RBC60" s="12"/>
      <c r="RBD60" s="12"/>
      <c r="RBU60" s="12"/>
      <c r="RBV60" s="12"/>
      <c r="RCM60" s="12"/>
      <c r="RCN60" s="12"/>
      <c r="RDE60" s="12"/>
      <c r="RDF60" s="12"/>
      <c r="RDW60" s="12"/>
      <c r="RDX60" s="12"/>
      <c r="REO60" s="12"/>
      <c r="REP60" s="12"/>
      <c r="RFG60" s="12"/>
      <c r="RFH60" s="12"/>
      <c r="RFY60" s="12"/>
      <c r="RFZ60" s="12"/>
      <c r="RGQ60" s="12"/>
      <c r="RGR60" s="12"/>
      <c r="RHI60" s="12"/>
      <c r="RHJ60" s="12"/>
      <c r="RIA60" s="12"/>
      <c r="RIB60" s="12"/>
      <c r="RIS60" s="12"/>
      <c r="RIT60" s="12"/>
      <c r="RJK60" s="12"/>
      <c r="RJL60" s="12"/>
      <c r="RKC60" s="12"/>
      <c r="RKD60" s="12"/>
      <c r="RKU60" s="12"/>
      <c r="RKV60" s="12"/>
      <c r="RLM60" s="12"/>
      <c r="RLN60" s="12"/>
      <c r="RME60" s="12"/>
      <c r="RMF60" s="12"/>
      <c r="RMW60" s="12"/>
      <c r="RMX60" s="12"/>
      <c r="RNO60" s="12"/>
      <c r="RNP60" s="12"/>
      <c r="ROG60" s="12"/>
      <c r="ROH60" s="12"/>
      <c r="ROY60" s="12"/>
      <c r="ROZ60" s="12"/>
      <c r="RPQ60" s="12"/>
      <c r="RPR60" s="12"/>
      <c r="RQI60" s="12"/>
      <c r="RQJ60" s="12"/>
      <c r="RRA60" s="12"/>
      <c r="RRB60" s="12"/>
      <c r="RRS60" s="12"/>
      <c r="RRT60" s="12"/>
      <c r="RSK60" s="12"/>
      <c r="RSL60" s="12"/>
      <c r="RTC60" s="12"/>
      <c r="RTD60" s="12"/>
      <c r="RTU60" s="12"/>
      <c r="RTV60" s="12"/>
      <c r="RUM60" s="12"/>
      <c r="RUN60" s="12"/>
      <c r="RVE60" s="12"/>
      <c r="RVF60" s="12"/>
      <c r="RVW60" s="12"/>
      <c r="RVX60" s="12"/>
      <c r="RWO60" s="12"/>
      <c r="RWP60" s="12"/>
      <c r="RXG60" s="12"/>
      <c r="RXH60" s="12"/>
      <c r="RXY60" s="12"/>
      <c r="RXZ60" s="12"/>
      <c r="RYQ60" s="12"/>
      <c r="RYR60" s="12"/>
      <c r="RZI60" s="12"/>
      <c r="RZJ60" s="12"/>
      <c r="SAA60" s="12"/>
      <c r="SAB60" s="12"/>
      <c r="SAS60" s="12"/>
      <c r="SAT60" s="12"/>
      <c r="SBK60" s="12"/>
      <c r="SBL60" s="12"/>
      <c r="SCC60" s="12"/>
      <c r="SCD60" s="12"/>
      <c r="SCU60" s="12"/>
      <c r="SCV60" s="12"/>
      <c r="SDM60" s="12"/>
      <c r="SDN60" s="12"/>
      <c r="SEE60" s="12"/>
      <c r="SEF60" s="12"/>
      <c r="SEW60" s="12"/>
      <c r="SEX60" s="12"/>
      <c r="SFO60" s="12"/>
      <c r="SFP60" s="12"/>
      <c r="SGG60" s="12"/>
      <c r="SGH60" s="12"/>
      <c r="SGY60" s="12"/>
      <c r="SGZ60" s="12"/>
      <c r="SHQ60" s="12"/>
      <c r="SHR60" s="12"/>
      <c r="SII60" s="12"/>
      <c r="SIJ60" s="12"/>
      <c r="SJA60" s="12"/>
      <c r="SJB60" s="12"/>
      <c r="SJS60" s="12"/>
      <c r="SJT60" s="12"/>
      <c r="SKK60" s="12"/>
      <c r="SKL60" s="12"/>
      <c r="SLC60" s="12"/>
      <c r="SLD60" s="12"/>
      <c r="SLU60" s="12"/>
      <c r="SLV60" s="12"/>
      <c r="SMM60" s="12"/>
      <c r="SMN60" s="12"/>
      <c r="SNE60" s="12"/>
      <c r="SNF60" s="12"/>
      <c r="SNW60" s="12"/>
      <c r="SNX60" s="12"/>
      <c r="SOO60" s="12"/>
      <c r="SOP60" s="12"/>
      <c r="SPG60" s="12"/>
      <c r="SPH60" s="12"/>
      <c r="SPY60" s="12"/>
      <c r="SPZ60" s="12"/>
      <c r="SQQ60" s="12"/>
      <c r="SQR60" s="12"/>
      <c r="SRI60" s="12"/>
      <c r="SRJ60" s="12"/>
      <c r="SSA60" s="12"/>
      <c r="SSB60" s="12"/>
      <c r="SSS60" s="12"/>
      <c r="SST60" s="12"/>
      <c r="STK60" s="12"/>
      <c r="STL60" s="12"/>
      <c r="SUC60" s="12"/>
      <c r="SUD60" s="12"/>
      <c r="SUU60" s="12"/>
      <c r="SUV60" s="12"/>
      <c r="SVM60" s="12"/>
      <c r="SVN60" s="12"/>
      <c r="SWE60" s="12"/>
      <c r="SWF60" s="12"/>
      <c r="SWW60" s="12"/>
      <c r="SWX60" s="12"/>
      <c r="SXO60" s="12"/>
      <c r="SXP60" s="12"/>
      <c r="SYG60" s="12"/>
      <c r="SYH60" s="12"/>
      <c r="SYY60" s="12"/>
      <c r="SYZ60" s="12"/>
      <c r="SZQ60" s="12"/>
      <c r="SZR60" s="12"/>
      <c r="TAI60" s="12"/>
      <c r="TAJ60" s="12"/>
      <c r="TBA60" s="12"/>
      <c r="TBB60" s="12"/>
      <c r="TBS60" s="12"/>
      <c r="TBT60" s="12"/>
      <c r="TCK60" s="12"/>
      <c r="TCL60" s="12"/>
      <c r="TDC60" s="12"/>
      <c r="TDD60" s="12"/>
      <c r="TDU60" s="12"/>
      <c r="TDV60" s="12"/>
      <c r="TEM60" s="12"/>
      <c r="TEN60" s="12"/>
      <c r="TFE60" s="12"/>
      <c r="TFF60" s="12"/>
      <c r="TFW60" s="12"/>
      <c r="TFX60" s="12"/>
      <c r="TGO60" s="12"/>
      <c r="TGP60" s="12"/>
      <c r="THG60" s="12"/>
      <c r="THH60" s="12"/>
      <c r="THY60" s="12"/>
      <c r="THZ60" s="12"/>
      <c r="TIQ60" s="12"/>
      <c r="TIR60" s="12"/>
      <c r="TJI60" s="12"/>
      <c r="TJJ60" s="12"/>
      <c r="TKA60" s="12"/>
      <c r="TKB60" s="12"/>
      <c r="TKS60" s="12"/>
      <c r="TKT60" s="12"/>
      <c r="TLK60" s="12"/>
      <c r="TLL60" s="12"/>
      <c r="TMC60" s="12"/>
      <c r="TMD60" s="12"/>
      <c r="TMU60" s="12"/>
      <c r="TMV60" s="12"/>
      <c r="TNM60" s="12"/>
      <c r="TNN60" s="12"/>
      <c r="TOE60" s="12"/>
      <c r="TOF60" s="12"/>
      <c r="TOW60" s="12"/>
      <c r="TOX60" s="12"/>
      <c r="TPO60" s="12"/>
      <c r="TPP60" s="12"/>
      <c r="TQG60" s="12"/>
      <c r="TQH60" s="12"/>
      <c r="TQY60" s="12"/>
      <c r="TQZ60" s="12"/>
      <c r="TRQ60" s="12"/>
      <c r="TRR60" s="12"/>
      <c r="TSI60" s="12"/>
      <c r="TSJ60" s="12"/>
      <c r="TTA60" s="12"/>
      <c r="TTB60" s="12"/>
      <c r="TTS60" s="12"/>
      <c r="TTT60" s="12"/>
      <c r="TUK60" s="12"/>
      <c r="TUL60" s="12"/>
      <c r="TVC60" s="12"/>
      <c r="TVD60" s="12"/>
      <c r="TVU60" s="12"/>
      <c r="TVV60" s="12"/>
      <c r="TWM60" s="12"/>
      <c r="TWN60" s="12"/>
      <c r="TXE60" s="12"/>
      <c r="TXF60" s="12"/>
      <c r="TXW60" s="12"/>
      <c r="TXX60" s="12"/>
      <c r="TYO60" s="12"/>
      <c r="TYP60" s="12"/>
      <c r="TZG60" s="12"/>
      <c r="TZH60" s="12"/>
      <c r="TZY60" s="12"/>
      <c r="TZZ60" s="12"/>
      <c r="UAQ60" s="12"/>
      <c r="UAR60" s="12"/>
      <c r="UBI60" s="12"/>
      <c r="UBJ60" s="12"/>
      <c r="UCA60" s="12"/>
      <c r="UCB60" s="12"/>
      <c r="UCS60" s="12"/>
      <c r="UCT60" s="12"/>
      <c r="UDK60" s="12"/>
      <c r="UDL60" s="12"/>
      <c r="UEC60" s="12"/>
      <c r="UED60" s="12"/>
      <c r="UEU60" s="12"/>
      <c r="UEV60" s="12"/>
      <c r="UFM60" s="12"/>
      <c r="UFN60" s="12"/>
      <c r="UGE60" s="12"/>
      <c r="UGF60" s="12"/>
      <c r="UGW60" s="12"/>
      <c r="UGX60" s="12"/>
      <c r="UHO60" s="12"/>
      <c r="UHP60" s="12"/>
      <c r="UIG60" s="12"/>
      <c r="UIH60" s="12"/>
      <c r="UIY60" s="12"/>
      <c r="UIZ60" s="12"/>
      <c r="UJQ60" s="12"/>
      <c r="UJR60" s="12"/>
      <c r="UKI60" s="12"/>
      <c r="UKJ60" s="12"/>
      <c r="ULA60" s="12"/>
      <c r="ULB60" s="12"/>
      <c r="ULS60" s="12"/>
      <c r="ULT60" s="12"/>
      <c r="UMK60" s="12"/>
      <c r="UML60" s="12"/>
      <c r="UNC60" s="12"/>
      <c r="UND60" s="12"/>
      <c r="UNU60" s="12"/>
      <c r="UNV60" s="12"/>
      <c r="UOM60" s="12"/>
      <c r="UON60" s="12"/>
      <c r="UPE60" s="12"/>
      <c r="UPF60" s="12"/>
      <c r="UPW60" s="12"/>
      <c r="UPX60" s="12"/>
      <c r="UQO60" s="12"/>
      <c r="UQP60" s="12"/>
      <c r="URG60" s="12"/>
      <c r="URH60" s="12"/>
      <c r="URY60" s="12"/>
      <c r="URZ60" s="12"/>
      <c r="USQ60" s="12"/>
      <c r="USR60" s="12"/>
      <c r="UTI60" s="12"/>
      <c r="UTJ60" s="12"/>
      <c r="UUA60" s="12"/>
      <c r="UUB60" s="12"/>
      <c r="UUS60" s="12"/>
      <c r="UUT60" s="12"/>
      <c r="UVK60" s="12"/>
      <c r="UVL60" s="12"/>
      <c r="UWC60" s="12"/>
      <c r="UWD60" s="12"/>
      <c r="UWU60" s="12"/>
      <c r="UWV60" s="12"/>
      <c r="UXM60" s="12"/>
      <c r="UXN60" s="12"/>
      <c r="UYE60" s="12"/>
      <c r="UYF60" s="12"/>
      <c r="UYW60" s="12"/>
      <c r="UYX60" s="12"/>
      <c r="UZO60" s="12"/>
      <c r="UZP60" s="12"/>
      <c r="VAG60" s="12"/>
      <c r="VAH60" s="12"/>
      <c r="VAY60" s="12"/>
      <c r="VAZ60" s="12"/>
      <c r="VBQ60" s="12"/>
      <c r="VBR60" s="12"/>
      <c r="VCI60" s="12"/>
      <c r="VCJ60" s="12"/>
      <c r="VDA60" s="12"/>
      <c r="VDB60" s="12"/>
      <c r="VDS60" s="12"/>
      <c r="VDT60" s="12"/>
      <c r="VEK60" s="12"/>
      <c r="VEL60" s="12"/>
      <c r="VFC60" s="12"/>
      <c r="VFD60" s="12"/>
      <c r="VFU60" s="12"/>
      <c r="VFV60" s="12"/>
      <c r="VGM60" s="12"/>
      <c r="VGN60" s="12"/>
      <c r="VHE60" s="12"/>
      <c r="VHF60" s="12"/>
      <c r="VHW60" s="12"/>
      <c r="VHX60" s="12"/>
      <c r="VIO60" s="12"/>
      <c r="VIP60" s="12"/>
      <c r="VJG60" s="12"/>
      <c r="VJH60" s="12"/>
      <c r="VJY60" s="12"/>
      <c r="VJZ60" s="12"/>
      <c r="VKQ60" s="12"/>
      <c r="VKR60" s="12"/>
      <c r="VLI60" s="12"/>
      <c r="VLJ60" s="12"/>
      <c r="VMA60" s="12"/>
      <c r="VMB60" s="12"/>
      <c r="VMS60" s="12"/>
      <c r="VMT60" s="12"/>
      <c r="VNK60" s="12"/>
      <c r="VNL60" s="12"/>
      <c r="VOC60" s="12"/>
      <c r="VOD60" s="12"/>
      <c r="VOU60" s="12"/>
      <c r="VOV60" s="12"/>
      <c r="VPM60" s="12"/>
      <c r="VPN60" s="12"/>
      <c r="VQE60" s="12"/>
      <c r="VQF60" s="12"/>
      <c r="VQW60" s="12"/>
      <c r="VQX60" s="12"/>
      <c r="VRO60" s="12"/>
      <c r="VRP60" s="12"/>
      <c r="VSG60" s="12"/>
      <c r="VSH60" s="12"/>
      <c r="VSY60" s="12"/>
      <c r="VSZ60" s="12"/>
      <c r="VTQ60" s="12"/>
      <c r="VTR60" s="12"/>
      <c r="VUI60" s="12"/>
      <c r="VUJ60" s="12"/>
      <c r="VVA60" s="12"/>
      <c r="VVB60" s="12"/>
      <c r="VVS60" s="12"/>
      <c r="VVT60" s="12"/>
      <c r="VWK60" s="12"/>
      <c r="VWL60" s="12"/>
      <c r="VXC60" s="12"/>
      <c r="VXD60" s="12"/>
      <c r="VXU60" s="12"/>
      <c r="VXV60" s="12"/>
      <c r="VYM60" s="12"/>
      <c r="VYN60" s="12"/>
      <c r="VZE60" s="12"/>
      <c r="VZF60" s="12"/>
      <c r="VZW60" s="12"/>
      <c r="VZX60" s="12"/>
      <c r="WAO60" s="12"/>
      <c r="WAP60" s="12"/>
      <c r="WBG60" s="12"/>
      <c r="WBH60" s="12"/>
      <c r="WBY60" s="12"/>
      <c r="WBZ60" s="12"/>
      <c r="WCQ60" s="12"/>
      <c r="WCR60" s="12"/>
      <c r="WDI60" s="12"/>
      <c r="WDJ60" s="12"/>
      <c r="WEA60" s="12"/>
      <c r="WEB60" s="12"/>
      <c r="WES60" s="12"/>
      <c r="WET60" s="12"/>
      <c r="WFK60" s="12"/>
      <c r="WFL60" s="12"/>
      <c r="WGC60" s="12"/>
      <c r="WGD60" s="12"/>
      <c r="WGU60" s="12"/>
      <c r="WGV60" s="12"/>
      <c r="WHM60" s="12"/>
      <c r="WHN60" s="12"/>
      <c r="WIE60" s="12"/>
      <c r="WIF60" s="12"/>
      <c r="WIW60" s="12"/>
      <c r="WIX60" s="12"/>
      <c r="WJO60" s="12"/>
      <c r="WJP60" s="12"/>
      <c r="WKG60" s="12"/>
      <c r="WKH60" s="12"/>
      <c r="WKY60" s="12"/>
      <c r="WKZ60" s="12"/>
      <c r="WLQ60" s="12"/>
      <c r="WLR60" s="12"/>
      <c r="WMI60" s="12"/>
      <c r="WMJ60" s="12"/>
      <c r="WNA60" s="12"/>
      <c r="WNB60" s="12"/>
      <c r="WNS60" s="12"/>
      <c r="WNT60" s="12"/>
      <c r="WOK60" s="12"/>
      <c r="WOL60" s="12"/>
      <c r="WPC60" s="12"/>
      <c r="WPD60" s="12"/>
      <c r="WPU60" s="12"/>
      <c r="WPV60" s="12"/>
      <c r="WQM60" s="12"/>
      <c r="WQN60" s="12"/>
      <c r="WRE60" s="12"/>
      <c r="WRF60" s="12"/>
      <c r="WRW60" s="12"/>
      <c r="WRX60" s="12"/>
      <c r="WSO60" s="12"/>
      <c r="WSP60" s="12"/>
      <c r="WTG60" s="12"/>
      <c r="WTH60" s="12"/>
      <c r="WTY60" s="12"/>
      <c r="WTZ60" s="12"/>
      <c r="WUQ60" s="12"/>
      <c r="WUR60" s="12"/>
      <c r="WVI60" s="12"/>
      <c r="WVJ60" s="12"/>
      <c r="WWA60" s="12"/>
      <c r="WWB60" s="12"/>
      <c r="WWS60" s="12"/>
      <c r="WWT60" s="12"/>
      <c r="WXK60" s="12"/>
      <c r="WXL60" s="12"/>
      <c r="WYC60" s="12"/>
      <c r="WYD60" s="12"/>
      <c r="WYU60" s="12"/>
      <c r="WYV60" s="12"/>
      <c r="WZM60" s="12"/>
      <c r="WZN60" s="12"/>
      <c r="XAE60" s="12"/>
      <c r="XAF60" s="12"/>
      <c r="XAW60" s="12"/>
      <c r="XAX60" s="12"/>
      <c r="XBO60" s="12"/>
      <c r="XBP60" s="12"/>
      <c r="XCG60" s="12"/>
      <c r="XCH60" s="12"/>
      <c r="XCY60" s="12"/>
      <c r="XCZ60" s="12"/>
      <c r="XDQ60" s="12"/>
      <c r="XDR60" s="12"/>
      <c r="XEI60" s="12"/>
      <c r="XEJ60" s="12"/>
      <c r="XFA60" s="12"/>
      <c r="XFB60" s="12"/>
    </row>
    <row r="61" spans="1:1010 1027:2036 2053:3062 3079:4088 4105:5114 5131:6140 6157:7166 7183:8192 8209:9200 9217:10226 10243:11252 11269:12278 12295:13304 13321:14330 14347:15356 15373:16382" x14ac:dyDescent="0.35">
      <c r="A61" s="189" t="s">
        <v>407</v>
      </c>
      <c r="B61" s="296" t="s">
        <v>428</v>
      </c>
      <c r="C61" s="205">
        <v>-61.371000000000002</v>
      </c>
      <c r="D61" s="205">
        <v>-10.302</v>
      </c>
      <c r="E61" s="205">
        <v>-11.252000000000001</v>
      </c>
      <c r="F61" s="205">
        <v>-14.641999999999999</v>
      </c>
      <c r="G61" s="205">
        <v>-13.438000000000001</v>
      </c>
      <c r="H61" s="205">
        <v>-11.664999999999999</v>
      </c>
      <c r="I61" s="205">
        <v>-12.692</v>
      </c>
      <c r="J61" s="205">
        <v>-17.298999999999999</v>
      </c>
      <c r="K61" s="205">
        <v>-38.640999999999998</v>
      </c>
      <c r="L61" s="205">
        <v>-26.850999999999999</v>
      </c>
      <c r="M61" s="312">
        <f>IF(OR(K61=0,K61=""),"",L61/K61-1)</f>
        <v>-0.3051163272172045</v>
      </c>
      <c r="N61" s="124"/>
      <c r="O61" s="124"/>
      <c r="P61" s="124"/>
      <c r="Q61" s="124"/>
      <c r="R61" s="124"/>
    </row>
    <row r="62" spans="1:1010 1027:2036 2053:3062 3079:4088 4105:5114 5131:6140 6157:7166 7183:8192 8209:9200 9217:10226 10243:11252 11269:12278 12295:13304 13321:14330 14347:15356 15373:16382" x14ac:dyDescent="0.35">
      <c r="A62" s="24" t="s">
        <v>29</v>
      </c>
      <c r="B62" s="14"/>
      <c r="C62" s="324">
        <f t="shared" ref="C62:L62" si="9">ROUND(SUM(C49,C50,C55,C59,C60)-IF(C61="",0,C61),1)</f>
        <v>0</v>
      </c>
      <c r="D62" s="324">
        <f t="shared" si="9"/>
        <v>0</v>
      </c>
      <c r="E62" s="324">
        <f t="shared" si="9"/>
        <v>0</v>
      </c>
      <c r="F62" s="324">
        <f t="shared" si="9"/>
        <v>0</v>
      </c>
      <c r="G62" s="324">
        <f t="shared" si="9"/>
        <v>0</v>
      </c>
      <c r="H62" s="324">
        <f t="shared" si="9"/>
        <v>0</v>
      </c>
      <c r="I62" s="324">
        <f t="shared" si="9"/>
        <v>0</v>
      </c>
      <c r="J62" s="324">
        <f t="shared" si="9"/>
        <v>0</v>
      </c>
      <c r="K62" s="324">
        <f t="shared" si="9"/>
        <v>0</v>
      </c>
      <c r="L62" s="324">
        <f t="shared" si="9"/>
        <v>0</v>
      </c>
      <c r="M62" s="132"/>
      <c r="N62" s="132"/>
      <c r="O62" s="132"/>
      <c r="P62" s="132"/>
      <c r="Q62" s="132"/>
      <c r="R62" s="132"/>
    </row>
    <row r="63" spans="1:1010 1027:2036 2053:3062 3079:4088 4105:5114 5131:6140 6157:7166 7183:8192 8209:9200 9217:10226 10243:11252 11269:12278 12295:13304 13321:14330 14347:15356 15373:16382" s="11" customFormat="1" x14ac:dyDescent="0.35">
      <c r="A63" s="183" t="s">
        <v>429</v>
      </c>
      <c r="B63" s="293" t="s">
        <v>430</v>
      </c>
      <c r="C63" s="184">
        <v>0.29699999999999999</v>
      </c>
      <c r="D63" s="184">
        <v>1.206</v>
      </c>
      <c r="E63" s="184">
        <v>-1.62</v>
      </c>
      <c r="F63" s="184">
        <v>-1.5189999999999999</v>
      </c>
      <c r="G63" s="184">
        <v>0.11700000000000001</v>
      </c>
      <c r="H63" s="184">
        <v>1.02</v>
      </c>
      <c r="I63" s="184">
        <v>-3.4649999999999999</v>
      </c>
      <c r="J63" s="184">
        <v>0.71599999999999997</v>
      </c>
      <c r="K63" s="184">
        <v>-1.0549999999999999</v>
      </c>
      <c r="L63" s="184">
        <v>2.2109999999999999</v>
      </c>
      <c r="S63" s="12"/>
      <c r="T63" s="12"/>
      <c r="AK63" s="12"/>
      <c r="AL63" s="12"/>
      <c r="BC63" s="12"/>
      <c r="BD63" s="12"/>
      <c r="BU63" s="12"/>
      <c r="BV63" s="12"/>
      <c r="CM63" s="12"/>
      <c r="CN63" s="12"/>
      <c r="DE63" s="12"/>
      <c r="DF63" s="12"/>
      <c r="DW63" s="12"/>
      <c r="DX63" s="12"/>
      <c r="EO63" s="12"/>
      <c r="EP63" s="12"/>
      <c r="FG63" s="12"/>
      <c r="FH63" s="12"/>
      <c r="FY63" s="12"/>
      <c r="FZ63" s="12"/>
      <c r="GQ63" s="12"/>
      <c r="GR63" s="12"/>
      <c r="HI63" s="12"/>
      <c r="HJ63" s="12"/>
      <c r="IA63" s="12"/>
      <c r="IB63" s="12"/>
      <c r="IS63" s="12"/>
      <c r="IT63" s="12"/>
      <c r="JK63" s="12"/>
      <c r="JL63" s="12"/>
      <c r="KC63" s="12"/>
      <c r="KD63" s="12"/>
      <c r="KU63" s="12"/>
      <c r="KV63" s="12"/>
      <c r="LM63" s="12"/>
      <c r="LN63" s="12"/>
      <c r="ME63" s="12"/>
      <c r="MF63" s="12"/>
      <c r="MW63" s="12"/>
      <c r="MX63" s="12"/>
      <c r="NO63" s="12"/>
      <c r="NP63" s="12"/>
      <c r="OG63" s="12"/>
      <c r="OH63" s="12"/>
      <c r="OY63" s="12"/>
      <c r="OZ63" s="12"/>
      <c r="PQ63" s="12"/>
      <c r="PR63" s="12"/>
      <c r="QI63" s="12"/>
      <c r="QJ63" s="12"/>
      <c r="RA63" s="12"/>
      <c r="RB63" s="12"/>
      <c r="RS63" s="12"/>
      <c r="RT63" s="12"/>
      <c r="SK63" s="12"/>
      <c r="SL63" s="12"/>
      <c r="TC63" s="12"/>
      <c r="TD63" s="12"/>
      <c r="TU63" s="12"/>
      <c r="TV63" s="12"/>
      <c r="UM63" s="12"/>
      <c r="UN63" s="12"/>
      <c r="VE63" s="12"/>
      <c r="VF63" s="12"/>
      <c r="VW63" s="12"/>
      <c r="VX63" s="12"/>
      <c r="WO63" s="12"/>
      <c r="WP63" s="12"/>
      <c r="XG63" s="12"/>
      <c r="XH63" s="12"/>
      <c r="XY63" s="12"/>
      <c r="XZ63" s="12"/>
      <c r="YQ63" s="12"/>
      <c r="YR63" s="12"/>
      <c r="ZI63" s="12"/>
      <c r="ZJ63" s="12"/>
      <c r="AAA63" s="12"/>
      <c r="AAB63" s="12"/>
      <c r="AAS63" s="12"/>
      <c r="AAT63" s="12"/>
      <c r="ABK63" s="12"/>
      <c r="ABL63" s="12"/>
      <c r="ACC63" s="12"/>
      <c r="ACD63" s="12"/>
      <c r="ACU63" s="12"/>
      <c r="ACV63" s="12"/>
      <c r="ADM63" s="12"/>
      <c r="ADN63" s="12"/>
      <c r="AEE63" s="12"/>
      <c r="AEF63" s="12"/>
      <c r="AEW63" s="12"/>
      <c r="AEX63" s="12"/>
      <c r="AFO63" s="12"/>
      <c r="AFP63" s="12"/>
      <c r="AGG63" s="12"/>
      <c r="AGH63" s="12"/>
      <c r="AGY63" s="12"/>
      <c r="AGZ63" s="12"/>
      <c r="AHQ63" s="12"/>
      <c r="AHR63" s="12"/>
      <c r="AII63" s="12"/>
      <c r="AIJ63" s="12"/>
      <c r="AJA63" s="12"/>
      <c r="AJB63" s="12"/>
      <c r="AJS63" s="12"/>
      <c r="AJT63" s="12"/>
      <c r="AKK63" s="12"/>
      <c r="AKL63" s="12"/>
      <c r="ALC63" s="12"/>
      <c r="ALD63" s="12"/>
      <c r="ALU63" s="12"/>
      <c r="ALV63" s="12"/>
      <c r="AMM63" s="12"/>
      <c r="AMN63" s="12"/>
      <c r="ANE63" s="12"/>
      <c r="ANF63" s="12"/>
      <c r="ANW63" s="12"/>
      <c r="ANX63" s="12"/>
      <c r="AOO63" s="12"/>
      <c r="AOP63" s="12"/>
      <c r="APG63" s="12"/>
      <c r="APH63" s="12"/>
      <c r="APY63" s="12"/>
      <c r="APZ63" s="12"/>
      <c r="AQQ63" s="12"/>
      <c r="AQR63" s="12"/>
      <c r="ARI63" s="12"/>
      <c r="ARJ63" s="12"/>
      <c r="ASA63" s="12"/>
      <c r="ASB63" s="12"/>
      <c r="ASS63" s="12"/>
      <c r="AST63" s="12"/>
      <c r="ATK63" s="12"/>
      <c r="ATL63" s="12"/>
      <c r="AUC63" s="12"/>
      <c r="AUD63" s="12"/>
      <c r="AUU63" s="12"/>
      <c r="AUV63" s="12"/>
      <c r="AVM63" s="12"/>
      <c r="AVN63" s="12"/>
      <c r="AWE63" s="12"/>
      <c r="AWF63" s="12"/>
      <c r="AWW63" s="12"/>
      <c r="AWX63" s="12"/>
      <c r="AXO63" s="12"/>
      <c r="AXP63" s="12"/>
      <c r="AYG63" s="12"/>
      <c r="AYH63" s="12"/>
      <c r="AYY63" s="12"/>
      <c r="AYZ63" s="12"/>
      <c r="AZQ63" s="12"/>
      <c r="AZR63" s="12"/>
      <c r="BAI63" s="12"/>
      <c r="BAJ63" s="12"/>
      <c r="BBA63" s="12"/>
      <c r="BBB63" s="12"/>
      <c r="BBS63" s="12"/>
      <c r="BBT63" s="12"/>
      <c r="BCK63" s="12"/>
      <c r="BCL63" s="12"/>
      <c r="BDC63" s="12"/>
      <c r="BDD63" s="12"/>
      <c r="BDU63" s="12"/>
      <c r="BDV63" s="12"/>
      <c r="BEM63" s="12"/>
      <c r="BEN63" s="12"/>
      <c r="BFE63" s="12"/>
      <c r="BFF63" s="12"/>
      <c r="BFW63" s="12"/>
      <c r="BFX63" s="12"/>
      <c r="BGO63" s="12"/>
      <c r="BGP63" s="12"/>
      <c r="BHG63" s="12"/>
      <c r="BHH63" s="12"/>
      <c r="BHY63" s="12"/>
      <c r="BHZ63" s="12"/>
      <c r="BIQ63" s="12"/>
      <c r="BIR63" s="12"/>
      <c r="BJI63" s="12"/>
      <c r="BJJ63" s="12"/>
      <c r="BKA63" s="12"/>
      <c r="BKB63" s="12"/>
      <c r="BKS63" s="12"/>
      <c r="BKT63" s="12"/>
      <c r="BLK63" s="12"/>
      <c r="BLL63" s="12"/>
      <c r="BMC63" s="12"/>
      <c r="BMD63" s="12"/>
      <c r="BMU63" s="12"/>
      <c r="BMV63" s="12"/>
      <c r="BNM63" s="12"/>
      <c r="BNN63" s="12"/>
      <c r="BOE63" s="12"/>
      <c r="BOF63" s="12"/>
      <c r="BOW63" s="12"/>
      <c r="BOX63" s="12"/>
      <c r="BPO63" s="12"/>
      <c r="BPP63" s="12"/>
      <c r="BQG63" s="12"/>
      <c r="BQH63" s="12"/>
      <c r="BQY63" s="12"/>
      <c r="BQZ63" s="12"/>
      <c r="BRQ63" s="12"/>
      <c r="BRR63" s="12"/>
      <c r="BSI63" s="12"/>
      <c r="BSJ63" s="12"/>
      <c r="BTA63" s="12"/>
      <c r="BTB63" s="12"/>
      <c r="BTS63" s="12"/>
      <c r="BTT63" s="12"/>
      <c r="BUK63" s="12"/>
      <c r="BUL63" s="12"/>
      <c r="BVC63" s="12"/>
      <c r="BVD63" s="12"/>
      <c r="BVU63" s="12"/>
      <c r="BVV63" s="12"/>
      <c r="BWM63" s="12"/>
      <c r="BWN63" s="12"/>
      <c r="BXE63" s="12"/>
      <c r="BXF63" s="12"/>
      <c r="BXW63" s="12"/>
      <c r="BXX63" s="12"/>
      <c r="BYO63" s="12"/>
      <c r="BYP63" s="12"/>
      <c r="BZG63" s="12"/>
      <c r="BZH63" s="12"/>
      <c r="BZY63" s="12"/>
      <c r="BZZ63" s="12"/>
      <c r="CAQ63" s="12"/>
      <c r="CAR63" s="12"/>
      <c r="CBI63" s="12"/>
      <c r="CBJ63" s="12"/>
      <c r="CCA63" s="12"/>
      <c r="CCB63" s="12"/>
      <c r="CCS63" s="12"/>
      <c r="CCT63" s="12"/>
      <c r="CDK63" s="12"/>
      <c r="CDL63" s="12"/>
      <c r="CEC63" s="12"/>
      <c r="CED63" s="12"/>
      <c r="CEU63" s="12"/>
      <c r="CEV63" s="12"/>
      <c r="CFM63" s="12"/>
      <c r="CFN63" s="12"/>
      <c r="CGE63" s="12"/>
      <c r="CGF63" s="12"/>
      <c r="CGW63" s="12"/>
      <c r="CGX63" s="12"/>
      <c r="CHO63" s="12"/>
      <c r="CHP63" s="12"/>
      <c r="CIG63" s="12"/>
      <c r="CIH63" s="12"/>
      <c r="CIY63" s="12"/>
      <c r="CIZ63" s="12"/>
      <c r="CJQ63" s="12"/>
      <c r="CJR63" s="12"/>
      <c r="CKI63" s="12"/>
      <c r="CKJ63" s="12"/>
      <c r="CLA63" s="12"/>
      <c r="CLB63" s="12"/>
      <c r="CLS63" s="12"/>
      <c r="CLT63" s="12"/>
      <c r="CMK63" s="12"/>
      <c r="CML63" s="12"/>
      <c r="CNC63" s="12"/>
      <c r="CND63" s="12"/>
      <c r="CNU63" s="12"/>
      <c r="CNV63" s="12"/>
      <c r="COM63" s="12"/>
      <c r="CON63" s="12"/>
      <c r="CPE63" s="12"/>
      <c r="CPF63" s="12"/>
      <c r="CPW63" s="12"/>
      <c r="CPX63" s="12"/>
      <c r="CQO63" s="12"/>
      <c r="CQP63" s="12"/>
      <c r="CRG63" s="12"/>
      <c r="CRH63" s="12"/>
      <c r="CRY63" s="12"/>
      <c r="CRZ63" s="12"/>
      <c r="CSQ63" s="12"/>
      <c r="CSR63" s="12"/>
      <c r="CTI63" s="12"/>
      <c r="CTJ63" s="12"/>
      <c r="CUA63" s="12"/>
      <c r="CUB63" s="12"/>
      <c r="CUS63" s="12"/>
      <c r="CUT63" s="12"/>
      <c r="CVK63" s="12"/>
      <c r="CVL63" s="12"/>
      <c r="CWC63" s="12"/>
      <c r="CWD63" s="12"/>
      <c r="CWU63" s="12"/>
      <c r="CWV63" s="12"/>
      <c r="CXM63" s="12"/>
      <c r="CXN63" s="12"/>
      <c r="CYE63" s="12"/>
      <c r="CYF63" s="12"/>
      <c r="CYW63" s="12"/>
      <c r="CYX63" s="12"/>
      <c r="CZO63" s="12"/>
      <c r="CZP63" s="12"/>
      <c r="DAG63" s="12"/>
      <c r="DAH63" s="12"/>
      <c r="DAY63" s="12"/>
      <c r="DAZ63" s="12"/>
      <c r="DBQ63" s="12"/>
      <c r="DBR63" s="12"/>
      <c r="DCI63" s="12"/>
      <c r="DCJ63" s="12"/>
      <c r="DDA63" s="12"/>
      <c r="DDB63" s="12"/>
      <c r="DDS63" s="12"/>
      <c r="DDT63" s="12"/>
      <c r="DEK63" s="12"/>
      <c r="DEL63" s="12"/>
      <c r="DFC63" s="12"/>
      <c r="DFD63" s="12"/>
      <c r="DFU63" s="12"/>
      <c r="DFV63" s="12"/>
      <c r="DGM63" s="12"/>
      <c r="DGN63" s="12"/>
      <c r="DHE63" s="12"/>
      <c r="DHF63" s="12"/>
      <c r="DHW63" s="12"/>
      <c r="DHX63" s="12"/>
      <c r="DIO63" s="12"/>
      <c r="DIP63" s="12"/>
      <c r="DJG63" s="12"/>
      <c r="DJH63" s="12"/>
      <c r="DJY63" s="12"/>
      <c r="DJZ63" s="12"/>
      <c r="DKQ63" s="12"/>
      <c r="DKR63" s="12"/>
      <c r="DLI63" s="12"/>
      <c r="DLJ63" s="12"/>
      <c r="DMA63" s="12"/>
      <c r="DMB63" s="12"/>
      <c r="DMS63" s="12"/>
      <c r="DMT63" s="12"/>
      <c r="DNK63" s="12"/>
      <c r="DNL63" s="12"/>
      <c r="DOC63" s="12"/>
      <c r="DOD63" s="12"/>
      <c r="DOU63" s="12"/>
      <c r="DOV63" s="12"/>
      <c r="DPM63" s="12"/>
      <c r="DPN63" s="12"/>
      <c r="DQE63" s="12"/>
      <c r="DQF63" s="12"/>
      <c r="DQW63" s="12"/>
      <c r="DQX63" s="12"/>
      <c r="DRO63" s="12"/>
      <c r="DRP63" s="12"/>
      <c r="DSG63" s="12"/>
      <c r="DSH63" s="12"/>
      <c r="DSY63" s="12"/>
      <c r="DSZ63" s="12"/>
      <c r="DTQ63" s="12"/>
      <c r="DTR63" s="12"/>
      <c r="DUI63" s="12"/>
      <c r="DUJ63" s="12"/>
      <c r="DVA63" s="12"/>
      <c r="DVB63" s="12"/>
      <c r="DVS63" s="12"/>
      <c r="DVT63" s="12"/>
      <c r="DWK63" s="12"/>
      <c r="DWL63" s="12"/>
      <c r="DXC63" s="12"/>
      <c r="DXD63" s="12"/>
      <c r="DXU63" s="12"/>
      <c r="DXV63" s="12"/>
      <c r="DYM63" s="12"/>
      <c r="DYN63" s="12"/>
      <c r="DZE63" s="12"/>
      <c r="DZF63" s="12"/>
      <c r="DZW63" s="12"/>
      <c r="DZX63" s="12"/>
      <c r="EAO63" s="12"/>
      <c r="EAP63" s="12"/>
      <c r="EBG63" s="12"/>
      <c r="EBH63" s="12"/>
      <c r="EBY63" s="12"/>
      <c r="EBZ63" s="12"/>
      <c r="ECQ63" s="12"/>
      <c r="ECR63" s="12"/>
      <c r="EDI63" s="12"/>
      <c r="EDJ63" s="12"/>
      <c r="EEA63" s="12"/>
      <c r="EEB63" s="12"/>
      <c r="EES63" s="12"/>
      <c r="EET63" s="12"/>
      <c r="EFK63" s="12"/>
      <c r="EFL63" s="12"/>
      <c r="EGC63" s="12"/>
      <c r="EGD63" s="12"/>
      <c r="EGU63" s="12"/>
      <c r="EGV63" s="12"/>
      <c r="EHM63" s="12"/>
      <c r="EHN63" s="12"/>
      <c r="EIE63" s="12"/>
      <c r="EIF63" s="12"/>
      <c r="EIW63" s="12"/>
      <c r="EIX63" s="12"/>
      <c r="EJO63" s="12"/>
      <c r="EJP63" s="12"/>
      <c r="EKG63" s="12"/>
      <c r="EKH63" s="12"/>
      <c r="EKY63" s="12"/>
      <c r="EKZ63" s="12"/>
      <c r="ELQ63" s="12"/>
      <c r="ELR63" s="12"/>
      <c r="EMI63" s="12"/>
      <c r="EMJ63" s="12"/>
      <c r="ENA63" s="12"/>
      <c r="ENB63" s="12"/>
      <c r="ENS63" s="12"/>
      <c r="ENT63" s="12"/>
      <c r="EOK63" s="12"/>
      <c r="EOL63" s="12"/>
      <c r="EPC63" s="12"/>
      <c r="EPD63" s="12"/>
      <c r="EPU63" s="12"/>
      <c r="EPV63" s="12"/>
      <c r="EQM63" s="12"/>
      <c r="EQN63" s="12"/>
      <c r="ERE63" s="12"/>
      <c r="ERF63" s="12"/>
      <c r="ERW63" s="12"/>
      <c r="ERX63" s="12"/>
      <c r="ESO63" s="12"/>
      <c r="ESP63" s="12"/>
      <c r="ETG63" s="12"/>
      <c r="ETH63" s="12"/>
      <c r="ETY63" s="12"/>
      <c r="ETZ63" s="12"/>
      <c r="EUQ63" s="12"/>
      <c r="EUR63" s="12"/>
      <c r="EVI63" s="12"/>
      <c r="EVJ63" s="12"/>
      <c r="EWA63" s="12"/>
      <c r="EWB63" s="12"/>
      <c r="EWS63" s="12"/>
      <c r="EWT63" s="12"/>
      <c r="EXK63" s="12"/>
      <c r="EXL63" s="12"/>
      <c r="EYC63" s="12"/>
      <c r="EYD63" s="12"/>
      <c r="EYU63" s="12"/>
      <c r="EYV63" s="12"/>
      <c r="EZM63" s="12"/>
      <c r="EZN63" s="12"/>
      <c r="FAE63" s="12"/>
      <c r="FAF63" s="12"/>
      <c r="FAW63" s="12"/>
      <c r="FAX63" s="12"/>
      <c r="FBO63" s="12"/>
      <c r="FBP63" s="12"/>
      <c r="FCG63" s="12"/>
      <c r="FCH63" s="12"/>
      <c r="FCY63" s="12"/>
      <c r="FCZ63" s="12"/>
      <c r="FDQ63" s="12"/>
      <c r="FDR63" s="12"/>
      <c r="FEI63" s="12"/>
      <c r="FEJ63" s="12"/>
      <c r="FFA63" s="12"/>
      <c r="FFB63" s="12"/>
      <c r="FFS63" s="12"/>
      <c r="FFT63" s="12"/>
      <c r="FGK63" s="12"/>
      <c r="FGL63" s="12"/>
      <c r="FHC63" s="12"/>
      <c r="FHD63" s="12"/>
      <c r="FHU63" s="12"/>
      <c r="FHV63" s="12"/>
      <c r="FIM63" s="12"/>
      <c r="FIN63" s="12"/>
      <c r="FJE63" s="12"/>
      <c r="FJF63" s="12"/>
      <c r="FJW63" s="12"/>
      <c r="FJX63" s="12"/>
      <c r="FKO63" s="12"/>
      <c r="FKP63" s="12"/>
      <c r="FLG63" s="12"/>
      <c r="FLH63" s="12"/>
      <c r="FLY63" s="12"/>
      <c r="FLZ63" s="12"/>
      <c r="FMQ63" s="12"/>
      <c r="FMR63" s="12"/>
      <c r="FNI63" s="12"/>
      <c r="FNJ63" s="12"/>
      <c r="FOA63" s="12"/>
      <c r="FOB63" s="12"/>
      <c r="FOS63" s="12"/>
      <c r="FOT63" s="12"/>
      <c r="FPK63" s="12"/>
      <c r="FPL63" s="12"/>
      <c r="FQC63" s="12"/>
      <c r="FQD63" s="12"/>
      <c r="FQU63" s="12"/>
      <c r="FQV63" s="12"/>
      <c r="FRM63" s="12"/>
      <c r="FRN63" s="12"/>
      <c r="FSE63" s="12"/>
      <c r="FSF63" s="12"/>
      <c r="FSW63" s="12"/>
      <c r="FSX63" s="12"/>
      <c r="FTO63" s="12"/>
      <c r="FTP63" s="12"/>
      <c r="FUG63" s="12"/>
      <c r="FUH63" s="12"/>
      <c r="FUY63" s="12"/>
      <c r="FUZ63" s="12"/>
      <c r="FVQ63" s="12"/>
      <c r="FVR63" s="12"/>
      <c r="FWI63" s="12"/>
      <c r="FWJ63" s="12"/>
      <c r="FXA63" s="12"/>
      <c r="FXB63" s="12"/>
      <c r="FXS63" s="12"/>
      <c r="FXT63" s="12"/>
      <c r="FYK63" s="12"/>
      <c r="FYL63" s="12"/>
      <c r="FZC63" s="12"/>
      <c r="FZD63" s="12"/>
      <c r="FZU63" s="12"/>
      <c r="FZV63" s="12"/>
      <c r="GAM63" s="12"/>
      <c r="GAN63" s="12"/>
      <c r="GBE63" s="12"/>
      <c r="GBF63" s="12"/>
      <c r="GBW63" s="12"/>
      <c r="GBX63" s="12"/>
      <c r="GCO63" s="12"/>
      <c r="GCP63" s="12"/>
      <c r="GDG63" s="12"/>
      <c r="GDH63" s="12"/>
      <c r="GDY63" s="12"/>
      <c r="GDZ63" s="12"/>
      <c r="GEQ63" s="12"/>
      <c r="GER63" s="12"/>
      <c r="GFI63" s="12"/>
      <c r="GFJ63" s="12"/>
      <c r="GGA63" s="12"/>
      <c r="GGB63" s="12"/>
      <c r="GGS63" s="12"/>
      <c r="GGT63" s="12"/>
      <c r="GHK63" s="12"/>
      <c r="GHL63" s="12"/>
      <c r="GIC63" s="12"/>
      <c r="GID63" s="12"/>
      <c r="GIU63" s="12"/>
      <c r="GIV63" s="12"/>
      <c r="GJM63" s="12"/>
      <c r="GJN63" s="12"/>
      <c r="GKE63" s="12"/>
      <c r="GKF63" s="12"/>
      <c r="GKW63" s="12"/>
      <c r="GKX63" s="12"/>
      <c r="GLO63" s="12"/>
      <c r="GLP63" s="12"/>
      <c r="GMG63" s="12"/>
      <c r="GMH63" s="12"/>
      <c r="GMY63" s="12"/>
      <c r="GMZ63" s="12"/>
      <c r="GNQ63" s="12"/>
      <c r="GNR63" s="12"/>
      <c r="GOI63" s="12"/>
      <c r="GOJ63" s="12"/>
      <c r="GPA63" s="12"/>
      <c r="GPB63" s="12"/>
      <c r="GPS63" s="12"/>
      <c r="GPT63" s="12"/>
      <c r="GQK63" s="12"/>
      <c r="GQL63" s="12"/>
      <c r="GRC63" s="12"/>
      <c r="GRD63" s="12"/>
      <c r="GRU63" s="12"/>
      <c r="GRV63" s="12"/>
      <c r="GSM63" s="12"/>
      <c r="GSN63" s="12"/>
      <c r="GTE63" s="12"/>
      <c r="GTF63" s="12"/>
      <c r="GTW63" s="12"/>
      <c r="GTX63" s="12"/>
      <c r="GUO63" s="12"/>
      <c r="GUP63" s="12"/>
      <c r="GVG63" s="12"/>
      <c r="GVH63" s="12"/>
      <c r="GVY63" s="12"/>
      <c r="GVZ63" s="12"/>
      <c r="GWQ63" s="12"/>
      <c r="GWR63" s="12"/>
      <c r="GXI63" s="12"/>
      <c r="GXJ63" s="12"/>
      <c r="GYA63" s="12"/>
      <c r="GYB63" s="12"/>
      <c r="GYS63" s="12"/>
      <c r="GYT63" s="12"/>
      <c r="GZK63" s="12"/>
      <c r="GZL63" s="12"/>
      <c r="HAC63" s="12"/>
      <c r="HAD63" s="12"/>
      <c r="HAU63" s="12"/>
      <c r="HAV63" s="12"/>
      <c r="HBM63" s="12"/>
      <c r="HBN63" s="12"/>
      <c r="HCE63" s="12"/>
      <c r="HCF63" s="12"/>
      <c r="HCW63" s="12"/>
      <c r="HCX63" s="12"/>
      <c r="HDO63" s="12"/>
      <c r="HDP63" s="12"/>
      <c r="HEG63" s="12"/>
      <c r="HEH63" s="12"/>
      <c r="HEY63" s="12"/>
      <c r="HEZ63" s="12"/>
      <c r="HFQ63" s="12"/>
      <c r="HFR63" s="12"/>
      <c r="HGI63" s="12"/>
      <c r="HGJ63" s="12"/>
      <c r="HHA63" s="12"/>
      <c r="HHB63" s="12"/>
      <c r="HHS63" s="12"/>
      <c r="HHT63" s="12"/>
      <c r="HIK63" s="12"/>
      <c r="HIL63" s="12"/>
      <c r="HJC63" s="12"/>
      <c r="HJD63" s="12"/>
      <c r="HJU63" s="12"/>
      <c r="HJV63" s="12"/>
      <c r="HKM63" s="12"/>
      <c r="HKN63" s="12"/>
      <c r="HLE63" s="12"/>
      <c r="HLF63" s="12"/>
      <c r="HLW63" s="12"/>
      <c r="HLX63" s="12"/>
      <c r="HMO63" s="12"/>
      <c r="HMP63" s="12"/>
      <c r="HNG63" s="12"/>
      <c r="HNH63" s="12"/>
      <c r="HNY63" s="12"/>
      <c r="HNZ63" s="12"/>
      <c r="HOQ63" s="12"/>
      <c r="HOR63" s="12"/>
      <c r="HPI63" s="12"/>
      <c r="HPJ63" s="12"/>
      <c r="HQA63" s="12"/>
      <c r="HQB63" s="12"/>
      <c r="HQS63" s="12"/>
      <c r="HQT63" s="12"/>
      <c r="HRK63" s="12"/>
      <c r="HRL63" s="12"/>
      <c r="HSC63" s="12"/>
      <c r="HSD63" s="12"/>
      <c r="HSU63" s="12"/>
      <c r="HSV63" s="12"/>
      <c r="HTM63" s="12"/>
      <c r="HTN63" s="12"/>
      <c r="HUE63" s="12"/>
      <c r="HUF63" s="12"/>
      <c r="HUW63" s="12"/>
      <c r="HUX63" s="12"/>
      <c r="HVO63" s="12"/>
      <c r="HVP63" s="12"/>
      <c r="HWG63" s="12"/>
      <c r="HWH63" s="12"/>
      <c r="HWY63" s="12"/>
      <c r="HWZ63" s="12"/>
      <c r="HXQ63" s="12"/>
      <c r="HXR63" s="12"/>
      <c r="HYI63" s="12"/>
      <c r="HYJ63" s="12"/>
      <c r="HZA63" s="12"/>
      <c r="HZB63" s="12"/>
      <c r="HZS63" s="12"/>
      <c r="HZT63" s="12"/>
      <c r="IAK63" s="12"/>
      <c r="IAL63" s="12"/>
      <c r="IBC63" s="12"/>
      <c r="IBD63" s="12"/>
      <c r="IBU63" s="12"/>
      <c r="IBV63" s="12"/>
      <c r="ICM63" s="12"/>
      <c r="ICN63" s="12"/>
      <c r="IDE63" s="12"/>
      <c r="IDF63" s="12"/>
      <c r="IDW63" s="12"/>
      <c r="IDX63" s="12"/>
      <c r="IEO63" s="12"/>
      <c r="IEP63" s="12"/>
      <c r="IFG63" s="12"/>
      <c r="IFH63" s="12"/>
      <c r="IFY63" s="12"/>
      <c r="IFZ63" s="12"/>
      <c r="IGQ63" s="12"/>
      <c r="IGR63" s="12"/>
      <c r="IHI63" s="12"/>
      <c r="IHJ63" s="12"/>
      <c r="IIA63" s="12"/>
      <c r="IIB63" s="12"/>
      <c r="IIS63" s="12"/>
      <c r="IIT63" s="12"/>
      <c r="IJK63" s="12"/>
      <c r="IJL63" s="12"/>
      <c r="IKC63" s="12"/>
      <c r="IKD63" s="12"/>
      <c r="IKU63" s="12"/>
      <c r="IKV63" s="12"/>
      <c r="ILM63" s="12"/>
      <c r="ILN63" s="12"/>
      <c r="IME63" s="12"/>
      <c r="IMF63" s="12"/>
      <c r="IMW63" s="12"/>
      <c r="IMX63" s="12"/>
      <c r="INO63" s="12"/>
      <c r="INP63" s="12"/>
      <c r="IOG63" s="12"/>
      <c r="IOH63" s="12"/>
      <c r="IOY63" s="12"/>
      <c r="IOZ63" s="12"/>
      <c r="IPQ63" s="12"/>
      <c r="IPR63" s="12"/>
      <c r="IQI63" s="12"/>
      <c r="IQJ63" s="12"/>
      <c r="IRA63" s="12"/>
      <c r="IRB63" s="12"/>
      <c r="IRS63" s="12"/>
      <c r="IRT63" s="12"/>
      <c r="ISK63" s="12"/>
      <c r="ISL63" s="12"/>
      <c r="ITC63" s="12"/>
      <c r="ITD63" s="12"/>
      <c r="ITU63" s="12"/>
      <c r="ITV63" s="12"/>
      <c r="IUM63" s="12"/>
      <c r="IUN63" s="12"/>
      <c r="IVE63" s="12"/>
      <c r="IVF63" s="12"/>
      <c r="IVW63" s="12"/>
      <c r="IVX63" s="12"/>
      <c r="IWO63" s="12"/>
      <c r="IWP63" s="12"/>
      <c r="IXG63" s="12"/>
      <c r="IXH63" s="12"/>
      <c r="IXY63" s="12"/>
      <c r="IXZ63" s="12"/>
      <c r="IYQ63" s="12"/>
      <c r="IYR63" s="12"/>
      <c r="IZI63" s="12"/>
      <c r="IZJ63" s="12"/>
      <c r="JAA63" s="12"/>
      <c r="JAB63" s="12"/>
      <c r="JAS63" s="12"/>
      <c r="JAT63" s="12"/>
      <c r="JBK63" s="12"/>
      <c r="JBL63" s="12"/>
      <c r="JCC63" s="12"/>
      <c r="JCD63" s="12"/>
      <c r="JCU63" s="12"/>
      <c r="JCV63" s="12"/>
      <c r="JDM63" s="12"/>
      <c r="JDN63" s="12"/>
      <c r="JEE63" s="12"/>
      <c r="JEF63" s="12"/>
      <c r="JEW63" s="12"/>
      <c r="JEX63" s="12"/>
      <c r="JFO63" s="12"/>
      <c r="JFP63" s="12"/>
      <c r="JGG63" s="12"/>
      <c r="JGH63" s="12"/>
      <c r="JGY63" s="12"/>
      <c r="JGZ63" s="12"/>
      <c r="JHQ63" s="12"/>
      <c r="JHR63" s="12"/>
      <c r="JII63" s="12"/>
      <c r="JIJ63" s="12"/>
      <c r="JJA63" s="12"/>
      <c r="JJB63" s="12"/>
      <c r="JJS63" s="12"/>
      <c r="JJT63" s="12"/>
      <c r="JKK63" s="12"/>
      <c r="JKL63" s="12"/>
      <c r="JLC63" s="12"/>
      <c r="JLD63" s="12"/>
      <c r="JLU63" s="12"/>
      <c r="JLV63" s="12"/>
      <c r="JMM63" s="12"/>
      <c r="JMN63" s="12"/>
      <c r="JNE63" s="12"/>
      <c r="JNF63" s="12"/>
      <c r="JNW63" s="12"/>
      <c r="JNX63" s="12"/>
      <c r="JOO63" s="12"/>
      <c r="JOP63" s="12"/>
      <c r="JPG63" s="12"/>
      <c r="JPH63" s="12"/>
      <c r="JPY63" s="12"/>
      <c r="JPZ63" s="12"/>
      <c r="JQQ63" s="12"/>
      <c r="JQR63" s="12"/>
      <c r="JRI63" s="12"/>
      <c r="JRJ63" s="12"/>
      <c r="JSA63" s="12"/>
      <c r="JSB63" s="12"/>
      <c r="JSS63" s="12"/>
      <c r="JST63" s="12"/>
      <c r="JTK63" s="12"/>
      <c r="JTL63" s="12"/>
      <c r="JUC63" s="12"/>
      <c r="JUD63" s="12"/>
      <c r="JUU63" s="12"/>
      <c r="JUV63" s="12"/>
      <c r="JVM63" s="12"/>
      <c r="JVN63" s="12"/>
      <c r="JWE63" s="12"/>
      <c r="JWF63" s="12"/>
      <c r="JWW63" s="12"/>
      <c r="JWX63" s="12"/>
      <c r="JXO63" s="12"/>
      <c r="JXP63" s="12"/>
      <c r="JYG63" s="12"/>
      <c r="JYH63" s="12"/>
      <c r="JYY63" s="12"/>
      <c r="JYZ63" s="12"/>
      <c r="JZQ63" s="12"/>
      <c r="JZR63" s="12"/>
      <c r="KAI63" s="12"/>
      <c r="KAJ63" s="12"/>
      <c r="KBA63" s="12"/>
      <c r="KBB63" s="12"/>
      <c r="KBS63" s="12"/>
      <c r="KBT63" s="12"/>
      <c r="KCK63" s="12"/>
      <c r="KCL63" s="12"/>
      <c r="KDC63" s="12"/>
      <c r="KDD63" s="12"/>
      <c r="KDU63" s="12"/>
      <c r="KDV63" s="12"/>
      <c r="KEM63" s="12"/>
      <c r="KEN63" s="12"/>
      <c r="KFE63" s="12"/>
      <c r="KFF63" s="12"/>
      <c r="KFW63" s="12"/>
      <c r="KFX63" s="12"/>
      <c r="KGO63" s="12"/>
      <c r="KGP63" s="12"/>
      <c r="KHG63" s="12"/>
      <c r="KHH63" s="12"/>
      <c r="KHY63" s="12"/>
      <c r="KHZ63" s="12"/>
      <c r="KIQ63" s="12"/>
      <c r="KIR63" s="12"/>
      <c r="KJI63" s="12"/>
      <c r="KJJ63" s="12"/>
      <c r="KKA63" s="12"/>
      <c r="KKB63" s="12"/>
      <c r="KKS63" s="12"/>
      <c r="KKT63" s="12"/>
      <c r="KLK63" s="12"/>
      <c r="KLL63" s="12"/>
      <c r="KMC63" s="12"/>
      <c r="KMD63" s="12"/>
      <c r="KMU63" s="12"/>
      <c r="KMV63" s="12"/>
      <c r="KNM63" s="12"/>
      <c r="KNN63" s="12"/>
      <c r="KOE63" s="12"/>
      <c r="KOF63" s="12"/>
      <c r="KOW63" s="12"/>
      <c r="KOX63" s="12"/>
      <c r="KPO63" s="12"/>
      <c r="KPP63" s="12"/>
      <c r="KQG63" s="12"/>
      <c r="KQH63" s="12"/>
      <c r="KQY63" s="12"/>
      <c r="KQZ63" s="12"/>
      <c r="KRQ63" s="12"/>
      <c r="KRR63" s="12"/>
      <c r="KSI63" s="12"/>
      <c r="KSJ63" s="12"/>
      <c r="KTA63" s="12"/>
      <c r="KTB63" s="12"/>
      <c r="KTS63" s="12"/>
      <c r="KTT63" s="12"/>
      <c r="KUK63" s="12"/>
      <c r="KUL63" s="12"/>
      <c r="KVC63" s="12"/>
      <c r="KVD63" s="12"/>
      <c r="KVU63" s="12"/>
      <c r="KVV63" s="12"/>
      <c r="KWM63" s="12"/>
      <c r="KWN63" s="12"/>
      <c r="KXE63" s="12"/>
      <c r="KXF63" s="12"/>
      <c r="KXW63" s="12"/>
      <c r="KXX63" s="12"/>
      <c r="KYO63" s="12"/>
      <c r="KYP63" s="12"/>
      <c r="KZG63" s="12"/>
      <c r="KZH63" s="12"/>
      <c r="KZY63" s="12"/>
      <c r="KZZ63" s="12"/>
      <c r="LAQ63" s="12"/>
      <c r="LAR63" s="12"/>
      <c r="LBI63" s="12"/>
      <c r="LBJ63" s="12"/>
      <c r="LCA63" s="12"/>
      <c r="LCB63" s="12"/>
      <c r="LCS63" s="12"/>
      <c r="LCT63" s="12"/>
      <c r="LDK63" s="12"/>
      <c r="LDL63" s="12"/>
      <c r="LEC63" s="12"/>
      <c r="LED63" s="12"/>
      <c r="LEU63" s="12"/>
      <c r="LEV63" s="12"/>
      <c r="LFM63" s="12"/>
      <c r="LFN63" s="12"/>
      <c r="LGE63" s="12"/>
      <c r="LGF63" s="12"/>
      <c r="LGW63" s="12"/>
      <c r="LGX63" s="12"/>
      <c r="LHO63" s="12"/>
      <c r="LHP63" s="12"/>
      <c r="LIG63" s="12"/>
      <c r="LIH63" s="12"/>
      <c r="LIY63" s="12"/>
      <c r="LIZ63" s="12"/>
      <c r="LJQ63" s="12"/>
      <c r="LJR63" s="12"/>
      <c r="LKI63" s="12"/>
      <c r="LKJ63" s="12"/>
      <c r="LLA63" s="12"/>
      <c r="LLB63" s="12"/>
      <c r="LLS63" s="12"/>
      <c r="LLT63" s="12"/>
      <c r="LMK63" s="12"/>
      <c r="LML63" s="12"/>
      <c r="LNC63" s="12"/>
      <c r="LND63" s="12"/>
      <c r="LNU63" s="12"/>
      <c r="LNV63" s="12"/>
      <c r="LOM63" s="12"/>
      <c r="LON63" s="12"/>
      <c r="LPE63" s="12"/>
      <c r="LPF63" s="12"/>
      <c r="LPW63" s="12"/>
      <c r="LPX63" s="12"/>
      <c r="LQO63" s="12"/>
      <c r="LQP63" s="12"/>
      <c r="LRG63" s="12"/>
      <c r="LRH63" s="12"/>
      <c r="LRY63" s="12"/>
      <c r="LRZ63" s="12"/>
      <c r="LSQ63" s="12"/>
      <c r="LSR63" s="12"/>
      <c r="LTI63" s="12"/>
      <c r="LTJ63" s="12"/>
      <c r="LUA63" s="12"/>
      <c r="LUB63" s="12"/>
      <c r="LUS63" s="12"/>
      <c r="LUT63" s="12"/>
      <c r="LVK63" s="12"/>
      <c r="LVL63" s="12"/>
      <c r="LWC63" s="12"/>
      <c r="LWD63" s="12"/>
      <c r="LWU63" s="12"/>
      <c r="LWV63" s="12"/>
      <c r="LXM63" s="12"/>
      <c r="LXN63" s="12"/>
      <c r="LYE63" s="12"/>
      <c r="LYF63" s="12"/>
      <c r="LYW63" s="12"/>
      <c r="LYX63" s="12"/>
      <c r="LZO63" s="12"/>
      <c r="LZP63" s="12"/>
      <c r="MAG63" s="12"/>
      <c r="MAH63" s="12"/>
      <c r="MAY63" s="12"/>
      <c r="MAZ63" s="12"/>
      <c r="MBQ63" s="12"/>
      <c r="MBR63" s="12"/>
      <c r="MCI63" s="12"/>
      <c r="MCJ63" s="12"/>
      <c r="MDA63" s="12"/>
      <c r="MDB63" s="12"/>
      <c r="MDS63" s="12"/>
      <c r="MDT63" s="12"/>
      <c r="MEK63" s="12"/>
      <c r="MEL63" s="12"/>
      <c r="MFC63" s="12"/>
      <c r="MFD63" s="12"/>
      <c r="MFU63" s="12"/>
      <c r="MFV63" s="12"/>
      <c r="MGM63" s="12"/>
      <c r="MGN63" s="12"/>
      <c r="MHE63" s="12"/>
      <c r="MHF63" s="12"/>
      <c r="MHW63" s="12"/>
      <c r="MHX63" s="12"/>
      <c r="MIO63" s="12"/>
      <c r="MIP63" s="12"/>
      <c r="MJG63" s="12"/>
      <c r="MJH63" s="12"/>
      <c r="MJY63" s="12"/>
      <c r="MJZ63" s="12"/>
      <c r="MKQ63" s="12"/>
      <c r="MKR63" s="12"/>
      <c r="MLI63" s="12"/>
      <c r="MLJ63" s="12"/>
      <c r="MMA63" s="12"/>
      <c r="MMB63" s="12"/>
      <c r="MMS63" s="12"/>
      <c r="MMT63" s="12"/>
      <c r="MNK63" s="12"/>
      <c r="MNL63" s="12"/>
      <c r="MOC63" s="12"/>
      <c r="MOD63" s="12"/>
      <c r="MOU63" s="12"/>
      <c r="MOV63" s="12"/>
      <c r="MPM63" s="12"/>
      <c r="MPN63" s="12"/>
      <c r="MQE63" s="12"/>
      <c r="MQF63" s="12"/>
      <c r="MQW63" s="12"/>
      <c r="MQX63" s="12"/>
      <c r="MRO63" s="12"/>
      <c r="MRP63" s="12"/>
      <c r="MSG63" s="12"/>
      <c r="MSH63" s="12"/>
      <c r="MSY63" s="12"/>
      <c r="MSZ63" s="12"/>
      <c r="MTQ63" s="12"/>
      <c r="MTR63" s="12"/>
      <c r="MUI63" s="12"/>
      <c r="MUJ63" s="12"/>
      <c r="MVA63" s="12"/>
      <c r="MVB63" s="12"/>
      <c r="MVS63" s="12"/>
      <c r="MVT63" s="12"/>
      <c r="MWK63" s="12"/>
      <c r="MWL63" s="12"/>
      <c r="MXC63" s="12"/>
      <c r="MXD63" s="12"/>
      <c r="MXU63" s="12"/>
      <c r="MXV63" s="12"/>
      <c r="MYM63" s="12"/>
      <c r="MYN63" s="12"/>
      <c r="MZE63" s="12"/>
      <c r="MZF63" s="12"/>
      <c r="MZW63" s="12"/>
      <c r="MZX63" s="12"/>
      <c r="NAO63" s="12"/>
      <c r="NAP63" s="12"/>
      <c r="NBG63" s="12"/>
      <c r="NBH63" s="12"/>
      <c r="NBY63" s="12"/>
      <c r="NBZ63" s="12"/>
      <c r="NCQ63" s="12"/>
      <c r="NCR63" s="12"/>
      <c r="NDI63" s="12"/>
      <c r="NDJ63" s="12"/>
      <c r="NEA63" s="12"/>
      <c r="NEB63" s="12"/>
      <c r="NES63" s="12"/>
      <c r="NET63" s="12"/>
      <c r="NFK63" s="12"/>
      <c r="NFL63" s="12"/>
      <c r="NGC63" s="12"/>
      <c r="NGD63" s="12"/>
      <c r="NGU63" s="12"/>
      <c r="NGV63" s="12"/>
      <c r="NHM63" s="12"/>
      <c r="NHN63" s="12"/>
      <c r="NIE63" s="12"/>
      <c r="NIF63" s="12"/>
      <c r="NIW63" s="12"/>
      <c r="NIX63" s="12"/>
      <c r="NJO63" s="12"/>
      <c r="NJP63" s="12"/>
      <c r="NKG63" s="12"/>
      <c r="NKH63" s="12"/>
      <c r="NKY63" s="12"/>
      <c r="NKZ63" s="12"/>
      <c r="NLQ63" s="12"/>
      <c r="NLR63" s="12"/>
      <c r="NMI63" s="12"/>
      <c r="NMJ63" s="12"/>
      <c r="NNA63" s="12"/>
      <c r="NNB63" s="12"/>
      <c r="NNS63" s="12"/>
      <c r="NNT63" s="12"/>
      <c r="NOK63" s="12"/>
      <c r="NOL63" s="12"/>
      <c r="NPC63" s="12"/>
      <c r="NPD63" s="12"/>
      <c r="NPU63" s="12"/>
      <c r="NPV63" s="12"/>
      <c r="NQM63" s="12"/>
      <c r="NQN63" s="12"/>
      <c r="NRE63" s="12"/>
      <c r="NRF63" s="12"/>
      <c r="NRW63" s="12"/>
      <c r="NRX63" s="12"/>
      <c r="NSO63" s="12"/>
      <c r="NSP63" s="12"/>
      <c r="NTG63" s="12"/>
      <c r="NTH63" s="12"/>
      <c r="NTY63" s="12"/>
      <c r="NTZ63" s="12"/>
      <c r="NUQ63" s="12"/>
      <c r="NUR63" s="12"/>
      <c r="NVI63" s="12"/>
      <c r="NVJ63" s="12"/>
      <c r="NWA63" s="12"/>
      <c r="NWB63" s="12"/>
      <c r="NWS63" s="12"/>
      <c r="NWT63" s="12"/>
      <c r="NXK63" s="12"/>
      <c r="NXL63" s="12"/>
      <c r="NYC63" s="12"/>
      <c r="NYD63" s="12"/>
      <c r="NYU63" s="12"/>
      <c r="NYV63" s="12"/>
      <c r="NZM63" s="12"/>
      <c r="NZN63" s="12"/>
      <c r="OAE63" s="12"/>
      <c r="OAF63" s="12"/>
      <c r="OAW63" s="12"/>
      <c r="OAX63" s="12"/>
      <c r="OBO63" s="12"/>
      <c r="OBP63" s="12"/>
      <c r="OCG63" s="12"/>
      <c r="OCH63" s="12"/>
      <c r="OCY63" s="12"/>
      <c r="OCZ63" s="12"/>
      <c r="ODQ63" s="12"/>
      <c r="ODR63" s="12"/>
      <c r="OEI63" s="12"/>
      <c r="OEJ63" s="12"/>
      <c r="OFA63" s="12"/>
      <c r="OFB63" s="12"/>
      <c r="OFS63" s="12"/>
      <c r="OFT63" s="12"/>
      <c r="OGK63" s="12"/>
      <c r="OGL63" s="12"/>
      <c r="OHC63" s="12"/>
      <c r="OHD63" s="12"/>
      <c r="OHU63" s="12"/>
      <c r="OHV63" s="12"/>
      <c r="OIM63" s="12"/>
      <c r="OIN63" s="12"/>
      <c r="OJE63" s="12"/>
      <c r="OJF63" s="12"/>
      <c r="OJW63" s="12"/>
      <c r="OJX63" s="12"/>
      <c r="OKO63" s="12"/>
      <c r="OKP63" s="12"/>
      <c r="OLG63" s="12"/>
      <c r="OLH63" s="12"/>
      <c r="OLY63" s="12"/>
      <c r="OLZ63" s="12"/>
      <c r="OMQ63" s="12"/>
      <c r="OMR63" s="12"/>
      <c r="ONI63" s="12"/>
      <c r="ONJ63" s="12"/>
      <c r="OOA63" s="12"/>
      <c r="OOB63" s="12"/>
      <c r="OOS63" s="12"/>
      <c r="OOT63" s="12"/>
      <c r="OPK63" s="12"/>
      <c r="OPL63" s="12"/>
      <c r="OQC63" s="12"/>
      <c r="OQD63" s="12"/>
      <c r="OQU63" s="12"/>
      <c r="OQV63" s="12"/>
      <c r="ORM63" s="12"/>
      <c r="ORN63" s="12"/>
      <c r="OSE63" s="12"/>
      <c r="OSF63" s="12"/>
      <c r="OSW63" s="12"/>
      <c r="OSX63" s="12"/>
      <c r="OTO63" s="12"/>
      <c r="OTP63" s="12"/>
      <c r="OUG63" s="12"/>
      <c r="OUH63" s="12"/>
      <c r="OUY63" s="12"/>
      <c r="OUZ63" s="12"/>
      <c r="OVQ63" s="12"/>
      <c r="OVR63" s="12"/>
      <c r="OWI63" s="12"/>
      <c r="OWJ63" s="12"/>
      <c r="OXA63" s="12"/>
      <c r="OXB63" s="12"/>
      <c r="OXS63" s="12"/>
      <c r="OXT63" s="12"/>
      <c r="OYK63" s="12"/>
      <c r="OYL63" s="12"/>
      <c r="OZC63" s="12"/>
      <c r="OZD63" s="12"/>
      <c r="OZU63" s="12"/>
      <c r="OZV63" s="12"/>
      <c r="PAM63" s="12"/>
      <c r="PAN63" s="12"/>
      <c r="PBE63" s="12"/>
      <c r="PBF63" s="12"/>
      <c r="PBW63" s="12"/>
      <c r="PBX63" s="12"/>
      <c r="PCO63" s="12"/>
      <c r="PCP63" s="12"/>
      <c r="PDG63" s="12"/>
      <c r="PDH63" s="12"/>
      <c r="PDY63" s="12"/>
      <c r="PDZ63" s="12"/>
      <c r="PEQ63" s="12"/>
      <c r="PER63" s="12"/>
      <c r="PFI63" s="12"/>
      <c r="PFJ63" s="12"/>
      <c r="PGA63" s="12"/>
      <c r="PGB63" s="12"/>
      <c r="PGS63" s="12"/>
      <c r="PGT63" s="12"/>
      <c r="PHK63" s="12"/>
      <c r="PHL63" s="12"/>
      <c r="PIC63" s="12"/>
      <c r="PID63" s="12"/>
      <c r="PIU63" s="12"/>
      <c r="PIV63" s="12"/>
      <c r="PJM63" s="12"/>
      <c r="PJN63" s="12"/>
      <c r="PKE63" s="12"/>
      <c r="PKF63" s="12"/>
      <c r="PKW63" s="12"/>
      <c r="PKX63" s="12"/>
      <c r="PLO63" s="12"/>
      <c r="PLP63" s="12"/>
      <c r="PMG63" s="12"/>
      <c r="PMH63" s="12"/>
      <c r="PMY63" s="12"/>
      <c r="PMZ63" s="12"/>
      <c r="PNQ63" s="12"/>
      <c r="PNR63" s="12"/>
      <c r="POI63" s="12"/>
      <c r="POJ63" s="12"/>
      <c r="PPA63" s="12"/>
      <c r="PPB63" s="12"/>
      <c r="PPS63" s="12"/>
      <c r="PPT63" s="12"/>
      <c r="PQK63" s="12"/>
      <c r="PQL63" s="12"/>
      <c r="PRC63" s="12"/>
      <c r="PRD63" s="12"/>
      <c r="PRU63" s="12"/>
      <c r="PRV63" s="12"/>
      <c r="PSM63" s="12"/>
      <c r="PSN63" s="12"/>
      <c r="PTE63" s="12"/>
      <c r="PTF63" s="12"/>
      <c r="PTW63" s="12"/>
      <c r="PTX63" s="12"/>
      <c r="PUO63" s="12"/>
      <c r="PUP63" s="12"/>
      <c r="PVG63" s="12"/>
      <c r="PVH63" s="12"/>
      <c r="PVY63" s="12"/>
      <c r="PVZ63" s="12"/>
      <c r="PWQ63" s="12"/>
      <c r="PWR63" s="12"/>
      <c r="PXI63" s="12"/>
      <c r="PXJ63" s="12"/>
      <c r="PYA63" s="12"/>
      <c r="PYB63" s="12"/>
      <c r="PYS63" s="12"/>
      <c r="PYT63" s="12"/>
      <c r="PZK63" s="12"/>
      <c r="PZL63" s="12"/>
      <c r="QAC63" s="12"/>
      <c r="QAD63" s="12"/>
      <c r="QAU63" s="12"/>
      <c r="QAV63" s="12"/>
      <c r="QBM63" s="12"/>
      <c r="QBN63" s="12"/>
      <c r="QCE63" s="12"/>
      <c r="QCF63" s="12"/>
      <c r="QCW63" s="12"/>
      <c r="QCX63" s="12"/>
      <c r="QDO63" s="12"/>
      <c r="QDP63" s="12"/>
      <c r="QEG63" s="12"/>
      <c r="QEH63" s="12"/>
      <c r="QEY63" s="12"/>
      <c r="QEZ63" s="12"/>
      <c r="QFQ63" s="12"/>
      <c r="QFR63" s="12"/>
      <c r="QGI63" s="12"/>
      <c r="QGJ63" s="12"/>
      <c r="QHA63" s="12"/>
      <c r="QHB63" s="12"/>
      <c r="QHS63" s="12"/>
      <c r="QHT63" s="12"/>
      <c r="QIK63" s="12"/>
      <c r="QIL63" s="12"/>
      <c r="QJC63" s="12"/>
      <c r="QJD63" s="12"/>
      <c r="QJU63" s="12"/>
      <c r="QJV63" s="12"/>
      <c r="QKM63" s="12"/>
      <c r="QKN63" s="12"/>
      <c r="QLE63" s="12"/>
      <c r="QLF63" s="12"/>
      <c r="QLW63" s="12"/>
      <c r="QLX63" s="12"/>
      <c r="QMO63" s="12"/>
      <c r="QMP63" s="12"/>
      <c r="QNG63" s="12"/>
      <c r="QNH63" s="12"/>
      <c r="QNY63" s="12"/>
      <c r="QNZ63" s="12"/>
      <c r="QOQ63" s="12"/>
      <c r="QOR63" s="12"/>
      <c r="QPI63" s="12"/>
      <c r="QPJ63" s="12"/>
      <c r="QQA63" s="12"/>
      <c r="QQB63" s="12"/>
      <c r="QQS63" s="12"/>
      <c r="QQT63" s="12"/>
      <c r="QRK63" s="12"/>
      <c r="QRL63" s="12"/>
      <c r="QSC63" s="12"/>
      <c r="QSD63" s="12"/>
      <c r="QSU63" s="12"/>
      <c r="QSV63" s="12"/>
      <c r="QTM63" s="12"/>
      <c r="QTN63" s="12"/>
      <c r="QUE63" s="12"/>
      <c r="QUF63" s="12"/>
      <c r="QUW63" s="12"/>
      <c r="QUX63" s="12"/>
      <c r="QVO63" s="12"/>
      <c r="QVP63" s="12"/>
      <c r="QWG63" s="12"/>
      <c r="QWH63" s="12"/>
      <c r="QWY63" s="12"/>
      <c r="QWZ63" s="12"/>
      <c r="QXQ63" s="12"/>
      <c r="QXR63" s="12"/>
      <c r="QYI63" s="12"/>
      <c r="QYJ63" s="12"/>
      <c r="QZA63" s="12"/>
      <c r="QZB63" s="12"/>
      <c r="QZS63" s="12"/>
      <c r="QZT63" s="12"/>
      <c r="RAK63" s="12"/>
      <c r="RAL63" s="12"/>
      <c r="RBC63" s="12"/>
      <c r="RBD63" s="12"/>
      <c r="RBU63" s="12"/>
      <c r="RBV63" s="12"/>
      <c r="RCM63" s="12"/>
      <c r="RCN63" s="12"/>
      <c r="RDE63" s="12"/>
      <c r="RDF63" s="12"/>
      <c r="RDW63" s="12"/>
      <c r="RDX63" s="12"/>
      <c r="REO63" s="12"/>
      <c r="REP63" s="12"/>
      <c r="RFG63" s="12"/>
      <c r="RFH63" s="12"/>
      <c r="RFY63" s="12"/>
      <c r="RFZ63" s="12"/>
      <c r="RGQ63" s="12"/>
      <c r="RGR63" s="12"/>
      <c r="RHI63" s="12"/>
      <c r="RHJ63" s="12"/>
      <c r="RIA63" s="12"/>
      <c r="RIB63" s="12"/>
      <c r="RIS63" s="12"/>
      <c r="RIT63" s="12"/>
      <c r="RJK63" s="12"/>
      <c r="RJL63" s="12"/>
      <c r="RKC63" s="12"/>
      <c r="RKD63" s="12"/>
      <c r="RKU63" s="12"/>
      <c r="RKV63" s="12"/>
      <c r="RLM63" s="12"/>
      <c r="RLN63" s="12"/>
      <c r="RME63" s="12"/>
      <c r="RMF63" s="12"/>
      <c r="RMW63" s="12"/>
      <c r="RMX63" s="12"/>
      <c r="RNO63" s="12"/>
      <c r="RNP63" s="12"/>
      <c r="ROG63" s="12"/>
      <c r="ROH63" s="12"/>
      <c r="ROY63" s="12"/>
      <c r="ROZ63" s="12"/>
      <c r="RPQ63" s="12"/>
      <c r="RPR63" s="12"/>
      <c r="RQI63" s="12"/>
      <c r="RQJ63" s="12"/>
      <c r="RRA63" s="12"/>
      <c r="RRB63" s="12"/>
      <c r="RRS63" s="12"/>
      <c r="RRT63" s="12"/>
      <c r="RSK63" s="12"/>
      <c r="RSL63" s="12"/>
      <c r="RTC63" s="12"/>
      <c r="RTD63" s="12"/>
      <c r="RTU63" s="12"/>
      <c r="RTV63" s="12"/>
      <c r="RUM63" s="12"/>
      <c r="RUN63" s="12"/>
      <c r="RVE63" s="12"/>
      <c r="RVF63" s="12"/>
      <c r="RVW63" s="12"/>
      <c r="RVX63" s="12"/>
      <c r="RWO63" s="12"/>
      <c r="RWP63" s="12"/>
      <c r="RXG63" s="12"/>
      <c r="RXH63" s="12"/>
      <c r="RXY63" s="12"/>
      <c r="RXZ63" s="12"/>
      <c r="RYQ63" s="12"/>
      <c r="RYR63" s="12"/>
      <c r="RZI63" s="12"/>
      <c r="RZJ63" s="12"/>
      <c r="SAA63" s="12"/>
      <c r="SAB63" s="12"/>
      <c r="SAS63" s="12"/>
      <c r="SAT63" s="12"/>
      <c r="SBK63" s="12"/>
      <c r="SBL63" s="12"/>
      <c r="SCC63" s="12"/>
      <c r="SCD63" s="12"/>
      <c r="SCU63" s="12"/>
      <c r="SCV63" s="12"/>
      <c r="SDM63" s="12"/>
      <c r="SDN63" s="12"/>
      <c r="SEE63" s="12"/>
      <c r="SEF63" s="12"/>
      <c r="SEW63" s="12"/>
      <c r="SEX63" s="12"/>
      <c r="SFO63" s="12"/>
      <c r="SFP63" s="12"/>
      <c r="SGG63" s="12"/>
      <c r="SGH63" s="12"/>
      <c r="SGY63" s="12"/>
      <c r="SGZ63" s="12"/>
      <c r="SHQ63" s="12"/>
      <c r="SHR63" s="12"/>
      <c r="SII63" s="12"/>
      <c r="SIJ63" s="12"/>
      <c r="SJA63" s="12"/>
      <c r="SJB63" s="12"/>
      <c r="SJS63" s="12"/>
      <c r="SJT63" s="12"/>
      <c r="SKK63" s="12"/>
      <c r="SKL63" s="12"/>
      <c r="SLC63" s="12"/>
      <c r="SLD63" s="12"/>
      <c r="SLU63" s="12"/>
      <c r="SLV63" s="12"/>
      <c r="SMM63" s="12"/>
      <c r="SMN63" s="12"/>
      <c r="SNE63" s="12"/>
      <c r="SNF63" s="12"/>
      <c r="SNW63" s="12"/>
      <c r="SNX63" s="12"/>
      <c r="SOO63" s="12"/>
      <c r="SOP63" s="12"/>
      <c r="SPG63" s="12"/>
      <c r="SPH63" s="12"/>
      <c r="SPY63" s="12"/>
      <c r="SPZ63" s="12"/>
      <c r="SQQ63" s="12"/>
      <c r="SQR63" s="12"/>
      <c r="SRI63" s="12"/>
      <c r="SRJ63" s="12"/>
      <c r="SSA63" s="12"/>
      <c r="SSB63" s="12"/>
      <c r="SSS63" s="12"/>
      <c r="SST63" s="12"/>
      <c r="STK63" s="12"/>
      <c r="STL63" s="12"/>
      <c r="SUC63" s="12"/>
      <c r="SUD63" s="12"/>
      <c r="SUU63" s="12"/>
      <c r="SUV63" s="12"/>
      <c r="SVM63" s="12"/>
      <c r="SVN63" s="12"/>
      <c r="SWE63" s="12"/>
      <c r="SWF63" s="12"/>
      <c r="SWW63" s="12"/>
      <c r="SWX63" s="12"/>
      <c r="SXO63" s="12"/>
      <c r="SXP63" s="12"/>
      <c r="SYG63" s="12"/>
      <c r="SYH63" s="12"/>
      <c r="SYY63" s="12"/>
      <c r="SYZ63" s="12"/>
      <c r="SZQ63" s="12"/>
      <c r="SZR63" s="12"/>
      <c r="TAI63" s="12"/>
      <c r="TAJ63" s="12"/>
      <c r="TBA63" s="12"/>
      <c r="TBB63" s="12"/>
      <c r="TBS63" s="12"/>
      <c r="TBT63" s="12"/>
      <c r="TCK63" s="12"/>
      <c r="TCL63" s="12"/>
      <c r="TDC63" s="12"/>
      <c r="TDD63" s="12"/>
      <c r="TDU63" s="12"/>
      <c r="TDV63" s="12"/>
      <c r="TEM63" s="12"/>
      <c r="TEN63" s="12"/>
      <c r="TFE63" s="12"/>
      <c r="TFF63" s="12"/>
      <c r="TFW63" s="12"/>
      <c r="TFX63" s="12"/>
      <c r="TGO63" s="12"/>
      <c r="TGP63" s="12"/>
      <c r="THG63" s="12"/>
      <c r="THH63" s="12"/>
      <c r="THY63" s="12"/>
      <c r="THZ63" s="12"/>
      <c r="TIQ63" s="12"/>
      <c r="TIR63" s="12"/>
      <c r="TJI63" s="12"/>
      <c r="TJJ63" s="12"/>
      <c r="TKA63" s="12"/>
      <c r="TKB63" s="12"/>
      <c r="TKS63" s="12"/>
      <c r="TKT63" s="12"/>
      <c r="TLK63" s="12"/>
      <c r="TLL63" s="12"/>
      <c r="TMC63" s="12"/>
      <c r="TMD63" s="12"/>
      <c r="TMU63" s="12"/>
      <c r="TMV63" s="12"/>
      <c r="TNM63" s="12"/>
      <c r="TNN63" s="12"/>
      <c r="TOE63" s="12"/>
      <c r="TOF63" s="12"/>
      <c r="TOW63" s="12"/>
      <c r="TOX63" s="12"/>
      <c r="TPO63" s="12"/>
      <c r="TPP63" s="12"/>
      <c r="TQG63" s="12"/>
      <c r="TQH63" s="12"/>
      <c r="TQY63" s="12"/>
      <c r="TQZ63" s="12"/>
      <c r="TRQ63" s="12"/>
      <c r="TRR63" s="12"/>
      <c r="TSI63" s="12"/>
      <c r="TSJ63" s="12"/>
      <c r="TTA63" s="12"/>
      <c r="TTB63" s="12"/>
      <c r="TTS63" s="12"/>
      <c r="TTT63" s="12"/>
      <c r="TUK63" s="12"/>
      <c r="TUL63" s="12"/>
      <c r="TVC63" s="12"/>
      <c r="TVD63" s="12"/>
      <c r="TVU63" s="12"/>
      <c r="TVV63" s="12"/>
      <c r="TWM63" s="12"/>
      <c r="TWN63" s="12"/>
      <c r="TXE63" s="12"/>
      <c r="TXF63" s="12"/>
      <c r="TXW63" s="12"/>
      <c r="TXX63" s="12"/>
      <c r="TYO63" s="12"/>
      <c r="TYP63" s="12"/>
      <c r="TZG63" s="12"/>
      <c r="TZH63" s="12"/>
      <c r="TZY63" s="12"/>
      <c r="TZZ63" s="12"/>
      <c r="UAQ63" s="12"/>
      <c r="UAR63" s="12"/>
      <c r="UBI63" s="12"/>
      <c r="UBJ63" s="12"/>
      <c r="UCA63" s="12"/>
      <c r="UCB63" s="12"/>
      <c r="UCS63" s="12"/>
      <c r="UCT63" s="12"/>
      <c r="UDK63" s="12"/>
      <c r="UDL63" s="12"/>
      <c r="UEC63" s="12"/>
      <c r="UED63" s="12"/>
      <c r="UEU63" s="12"/>
      <c r="UEV63" s="12"/>
      <c r="UFM63" s="12"/>
      <c r="UFN63" s="12"/>
      <c r="UGE63" s="12"/>
      <c r="UGF63" s="12"/>
      <c r="UGW63" s="12"/>
      <c r="UGX63" s="12"/>
      <c r="UHO63" s="12"/>
      <c r="UHP63" s="12"/>
      <c r="UIG63" s="12"/>
      <c r="UIH63" s="12"/>
      <c r="UIY63" s="12"/>
      <c r="UIZ63" s="12"/>
      <c r="UJQ63" s="12"/>
      <c r="UJR63" s="12"/>
      <c r="UKI63" s="12"/>
      <c r="UKJ63" s="12"/>
      <c r="ULA63" s="12"/>
      <c r="ULB63" s="12"/>
      <c r="ULS63" s="12"/>
      <c r="ULT63" s="12"/>
      <c r="UMK63" s="12"/>
      <c r="UML63" s="12"/>
      <c r="UNC63" s="12"/>
      <c r="UND63" s="12"/>
      <c r="UNU63" s="12"/>
      <c r="UNV63" s="12"/>
      <c r="UOM63" s="12"/>
      <c r="UON63" s="12"/>
      <c r="UPE63" s="12"/>
      <c r="UPF63" s="12"/>
      <c r="UPW63" s="12"/>
      <c r="UPX63" s="12"/>
      <c r="UQO63" s="12"/>
      <c r="UQP63" s="12"/>
      <c r="URG63" s="12"/>
      <c r="URH63" s="12"/>
      <c r="URY63" s="12"/>
      <c r="URZ63" s="12"/>
      <c r="USQ63" s="12"/>
      <c r="USR63" s="12"/>
      <c r="UTI63" s="12"/>
      <c r="UTJ63" s="12"/>
      <c r="UUA63" s="12"/>
      <c r="UUB63" s="12"/>
      <c r="UUS63" s="12"/>
      <c r="UUT63" s="12"/>
      <c r="UVK63" s="12"/>
      <c r="UVL63" s="12"/>
      <c r="UWC63" s="12"/>
      <c r="UWD63" s="12"/>
      <c r="UWU63" s="12"/>
      <c r="UWV63" s="12"/>
      <c r="UXM63" s="12"/>
      <c r="UXN63" s="12"/>
      <c r="UYE63" s="12"/>
      <c r="UYF63" s="12"/>
      <c r="UYW63" s="12"/>
      <c r="UYX63" s="12"/>
      <c r="UZO63" s="12"/>
      <c r="UZP63" s="12"/>
      <c r="VAG63" s="12"/>
      <c r="VAH63" s="12"/>
      <c r="VAY63" s="12"/>
      <c r="VAZ63" s="12"/>
      <c r="VBQ63" s="12"/>
      <c r="VBR63" s="12"/>
      <c r="VCI63" s="12"/>
      <c r="VCJ63" s="12"/>
      <c r="VDA63" s="12"/>
      <c r="VDB63" s="12"/>
      <c r="VDS63" s="12"/>
      <c r="VDT63" s="12"/>
      <c r="VEK63" s="12"/>
      <c r="VEL63" s="12"/>
      <c r="VFC63" s="12"/>
      <c r="VFD63" s="12"/>
      <c r="VFU63" s="12"/>
      <c r="VFV63" s="12"/>
      <c r="VGM63" s="12"/>
      <c r="VGN63" s="12"/>
      <c r="VHE63" s="12"/>
      <c r="VHF63" s="12"/>
      <c r="VHW63" s="12"/>
      <c r="VHX63" s="12"/>
      <c r="VIO63" s="12"/>
      <c r="VIP63" s="12"/>
      <c r="VJG63" s="12"/>
      <c r="VJH63" s="12"/>
      <c r="VJY63" s="12"/>
      <c r="VJZ63" s="12"/>
      <c r="VKQ63" s="12"/>
      <c r="VKR63" s="12"/>
      <c r="VLI63" s="12"/>
      <c r="VLJ63" s="12"/>
      <c r="VMA63" s="12"/>
      <c r="VMB63" s="12"/>
      <c r="VMS63" s="12"/>
      <c r="VMT63" s="12"/>
      <c r="VNK63" s="12"/>
      <c r="VNL63" s="12"/>
      <c r="VOC63" s="12"/>
      <c r="VOD63" s="12"/>
      <c r="VOU63" s="12"/>
      <c r="VOV63" s="12"/>
      <c r="VPM63" s="12"/>
      <c r="VPN63" s="12"/>
      <c r="VQE63" s="12"/>
      <c r="VQF63" s="12"/>
      <c r="VQW63" s="12"/>
      <c r="VQX63" s="12"/>
      <c r="VRO63" s="12"/>
      <c r="VRP63" s="12"/>
      <c r="VSG63" s="12"/>
      <c r="VSH63" s="12"/>
      <c r="VSY63" s="12"/>
      <c r="VSZ63" s="12"/>
      <c r="VTQ63" s="12"/>
      <c r="VTR63" s="12"/>
      <c r="VUI63" s="12"/>
      <c r="VUJ63" s="12"/>
      <c r="VVA63" s="12"/>
      <c r="VVB63" s="12"/>
      <c r="VVS63" s="12"/>
      <c r="VVT63" s="12"/>
      <c r="VWK63" s="12"/>
      <c r="VWL63" s="12"/>
      <c r="VXC63" s="12"/>
      <c r="VXD63" s="12"/>
      <c r="VXU63" s="12"/>
      <c r="VXV63" s="12"/>
      <c r="VYM63" s="12"/>
      <c r="VYN63" s="12"/>
      <c r="VZE63" s="12"/>
      <c r="VZF63" s="12"/>
      <c r="VZW63" s="12"/>
      <c r="VZX63" s="12"/>
      <c r="WAO63" s="12"/>
      <c r="WAP63" s="12"/>
      <c r="WBG63" s="12"/>
      <c r="WBH63" s="12"/>
      <c r="WBY63" s="12"/>
      <c r="WBZ63" s="12"/>
      <c r="WCQ63" s="12"/>
      <c r="WCR63" s="12"/>
      <c r="WDI63" s="12"/>
      <c r="WDJ63" s="12"/>
      <c r="WEA63" s="12"/>
      <c r="WEB63" s="12"/>
      <c r="WES63" s="12"/>
      <c r="WET63" s="12"/>
      <c r="WFK63" s="12"/>
      <c r="WFL63" s="12"/>
      <c r="WGC63" s="12"/>
      <c r="WGD63" s="12"/>
      <c r="WGU63" s="12"/>
      <c r="WGV63" s="12"/>
      <c r="WHM63" s="12"/>
      <c r="WHN63" s="12"/>
      <c r="WIE63" s="12"/>
      <c r="WIF63" s="12"/>
      <c r="WIW63" s="12"/>
      <c r="WIX63" s="12"/>
      <c r="WJO63" s="12"/>
      <c r="WJP63" s="12"/>
      <c r="WKG63" s="12"/>
      <c r="WKH63" s="12"/>
      <c r="WKY63" s="12"/>
      <c r="WKZ63" s="12"/>
      <c r="WLQ63" s="12"/>
      <c r="WLR63" s="12"/>
      <c r="WMI63" s="12"/>
      <c r="WMJ63" s="12"/>
      <c r="WNA63" s="12"/>
      <c r="WNB63" s="12"/>
      <c r="WNS63" s="12"/>
      <c r="WNT63" s="12"/>
      <c r="WOK63" s="12"/>
      <c r="WOL63" s="12"/>
      <c r="WPC63" s="12"/>
      <c r="WPD63" s="12"/>
      <c r="WPU63" s="12"/>
      <c r="WPV63" s="12"/>
      <c r="WQM63" s="12"/>
      <c r="WQN63" s="12"/>
      <c r="WRE63" s="12"/>
      <c r="WRF63" s="12"/>
      <c r="WRW63" s="12"/>
      <c r="WRX63" s="12"/>
      <c r="WSO63" s="12"/>
      <c r="WSP63" s="12"/>
      <c r="WTG63" s="12"/>
      <c r="WTH63" s="12"/>
      <c r="WTY63" s="12"/>
      <c r="WTZ63" s="12"/>
      <c r="WUQ63" s="12"/>
      <c r="WUR63" s="12"/>
      <c r="WVI63" s="12"/>
      <c r="WVJ63" s="12"/>
      <c r="WWA63" s="12"/>
      <c r="WWB63" s="12"/>
      <c r="WWS63" s="12"/>
      <c r="WWT63" s="12"/>
      <c r="WXK63" s="12"/>
      <c r="WXL63" s="12"/>
      <c r="WYC63" s="12"/>
      <c r="WYD63" s="12"/>
      <c r="WYU63" s="12"/>
      <c r="WYV63" s="12"/>
      <c r="WZM63" s="12"/>
      <c r="WZN63" s="12"/>
      <c r="XAE63" s="12"/>
      <c r="XAF63" s="12"/>
      <c r="XAW63" s="12"/>
      <c r="XAX63" s="12"/>
      <c r="XBO63" s="12"/>
      <c r="XBP63" s="12"/>
      <c r="XCG63" s="12"/>
      <c r="XCH63" s="12"/>
      <c r="XCY63" s="12"/>
      <c r="XCZ63" s="12"/>
      <c r="XDQ63" s="12"/>
      <c r="XDR63" s="12"/>
      <c r="XEI63" s="12"/>
      <c r="XEJ63" s="12"/>
      <c r="XFA63" s="12"/>
      <c r="XFB63" s="12"/>
    </row>
    <row r="64" spans="1:1010 1027:2036 2053:3062 3079:4088 4105:5114 5131:6140 6157:7166 7183:8192 8209:9200 9217:10226 10243:11252 11269:12278 12295:13304 13321:14330 14347:15356 15373:16382" x14ac:dyDescent="0.35">
      <c r="A64" s="15"/>
      <c r="B64" s="14"/>
      <c r="C64" s="177"/>
      <c r="D64" s="177"/>
      <c r="E64" s="177"/>
      <c r="F64" s="177"/>
      <c r="G64" s="177"/>
      <c r="H64" s="177"/>
      <c r="I64" s="177"/>
      <c r="J64" s="177"/>
      <c r="K64" s="177"/>
      <c r="L64" s="177"/>
      <c r="M64" s="116"/>
      <c r="N64" s="116"/>
      <c r="O64" s="116"/>
      <c r="P64" s="116"/>
      <c r="Q64" s="116"/>
      <c r="R64" s="116"/>
    </row>
    <row r="65" spans="1:18" x14ac:dyDescent="0.35">
      <c r="A65" s="189" t="s">
        <v>431</v>
      </c>
      <c r="B65" s="296" t="s">
        <v>432</v>
      </c>
      <c r="C65" s="205">
        <v>-37.847000000000001</v>
      </c>
      <c r="D65" s="205">
        <v>20.373999999999999</v>
      </c>
      <c r="E65" s="205">
        <v>39.167000000000002</v>
      </c>
      <c r="F65" s="205">
        <v>-33.582999999999998</v>
      </c>
      <c r="G65" s="205">
        <v>-5.8010000000000002</v>
      </c>
      <c r="H65" s="205">
        <v>5.7039999999999997</v>
      </c>
      <c r="I65" s="205">
        <v>-22.059000000000001</v>
      </c>
      <c r="J65" s="205">
        <v>55.707000000000001</v>
      </c>
      <c r="K65" s="205">
        <v>30.123999999999999</v>
      </c>
      <c r="L65" s="205">
        <v>59.695999999999998</v>
      </c>
      <c r="M65" s="312">
        <f>IF(OR(K65=0,K65=""),"",L65/K65-1)</f>
        <v>0.9816757402735361</v>
      </c>
      <c r="N65" s="124"/>
      <c r="O65" s="124"/>
      <c r="P65" s="124"/>
      <c r="Q65" s="124"/>
      <c r="R65" s="124"/>
    </row>
    <row r="66" spans="1:18" x14ac:dyDescent="0.35">
      <c r="A66" s="291" t="s">
        <v>433</v>
      </c>
      <c r="B66" s="300" t="s">
        <v>434</v>
      </c>
      <c r="C66" s="198">
        <v>139.09299999999999</v>
      </c>
      <c r="D66" s="198">
        <v>101.246</v>
      </c>
      <c r="E66" s="198">
        <v>121.62</v>
      </c>
      <c r="F66" s="198">
        <v>160.78700000000001</v>
      </c>
      <c r="G66" s="198">
        <v>127.20399999999999</v>
      </c>
      <c r="H66" s="198">
        <v>121.40300000000001</v>
      </c>
      <c r="I66" s="198">
        <v>127.107</v>
      </c>
      <c r="J66" s="198">
        <v>105.048</v>
      </c>
      <c r="K66" s="198">
        <v>160.755</v>
      </c>
      <c r="L66" s="198">
        <v>190.87899999999999</v>
      </c>
      <c r="M66" s="124"/>
      <c r="N66" s="124"/>
      <c r="O66" s="124"/>
      <c r="P66" s="124"/>
      <c r="Q66" s="124"/>
      <c r="R66" s="124"/>
    </row>
    <row r="67" spans="1:18" x14ac:dyDescent="0.35">
      <c r="A67" s="292" t="s">
        <v>435</v>
      </c>
      <c r="B67" s="300" t="s">
        <v>436</v>
      </c>
      <c r="C67" s="198">
        <v>101.246</v>
      </c>
      <c r="D67" s="198">
        <v>121.62</v>
      </c>
      <c r="E67" s="198">
        <v>160.78700000000001</v>
      </c>
      <c r="F67" s="198">
        <v>127.20399999999999</v>
      </c>
      <c r="G67" s="198">
        <v>121.40300000000001</v>
      </c>
      <c r="H67" s="198">
        <v>127.107</v>
      </c>
      <c r="I67" s="198">
        <v>105.048</v>
      </c>
      <c r="J67" s="198">
        <v>160.755</v>
      </c>
      <c r="K67" s="198">
        <v>190.87899999999999</v>
      </c>
      <c r="L67" s="198">
        <v>250.57499999999999</v>
      </c>
      <c r="M67" s="124"/>
      <c r="N67" s="124"/>
      <c r="O67" s="124"/>
      <c r="P67" s="124"/>
      <c r="Q67" s="124"/>
      <c r="R67" s="124"/>
    </row>
    <row r="68" spans="1:18" x14ac:dyDescent="0.35">
      <c r="A68" s="24" t="s">
        <v>29</v>
      </c>
      <c r="B68" s="21"/>
      <c r="C68" s="314">
        <f t="shared" ref="C68:L68" si="10">ROUND(SUM(C24,C46,C61,C63)-IF(C65="",0,C65),1)</f>
        <v>0</v>
      </c>
      <c r="D68" s="314">
        <f t="shared" si="10"/>
        <v>0</v>
      </c>
      <c r="E68" s="314">
        <f t="shared" si="10"/>
        <v>0</v>
      </c>
      <c r="F68" s="314">
        <f t="shared" si="10"/>
        <v>0</v>
      </c>
      <c r="G68" s="314">
        <f t="shared" si="10"/>
        <v>0</v>
      </c>
      <c r="H68" s="314">
        <f t="shared" si="10"/>
        <v>0</v>
      </c>
      <c r="I68" s="314">
        <f t="shared" si="10"/>
        <v>0</v>
      </c>
      <c r="J68" s="314">
        <f t="shared" si="10"/>
        <v>0</v>
      </c>
      <c r="K68" s="314">
        <f t="shared" si="10"/>
        <v>0</v>
      </c>
      <c r="L68" s="314">
        <f t="shared" si="10"/>
        <v>0</v>
      </c>
      <c r="M68" s="122"/>
      <c r="N68" s="122"/>
      <c r="O68" s="122"/>
      <c r="P68" s="122"/>
      <c r="Q68" s="122"/>
      <c r="R68" s="122"/>
    </row>
    <row r="69" spans="1:18" x14ac:dyDescent="0.35">
      <c r="A69" s="187" t="s">
        <v>437</v>
      </c>
      <c r="B69" s="301" t="s">
        <v>438</v>
      </c>
      <c r="C69" s="207">
        <v>18.395</v>
      </c>
      <c r="D69" s="207">
        <v>16.213999999999999</v>
      </c>
      <c r="E69" s="207">
        <v>11.183999999999999</v>
      </c>
      <c r="F69" s="207">
        <v>7.8869999999999996</v>
      </c>
      <c r="G69" s="207">
        <v>7.3140000000000001</v>
      </c>
      <c r="H69" s="207">
        <v>6.8049999999999997</v>
      </c>
      <c r="I69" s="207">
        <v>15.738</v>
      </c>
      <c r="J69" s="207">
        <v>20.305</v>
      </c>
      <c r="K69" s="207">
        <v>22.285</v>
      </c>
      <c r="L69" s="207">
        <v>20.759</v>
      </c>
      <c r="M69" s="124"/>
      <c r="N69" s="124"/>
      <c r="O69" s="124"/>
      <c r="P69" s="124"/>
      <c r="Q69" s="124"/>
      <c r="R69" s="124"/>
    </row>
    <row r="70" spans="1:18" x14ac:dyDescent="0.35">
      <c r="A70" s="187" t="s">
        <v>439</v>
      </c>
      <c r="B70" s="301" t="s">
        <v>440</v>
      </c>
      <c r="C70" s="207">
        <v>4.6740000000000004</v>
      </c>
      <c r="D70" s="207">
        <v>4.6959999999999997</v>
      </c>
      <c r="E70" s="207">
        <v>4.6260000000000003</v>
      </c>
      <c r="F70" s="207">
        <v>4.6710000000000003</v>
      </c>
      <c r="G70" s="207">
        <v>4.673</v>
      </c>
      <c r="H70" s="207">
        <v>4.6399999999999997</v>
      </c>
      <c r="I70" s="207">
        <v>3.8109999999999999</v>
      </c>
      <c r="J70" s="207">
        <v>3.907</v>
      </c>
      <c r="K70" s="207">
        <v>3.3149999999999999</v>
      </c>
      <c r="L70" s="207">
        <v>1.825</v>
      </c>
      <c r="M70" s="124"/>
      <c r="N70" s="124"/>
      <c r="O70" s="124"/>
      <c r="P70" s="124"/>
      <c r="Q70" s="124"/>
      <c r="R70" s="124"/>
    </row>
    <row r="71" spans="1:18" x14ac:dyDescent="0.35">
      <c r="A71" s="15"/>
      <c r="B71" s="14"/>
      <c r="C71" s="177"/>
      <c r="D71" s="177"/>
      <c r="E71" s="177"/>
      <c r="F71" s="177"/>
      <c r="G71" s="177"/>
      <c r="H71" s="177"/>
      <c r="I71" s="177"/>
      <c r="J71" s="177"/>
      <c r="K71" s="177"/>
      <c r="L71" s="177"/>
      <c r="M71" s="116"/>
      <c r="N71" s="116"/>
      <c r="O71" s="116"/>
      <c r="P71" s="116"/>
      <c r="Q71" s="116"/>
      <c r="R71" s="116"/>
    </row>
    <row r="72" spans="1:18" s="152" customFormat="1" x14ac:dyDescent="0.35">
      <c r="A72" s="187" t="s">
        <v>320</v>
      </c>
      <c r="B72" s="196"/>
      <c r="C72" s="206"/>
      <c r="D72" s="206"/>
      <c r="E72" s="206"/>
      <c r="F72" s="206"/>
      <c r="G72" s="206"/>
      <c r="H72" s="206"/>
      <c r="I72" s="206"/>
      <c r="J72" s="206"/>
      <c r="K72" s="206"/>
      <c r="L72" s="206"/>
      <c r="M72" s="201"/>
      <c r="N72" s="201"/>
      <c r="O72" s="201"/>
      <c r="P72" s="201"/>
      <c r="Q72" s="201"/>
      <c r="R72" s="201"/>
    </row>
    <row r="73" spans="1:18" s="152" customFormat="1" x14ac:dyDescent="0.35">
      <c r="A73" s="186" t="s">
        <v>441</v>
      </c>
      <c r="B73" s="294" t="s">
        <v>442</v>
      </c>
      <c r="C73" s="198">
        <v>21.629000000000001</v>
      </c>
      <c r="D73" s="198">
        <v>30.585999999999999</v>
      </c>
      <c r="E73" s="198">
        <v>22.88</v>
      </c>
      <c r="F73" s="198">
        <v>-19.414000000000001</v>
      </c>
      <c r="G73" s="198">
        <v>24.588999999999999</v>
      </c>
      <c r="H73" s="198">
        <v>17.457000000000001</v>
      </c>
      <c r="I73" s="198">
        <v>-12.547000000000001</v>
      </c>
      <c r="J73" s="198">
        <v>100.932</v>
      </c>
      <c r="K73" s="198">
        <v>66.781999999999996</v>
      </c>
      <c r="L73" s="198">
        <v>90.414000000000001</v>
      </c>
      <c r="M73" s="204"/>
      <c r="N73" s="204"/>
      <c r="O73" s="204"/>
      <c r="P73" s="204"/>
      <c r="Q73" s="204"/>
      <c r="R73" s="204"/>
    </row>
    <row r="74" spans="1:18" s="152" customFormat="1" x14ac:dyDescent="0.35">
      <c r="A74" s="186" t="s">
        <v>443</v>
      </c>
      <c r="B74" s="294" t="s">
        <v>444</v>
      </c>
      <c r="C74" s="198">
        <v>24.916599999999999</v>
      </c>
      <c r="D74" s="198">
        <v>33.673299999999998</v>
      </c>
      <c r="E74" s="198">
        <v>25.6874</v>
      </c>
      <c r="F74" s="198"/>
      <c r="G74" s="198">
        <v>28.352799999999998</v>
      </c>
      <c r="H74" s="198">
        <v>21.4712</v>
      </c>
      <c r="I74" s="198">
        <v>-9.3661999999999992</v>
      </c>
      <c r="J74" s="198">
        <v>103.6635</v>
      </c>
      <c r="K74" s="198">
        <v>69.492599999999996</v>
      </c>
      <c r="L74" s="198">
        <v>91.849100000000007</v>
      </c>
      <c r="M74" s="204"/>
      <c r="N74" s="204"/>
      <c r="O74" s="204"/>
      <c r="P74" s="204"/>
      <c r="Q74" s="204"/>
      <c r="R74" s="204"/>
    </row>
    <row r="75" spans="1:18" s="152" customFormat="1" x14ac:dyDescent="0.35">
      <c r="A75" s="186" t="s">
        <v>445</v>
      </c>
      <c r="B75" s="294" t="s">
        <v>446</v>
      </c>
      <c r="C75" s="198">
        <v>21.436</v>
      </c>
      <c r="D75" s="198">
        <v>30.388999999999999</v>
      </c>
      <c r="E75" s="198">
        <v>22.678999999999998</v>
      </c>
      <c r="F75" s="198">
        <v>-19.619</v>
      </c>
      <c r="G75" s="198">
        <v>28.317</v>
      </c>
      <c r="H75" s="198">
        <v>17.262</v>
      </c>
      <c r="I75" s="198">
        <v>-12.765000000000001</v>
      </c>
      <c r="J75" s="198">
        <v>100.71</v>
      </c>
      <c r="K75" s="198">
        <v>67.152000000000001</v>
      </c>
      <c r="L75" s="198">
        <v>90.786000000000001</v>
      </c>
      <c r="M75" s="204"/>
      <c r="N75" s="204"/>
      <c r="O75" s="204"/>
      <c r="P75" s="204"/>
      <c r="Q75" s="204"/>
      <c r="R75" s="204"/>
    </row>
    <row r="76" spans="1:18" s="152" customFormat="1" x14ac:dyDescent="0.35">
      <c r="A76" s="186" t="s">
        <v>447</v>
      </c>
      <c r="B76" s="294" t="s">
        <v>448</v>
      </c>
      <c r="C76" s="198">
        <v>1.9832000000000001</v>
      </c>
      <c r="D76" s="198">
        <v>2.8675999999999999</v>
      </c>
      <c r="E76" s="198">
        <v>2.1301999999999999</v>
      </c>
      <c r="F76" s="198">
        <v>-1.8008</v>
      </c>
      <c r="G76" s="198">
        <v>2.2719</v>
      </c>
      <c r="H76" s="198">
        <v>1.6035999999999999</v>
      </c>
      <c r="I76" s="198">
        <v>-1.1443000000000001</v>
      </c>
      <c r="J76" s="198">
        <v>9.1730999999999998</v>
      </c>
      <c r="K76" s="198">
        <v>6.0843999999999996</v>
      </c>
      <c r="L76" s="198">
        <v>8.3262</v>
      </c>
      <c r="M76" s="209"/>
      <c r="N76" s="209"/>
      <c r="O76" s="209"/>
      <c r="P76" s="209"/>
      <c r="Q76" s="209"/>
      <c r="R76" s="209"/>
    </row>
    <row r="77" spans="1:18" s="152" customFormat="1" x14ac:dyDescent="0.35">
      <c r="A77" s="303" t="s">
        <v>449</v>
      </c>
      <c r="B77" s="302" t="s">
        <v>450</v>
      </c>
      <c r="C77" s="304">
        <v>36.284399999999998</v>
      </c>
      <c r="D77" s="304">
        <v>30.188800000000001</v>
      </c>
      <c r="E77" s="304">
        <v>44.959200000000003</v>
      </c>
      <c r="F77" s="304"/>
      <c r="G77" s="304">
        <v>43.9848</v>
      </c>
      <c r="H77" s="304">
        <v>102.7364</v>
      </c>
      <c r="I77" s="304"/>
      <c r="J77" s="304">
        <v>13.528600000000001</v>
      </c>
      <c r="K77" s="304">
        <v>20.388300000000001</v>
      </c>
      <c r="L77" s="304">
        <v>16.4817</v>
      </c>
      <c r="M77" s="209"/>
      <c r="N77" s="209"/>
      <c r="O77" s="209"/>
      <c r="P77" s="209"/>
      <c r="Q77" s="209"/>
      <c r="R77" s="209"/>
    </row>
    <row r="78" spans="1:18" x14ac:dyDescent="0.35">
      <c r="A78" s="12"/>
      <c r="B78" s="12"/>
      <c r="C78" s="11"/>
      <c r="D78" s="11"/>
      <c r="E78" s="11"/>
      <c r="F78" s="11"/>
      <c r="G78" s="11"/>
      <c r="H78" s="11"/>
      <c r="I78" s="11"/>
      <c r="J78" s="11"/>
      <c r="K78" s="11"/>
      <c r="L78" s="11"/>
      <c r="M78" s="11"/>
      <c r="N78" s="11"/>
      <c r="O78" s="11"/>
      <c r="P78" s="11"/>
    </row>
    <row r="79" spans="1:18" x14ac:dyDescent="0.35">
      <c r="A79" s="12"/>
      <c r="B79" s="12"/>
      <c r="C79" s="11"/>
      <c r="D79" s="11"/>
      <c r="E79" s="11"/>
      <c r="F79" s="11"/>
      <c r="G79" s="11"/>
      <c r="H79" s="11"/>
      <c r="I79" s="11"/>
      <c r="J79" s="11"/>
      <c r="K79" s="11"/>
      <c r="L79" s="11"/>
      <c r="M79" s="11"/>
      <c r="N79" s="11"/>
      <c r="O79" s="11"/>
      <c r="P79" s="11"/>
    </row>
    <row r="80" spans="1:18" x14ac:dyDescent="0.35">
      <c r="A80" s="12"/>
      <c r="B80" s="12"/>
      <c r="C80" s="10"/>
      <c r="D80" s="10"/>
      <c r="E80" s="10"/>
      <c r="F80" s="10"/>
      <c r="G80" s="10"/>
      <c r="H80" s="10"/>
      <c r="I80" s="10"/>
      <c r="J80" s="10"/>
      <c r="K80" s="10"/>
      <c r="L80" s="10"/>
      <c r="M80" s="10"/>
      <c r="N80" s="10"/>
      <c r="O80" s="10"/>
      <c r="P80" s="10"/>
    </row>
    <row r="81" spans="1:16" x14ac:dyDescent="0.35">
      <c r="A81" s="12"/>
      <c r="B81" s="12"/>
      <c r="C81" s="10"/>
      <c r="D81" s="10"/>
      <c r="E81" s="10"/>
      <c r="F81" s="10"/>
      <c r="G81" s="10"/>
      <c r="H81" s="10"/>
      <c r="I81" s="10"/>
      <c r="J81" s="10"/>
      <c r="K81" s="10"/>
      <c r="L81" s="10"/>
      <c r="M81" s="10"/>
      <c r="N81" s="10"/>
      <c r="O81" s="10"/>
      <c r="P81" s="10"/>
    </row>
    <row r="82" spans="1:16" x14ac:dyDescent="0.35">
      <c r="A82" s="12"/>
      <c r="B82" s="12"/>
      <c r="C82" s="10"/>
      <c r="D82" s="10"/>
      <c r="E82" s="10"/>
      <c r="F82" s="10"/>
      <c r="G82" s="10"/>
      <c r="H82" s="10"/>
      <c r="I82" s="10"/>
      <c r="J82" s="10"/>
      <c r="K82" s="10"/>
      <c r="L82" s="10"/>
      <c r="M82" s="10"/>
      <c r="N82" s="10"/>
      <c r="O82" s="10"/>
      <c r="P82" s="10"/>
    </row>
  </sheetData>
  <conditionalFormatting sqref="C16:L16">
    <cfRule type="expression" dxfId="158" priority="4">
      <formula>NOT(ROUND(C16, 1) = 0)</formula>
    </cfRule>
    <cfRule type="containsErrors" dxfId="157" priority="15">
      <formula>ISERROR(C16)</formula>
    </cfRule>
  </conditionalFormatting>
  <conditionalFormatting sqref="C22:L22">
    <cfRule type="expression" dxfId="156" priority="5">
      <formula>NOT(ROUND(C22, 1) = 0)</formula>
    </cfRule>
    <cfRule type="containsErrors" dxfId="155" priority="16">
      <formula>ISERROR(C22)</formula>
    </cfRule>
  </conditionalFormatting>
  <conditionalFormatting sqref="C25:L25">
    <cfRule type="expression" dxfId="154" priority="6">
      <formula>NOT(ROUND(C25, 1) = 0)</formula>
    </cfRule>
    <cfRule type="containsErrors" dxfId="153" priority="17">
      <formula>ISERROR(C25)</formula>
    </cfRule>
  </conditionalFormatting>
  <conditionalFormatting sqref="C34:L34">
    <cfRule type="expression" dxfId="152" priority="7">
      <formula>NOT(ROUND(C34, 1) = 0)</formula>
    </cfRule>
    <cfRule type="containsErrors" dxfId="151" priority="18">
      <formula>ISERROR(C34)</formula>
    </cfRule>
  </conditionalFormatting>
  <conditionalFormatting sqref="C38:L38">
    <cfRule type="expression" dxfId="150" priority="8">
      <formula>NOT(ROUND(C38, 1) = 0)</formula>
    </cfRule>
    <cfRule type="containsErrors" dxfId="149" priority="19">
      <formula>ISERROR(C38)</formula>
    </cfRule>
  </conditionalFormatting>
  <conditionalFormatting sqref="C43:L43">
    <cfRule type="expression" dxfId="148" priority="9">
      <formula>NOT(ROUND(C43, 1) = 0)</formula>
    </cfRule>
    <cfRule type="containsErrors" dxfId="147" priority="20">
      <formula>ISERROR(C43)</formula>
    </cfRule>
  </conditionalFormatting>
  <conditionalFormatting sqref="C47:L47">
    <cfRule type="expression" dxfId="146" priority="10">
      <formula>NOT(ROUND(C47, 1) = 0)</formula>
    </cfRule>
    <cfRule type="containsErrors" dxfId="145" priority="21">
      <formula>ISERROR(C47)</formula>
    </cfRule>
  </conditionalFormatting>
  <conditionalFormatting sqref="C54:L54">
    <cfRule type="expression" dxfId="144" priority="11">
      <formula>NOT(ROUND(C54, 1) = 0)</formula>
    </cfRule>
    <cfRule type="containsErrors" dxfId="143" priority="22">
      <formula>ISERROR(C54)</formula>
    </cfRule>
  </conditionalFormatting>
  <conditionalFormatting sqref="C58:L58">
    <cfRule type="expression" dxfId="142" priority="12">
      <formula>NOT(ROUND(C58, 1) = 0)</formula>
    </cfRule>
    <cfRule type="containsErrors" dxfId="141" priority="23">
      <formula>ISERROR(C58)</formula>
    </cfRule>
  </conditionalFormatting>
  <conditionalFormatting sqref="C62:L62">
    <cfRule type="expression" dxfId="140" priority="13">
      <formula>NOT(ROUND(C62, 1) = 0)</formula>
    </cfRule>
    <cfRule type="containsErrors" dxfId="139" priority="24">
      <formula>ISERROR(C62)</formula>
    </cfRule>
  </conditionalFormatting>
  <conditionalFormatting sqref="C68:L68">
    <cfRule type="expression" dxfId="138" priority="14">
      <formula>NOT(ROUND(C68, 1) = 0)</formula>
    </cfRule>
    <cfRule type="containsErrors" dxfId="137" priority="25">
      <formula>ISERROR(C68)</formula>
    </cfRule>
  </conditionalFormatting>
  <conditionalFormatting sqref="N1">
    <cfRule type="cellIs" dxfId="136" priority="1" operator="equal">
      <formula>0</formula>
    </cfRule>
    <cfRule type="cellIs" dxfId="135" priority="2" operator="notEqual">
      <formula>0</formula>
    </cfRule>
    <cfRule type="containsErrors" dxfId="134" priority="3">
      <formula>ISERROR(N1)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B66"/>
  <sheetViews>
    <sheetView workbookViewId="0">
      <pane xSplit="2" ySplit="8" topLeftCell="C9" activePane="bottomRight" state="frozen"/>
      <selection pane="topRight" activeCell="C1" sqref="C1"/>
      <selection pane="bottomLeft" activeCell="A9" sqref="A9"/>
      <selection pane="bottomRight"/>
    </sheetView>
  </sheetViews>
  <sheetFormatPr defaultColWidth="8.7265625" defaultRowHeight="14.5" x14ac:dyDescent="0.35"/>
  <cols>
    <col min="1" max="1" width="35.1796875" customWidth="1"/>
    <col min="2" max="2" width="37.7265625" hidden="1" customWidth="1"/>
    <col min="3" max="18" width="11.81640625" customWidth="1"/>
  </cols>
  <sheetData>
    <row r="1" spans="1:1010 1027:2036 2053:3062 3079:4088 4105:5114 5131:6140 6157:7166 7183:8192 8209:9200 9217:10226 10243:11252 11269:12278 12295:13304 13321:14330 14347:15356 15373:16382" x14ac:dyDescent="0.35">
      <c r="A1" t="str">
        <f>'Cash Flow - Standardized'!A1</f>
        <v>Ticker</v>
      </c>
      <c r="C1" s="2" t="str">
        <f>IF('Balance Sheet - Standardized'!C1="","",'Balance Sheet - Standardized'!C1)</f>
        <v>LNN</v>
      </c>
    </row>
    <row r="2" spans="1:1010 1027:2036 2053:3062 3079:4088 4105:5114 5131:6140 6157:7166 7183:8192 8209:9200 9217:10226 10243:11252 11269:12278 12295:13304 13321:14330 14347:15356 15373:16382" x14ac:dyDescent="0.35">
      <c r="A2" t="str">
        <f>'Cash Flow - Standardized'!A2</f>
        <v>Start Year</v>
      </c>
      <c r="C2" s="2" t="str">
        <f>'Cash Flow - Standardized'!C2</f>
        <v>FY 2016</v>
      </c>
    </row>
    <row r="3" spans="1:1010 1027:2036 2053:3062 3079:4088 4105:5114 5131:6140 6157:7166 7183:8192 8209:9200 9217:10226 10243:11252 11269:12278 12295:13304 13321:14330 14347:15356 15373:16382" x14ac:dyDescent="0.35">
      <c r="A3" t="str">
        <f>'Cash Flow - Standardized'!A3</f>
        <v>End Year</v>
      </c>
    </row>
    <row r="4" spans="1:1010 1027:2036 2053:3062 3079:4088 4105:5114 5131:6140 6157:7166 7183:8192 8209:9200 9217:10226 10243:11252 11269:12278 12295:13304 13321:14330 14347:15356 15373:16382" hidden="1" x14ac:dyDescent="0.35">
      <c r="C4" s="20"/>
      <c r="D4" s="20"/>
      <c r="E4" s="20"/>
      <c r="F4" s="20"/>
      <c r="G4" s="20"/>
      <c r="H4" s="20"/>
      <c r="I4" s="20"/>
      <c r="J4" s="20"/>
      <c r="K4" s="20"/>
      <c r="L4" s="20"/>
      <c r="M4" s="20"/>
      <c r="N4" s="20"/>
      <c r="O4" s="20"/>
      <c r="P4" s="20"/>
    </row>
    <row r="5" spans="1:1010 1027:2036 2053:3062 3079:4088 4105:5114 5131:6140 6157:7166 7183:8192 8209:9200 9217:10226 10243:11252 11269:12278 12295:13304 13321:14330 14347:15356 15373:16382" hidden="1" x14ac:dyDescent="0.35">
      <c r="C5" s="20"/>
      <c r="D5" s="20"/>
      <c r="E5" s="20"/>
      <c r="F5" s="20"/>
      <c r="G5" s="20"/>
      <c r="H5" s="20"/>
      <c r="I5" s="20"/>
      <c r="J5" s="20"/>
      <c r="K5" s="20"/>
      <c r="L5" s="20"/>
      <c r="M5" s="20"/>
      <c r="N5" s="20"/>
      <c r="O5" s="20"/>
      <c r="P5" s="20"/>
    </row>
    <row r="7" spans="1:1010 1027:2036 2053:3062 3079:4088 4105:5114 5131:6140 6157:7166 7183:8192 8209:9200 9217:10226 10243:11252 11269:12278 12295:13304 13321:14330 14347:15356 15373:16382" x14ac:dyDescent="0.35">
      <c r="A7" s="19" t="str">
        <f>'Cash Flow - Standardized'!A7</f>
        <v>In Millions of USD except Per Share</v>
      </c>
      <c r="B7" s="19"/>
      <c r="C7" s="18" t="str">
        <f>'Cash Flow - Standardized'!C7</f>
        <v>FY 2016</v>
      </c>
      <c r="D7" s="18" t="str">
        <f>'Cash Flow - Standardized'!D7</f>
        <v>FY 2017</v>
      </c>
      <c r="E7" s="18" t="str">
        <f>'Cash Flow - Standardized'!E7</f>
        <v>FY 2018</v>
      </c>
      <c r="F7" s="18" t="str">
        <f>'Cash Flow - Standardized'!F7</f>
        <v>FY 2019</v>
      </c>
      <c r="G7" s="18" t="str">
        <f>'Cash Flow - Standardized'!G7</f>
        <v>FY 2020</v>
      </c>
      <c r="H7" s="18" t="str">
        <f>'Cash Flow - Standardized'!H7</f>
        <v>FY 2021</v>
      </c>
      <c r="I7" s="18" t="str">
        <f>'Cash Flow - Standardized'!I7</f>
        <v>FY 2022</v>
      </c>
      <c r="J7" s="18" t="str">
        <f>'Cash Flow - Standardized'!J7</f>
        <v>FY 2023</v>
      </c>
      <c r="K7" s="18" t="str">
        <f>'Cash Flow - Standardized'!K7</f>
        <v>FY 2024</v>
      </c>
      <c r="L7" s="45" t="str">
        <f>'Cash Flow - Standardized'!L7</f>
        <v>FY 2025</v>
      </c>
      <c r="M7" s="114"/>
      <c r="N7" s="114"/>
      <c r="O7" s="114"/>
      <c r="P7" s="114"/>
      <c r="Q7" s="114"/>
      <c r="R7" s="114"/>
    </row>
    <row r="8" spans="1:1010 1027:2036 2053:3062 3079:4088 4105:5114 5131:6140 6157:7166 7183:8192 8209:9200 9217:10226 10243:11252 11269:12278 12295:13304 13321:14330 14347:15356 15373:16382" x14ac:dyDescent="0.35">
      <c r="A8" s="17" t="str">
        <f>'Cash Flow - Standardized'!A8</f>
        <v>12 Months Ending</v>
      </c>
      <c r="B8" s="17"/>
      <c r="C8" s="16">
        <f>'Cash Flow - Standardized'!C8</f>
        <v>42613</v>
      </c>
      <c r="D8" s="16">
        <f>'Cash Flow - Standardized'!D8</f>
        <v>42978</v>
      </c>
      <c r="E8" s="16">
        <f>'Cash Flow - Standardized'!E8</f>
        <v>43343</v>
      </c>
      <c r="F8" s="16">
        <f>'Cash Flow - Standardized'!F8</f>
        <v>43708</v>
      </c>
      <c r="G8" s="16">
        <f>'Cash Flow - Standardized'!G8</f>
        <v>44074</v>
      </c>
      <c r="H8" s="16">
        <f>'Cash Flow - Standardized'!H8</f>
        <v>44439</v>
      </c>
      <c r="I8" s="16">
        <f>'Cash Flow - Standardized'!I8</f>
        <v>44804</v>
      </c>
      <c r="J8" s="16">
        <f>'Cash Flow - Standardized'!J8</f>
        <v>45169</v>
      </c>
      <c r="K8" s="16">
        <f>'Cash Flow - Standardized'!K8</f>
        <v>45535</v>
      </c>
      <c r="L8" s="107">
        <f>'Cash Flow - Standardized'!L8</f>
        <v>45900</v>
      </c>
      <c r="M8" s="126"/>
      <c r="N8" s="126"/>
      <c r="O8" s="126"/>
      <c r="P8" s="126"/>
      <c r="Q8" s="126"/>
      <c r="R8" s="126"/>
    </row>
    <row r="9" spans="1:1010 1027:2036 2053:3062 3079:4088 4105:5114 5131:6140 6157:7166 7183:8192 8209:9200 9217:10226 10243:11252 11269:12278 12295:13304 13321:14330 14347:15356 15373:16382" x14ac:dyDescent="0.35">
      <c r="A9" s="15" t="str">
        <f>'Cash Flow - Standardized'!A9</f>
        <v>Cash from Operating Activities</v>
      </c>
      <c r="B9" s="14"/>
      <c r="C9" s="14"/>
      <c r="D9" s="14"/>
      <c r="E9" s="14"/>
      <c r="F9" s="14"/>
      <c r="G9" s="14"/>
      <c r="H9" s="14"/>
      <c r="I9" s="14"/>
      <c r="J9" s="14"/>
      <c r="K9" s="14"/>
      <c r="L9" s="14"/>
      <c r="M9" s="116"/>
      <c r="N9" s="116"/>
      <c r="O9" s="116"/>
      <c r="P9" s="116"/>
      <c r="Q9" s="116"/>
      <c r="R9" s="116"/>
    </row>
    <row r="10" spans="1:1010 1027:2036 2053:3062 3079:4088 4105:5114 5131:6140 6157:7166 7183:8192 8209:9200 9217:10226 10243:11252 11269:12278 12295:13304 13321:14330 14347:15356 15373:16382" s="11" customFormat="1" x14ac:dyDescent="0.35">
      <c r="A10" s="183" t="str">
        <f>'Cash Flow - Standardized'!A10</f>
        <v xml:space="preserve">  + Net Income</v>
      </c>
      <c r="B10" s="75" t="str">
        <f>'Cash Flow - Standardized'!B10</f>
        <v>CF_NET_INC</v>
      </c>
      <c r="C10" s="76">
        <f>IF('Cash Flow - Standardized'!C10="",0,'Cash Flow - Standardized'!C10)/'Cash Flow - Standardized'!C$24</f>
        <v>0.61183396226415088</v>
      </c>
      <c r="D10" s="76">
        <f>IF('Cash Flow - Standardized'!D10="",0,'Cash Flow - Standardized'!D10)/'Cash Flow - Standardized'!D$24</f>
        <v>0.58756875966437683</v>
      </c>
      <c r="E10" s="76">
        <f>IF('Cash Flow - Standardized'!E10="",0,'Cash Flow - Standardized'!E10)/'Cash Flow - Standardized'!E$24</f>
        <v>0.59754228797076681</v>
      </c>
      <c r="F10" s="76">
        <f>IF('Cash Flow - Standardized'!F10="",0,'Cash Flow - Standardized'!F10)/'Cash Flow - Standardized'!F$24</f>
        <v>0.57203055043455364</v>
      </c>
      <c r="G10" s="76">
        <f>IF('Cash Flow - Standardized'!G10="",0,'Cash Flow - Standardized'!G10)/'Cash Flow - Standardized'!G$24</f>
        <v>0.839140635182691</v>
      </c>
      <c r="H10" s="76">
        <f>IF('Cash Flow - Standardized'!H10="",0,'Cash Flow - Standardized'!H10)/'Cash Flow - Standardized'!H$24</f>
        <v>0.96824963609898107</v>
      </c>
      <c r="I10" s="76">
        <f>IF('Cash Flow - Standardized'!I10="",0,'Cash Flow - Standardized'!I10)/'Cash Flow - Standardized'!I$24</f>
        <v>21.479330708661415</v>
      </c>
      <c r="J10" s="76">
        <f>IF('Cash Flow - Standardized'!J10="",0,'Cash Flow - Standardized'!J10)/'Cash Flow - Standardized'!J$24</f>
        <v>0.60463464960278024</v>
      </c>
      <c r="K10" s="76">
        <f>IF('Cash Flow - Standardized'!K10="",0,'Cash Flow - Standardized'!K10)/'Cash Flow - Standardized'!K$24</f>
        <v>0.69189962510834269</v>
      </c>
      <c r="L10" s="76">
        <f>IF('Cash Flow - Standardized'!L10="",0,'Cash Flow - Standardized'!L10)/'Cash Flow - Standardized'!L$24</f>
        <v>0.55715897976074047</v>
      </c>
      <c r="M10" s="108"/>
      <c r="N10" s="108"/>
      <c r="O10" s="108"/>
      <c r="P10" s="108"/>
      <c r="Q10" s="108"/>
      <c r="R10" s="108"/>
      <c r="S10" s="109"/>
      <c r="T10" s="109"/>
      <c r="U10" s="108"/>
      <c r="V10" s="108"/>
      <c r="W10" s="108"/>
      <c r="X10" s="108"/>
      <c r="Y10" s="108"/>
      <c r="Z10" s="108"/>
      <c r="AA10" s="108"/>
      <c r="AB10" s="108"/>
      <c r="AC10" s="108"/>
      <c r="AD10" s="108"/>
      <c r="AE10" s="108"/>
      <c r="AF10" s="108"/>
      <c r="AG10" s="108"/>
      <c r="AH10" s="108"/>
      <c r="AI10" s="108"/>
      <c r="AJ10" s="108"/>
      <c r="AK10" s="109"/>
      <c r="AL10" s="109"/>
      <c r="AM10" s="108"/>
      <c r="AN10" s="108"/>
      <c r="AO10" s="108"/>
      <c r="AP10" s="108"/>
      <c r="AQ10" s="108"/>
      <c r="AR10" s="108"/>
      <c r="AS10" s="108"/>
      <c r="AT10" s="108"/>
      <c r="AU10" s="108"/>
      <c r="AV10" s="108"/>
      <c r="AW10" s="108"/>
      <c r="AX10" s="108"/>
      <c r="BC10" s="12"/>
      <c r="BD10" s="12"/>
      <c r="BU10" s="12"/>
      <c r="BV10" s="12"/>
      <c r="CM10" s="12"/>
      <c r="CN10" s="12"/>
      <c r="DE10" s="12"/>
      <c r="DF10" s="12"/>
      <c r="DW10" s="12"/>
      <c r="DX10" s="12"/>
      <c r="EO10" s="12"/>
      <c r="EP10" s="12"/>
      <c r="FG10" s="12"/>
      <c r="FH10" s="12"/>
      <c r="FY10" s="12"/>
      <c r="FZ10" s="12"/>
      <c r="GQ10" s="12"/>
      <c r="GR10" s="12"/>
      <c r="HI10" s="12"/>
      <c r="HJ10" s="12"/>
      <c r="IA10" s="12"/>
      <c r="IB10" s="12"/>
      <c r="IS10" s="12"/>
      <c r="IT10" s="12"/>
      <c r="JK10" s="12"/>
      <c r="JL10" s="12"/>
      <c r="KC10" s="12"/>
      <c r="KD10" s="12"/>
      <c r="KU10" s="12"/>
      <c r="KV10" s="12"/>
      <c r="LM10" s="12"/>
      <c r="LN10" s="12"/>
      <c r="ME10" s="12"/>
      <c r="MF10" s="12"/>
      <c r="MW10" s="12"/>
      <c r="MX10" s="12"/>
      <c r="NO10" s="12"/>
      <c r="NP10" s="12"/>
      <c r="OG10" s="12"/>
      <c r="OH10" s="12"/>
      <c r="OY10" s="12"/>
      <c r="OZ10" s="12"/>
      <c r="PQ10" s="12"/>
      <c r="PR10" s="12"/>
      <c r="QI10" s="12"/>
      <c r="QJ10" s="12"/>
      <c r="RA10" s="12"/>
      <c r="RB10" s="12"/>
      <c r="RS10" s="12"/>
      <c r="RT10" s="12"/>
      <c r="SK10" s="12"/>
      <c r="SL10" s="12"/>
      <c r="TC10" s="12"/>
      <c r="TD10" s="12"/>
      <c r="TU10" s="12"/>
      <c r="TV10" s="12"/>
      <c r="UM10" s="12"/>
      <c r="UN10" s="12"/>
      <c r="VE10" s="12"/>
      <c r="VF10" s="12"/>
      <c r="VW10" s="12"/>
      <c r="VX10" s="12"/>
      <c r="WO10" s="12"/>
      <c r="WP10" s="12"/>
      <c r="XG10" s="12"/>
      <c r="XH10" s="12"/>
      <c r="XY10" s="12"/>
      <c r="XZ10" s="12"/>
      <c r="YQ10" s="12"/>
      <c r="YR10" s="12"/>
      <c r="ZI10" s="12"/>
      <c r="ZJ10" s="12"/>
      <c r="AAA10" s="12"/>
      <c r="AAB10" s="12"/>
      <c r="AAS10" s="12"/>
      <c r="AAT10" s="12"/>
      <c r="ABK10" s="12"/>
      <c r="ABL10" s="12"/>
      <c r="ACC10" s="12"/>
      <c r="ACD10" s="12"/>
      <c r="ACU10" s="12"/>
      <c r="ACV10" s="12"/>
      <c r="ADM10" s="12"/>
      <c r="ADN10" s="12"/>
      <c r="AEE10" s="12"/>
      <c r="AEF10" s="12"/>
      <c r="AEW10" s="12"/>
      <c r="AEX10" s="12"/>
      <c r="AFO10" s="12"/>
      <c r="AFP10" s="12"/>
      <c r="AGG10" s="12"/>
      <c r="AGH10" s="12"/>
      <c r="AGY10" s="12"/>
      <c r="AGZ10" s="12"/>
      <c r="AHQ10" s="12"/>
      <c r="AHR10" s="12"/>
      <c r="AII10" s="12"/>
      <c r="AIJ10" s="12"/>
      <c r="AJA10" s="12"/>
      <c r="AJB10" s="12"/>
      <c r="AJS10" s="12"/>
      <c r="AJT10" s="12"/>
      <c r="AKK10" s="12"/>
      <c r="AKL10" s="12"/>
      <c r="ALC10" s="12"/>
      <c r="ALD10" s="12"/>
      <c r="ALU10" s="12"/>
      <c r="ALV10" s="12"/>
      <c r="AMM10" s="12"/>
      <c r="AMN10" s="12"/>
      <c r="ANE10" s="12"/>
      <c r="ANF10" s="12"/>
      <c r="ANW10" s="12"/>
      <c r="ANX10" s="12"/>
      <c r="AOO10" s="12"/>
      <c r="AOP10" s="12"/>
      <c r="APG10" s="12"/>
      <c r="APH10" s="12"/>
      <c r="APY10" s="12"/>
      <c r="APZ10" s="12"/>
      <c r="AQQ10" s="12"/>
      <c r="AQR10" s="12"/>
      <c r="ARI10" s="12"/>
      <c r="ARJ10" s="12"/>
      <c r="ASA10" s="12"/>
      <c r="ASB10" s="12"/>
      <c r="ASS10" s="12"/>
      <c r="AST10" s="12"/>
      <c r="ATK10" s="12"/>
      <c r="ATL10" s="12"/>
      <c r="AUC10" s="12"/>
      <c r="AUD10" s="12"/>
      <c r="AUU10" s="12"/>
      <c r="AUV10" s="12"/>
      <c r="AVM10" s="12"/>
      <c r="AVN10" s="12"/>
      <c r="AWE10" s="12"/>
      <c r="AWF10" s="12"/>
      <c r="AWW10" s="12"/>
      <c r="AWX10" s="12"/>
      <c r="AXO10" s="12"/>
      <c r="AXP10" s="12"/>
      <c r="AYG10" s="12"/>
      <c r="AYH10" s="12"/>
      <c r="AYY10" s="12"/>
      <c r="AYZ10" s="12"/>
      <c r="AZQ10" s="12"/>
      <c r="AZR10" s="12"/>
      <c r="BAI10" s="12"/>
      <c r="BAJ10" s="12"/>
      <c r="BBA10" s="12"/>
      <c r="BBB10" s="12"/>
      <c r="BBS10" s="12"/>
      <c r="BBT10" s="12"/>
      <c r="BCK10" s="12"/>
      <c r="BCL10" s="12"/>
      <c r="BDC10" s="12"/>
      <c r="BDD10" s="12"/>
      <c r="BDU10" s="12"/>
      <c r="BDV10" s="12"/>
      <c r="BEM10" s="12"/>
      <c r="BEN10" s="12"/>
      <c r="BFE10" s="12"/>
      <c r="BFF10" s="12"/>
      <c r="BFW10" s="12"/>
      <c r="BFX10" s="12"/>
      <c r="BGO10" s="12"/>
      <c r="BGP10" s="12"/>
      <c r="BHG10" s="12"/>
      <c r="BHH10" s="12"/>
      <c r="BHY10" s="12"/>
      <c r="BHZ10" s="12"/>
      <c r="BIQ10" s="12"/>
      <c r="BIR10" s="12"/>
      <c r="BJI10" s="12"/>
      <c r="BJJ10" s="12"/>
      <c r="BKA10" s="12"/>
      <c r="BKB10" s="12"/>
      <c r="BKS10" s="12"/>
      <c r="BKT10" s="12"/>
      <c r="BLK10" s="12"/>
      <c r="BLL10" s="12"/>
      <c r="BMC10" s="12"/>
      <c r="BMD10" s="12"/>
      <c r="BMU10" s="12"/>
      <c r="BMV10" s="12"/>
      <c r="BNM10" s="12"/>
      <c r="BNN10" s="12"/>
      <c r="BOE10" s="12"/>
      <c r="BOF10" s="12"/>
      <c r="BOW10" s="12"/>
      <c r="BOX10" s="12"/>
      <c r="BPO10" s="12"/>
      <c r="BPP10" s="12"/>
      <c r="BQG10" s="12"/>
      <c r="BQH10" s="12"/>
      <c r="BQY10" s="12"/>
      <c r="BQZ10" s="12"/>
      <c r="BRQ10" s="12"/>
      <c r="BRR10" s="12"/>
      <c r="BSI10" s="12"/>
      <c r="BSJ10" s="12"/>
      <c r="BTA10" s="12"/>
      <c r="BTB10" s="12"/>
      <c r="BTS10" s="12"/>
      <c r="BTT10" s="12"/>
      <c r="BUK10" s="12"/>
      <c r="BUL10" s="12"/>
      <c r="BVC10" s="12"/>
      <c r="BVD10" s="12"/>
      <c r="BVU10" s="12"/>
      <c r="BVV10" s="12"/>
      <c r="BWM10" s="12"/>
      <c r="BWN10" s="12"/>
      <c r="BXE10" s="12"/>
      <c r="BXF10" s="12"/>
      <c r="BXW10" s="12"/>
      <c r="BXX10" s="12"/>
      <c r="BYO10" s="12"/>
      <c r="BYP10" s="12"/>
      <c r="BZG10" s="12"/>
      <c r="BZH10" s="12"/>
      <c r="BZY10" s="12"/>
      <c r="BZZ10" s="12"/>
      <c r="CAQ10" s="12"/>
      <c r="CAR10" s="12"/>
      <c r="CBI10" s="12"/>
      <c r="CBJ10" s="12"/>
      <c r="CCA10" s="12"/>
      <c r="CCB10" s="12"/>
      <c r="CCS10" s="12"/>
      <c r="CCT10" s="12"/>
      <c r="CDK10" s="12"/>
      <c r="CDL10" s="12"/>
      <c r="CEC10" s="12"/>
      <c r="CED10" s="12"/>
      <c r="CEU10" s="12"/>
      <c r="CEV10" s="12"/>
      <c r="CFM10" s="12"/>
      <c r="CFN10" s="12"/>
      <c r="CGE10" s="12"/>
      <c r="CGF10" s="12"/>
      <c r="CGW10" s="12"/>
      <c r="CGX10" s="12"/>
      <c r="CHO10" s="12"/>
      <c r="CHP10" s="12"/>
      <c r="CIG10" s="12"/>
      <c r="CIH10" s="12"/>
      <c r="CIY10" s="12"/>
      <c r="CIZ10" s="12"/>
      <c r="CJQ10" s="12"/>
      <c r="CJR10" s="12"/>
      <c r="CKI10" s="12"/>
      <c r="CKJ10" s="12"/>
      <c r="CLA10" s="12"/>
      <c r="CLB10" s="12"/>
      <c r="CLS10" s="12"/>
      <c r="CLT10" s="12"/>
      <c r="CMK10" s="12"/>
      <c r="CML10" s="12"/>
      <c r="CNC10" s="12"/>
      <c r="CND10" s="12"/>
      <c r="CNU10" s="12"/>
      <c r="CNV10" s="12"/>
      <c r="COM10" s="12"/>
      <c r="CON10" s="12"/>
      <c r="CPE10" s="12"/>
      <c r="CPF10" s="12"/>
      <c r="CPW10" s="12"/>
      <c r="CPX10" s="12"/>
      <c r="CQO10" s="12"/>
      <c r="CQP10" s="12"/>
      <c r="CRG10" s="12"/>
      <c r="CRH10" s="12"/>
      <c r="CRY10" s="12"/>
      <c r="CRZ10" s="12"/>
      <c r="CSQ10" s="12"/>
      <c r="CSR10" s="12"/>
      <c r="CTI10" s="12"/>
      <c r="CTJ10" s="12"/>
      <c r="CUA10" s="12"/>
      <c r="CUB10" s="12"/>
      <c r="CUS10" s="12"/>
      <c r="CUT10" s="12"/>
      <c r="CVK10" s="12"/>
      <c r="CVL10" s="12"/>
      <c r="CWC10" s="12"/>
      <c r="CWD10" s="12"/>
      <c r="CWU10" s="12"/>
      <c r="CWV10" s="12"/>
      <c r="CXM10" s="12"/>
      <c r="CXN10" s="12"/>
      <c r="CYE10" s="12"/>
      <c r="CYF10" s="12"/>
      <c r="CYW10" s="12"/>
      <c r="CYX10" s="12"/>
      <c r="CZO10" s="12"/>
      <c r="CZP10" s="12"/>
      <c r="DAG10" s="12"/>
      <c r="DAH10" s="12"/>
      <c r="DAY10" s="12"/>
      <c r="DAZ10" s="12"/>
      <c r="DBQ10" s="12"/>
      <c r="DBR10" s="12"/>
      <c r="DCI10" s="12"/>
      <c r="DCJ10" s="12"/>
      <c r="DDA10" s="12"/>
      <c r="DDB10" s="12"/>
      <c r="DDS10" s="12"/>
      <c r="DDT10" s="12"/>
      <c r="DEK10" s="12"/>
      <c r="DEL10" s="12"/>
      <c r="DFC10" s="12"/>
      <c r="DFD10" s="12"/>
      <c r="DFU10" s="12"/>
      <c r="DFV10" s="12"/>
      <c r="DGM10" s="12"/>
      <c r="DGN10" s="12"/>
      <c r="DHE10" s="12"/>
      <c r="DHF10" s="12"/>
      <c r="DHW10" s="12"/>
      <c r="DHX10" s="12"/>
      <c r="DIO10" s="12"/>
      <c r="DIP10" s="12"/>
      <c r="DJG10" s="12"/>
      <c r="DJH10" s="12"/>
      <c r="DJY10" s="12"/>
      <c r="DJZ10" s="12"/>
      <c r="DKQ10" s="12"/>
      <c r="DKR10" s="12"/>
      <c r="DLI10" s="12"/>
      <c r="DLJ10" s="12"/>
      <c r="DMA10" s="12"/>
      <c r="DMB10" s="12"/>
      <c r="DMS10" s="12"/>
      <c r="DMT10" s="12"/>
      <c r="DNK10" s="12"/>
      <c r="DNL10" s="12"/>
      <c r="DOC10" s="12"/>
      <c r="DOD10" s="12"/>
      <c r="DOU10" s="12"/>
      <c r="DOV10" s="12"/>
      <c r="DPM10" s="12"/>
      <c r="DPN10" s="12"/>
      <c r="DQE10" s="12"/>
      <c r="DQF10" s="12"/>
      <c r="DQW10" s="12"/>
      <c r="DQX10" s="12"/>
      <c r="DRO10" s="12"/>
      <c r="DRP10" s="12"/>
      <c r="DSG10" s="12"/>
      <c r="DSH10" s="12"/>
      <c r="DSY10" s="12"/>
      <c r="DSZ10" s="12"/>
      <c r="DTQ10" s="12"/>
      <c r="DTR10" s="12"/>
      <c r="DUI10" s="12"/>
      <c r="DUJ10" s="12"/>
      <c r="DVA10" s="12"/>
      <c r="DVB10" s="12"/>
      <c r="DVS10" s="12"/>
      <c r="DVT10" s="12"/>
      <c r="DWK10" s="12"/>
      <c r="DWL10" s="12"/>
      <c r="DXC10" s="12"/>
      <c r="DXD10" s="12"/>
      <c r="DXU10" s="12"/>
      <c r="DXV10" s="12"/>
      <c r="DYM10" s="12"/>
      <c r="DYN10" s="12"/>
      <c r="DZE10" s="12"/>
      <c r="DZF10" s="12"/>
      <c r="DZW10" s="12"/>
      <c r="DZX10" s="12"/>
      <c r="EAO10" s="12"/>
      <c r="EAP10" s="12"/>
      <c r="EBG10" s="12"/>
      <c r="EBH10" s="12"/>
      <c r="EBY10" s="12"/>
      <c r="EBZ10" s="12"/>
      <c r="ECQ10" s="12"/>
      <c r="ECR10" s="12"/>
      <c r="EDI10" s="12"/>
      <c r="EDJ10" s="12"/>
      <c r="EEA10" s="12"/>
      <c r="EEB10" s="12"/>
      <c r="EES10" s="12"/>
      <c r="EET10" s="12"/>
      <c r="EFK10" s="12"/>
      <c r="EFL10" s="12"/>
      <c r="EGC10" s="12"/>
      <c r="EGD10" s="12"/>
      <c r="EGU10" s="12"/>
      <c r="EGV10" s="12"/>
      <c r="EHM10" s="12"/>
      <c r="EHN10" s="12"/>
      <c r="EIE10" s="12"/>
      <c r="EIF10" s="12"/>
      <c r="EIW10" s="12"/>
      <c r="EIX10" s="12"/>
      <c r="EJO10" s="12"/>
      <c r="EJP10" s="12"/>
      <c r="EKG10" s="12"/>
      <c r="EKH10" s="12"/>
      <c r="EKY10" s="12"/>
      <c r="EKZ10" s="12"/>
      <c r="ELQ10" s="12"/>
      <c r="ELR10" s="12"/>
      <c r="EMI10" s="12"/>
      <c r="EMJ10" s="12"/>
      <c r="ENA10" s="12"/>
      <c r="ENB10" s="12"/>
      <c r="ENS10" s="12"/>
      <c r="ENT10" s="12"/>
      <c r="EOK10" s="12"/>
      <c r="EOL10" s="12"/>
      <c r="EPC10" s="12"/>
      <c r="EPD10" s="12"/>
      <c r="EPU10" s="12"/>
      <c r="EPV10" s="12"/>
      <c r="EQM10" s="12"/>
      <c r="EQN10" s="12"/>
      <c r="ERE10" s="12"/>
      <c r="ERF10" s="12"/>
      <c r="ERW10" s="12"/>
      <c r="ERX10" s="12"/>
      <c r="ESO10" s="12"/>
      <c r="ESP10" s="12"/>
      <c r="ETG10" s="12"/>
      <c r="ETH10" s="12"/>
      <c r="ETY10" s="12"/>
      <c r="ETZ10" s="12"/>
      <c r="EUQ10" s="12"/>
      <c r="EUR10" s="12"/>
      <c r="EVI10" s="12"/>
      <c r="EVJ10" s="12"/>
      <c r="EWA10" s="12"/>
      <c r="EWB10" s="12"/>
      <c r="EWS10" s="12"/>
      <c r="EWT10" s="12"/>
      <c r="EXK10" s="12"/>
      <c r="EXL10" s="12"/>
      <c r="EYC10" s="12"/>
      <c r="EYD10" s="12"/>
      <c r="EYU10" s="12"/>
      <c r="EYV10" s="12"/>
      <c r="EZM10" s="12"/>
      <c r="EZN10" s="12"/>
      <c r="FAE10" s="12"/>
      <c r="FAF10" s="12"/>
      <c r="FAW10" s="12"/>
      <c r="FAX10" s="12"/>
      <c r="FBO10" s="12"/>
      <c r="FBP10" s="12"/>
      <c r="FCG10" s="12"/>
      <c r="FCH10" s="12"/>
      <c r="FCY10" s="12"/>
      <c r="FCZ10" s="12"/>
      <c r="FDQ10" s="12"/>
      <c r="FDR10" s="12"/>
      <c r="FEI10" s="12"/>
      <c r="FEJ10" s="12"/>
      <c r="FFA10" s="12"/>
      <c r="FFB10" s="12"/>
      <c r="FFS10" s="12"/>
      <c r="FFT10" s="12"/>
      <c r="FGK10" s="12"/>
      <c r="FGL10" s="12"/>
      <c r="FHC10" s="12"/>
      <c r="FHD10" s="12"/>
      <c r="FHU10" s="12"/>
      <c r="FHV10" s="12"/>
      <c r="FIM10" s="12"/>
      <c r="FIN10" s="12"/>
      <c r="FJE10" s="12"/>
      <c r="FJF10" s="12"/>
      <c r="FJW10" s="12"/>
      <c r="FJX10" s="12"/>
      <c r="FKO10" s="12"/>
      <c r="FKP10" s="12"/>
      <c r="FLG10" s="12"/>
      <c r="FLH10" s="12"/>
      <c r="FLY10" s="12"/>
      <c r="FLZ10" s="12"/>
      <c r="FMQ10" s="12"/>
      <c r="FMR10" s="12"/>
      <c r="FNI10" s="12"/>
      <c r="FNJ10" s="12"/>
      <c r="FOA10" s="12"/>
      <c r="FOB10" s="12"/>
      <c r="FOS10" s="12"/>
      <c r="FOT10" s="12"/>
      <c r="FPK10" s="12"/>
      <c r="FPL10" s="12"/>
      <c r="FQC10" s="12"/>
      <c r="FQD10" s="12"/>
      <c r="FQU10" s="12"/>
      <c r="FQV10" s="12"/>
      <c r="FRM10" s="12"/>
      <c r="FRN10" s="12"/>
      <c r="FSE10" s="12"/>
      <c r="FSF10" s="12"/>
      <c r="FSW10" s="12"/>
      <c r="FSX10" s="12"/>
      <c r="FTO10" s="12"/>
      <c r="FTP10" s="12"/>
      <c r="FUG10" s="12"/>
      <c r="FUH10" s="12"/>
      <c r="FUY10" s="12"/>
      <c r="FUZ10" s="12"/>
      <c r="FVQ10" s="12"/>
      <c r="FVR10" s="12"/>
      <c r="FWI10" s="12"/>
      <c r="FWJ10" s="12"/>
      <c r="FXA10" s="12"/>
      <c r="FXB10" s="12"/>
      <c r="FXS10" s="12"/>
      <c r="FXT10" s="12"/>
      <c r="FYK10" s="12"/>
      <c r="FYL10" s="12"/>
      <c r="FZC10" s="12"/>
      <c r="FZD10" s="12"/>
      <c r="FZU10" s="12"/>
      <c r="FZV10" s="12"/>
      <c r="GAM10" s="12"/>
      <c r="GAN10" s="12"/>
      <c r="GBE10" s="12"/>
      <c r="GBF10" s="12"/>
      <c r="GBW10" s="12"/>
      <c r="GBX10" s="12"/>
      <c r="GCO10" s="12"/>
      <c r="GCP10" s="12"/>
      <c r="GDG10" s="12"/>
      <c r="GDH10" s="12"/>
      <c r="GDY10" s="12"/>
      <c r="GDZ10" s="12"/>
      <c r="GEQ10" s="12"/>
      <c r="GER10" s="12"/>
      <c r="GFI10" s="12"/>
      <c r="GFJ10" s="12"/>
      <c r="GGA10" s="12"/>
      <c r="GGB10" s="12"/>
      <c r="GGS10" s="12"/>
      <c r="GGT10" s="12"/>
      <c r="GHK10" s="12"/>
      <c r="GHL10" s="12"/>
      <c r="GIC10" s="12"/>
      <c r="GID10" s="12"/>
      <c r="GIU10" s="12"/>
      <c r="GIV10" s="12"/>
      <c r="GJM10" s="12"/>
      <c r="GJN10" s="12"/>
      <c r="GKE10" s="12"/>
      <c r="GKF10" s="12"/>
      <c r="GKW10" s="12"/>
      <c r="GKX10" s="12"/>
      <c r="GLO10" s="12"/>
      <c r="GLP10" s="12"/>
      <c r="GMG10" s="12"/>
      <c r="GMH10" s="12"/>
      <c r="GMY10" s="12"/>
      <c r="GMZ10" s="12"/>
      <c r="GNQ10" s="12"/>
      <c r="GNR10" s="12"/>
      <c r="GOI10" s="12"/>
      <c r="GOJ10" s="12"/>
      <c r="GPA10" s="12"/>
      <c r="GPB10" s="12"/>
      <c r="GPS10" s="12"/>
      <c r="GPT10" s="12"/>
      <c r="GQK10" s="12"/>
      <c r="GQL10" s="12"/>
      <c r="GRC10" s="12"/>
      <c r="GRD10" s="12"/>
      <c r="GRU10" s="12"/>
      <c r="GRV10" s="12"/>
      <c r="GSM10" s="12"/>
      <c r="GSN10" s="12"/>
      <c r="GTE10" s="12"/>
      <c r="GTF10" s="12"/>
      <c r="GTW10" s="12"/>
      <c r="GTX10" s="12"/>
      <c r="GUO10" s="12"/>
      <c r="GUP10" s="12"/>
      <c r="GVG10" s="12"/>
      <c r="GVH10" s="12"/>
      <c r="GVY10" s="12"/>
      <c r="GVZ10" s="12"/>
      <c r="GWQ10" s="12"/>
      <c r="GWR10" s="12"/>
      <c r="GXI10" s="12"/>
      <c r="GXJ10" s="12"/>
      <c r="GYA10" s="12"/>
      <c r="GYB10" s="12"/>
      <c r="GYS10" s="12"/>
      <c r="GYT10" s="12"/>
      <c r="GZK10" s="12"/>
      <c r="GZL10" s="12"/>
      <c r="HAC10" s="12"/>
      <c r="HAD10" s="12"/>
      <c r="HAU10" s="12"/>
      <c r="HAV10" s="12"/>
      <c r="HBM10" s="12"/>
      <c r="HBN10" s="12"/>
      <c r="HCE10" s="12"/>
      <c r="HCF10" s="12"/>
      <c r="HCW10" s="12"/>
      <c r="HCX10" s="12"/>
      <c r="HDO10" s="12"/>
      <c r="HDP10" s="12"/>
      <c r="HEG10" s="12"/>
      <c r="HEH10" s="12"/>
      <c r="HEY10" s="12"/>
      <c r="HEZ10" s="12"/>
      <c r="HFQ10" s="12"/>
      <c r="HFR10" s="12"/>
      <c r="HGI10" s="12"/>
      <c r="HGJ10" s="12"/>
      <c r="HHA10" s="12"/>
      <c r="HHB10" s="12"/>
      <c r="HHS10" s="12"/>
      <c r="HHT10" s="12"/>
      <c r="HIK10" s="12"/>
      <c r="HIL10" s="12"/>
      <c r="HJC10" s="12"/>
      <c r="HJD10" s="12"/>
      <c r="HJU10" s="12"/>
      <c r="HJV10" s="12"/>
      <c r="HKM10" s="12"/>
      <c r="HKN10" s="12"/>
      <c r="HLE10" s="12"/>
      <c r="HLF10" s="12"/>
      <c r="HLW10" s="12"/>
      <c r="HLX10" s="12"/>
      <c r="HMO10" s="12"/>
      <c r="HMP10" s="12"/>
      <c r="HNG10" s="12"/>
      <c r="HNH10" s="12"/>
      <c r="HNY10" s="12"/>
      <c r="HNZ10" s="12"/>
      <c r="HOQ10" s="12"/>
      <c r="HOR10" s="12"/>
      <c r="HPI10" s="12"/>
      <c r="HPJ10" s="12"/>
      <c r="HQA10" s="12"/>
      <c r="HQB10" s="12"/>
      <c r="HQS10" s="12"/>
      <c r="HQT10" s="12"/>
      <c r="HRK10" s="12"/>
      <c r="HRL10" s="12"/>
      <c r="HSC10" s="12"/>
      <c r="HSD10" s="12"/>
      <c r="HSU10" s="12"/>
      <c r="HSV10" s="12"/>
      <c r="HTM10" s="12"/>
      <c r="HTN10" s="12"/>
      <c r="HUE10" s="12"/>
      <c r="HUF10" s="12"/>
      <c r="HUW10" s="12"/>
      <c r="HUX10" s="12"/>
      <c r="HVO10" s="12"/>
      <c r="HVP10" s="12"/>
      <c r="HWG10" s="12"/>
      <c r="HWH10" s="12"/>
      <c r="HWY10" s="12"/>
      <c r="HWZ10" s="12"/>
      <c r="HXQ10" s="12"/>
      <c r="HXR10" s="12"/>
      <c r="HYI10" s="12"/>
      <c r="HYJ10" s="12"/>
      <c r="HZA10" s="12"/>
      <c r="HZB10" s="12"/>
      <c r="HZS10" s="12"/>
      <c r="HZT10" s="12"/>
      <c r="IAK10" s="12"/>
      <c r="IAL10" s="12"/>
      <c r="IBC10" s="12"/>
      <c r="IBD10" s="12"/>
      <c r="IBU10" s="12"/>
      <c r="IBV10" s="12"/>
      <c r="ICM10" s="12"/>
      <c r="ICN10" s="12"/>
      <c r="IDE10" s="12"/>
      <c r="IDF10" s="12"/>
      <c r="IDW10" s="12"/>
      <c r="IDX10" s="12"/>
      <c r="IEO10" s="12"/>
      <c r="IEP10" s="12"/>
      <c r="IFG10" s="12"/>
      <c r="IFH10" s="12"/>
      <c r="IFY10" s="12"/>
      <c r="IFZ10" s="12"/>
      <c r="IGQ10" s="12"/>
      <c r="IGR10" s="12"/>
      <c r="IHI10" s="12"/>
      <c r="IHJ10" s="12"/>
      <c r="IIA10" s="12"/>
      <c r="IIB10" s="12"/>
      <c r="IIS10" s="12"/>
      <c r="IIT10" s="12"/>
      <c r="IJK10" s="12"/>
      <c r="IJL10" s="12"/>
      <c r="IKC10" s="12"/>
      <c r="IKD10" s="12"/>
      <c r="IKU10" s="12"/>
      <c r="IKV10" s="12"/>
      <c r="ILM10" s="12"/>
      <c r="ILN10" s="12"/>
      <c r="IME10" s="12"/>
      <c r="IMF10" s="12"/>
      <c r="IMW10" s="12"/>
      <c r="IMX10" s="12"/>
      <c r="INO10" s="12"/>
      <c r="INP10" s="12"/>
      <c r="IOG10" s="12"/>
      <c r="IOH10" s="12"/>
      <c r="IOY10" s="12"/>
      <c r="IOZ10" s="12"/>
      <c r="IPQ10" s="12"/>
      <c r="IPR10" s="12"/>
      <c r="IQI10" s="12"/>
      <c r="IQJ10" s="12"/>
      <c r="IRA10" s="12"/>
      <c r="IRB10" s="12"/>
      <c r="IRS10" s="12"/>
      <c r="IRT10" s="12"/>
      <c r="ISK10" s="12"/>
      <c r="ISL10" s="12"/>
      <c r="ITC10" s="12"/>
      <c r="ITD10" s="12"/>
      <c r="ITU10" s="12"/>
      <c r="ITV10" s="12"/>
      <c r="IUM10" s="12"/>
      <c r="IUN10" s="12"/>
      <c r="IVE10" s="12"/>
      <c r="IVF10" s="12"/>
      <c r="IVW10" s="12"/>
      <c r="IVX10" s="12"/>
      <c r="IWO10" s="12"/>
      <c r="IWP10" s="12"/>
      <c r="IXG10" s="12"/>
      <c r="IXH10" s="12"/>
      <c r="IXY10" s="12"/>
      <c r="IXZ10" s="12"/>
      <c r="IYQ10" s="12"/>
      <c r="IYR10" s="12"/>
      <c r="IZI10" s="12"/>
      <c r="IZJ10" s="12"/>
      <c r="JAA10" s="12"/>
      <c r="JAB10" s="12"/>
      <c r="JAS10" s="12"/>
      <c r="JAT10" s="12"/>
      <c r="JBK10" s="12"/>
      <c r="JBL10" s="12"/>
      <c r="JCC10" s="12"/>
      <c r="JCD10" s="12"/>
      <c r="JCU10" s="12"/>
      <c r="JCV10" s="12"/>
      <c r="JDM10" s="12"/>
      <c r="JDN10" s="12"/>
      <c r="JEE10" s="12"/>
      <c r="JEF10" s="12"/>
      <c r="JEW10" s="12"/>
      <c r="JEX10" s="12"/>
      <c r="JFO10" s="12"/>
      <c r="JFP10" s="12"/>
      <c r="JGG10" s="12"/>
      <c r="JGH10" s="12"/>
      <c r="JGY10" s="12"/>
      <c r="JGZ10" s="12"/>
      <c r="JHQ10" s="12"/>
      <c r="JHR10" s="12"/>
      <c r="JII10" s="12"/>
      <c r="JIJ10" s="12"/>
      <c r="JJA10" s="12"/>
      <c r="JJB10" s="12"/>
      <c r="JJS10" s="12"/>
      <c r="JJT10" s="12"/>
      <c r="JKK10" s="12"/>
      <c r="JKL10" s="12"/>
      <c r="JLC10" s="12"/>
      <c r="JLD10" s="12"/>
      <c r="JLU10" s="12"/>
      <c r="JLV10" s="12"/>
      <c r="JMM10" s="12"/>
      <c r="JMN10" s="12"/>
      <c r="JNE10" s="12"/>
      <c r="JNF10" s="12"/>
      <c r="JNW10" s="12"/>
      <c r="JNX10" s="12"/>
      <c r="JOO10" s="12"/>
      <c r="JOP10" s="12"/>
      <c r="JPG10" s="12"/>
      <c r="JPH10" s="12"/>
      <c r="JPY10" s="12"/>
      <c r="JPZ10" s="12"/>
      <c r="JQQ10" s="12"/>
      <c r="JQR10" s="12"/>
      <c r="JRI10" s="12"/>
      <c r="JRJ10" s="12"/>
      <c r="JSA10" s="12"/>
      <c r="JSB10" s="12"/>
      <c r="JSS10" s="12"/>
      <c r="JST10" s="12"/>
      <c r="JTK10" s="12"/>
      <c r="JTL10" s="12"/>
      <c r="JUC10" s="12"/>
      <c r="JUD10" s="12"/>
      <c r="JUU10" s="12"/>
      <c r="JUV10" s="12"/>
      <c r="JVM10" s="12"/>
      <c r="JVN10" s="12"/>
      <c r="JWE10" s="12"/>
      <c r="JWF10" s="12"/>
      <c r="JWW10" s="12"/>
      <c r="JWX10" s="12"/>
      <c r="JXO10" s="12"/>
      <c r="JXP10" s="12"/>
      <c r="JYG10" s="12"/>
      <c r="JYH10" s="12"/>
      <c r="JYY10" s="12"/>
      <c r="JYZ10" s="12"/>
      <c r="JZQ10" s="12"/>
      <c r="JZR10" s="12"/>
      <c r="KAI10" s="12"/>
      <c r="KAJ10" s="12"/>
      <c r="KBA10" s="12"/>
      <c r="KBB10" s="12"/>
      <c r="KBS10" s="12"/>
      <c r="KBT10" s="12"/>
      <c r="KCK10" s="12"/>
      <c r="KCL10" s="12"/>
      <c r="KDC10" s="12"/>
      <c r="KDD10" s="12"/>
      <c r="KDU10" s="12"/>
      <c r="KDV10" s="12"/>
      <c r="KEM10" s="12"/>
      <c r="KEN10" s="12"/>
      <c r="KFE10" s="12"/>
      <c r="KFF10" s="12"/>
      <c r="KFW10" s="12"/>
      <c r="KFX10" s="12"/>
      <c r="KGO10" s="12"/>
      <c r="KGP10" s="12"/>
      <c r="KHG10" s="12"/>
      <c r="KHH10" s="12"/>
      <c r="KHY10" s="12"/>
      <c r="KHZ10" s="12"/>
      <c r="KIQ10" s="12"/>
      <c r="KIR10" s="12"/>
      <c r="KJI10" s="12"/>
      <c r="KJJ10" s="12"/>
      <c r="KKA10" s="12"/>
      <c r="KKB10" s="12"/>
      <c r="KKS10" s="12"/>
      <c r="KKT10" s="12"/>
      <c r="KLK10" s="12"/>
      <c r="KLL10" s="12"/>
      <c r="KMC10" s="12"/>
      <c r="KMD10" s="12"/>
      <c r="KMU10" s="12"/>
      <c r="KMV10" s="12"/>
      <c r="KNM10" s="12"/>
      <c r="KNN10" s="12"/>
      <c r="KOE10" s="12"/>
      <c r="KOF10" s="12"/>
      <c r="KOW10" s="12"/>
      <c r="KOX10" s="12"/>
      <c r="KPO10" s="12"/>
      <c r="KPP10" s="12"/>
      <c r="KQG10" s="12"/>
      <c r="KQH10" s="12"/>
      <c r="KQY10" s="12"/>
      <c r="KQZ10" s="12"/>
      <c r="KRQ10" s="12"/>
      <c r="KRR10" s="12"/>
      <c r="KSI10" s="12"/>
      <c r="KSJ10" s="12"/>
      <c r="KTA10" s="12"/>
      <c r="KTB10" s="12"/>
      <c r="KTS10" s="12"/>
      <c r="KTT10" s="12"/>
      <c r="KUK10" s="12"/>
      <c r="KUL10" s="12"/>
      <c r="KVC10" s="12"/>
      <c r="KVD10" s="12"/>
      <c r="KVU10" s="12"/>
      <c r="KVV10" s="12"/>
      <c r="KWM10" s="12"/>
      <c r="KWN10" s="12"/>
      <c r="KXE10" s="12"/>
      <c r="KXF10" s="12"/>
      <c r="KXW10" s="12"/>
      <c r="KXX10" s="12"/>
      <c r="KYO10" s="12"/>
      <c r="KYP10" s="12"/>
      <c r="KZG10" s="12"/>
      <c r="KZH10" s="12"/>
      <c r="KZY10" s="12"/>
      <c r="KZZ10" s="12"/>
      <c r="LAQ10" s="12"/>
      <c r="LAR10" s="12"/>
      <c r="LBI10" s="12"/>
      <c r="LBJ10" s="12"/>
      <c r="LCA10" s="12"/>
      <c r="LCB10" s="12"/>
      <c r="LCS10" s="12"/>
      <c r="LCT10" s="12"/>
      <c r="LDK10" s="12"/>
      <c r="LDL10" s="12"/>
      <c r="LEC10" s="12"/>
      <c r="LED10" s="12"/>
      <c r="LEU10" s="12"/>
      <c r="LEV10" s="12"/>
      <c r="LFM10" s="12"/>
      <c r="LFN10" s="12"/>
      <c r="LGE10" s="12"/>
      <c r="LGF10" s="12"/>
      <c r="LGW10" s="12"/>
      <c r="LGX10" s="12"/>
      <c r="LHO10" s="12"/>
      <c r="LHP10" s="12"/>
      <c r="LIG10" s="12"/>
      <c r="LIH10" s="12"/>
      <c r="LIY10" s="12"/>
      <c r="LIZ10" s="12"/>
      <c r="LJQ10" s="12"/>
      <c r="LJR10" s="12"/>
      <c r="LKI10" s="12"/>
      <c r="LKJ10" s="12"/>
      <c r="LLA10" s="12"/>
      <c r="LLB10" s="12"/>
      <c r="LLS10" s="12"/>
      <c r="LLT10" s="12"/>
      <c r="LMK10" s="12"/>
      <c r="LML10" s="12"/>
      <c r="LNC10" s="12"/>
      <c r="LND10" s="12"/>
      <c r="LNU10" s="12"/>
      <c r="LNV10" s="12"/>
      <c r="LOM10" s="12"/>
      <c r="LON10" s="12"/>
      <c r="LPE10" s="12"/>
      <c r="LPF10" s="12"/>
      <c r="LPW10" s="12"/>
      <c r="LPX10" s="12"/>
      <c r="LQO10" s="12"/>
      <c r="LQP10" s="12"/>
      <c r="LRG10" s="12"/>
      <c r="LRH10" s="12"/>
      <c r="LRY10" s="12"/>
      <c r="LRZ10" s="12"/>
      <c r="LSQ10" s="12"/>
      <c r="LSR10" s="12"/>
      <c r="LTI10" s="12"/>
      <c r="LTJ10" s="12"/>
      <c r="LUA10" s="12"/>
      <c r="LUB10" s="12"/>
      <c r="LUS10" s="12"/>
      <c r="LUT10" s="12"/>
      <c r="LVK10" s="12"/>
      <c r="LVL10" s="12"/>
      <c r="LWC10" s="12"/>
      <c r="LWD10" s="12"/>
      <c r="LWU10" s="12"/>
      <c r="LWV10" s="12"/>
      <c r="LXM10" s="12"/>
      <c r="LXN10" s="12"/>
      <c r="LYE10" s="12"/>
      <c r="LYF10" s="12"/>
      <c r="LYW10" s="12"/>
      <c r="LYX10" s="12"/>
      <c r="LZO10" s="12"/>
      <c r="LZP10" s="12"/>
      <c r="MAG10" s="12"/>
      <c r="MAH10" s="12"/>
      <c r="MAY10" s="12"/>
      <c r="MAZ10" s="12"/>
      <c r="MBQ10" s="12"/>
      <c r="MBR10" s="12"/>
      <c r="MCI10" s="12"/>
      <c r="MCJ10" s="12"/>
      <c r="MDA10" s="12"/>
      <c r="MDB10" s="12"/>
      <c r="MDS10" s="12"/>
      <c r="MDT10" s="12"/>
      <c r="MEK10" s="12"/>
      <c r="MEL10" s="12"/>
      <c r="MFC10" s="12"/>
      <c r="MFD10" s="12"/>
      <c r="MFU10" s="12"/>
      <c r="MFV10" s="12"/>
      <c r="MGM10" s="12"/>
      <c r="MGN10" s="12"/>
      <c r="MHE10" s="12"/>
      <c r="MHF10" s="12"/>
      <c r="MHW10" s="12"/>
      <c r="MHX10" s="12"/>
      <c r="MIO10" s="12"/>
      <c r="MIP10" s="12"/>
      <c r="MJG10" s="12"/>
      <c r="MJH10" s="12"/>
      <c r="MJY10" s="12"/>
      <c r="MJZ10" s="12"/>
      <c r="MKQ10" s="12"/>
      <c r="MKR10" s="12"/>
      <c r="MLI10" s="12"/>
      <c r="MLJ10" s="12"/>
      <c r="MMA10" s="12"/>
      <c r="MMB10" s="12"/>
      <c r="MMS10" s="12"/>
      <c r="MMT10" s="12"/>
      <c r="MNK10" s="12"/>
      <c r="MNL10" s="12"/>
      <c r="MOC10" s="12"/>
      <c r="MOD10" s="12"/>
      <c r="MOU10" s="12"/>
      <c r="MOV10" s="12"/>
      <c r="MPM10" s="12"/>
      <c r="MPN10" s="12"/>
      <c r="MQE10" s="12"/>
      <c r="MQF10" s="12"/>
      <c r="MQW10" s="12"/>
      <c r="MQX10" s="12"/>
      <c r="MRO10" s="12"/>
      <c r="MRP10" s="12"/>
      <c r="MSG10" s="12"/>
      <c r="MSH10" s="12"/>
      <c r="MSY10" s="12"/>
      <c r="MSZ10" s="12"/>
      <c r="MTQ10" s="12"/>
      <c r="MTR10" s="12"/>
      <c r="MUI10" s="12"/>
      <c r="MUJ10" s="12"/>
      <c r="MVA10" s="12"/>
      <c r="MVB10" s="12"/>
      <c r="MVS10" s="12"/>
      <c r="MVT10" s="12"/>
      <c r="MWK10" s="12"/>
      <c r="MWL10" s="12"/>
      <c r="MXC10" s="12"/>
      <c r="MXD10" s="12"/>
      <c r="MXU10" s="12"/>
      <c r="MXV10" s="12"/>
      <c r="MYM10" s="12"/>
      <c r="MYN10" s="12"/>
      <c r="MZE10" s="12"/>
      <c r="MZF10" s="12"/>
      <c r="MZW10" s="12"/>
      <c r="MZX10" s="12"/>
      <c r="NAO10" s="12"/>
      <c r="NAP10" s="12"/>
      <c r="NBG10" s="12"/>
      <c r="NBH10" s="12"/>
      <c r="NBY10" s="12"/>
      <c r="NBZ10" s="12"/>
      <c r="NCQ10" s="12"/>
      <c r="NCR10" s="12"/>
      <c r="NDI10" s="12"/>
      <c r="NDJ10" s="12"/>
      <c r="NEA10" s="12"/>
      <c r="NEB10" s="12"/>
      <c r="NES10" s="12"/>
      <c r="NET10" s="12"/>
      <c r="NFK10" s="12"/>
      <c r="NFL10" s="12"/>
      <c r="NGC10" s="12"/>
      <c r="NGD10" s="12"/>
      <c r="NGU10" s="12"/>
      <c r="NGV10" s="12"/>
      <c r="NHM10" s="12"/>
      <c r="NHN10" s="12"/>
      <c r="NIE10" s="12"/>
      <c r="NIF10" s="12"/>
      <c r="NIW10" s="12"/>
      <c r="NIX10" s="12"/>
      <c r="NJO10" s="12"/>
      <c r="NJP10" s="12"/>
      <c r="NKG10" s="12"/>
      <c r="NKH10" s="12"/>
      <c r="NKY10" s="12"/>
      <c r="NKZ10" s="12"/>
      <c r="NLQ10" s="12"/>
      <c r="NLR10" s="12"/>
      <c r="NMI10" s="12"/>
      <c r="NMJ10" s="12"/>
      <c r="NNA10" s="12"/>
      <c r="NNB10" s="12"/>
      <c r="NNS10" s="12"/>
      <c r="NNT10" s="12"/>
      <c r="NOK10" s="12"/>
      <c r="NOL10" s="12"/>
      <c r="NPC10" s="12"/>
      <c r="NPD10" s="12"/>
      <c r="NPU10" s="12"/>
      <c r="NPV10" s="12"/>
      <c r="NQM10" s="12"/>
      <c r="NQN10" s="12"/>
      <c r="NRE10" s="12"/>
      <c r="NRF10" s="12"/>
      <c r="NRW10" s="12"/>
      <c r="NRX10" s="12"/>
      <c r="NSO10" s="12"/>
      <c r="NSP10" s="12"/>
      <c r="NTG10" s="12"/>
      <c r="NTH10" s="12"/>
      <c r="NTY10" s="12"/>
      <c r="NTZ10" s="12"/>
      <c r="NUQ10" s="12"/>
      <c r="NUR10" s="12"/>
      <c r="NVI10" s="12"/>
      <c r="NVJ10" s="12"/>
      <c r="NWA10" s="12"/>
      <c r="NWB10" s="12"/>
      <c r="NWS10" s="12"/>
      <c r="NWT10" s="12"/>
      <c r="NXK10" s="12"/>
      <c r="NXL10" s="12"/>
      <c r="NYC10" s="12"/>
      <c r="NYD10" s="12"/>
      <c r="NYU10" s="12"/>
      <c r="NYV10" s="12"/>
      <c r="NZM10" s="12"/>
      <c r="NZN10" s="12"/>
      <c r="OAE10" s="12"/>
      <c r="OAF10" s="12"/>
      <c r="OAW10" s="12"/>
      <c r="OAX10" s="12"/>
      <c r="OBO10" s="12"/>
      <c r="OBP10" s="12"/>
      <c r="OCG10" s="12"/>
      <c r="OCH10" s="12"/>
      <c r="OCY10" s="12"/>
      <c r="OCZ10" s="12"/>
      <c r="ODQ10" s="12"/>
      <c r="ODR10" s="12"/>
      <c r="OEI10" s="12"/>
      <c r="OEJ10" s="12"/>
      <c r="OFA10" s="12"/>
      <c r="OFB10" s="12"/>
      <c r="OFS10" s="12"/>
      <c r="OFT10" s="12"/>
      <c r="OGK10" s="12"/>
      <c r="OGL10" s="12"/>
      <c r="OHC10" s="12"/>
      <c r="OHD10" s="12"/>
      <c r="OHU10" s="12"/>
      <c r="OHV10" s="12"/>
      <c r="OIM10" s="12"/>
      <c r="OIN10" s="12"/>
      <c r="OJE10" s="12"/>
      <c r="OJF10" s="12"/>
      <c r="OJW10" s="12"/>
      <c r="OJX10" s="12"/>
      <c r="OKO10" s="12"/>
      <c r="OKP10" s="12"/>
      <c r="OLG10" s="12"/>
      <c r="OLH10" s="12"/>
      <c r="OLY10" s="12"/>
      <c r="OLZ10" s="12"/>
      <c r="OMQ10" s="12"/>
      <c r="OMR10" s="12"/>
      <c r="ONI10" s="12"/>
      <c r="ONJ10" s="12"/>
      <c r="OOA10" s="12"/>
      <c r="OOB10" s="12"/>
      <c r="OOS10" s="12"/>
      <c r="OOT10" s="12"/>
      <c r="OPK10" s="12"/>
      <c r="OPL10" s="12"/>
      <c r="OQC10" s="12"/>
      <c r="OQD10" s="12"/>
      <c r="OQU10" s="12"/>
      <c r="OQV10" s="12"/>
      <c r="ORM10" s="12"/>
      <c r="ORN10" s="12"/>
      <c r="OSE10" s="12"/>
      <c r="OSF10" s="12"/>
      <c r="OSW10" s="12"/>
      <c r="OSX10" s="12"/>
      <c r="OTO10" s="12"/>
      <c r="OTP10" s="12"/>
      <c r="OUG10" s="12"/>
      <c r="OUH10" s="12"/>
      <c r="OUY10" s="12"/>
      <c r="OUZ10" s="12"/>
      <c r="OVQ10" s="12"/>
      <c r="OVR10" s="12"/>
      <c r="OWI10" s="12"/>
      <c r="OWJ10" s="12"/>
      <c r="OXA10" s="12"/>
      <c r="OXB10" s="12"/>
      <c r="OXS10" s="12"/>
      <c r="OXT10" s="12"/>
      <c r="OYK10" s="12"/>
      <c r="OYL10" s="12"/>
      <c r="OZC10" s="12"/>
      <c r="OZD10" s="12"/>
      <c r="OZU10" s="12"/>
      <c r="OZV10" s="12"/>
      <c r="PAM10" s="12"/>
      <c r="PAN10" s="12"/>
      <c r="PBE10" s="12"/>
      <c r="PBF10" s="12"/>
      <c r="PBW10" s="12"/>
      <c r="PBX10" s="12"/>
      <c r="PCO10" s="12"/>
      <c r="PCP10" s="12"/>
      <c r="PDG10" s="12"/>
      <c r="PDH10" s="12"/>
      <c r="PDY10" s="12"/>
      <c r="PDZ10" s="12"/>
      <c r="PEQ10" s="12"/>
      <c r="PER10" s="12"/>
      <c r="PFI10" s="12"/>
      <c r="PFJ10" s="12"/>
      <c r="PGA10" s="12"/>
      <c r="PGB10" s="12"/>
      <c r="PGS10" s="12"/>
      <c r="PGT10" s="12"/>
      <c r="PHK10" s="12"/>
      <c r="PHL10" s="12"/>
      <c r="PIC10" s="12"/>
      <c r="PID10" s="12"/>
      <c r="PIU10" s="12"/>
      <c r="PIV10" s="12"/>
      <c r="PJM10" s="12"/>
      <c r="PJN10" s="12"/>
      <c r="PKE10" s="12"/>
      <c r="PKF10" s="12"/>
      <c r="PKW10" s="12"/>
      <c r="PKX10" s="12"/>
      <c r="PLO10" s="12"/>
      <c r="PLP10" s="12"/>
      <c r="PMG10" s="12"/>
      <c r="PMH10" s="12"/>
      <c r="PMY10" s="12"/>
      <c r="PMZ10" s="12"/>
      <c r="PNQ10" s="12"/>
      <c r="PNR10" s="12"/>
      <c r="POI10" s="12"/>
      <c r="POJ10" s="12"/>
      <c r="PPA10" s="12"/>
      <c r="PPB10" s="12"/>
      <c r="PPS10" s="12"/>
      <c r="PPT10" s="12"/>
      <c r="PQK10" s="12"/>
      <c r="PQL10" s="12"/>
      <c r="PRC10" s="12"/>
      <c r="PRD10" s="12"/>
      <c r="PRU10" s="12"/>
      <c r="PRV10" s="12"/>
      <c r="PSM10" s="12"/>
      <c r="PSN10" s="12"/>
      <c r="PTE10" s="12"/>
      <c r="PTF10" s="12"/>
      <c r="PTW10" s="12"/>
      <c r="PTX10" s="12"/>
      <c r="PUO10" s="12"/>
      <c r="PUP10" s="12"/>
      <c r="PVG10" s="12"/>
      <c r="PVH10" s="12"/>
      <c r="PVY10" s="12"/>
      <c r="PVZ10" s="12"/>
      <c r="PWQ10" s="12"/>
      <c r="PWR10" s="12"/>
      <c r="PXI10" s="12"/>
      <c r="PXJ10" s="12"/>
      <c r="PYA10" s="12"/>
      <c r="PYB10" s="12"/>
      <c r="PYS10" s="12"/>
      <c r="PYT10" s="12"/>
      <c r="PZK10" s="12"/>
      <c r="PZL10" s="12"/>
      <c r="QAC10" s="12"/>
      <c r="QAD10" s="12"/>
      <c r="QAU10" s="12"/>
      <c r="QAV10" s="12"/>
      <c r="QBM10" s="12"/>
      <c r="QBN10" s="12"/>
      <c r="QCE10" s="12"/>
      <c r="QCF10" s="12"/>
      <c r="QCW10" s="12"/>
      <c r="QCX10" s="12"/>
      <c r="QDO10" s="12"/>
      <c r="QDP10" s="12"/>
      <c r="QEG10" s="12"/>
      <c r="QEH10" s="12"/>
      <c r="QEY10" s="12"/>
      <c r="QEZ10" s="12"/>
      <c r="QFQ10" s="12"/>
      <c r="QFR10" s="12"/>
      <c r="QGI10" s="12"/>
      <c r="QGJ10" s="12"/>
      <c r="QHA10" s="12"/>
      <c r="QHB10" s="12"/>
      <c r="QHS10" s="12"/>
      <c r="QHT10" s="12"/>
      <c r="QIK10" s="12"/>
      <c r="QIL10" s="12"/>
      <c r="QJC10" s="12"/>
      <c r="QJD10" s="12"/>
      <c r="QJU10" s="12"/>
      <c r="QJV10" s="12"/>
      <c r="QKM10" s="12"/>
      <c r="QKN10" s="12"/>
      <c r="QLE10" s="12"/>
      <c r="QLF10" s="12"/>
      <c r="QLW10" s="12"/>
      <c r="QLX10" s="12"/>
      <c r="QMO10" s="12"/>
      <c r="QMP10" s="12"/>
      <c r="QNG10" s="12"/>
      <c r="QNH10" s="12"/>
      <c r="QNY10" s="12"/>
      <c r="QNZ10" s="12"/>
      <c r="QOQ10" s="12"/>
      <c r="QOR10" s="12"/>
      <c r="QPI10" s="12"/>
      <c r="QPJ10" s="12"/>
      <c r="QQA10" s="12"/>
      <c r="QQB10" s="12"/>
      <c r="QQS10" s="12"/>
      <c r="QQT10" s="12"/>
      <c r="QRK10" s="12"/>
      <c r="QRL10" s="12"/>
      <c r="QSC10" s="12"/>
      <c r="QSD10" s="12"/>
      <c r="QSU10" s="12"/>
      <c r="QSV10" s="12"/>
      <c r="QTM10" s="12"/>
      <c r="QTN10" s="12"/>
      <c r="QUE10" s="12"/>
      <c r="QUF10" s="12"/>
      <c r="QUW10" s="12"/>
      <c r="QUX10" s="12"/>
      <c r="QVO10" s="12"/>
      <c r="QVP10" s="12"/>
      <c r="QWG10" s="12"/>
      <c r="QWH10" s="12"/>
      <c r="QWY10" s="12"/>
      <c r="QWZ10" s="12"/>
      <c r="QXQ10" s="12"/>
      <c r="QXR10" s="12"/>
      <c r="QYI10" s="12"/>
      <c r="QYJ10" s="12"/>
      <c r="QZA10" s="12"/>
      <c r="QZB10" s="12"/>
      <c r="QZS10" s="12"/>
      <c r="QZT10" s="12"/>
      <c r="RAK10" s="12"/>
      <c r="RAL10" s="12"/>
      <c r="RBC10" s="12"/>
      <c r="RBD10" s="12"/>
      <c r="RBU10" s="12"/>
      <c r="RBV10" s="12"/>
      <c r="RCM10" s="12"/>
      <c r="RCN10" s="12"/>
      <c r="RDE10" s="12"/>
      <c r="RDF10" s="12"/>
      <c r="RDW10" s="12"/>
      <c r="RDX10" s="12"/>
      <c r="REO10" s="12"/>
      <c r="REP10" s="12"/>
      <c r="RFG10" s="12"/>
      <c r="RFH10" s="12"/>
      <c r="RFY10" s="12"/>
      <c r="RFZ10" s="12"/>
      <c r="RGQ10" s="12"/>
      <c r="RGR10" s="12"/>
      <c r="RHI10" s="12"/>
      <c r="RHJ10" s="12"/>
      <c r="RIA10" s="12"/>
      <c r="RIB10" s="12"/>
      <c r="RIS10" s="12"/>
      <c r="RIT10" s="12"/>
      <c r="RJK10" s="12"/>
      <c r="RJL10" s="12"/>
      <c r="RKC10" s="12"/>
      <c r="RKD10" s="12"/>
      <c r="RKU10" s="12"/>
      <c r="RKV10" s="12"/>
      <c r="RLM10" s="12"/>
      <c r="RLN10" s="12"/>
      <c r="RME10" s="12"/>
      <c r="RMF10" s="12"/>
      <c r="RMW10" s="12"/>
      <c r="RMX10" s="12"/>
      <c r="RNO10" s="12"/>
      <c r="RNP10" s="12"/>
      <c r="ROG10" s="12"/>
      <c r="ROH10" s="12"/>
      <c r="ROY10" s="12"/>
      <c r="ROZ10" s="12"/>
      <c r="RPQ10" s="12"/>
      <c r="RPR10" s="12"/>
      <c r="RQI10" s="12"/>
      <c r="RQJ10" s="12"/>
      <c r="RRA10" s="12"/>
      <c r="RRB10" s="12"/>
      <c r="RRS10" s="12"/>
      <c r="RRT10" s="12"/>
      <c r="RSK10" s="12"/>
      <c r="RSL10" s="12"/>
      <c r="RTC10" s="12"/>
      <c r="RTD10" s="12"/>
      <c r="RTU10" s="12"/>
      <c r="RTV10" s="12"/>
      <c r="RUM10" s="12"/>
      <c r="RUN10" s="12"/>
      <c r="RVE10" s="12"/>
      <c r="RVF10" s="12"/>
      <c r="RVW10" s="12"/>
      <c r="RVX10" s="12"/>
      <c r="RWO10" s="12"/>
      <c r="RWP10" s="12"/>
      <c r="RXG10" s="12"/>
      <c r="RXH10" s="12"/>
      <c r="RXY10" s="12"/>
      <c r="RXZ10" s="12"/>
      <c r="RYQ10" s="12"/>
      <c r="RYR10" s="12"/>
      <c r="RZI10" s="12"/>
      <c r="RZJ10" s="12"/>
      <c r="SAA10" s="12"/>
      <c r="SAB10" s="12"/>
      <c r="SAS10" s="12"/>
      <c r="SAT10" s="12"/>
      <c r="SBK10" s="12"/>
      <c r="SBL10" s="12"/>
      <c r="SCC10" s="12"/>
      <c r="SCD10" s="12"/>
      <c r="SCU10" s="12"/>
      <c r="SCV10" s="12"/>
      <c r="SDM10" s="12"/>
      <c r="SDN10" s="12"/>
      <c r="SEE10" s="12"/>
      <c r="SEF10" s="12"/>
      <c r="SEW10" s="12"/>
      <c r="SEX10" s="12"/>
      <c r="SFO10" s="12"/>
      <c r="SFP10" s="12"/>
      <c r="SGG10" s="12"/>
      <c r="SGH10" s="12"/>
      <c r="SGY10" s="12"/>
      <c r="SGZ10" s="12"/>
      <c r="SHQ10" s="12"/>
      <c r="SHR10" s="12"/>
      <c r="SII10" s="12"/>
      <c r="SIJ10" s="12"/>
      <c r="SJA10" s="12"/>
      <c r="SJB10" s="12"/>
      <c r="SJS10" s="12"/>
      <c r="SJT10" s="12"/>
      <c r="SKK10" s="12"/>
      <c r="SKL10" s="12"/>
      <c r="SLC10" s="12"/>
      <c r="SLD10" s="12"/>
      <c r="SLU10" s="12"/>
      <c r="SLV10" s="12"/>
      <c r="SMM10" s="12"/>
      <c r="SMN10" s="12"/>
      <c r="SNE10" s="12"/>
      <c r="SNF10" s="12"/>
      <c r="SNW10" s="12"/>
      <c r="SNX10" s="12"/>
      <c r="SOO10" s="12"/>
      <c r="SOP10" s="12"/>
      <c r="SPG10" s="12"/>
      <c r="SPH10" s="12"/>
      <c r="SPY10" s="12"/>
      <c r="SPZ10" s="12"/>
      <c r="SQQ10" s="12"/>
      <c r="SQR10" s="12"/>
      <c r="SRI10" s="12"/>
      <c r="SRJ10" s="12"/>
      <c r="SSA10" s="12"/>
      <c r="SSB10" s="12"/>
      <c r="SSS10" s="12"/>
      <c r="SST10" s="12"/>
      <c r="STK10" s="12"/>
      <c r="STL10" s="12"/>
      <c r="SUC10" s="12"/>
      <c r="SUD10" s="12"/>
      <c r="SUU10" s="12"/>
      <c r="SUV10" s="12"/>
      <c r="SVM10" s="12"/>
      <c r="SVN10" s="12"/>
      <c r="SWE10" s="12"/>
      <c r="SWF10" s="12"/>
      <c r="SWW10" s="12"/>
      <c r="SWX10" s="12"/>
      <c r="SXO10" s="12"/>
      <c r="SXP10" s="12"/>
      <c r="SYG10" s="12"/>
      <c r="SYH10" s="12"/>
      <c r="SYY10" s="12"/>
      <c r="SYZ10" s="12"/>
      <c r="SZQ10" s="12"/>
      <c r="SZR10" s="12"/>
      <c r="TAI10" s="12"/>
      <c r="TAJ10" s="12"/>
      <c r="TBA10" s="12"/>
      <c r="TBB10" s="12"/>
      <c r="TBS10" s="12"/>
      <c r="TBT10" s="12"/>
      <c r="TCK10" s="12"/>
      <c r="TCL10" s="12"/>
      <c r="TDC10" s="12"/>
      <c r="TDD10" s="12"/>
      <c r="TDU10" s="12"/>
      <c r="TDV10" s="12"/>
      <c r="TEM10" s="12"/>
      <c r="TEN10" s="12"/>
      <c r="TFE10" s="12"/>
      <c r="TFF10" s="12"/>
      <c r="TFW10" s="12"/>
      <c r="TFX10" s="12"/>
      <c r="TGO10" s="12"/>
      <c r="TGP10" s="12"/>
      <c r="THG10" s="12"/>
      <c r="THH10" s="12"/>
      <c r="THY10" s="12"/>
      <c r="THZ10" s="12"/>
      <c r="TIQ10" s="12"/>
      <c r="TIR10" s="12"/>
      <c r="TJI10" s="12"/>
      <c r="TJJ10" s="12"/>
      <c r="TKA10" s="12"/>
      <c r="TKB10" s="12"/>
      <c r="TKS10" s="12"/>
      <c r="TKT10" s="12"/>
      <c r="TLK10" s="12"/>
      <c r="TLL10" s="12"/>
      <c r="TMC10" s="12"/>
      <c r="TMD10" s="12"/>
      <c r="TMU10" s="12"/>
      <c r="TMV10" s="12"/>
      <c r="TNM10" s="12"/>
      <c r="TNN10" s="12"/>
      <c r="TOE10" s="12"/>
      <c r="TOF10" s="12"/>
      <c r="TOW10" s="12"/>
      <c r="TOX10" s="12"/>
      <c r="TPO10" s="12"/>
      <c r="TPP10" s="12"/>
      <c r="TQG10" s="12"/>
      <c r="TQH10" s="12"/>
      <c r="TQY10" s="12"/>
      <c r="TQZ10" s="12"/>
      <c r="TRQ10" s="12"/>
      <c r="TRR10" s="12"/>
      <c r="TSI10" s="12"/>
      <c r="TSJ10" s="12"/>
      <c r="TTA10" s="12"/>
      <c r="TTB10" s="12"/>
      <c r="TTS10" s="12"/>
      <c r="TTT10" s="12"/>
      <c r="TUK10" s="12"/>
      <c r="TUL10" s="12"/>
      <c r="TVC10" s="12"/>
      <c r="TVD10" s="12"/>
      <c r="TVU10" s="12"/>
      <c r="TVV10" s="12"/>
      <c r="TWM10" s="12"/>
      <c r="TWN10" s="12"/>
      <c r="TXE10" s="12"/>
      <c r="TXF10" s="12"/>
      <c r="TXW10" s="12"/>
      <c r="TXX10" s="12"/>
      <c r="TYO10" s="12"/>
      <c r="TYP10" s="12"/>
      <c r="TZG10" s="12"/>
      <c r="TZH10" s="12"/>
      <c r="TZY10" s="12"/>
      <c r="TZZ10" s="12"/>
      <c r="UAQ10" s="12"/>
      <c r="UAR10" s="12"/>
      <c r="UBI10" s="12"/>
      <c r="UBJ10" s="12"/>
      <c r="UCA10" s="12"/>
      <c r="UCB10" s="12"/>
      <c r="UCS10" s="12"/>
      <c r="UCT10" s="12"/>
      <c r="UDK10" s="12"/>
      <c r="UDL10" s="12"/>
      <c r="UEC10" s="12"/>
      <c r="UED10" s="12"/>
      <c r="UEU10" s="12"/>
      <c r="UEV10" s="12"/>
      <c r="UFM10" s="12"/>
      <c r="UFN10" s="12"/>
      <c r="UGE10" s="12"/>
      <c r="UGF10" s="12"/>
      <c r="UGW10" s="12"/>
      <c r="UGX10" s="12"/>
      <c r="UHO10" s="12"/>
      <c r="UHP10" s="12"/>
      <c r="UIG10" s="12"/>
      <c r="UIH10" s="12"/>
      <c r="UIY10" s="12"/>
      <c r="UIZ10" s="12"/>
      <c r="UJQ10" s="12"/>
      <c r="UJR10" s="12"/>
      <c r="UKI10" s="12"/>
      <c r="UKJ10" s="12"/>
      <c r="ULA10" s="12"/>
      <c r="ULB10" s="12"/>
      <c r="ULS10" s="12"/>
      <c r="ULT10" s="12"/>
      <c r="UMK10" s="12"/>
      <c r="UML10" s="12"/>
      <c r="UNC10" s="12"/>
      <c r="UND10" s="12"/>
      <c r="UNU10" s="12"/>
      <c r="UNV10" s="12"/>
      <c r="UOM10" s="12"/>
      <c r="UON10" s="12"/>
      <c r="UPE10" s="12"/>
      <c r="UPF10" s="12"/>
      <c r="UPW10" s="12"/>
      <c r="UPX10" s="12"/>
      <c r="UQO10" s="12"/>
      <c r="UQP10" s="12"/>
      <c r="URG10" s="12"/>
      <c r="URH10" s="12"/>
      <c r="URY10" s="12"/>
      <c r="URZ10" s="12"/>
      <c r="USQ10" s="12"/>
      <c r="USR10" s="12"/>
      <c r="UTI10" s="12"/>
      <c r="UTJ10" s="12"/>
      <c r="UUA10" s="12"/>
      <c r="UUB10" s="12"/>
      <c r="UUS10" s="12"/>
      <c r="UUT10" s="12"/>
      <c r="UVK10" s="12"/>
      <c r="UVL10" s="12"/>
      <c r="UWC10" s="12"/>
      <c r="UWD10" s="12"/>
      <c r="UWU10" s="12"/>
      <c r="UWV10" s="12"/>
      <c r="UXM10" s="12"/>
      <c r="UXN10" s="12"/>
      <c r="UYE10" s="12"/>
      <c r="UYF10" s="12"/>
      <c r="UYW10" s="12"/>
      <c r="UYX10" s="12"/>
      <c r="UZO10" s="12"/>
      <c r="UZP10" s="12"/>
      <c r="VAG10" s="12"/>
      <c r="VAH10" s="12"/>
      <c r="VAY10" s="12"/>
      <c r="VAZ10" s="12"/>
      <c r="VBQ10" s="12"/>
      <c r="VBR10" s="12"/>
      <c r="VCI10" s="12"/>
      <c r="VCJ10" s="12"/>
      <c r="VDA10" s="12"/>
      <c r="VDB10" s="12"/>
      <c r="VDS10" s="12"/>
      <c r="VDT10" s="12"/>
      <c r="VEK10" s="12"/>
      <c r="VEL10" s="12"/>
      <c r="VFC10" s="12"/>
      <c r="VFD10" s="12"/>
      <c r="VFU10" s="12"/>
      <c r="VFV10" s="12"/>
      <c r="VGM10" s="12"/>
      <c r="VGN10" s="12"/>
      <c r="VHE10" s="12"/>
      <c r="VHF10" s="12"/>
      <c r="VHW10" s="12"/>
      <c r="VHX10" s="12"/>
      <c r="VIO10" s="12"/>
      <c r="VIP10" s="12"/>
      <c r="VJG10" s="12"/>
      <c r="VJH10" s="12"/>
      <c r="VJY10" s="12"/>
      <c r="VJZ10" s="12"/>
      <c r="VKQ10" s="12"/>
      <c r="VKR10" s="12"/>
      <c r="VLI10" s="12"/>
      <c r="VLJ10" s="12"/>
      <c r="VMA10" s="12"/>
      <c r="VMB10" s="12"/>
      <c r="VMS10" s="12"/>
      <c r="VMT10" s="12"/>
      <c r="VNK10" s="12"/>
      <c r="VNL10" s="12"/>
      <c r="VOC10" s="12"/>
      <c r="VOD10" s="12"/>
      <c r="VOU10" s="12"/>
      <c r="VOV10" s="12"/>
      <c r="VPM10" s="12"/>
      <c r="VPN10" s="12"/>
      <c r="VQE10" s="12"/>
      <c r="VQF10" s="12"/>
      <c r="VQW10" s="12"/>
      <c r="VQX10" s="12"/>
      <c r="VRO10" s="12"/>
      <c r="VRP10" s="12"/>
      <c r="VSG10" s="12"/>
      <c r="VSH10" s="12"/>
      <c r="VSY10" s="12"/>
      <c r="VSZ10" s="12"/>
      <c r="VTQ10" s="12"/>
      <c r="VTR10" s="12"/>
      <c r="VUI10" s="12"/>
      <c r="VUJ10" s="12"/>
      <c r="VVA10" s="12"/>
      <c r="VVB10" s="12"/>
      <c r="VVS10" s="12"/>
      <c r="VVT10" s="12"/>
      <c r="VWK10" s="12"/>
      <c r="VWL10" s="12"/>
      <c r="VXC10" s="12"/>
      <c r="VXD10" s="12"/>
      <c r="VXU10" s="12"/>
      <c r="VXV10" s="12"/>
      <c r="VYM10" s="12"/>
      <c r="VYN10" s="12"/>
      <c r="VZE10" s="12"/>
      <c r="VZF10" s="12"/>
      <c r="VZW10" s="12"/>
      <c r="VZX10" s="12"/>
      <c r="WAO10" s="12"/>
      <c r="WAP10" s="12"/>
      <c r="WBG10" s="12"/>
      <c r="WBH10" s="12"/>
      <c r="WBY10" s="12"/>
      <c r="WBZ10" s="12"/>
      <c r="WCQ10" s="12"/>
      <c r="WCR10" s="12"/>
      <c r="WDI10" s="12"/>
      <c r="WDJ10" s="12"/>
      <c r="WEA10" s="12"/>
      <c r="WEB10" s="12"/>
      <c r="WES10" s="12"/>
      <c r="WET10" s="12"/>
      <c r="WFK10" s="12"/>
      <c r="WFL10" s="12"/>
      <c r="WGC10" s="12"/>
      <c r="WGD10" s="12"/>
      <c r="WGU10" s="12"/>
      <c r="WGV10" s="12"/>
      <c r="WHM10" s="12"/>
      <c r="WHN10" s="12"/>
      <c r="WIE10" s="12"/>
      <c r="WIF10" s="12"/>
      <c r="WIW10" s="12"/>
      <c r="WIX10" s="12"/>
      <c r="WJO10" s="12"/>
      <c r="WJP10" s="12"/>
      <c r="WKG10" s="12"/>
      <c r="WKH10" s="12"/>
      <c r="WKY10" s="12"/>
      <c r="WKZ10" s="12"/>
      <c r="WLQ10" s="12"/>
      <c r="WLR10" s="12"/>
      <c r="WMI10" s="12"/>
      <c r="WMJ10" s="12"/>
      <c r="WNA10" s="12"/>
      <c r="WNB10" s="12"/>
      <c r="WNS10" s="12"/>
      <c r="WNT10" s="12"/>
      <c r="WOK10" s="12"/>
      <c r="WOL10" s="12"/>
      <c r="WPC10" s="12"/>
      <c r="WPD10" s="12"/>
      <c r="WPU10" s="12"/>
      <c r="WPV10" s="12"/>
      <c r="WQM10" s="12"/>
      <c r="WQN10" s="12"/>
      <c r="WRE10" s="12"/>
      <c r="WRF10" s="12"/>
      <c r="WRW10" s="12"/>
      <c r="WRX10" s="12"/>
      <c r="WSO10" s="12"/>
      <c r="WSP10" s="12"/>
      <c r="WTG10" s="12"/>
      <c r="WTH10" s="12"/>
      <c r="WTY10" s="12"/>
      <c r="WTZ10" s="12"/>
      <c r="WUQ10" s="12"/>
      <c r="WUR10" s="12"/>
      <c r="WVI10" s="12"/>
      <c r="WVJ10" s="12"/>
      <c r="WWA10" s="12"/>
      <c r="WWB10" s="12"/>
      <c r="WWS10" s="12"/>
      <c r="WWT10" s="12"/>
      <c r="WXK10" s="12"/>
      <c r="WXL10" s="12"/>
      <c r="WYC10" s="12"/>
      <c r="WYD10" s="12"/>
      <c r="WYU10" s="12"/>
      <c r="WYV10" s="12"/>
      <c r="WZM10" s="12"/>
      <c r="WZN10" s="12"/>
      <c r="XAE10" s="12"/>
      <c r="XAF10" s="12"/>
      <c r="XAW10" s="12"/>
      <c r="XAX10" s="12"/>
      <c r="XBO10" s="12"/>
      <c r="XBP10" s="12"/>
      <c r="XCG10" s="12"/>
      <c r="XCH10" s="12"/>
      <c r="XCY10" s="12"/>
      <c r="XCZ10" s="12"/>
      <c r="XDQ10" s="12"/>
      <c r="XDR10" s="12"/>
      <c r="XEI10" s="12"/>
      <c r="XEJ10" s="12"/>
      <c r="XFA10" s="12"/>
      <c r="XFB10" s="12"/>
    </row>
    <row r="11" spans="1:1010 1027:2036 2053:3062 3079:4088 4105:5114 5131:6140 6157:7166 7183:8192 8209:9200 9217:10226 10243:11252 11269:12278 12295:13304 13321:14330 14347:15356 15373:16382" s="11" customFormat="1" x14ac:dyDescent="0.35">
      <c r="A11" s="183" t="str">
        <f>'Cash Flow - Standardized'!A11</f>
        <v xml:space="preserve">  + CF Depreciation &amp; Amortization</v>
      </c>
      <c r="B11" s="75" t="str">
        <f>'Cash Flow - Standardized'!B11</f>
        <v>CF_DEPR_AMORT</v>
      </c>
      <c r="C11" s="76">
        <f>IF('Cash Flow - Standardized'!C11="",0,'Cash Flow - Standardized'!C11)/'Cash Flow - Standardized'!C$24</f>
        <v>0.5096150943396226</v>
      </c>
      <c r="D11" s="76">
        <f>IF('Cash Flow - Standardized'!D11="",0,'Cash Flow - Standardized'!D11)/'Cash Flow - Standardized'!D$24</f>
        <v>0.42277370782529344</v>
      </c>
      <c r="E11" s="76">
        <f>IF('Cash Flow - Standardized'!E11="",0,'Cash Flow - Standardized'!E11)/'Cash Flow - Standardized'!E$24</f>
        <v>0.48665055696351744</v>
      </c>
      <c r="F11" s="76">
        <f>IF('Cash Flow - Standardized'!F11="",0,'Cash Flow - Standardized'!F11)/'Cash Flow - Standardized'!F$24</f>
        <v>3.6918619963128787</v>
      </c>
      <c r="G11" s="76">
        <f>IF('Cash Flow - Standardized'!G11="",0,'Cash Flow - Standardized'!G11)/'Cash Flow - Standardized'!G$24</f>
        <v>0.42134074814267719</v>
      </c>
      <c r="H11" s="76">
        <f>IF('Cash Flow - Standardized'!H11="",0,'Cash Flow - Standardized'!H11)/'Cash Flow - Standardized'!H$24</f>
        <v>0.43615811499272195</v>
      </c>
      <c r="I11" s="76">
        <f>IF('Cash Flow - Standardized'!I11="",0,'Cash Flow - Standardized'!I11)/'Cash Flow - Standardized'!I$24</f>
        <v>6.6200787401574805</v>
      </c>
      <c r="J11" s="76">
        <f>IF('Cash Flow - Standardized'!J11="",0,'Cash Flow - Standardized'!J11)/'Cash Flow - Standardized'!J$24</f>
        <v>0.16107662876857662</v>
      </c>
      <c r="K11" s="76">
        <f>IF('Cash Flow - Standardized'!K11="",0,'Cash Flow - Standardized'!K11)/'Cash Flow - Standardized'!K$24</f>
        <v>0.221384488466077</v>
      </c>
      <c r="L11" s="76">
        <f>IF('Cash Flow - Standardized'!L11="",0,'Cash Flow - Standardized'!L11)/'Cash Flow - Standardized'!L$24</f>
        <v>0.15721917086750434</v>
      </c>
      <c r="M11" s="108"/>
      <c r="N11" s="108"/>
      <c r="O11" s="108"/>
      <c r="P11" s="108"/>
      <c r="Q11" s="108"/>
      <c r="R11" s="108"/>
      <c r="S11" s="109"/>
      <c r="T11" s="109"/>
      <c r="U11" s="108"/>
      <c r="V11" s="108"/>
      <c r="W11" s="108"/>
      <c r="X11" s="108"/>
      <c r="Y11" s="108"/>
      <c r="Z11" s="108"/>
      <c r="AA11" s="108"/>
      <c r="AB11" s="108"/>
      <c r="AC11" s="108"/>
      <c r="AD11" s="108"/>
      <c r="AE11" s="108"/>
      <c r="AF11" s="108"/>
      <c r="AG11" s="108"/>
      <c r="AH11" s="108"/>
      <c r="AI11" s="108"/>
      <c r="AJ11" s="108"/>
      <c r="AK11" s="109"/>
      <c r="AL11" s="109"/>
      <c r="AM11" s="108"/>
      <c r="AN11" s="108"/>
      <c r="AO11" s="108"/>
      <c r="AP11" s="108"/>
      <c r="AQ11" s="108"/>
      <c r="AR11" s="108"/>
      <c r="AS11" s="108"/>
      <c r="AT11" s="108"/>
      <c r="AU11" s="108"/>
      <c r="AV11" s="108"/>
      <c r="AW11" s="108"/>
      <c r="AX11" s="108"/>
      <c r="BC11" s="12"/>
      <c r="BD11" s="12"/>
      <c r="BU11" s="12"/>
      <c r="BV11" s="12"/>
      <c r="CM11" s="12"/>
      <c r="CN11" s="12"/>
      <c r="DE11" s="12"/>
      <c r="DF11" s="12"/>
      <c r="DW11" s="12"/>
      <c r="DX11" s="12"/>
      <c r="EO11" s="12"/>
      <c r="EP11" s="12"/>
      <c r="FG11" s="12"/>
      <c r="FH11" s="12"/>
      <c r="FY11" s="12"/>
      <c r="FZ11" s="12"/>
      <c r="GQ11" s="12"/>
      <c r="GR11" s="12"/>
      <c r="HI11" s="12"/>
      <c r="HJ11" s="12"/>
      <c r="IA11" s="12"/>
      <c r="IB11" s="12"/>
      <c r="IS11" s="12"/>
      <c r="IT11" s="12"/>
      <c r="JK11" s="12"/>
      <c r="JL11" s="12"/>
      <c r="KC11" s="12"/>
      <c r="KD11" s="12"/>
      <c r="KU11" s="12"/>
      <c r="KV11" s="12"/>
      <c r="LM11" s="12"/>
      <c r="LN11" s="12"/>
      <c r="ME11" s="12"/>
      <c r="MF11" s="12"/>
      <c r="MW11" s="12"/>
      <c r="MX11" s="12"/>
      <c r="NO11" s="12"/>
      <c r="NP11" s="12"/>
      <c r="OG11" s="12"/>
      <c r="OH11" s="12"/>
      <c r="OY11" s="12"/>
      <c r="OZ11" s="12"/>
      <c r="PQ11" s="12"/>
      <c r="PR11" s="12"/>
      <c r="QI11" s="12"/>
      <c r="QJ11" s="12"/>
      <c r="RA11" s="12"/>
      <c r="RB11" s="12"/>
      <c r="RS11" s="12"/>
      <c r="RT11" s="12"/>
      <c r="SK11" s="12"/>
      <c r="SL11" s="12"/>
      <c r="TC11" s="12"/>
      <c r="TD11" s="12"/>
      <c r="TU11" s="12"/>
      <c r="TV11" s="12"/>
      <c r="UM11" s="12"/>
      <c r="UN11" s="12"/>
      <c r="VE11" s="12"/>
      <c r="VF11" s="12"/>
      <c r="VW11" s="12"/>
      <c r="VX11" s="12"/>
      <c r="WO11" s="12"/>
      <c r="WP11" s="12"/>
      <c r="XG11" s="12"/>
      <c r="XH11" s="12"/>
      <c r="XY11" s="12"/>
      <c r="XZ11" s="12"/>
      <c r="YQ11" s="12"/>
      <c r="YR11" s="12"/>
      <c r="ZI11" s="12"/>
      <c r="ZJ11" s="12"/>
      <c r="AAA11" s="12"/>
      <c r="AAB11" s="12"/>
      <c r="AAS11" s="12"/>
      <c r="AAT11" s="12"/>
      <c r="ABK11" s="12"/>
      <c r="ABL11" s="12"/>
      <c r="ACC11" s="12"/>
      <c r="ACD11" s="12"/>
      <c r="ACU11" s="12"/>
      <c r="ACV11" s="12"/>
      <c r="ADM11" s="12"/>
      <c r="ADN11" s="12"/>
      <c r="AEE11" s="12"/>
      <c r="AEF11" s="12"/>
      <c r="AEW11" s="12"/>
      <c r="AEX11" s="12"/>
      <c r="AFO11" s="12"/>
      <c r="AFP11" s="12"/>
      <c r="AGG11" s="12"/>
      <c r="AGH11" s="12"/>
      <c r="AGY11" s="12"/>
      <c r="AGZ11" s="12"/>
      <c r="AHQ11" s="12"/>
      <c r="AHR11" s="12"/>
      <c r="AII11" s="12"/>
      <c r="AIJ11" s="12"/>
      <c r="AJA11" s="12"/>
      <c r="AJB11" s="12"/>
      <c r="AJS11" s="12"/>
      <c r="AJT11" s="12"/>
      <c r="AKK11" s="12"/>
      <c r="AKL11" s="12"/>
      <c r="ALC11" s="12"/>
      <c r="ALD11" s="12"/>
      <c r="ALU11" s="12"/>
      <c r="ALV11" s="12"/>
      <c r="AMM11" s="12"/>
      <c r="AMN11" s="12"/>
      <c r="ANE11" s="12"/>
      <c r="ANF11" s="12"/>
      <c r="ANW11" s="12"/>
      <c r="ANX11" s="12"/>
      <c r="AOO11" s="12"/>
      <c r="AOP11" s="12"/>
      <c r="APG11" s="12"/>
      <c r="APH11" s="12"/>
      <c r="APY11" s="12"/>
      <c r="APZ11" s="12"/>
      <c r="AQQ11" s="12"/>
      <c r="AQR11" s="12"/>
      <c r="ARI11" s="12"/>
      <c r="ARJ11" s="12"/>
      <c r="ASA11" s="12"/>
      <c r="ASB11" s="12"/>
      <c r="ASS11" s="12"/>
      <c r="AST11" s="12"/>
      <c r="ATK11" s="12"/>
      <c r="ATL11" s="12"/>
      <c r="AUC11" s="12"/>
      <c r="AUD11" s="12"/>
      <c r="AUU11" s="12"/>
      <c r="AUV11" s="12"/>
      <c r="AVM11" s="12"/>
      <c r="AVN11" s="12"/>
      <c r="AWE11" s="12"/>
      <c r="AWF11" s="12"/>
      <c r="AWW11" s="12"/>
      <c r="AWX11" s="12"/>
      <c r="AXO11" s="12"/>
      <c r="AXP11" s="12"/>
      <c r="AYG11" s="12"/>
      <c r="AYH11" s="12"/>
      <c r="AYY11" s="12"/>
      <c r="AYZ11" s="12"/>
      <c r="AZQ11" s="12"/>
      <c r="AZR11" s="12"/>
      <c r="BAI11" s="12"/>
      <c r="BAJ11" s="12"/>
      <c r="BBA11" s="12"/>
      <c r="BBB11" s="12"/>
      <c r="BBS11" s="12"/>
      <c r="BBT11" s="12"/>
      <c r="BCK11" s="12"/>
      <c r="BCL11" s="12"/>
      <c r="BDC11" s="12"/>
      <c r="BDD11" s="12"/>
      <c r="BDU11" s="12"/>
      <c r="BDV11" s="12"/>
      <c r="BEM11" s="12"/>
      <c r="BEN11" s="12"/>
      <c r="BFE11" s="12"/>
      <c r="BFF11" s="12"/>
      <c r="BFW11" s="12"/>
      <c r="BFX11" s="12"/>
      <c r="BGO11" s="12"/>
      <c r="BGP11" s="12"/>
      <c r="BHG11" s="12"/>
      <c r="BHH11" s="12"/>
      <c r="BHY11" s="12"/>
      <c r="BHZ11" s="12"/>
      <c r="BIQ11" s="12"/>
      <c r="BIR11" s="12"/>
      <c r="BJI11" s="12"/>
      <c r="BJJ11" s="12"/>
      <c r="BKA11" s="12"/>
      <c r="BKB11" s="12"/>
      <c r="BKS11" s="12"/>
      <c r="BKT11" s="12"/>
      <c r="BLK11" s="12"/>
      <c r="BLL11" s="12"/>
      <c r="BMC11" s="12"/>
      <c r="BMD11" s="12"/>
      <c r="BMU11" s="12"/>
      <c r="BMV11" s="12"/>
      <c r="BNM11" s="12"/>
      <c r="BNN11" s="12"/>
      <c r="BOE11" s="12"/>
      <c r="BOF11" s="12"/>
      <c r="BOW11" s="12"/>
      <c r="BOX11" s="12"/>
      <c r="BPO11" s="12"/>
      <c r="BPP11" s="12"/>
      <c r="BQG11" s="12"/>
      <c r="BQH11" s="12"/>
      <c r="BQY11" s="12"/>
      <c r="BQZ11" s="12"/>
      <c r="BRQ11" s="12"/>
      <c r="BRR11" s="12"/>
      <c r="BSI11" s="12"/>
      <c r="BSJ11" s="12"/>
      <c r="BTA11" s="12"/>
      <c r="BTB11" s="12"/>
      <c r="BTS11" s="12"/>
      <c r="BTT11" s="12"/>
      <c r="BUK11" s="12"/>
      <c r="BUL11" s="12"/>
      <c r="BVC11" s="12"/>
      <c r="BVD11" s="12"/>
      <c r="BVU11" s="12"/>
      <c r="BVV11" s="12"/>
      <c r="BWM11" s="12"/>
      <c r="BWN11" s="12"/>
      <c r="BXE11" s="12"/>
      <c r="BXF11" s="12"/>
      <c r="BXW11" s="12"/>
      <c r="BXX11" s="12"/>
      <c r="BYO11" s="12"/>
      <c r="BYP11" s="12"/>
      <c r="BZG11" s="12"/>
      <c r="BZH11" s="12"/>
      <c r="BZY11" s="12"/>
      <c r="BZZ11" s="12"/>
      <c r="CAQ11" s="12"/>
      <c r="CAR11" s="12"/>
      <c r="CBI11" s="12"/>
      <c r="CBJ11" s="12"/>
      <c r="CCA11" s="12"/>
      <c r="CCB11" s="12"/>
      <c r="CCS11" s="12"/>
      <c r="CCT11" s="12"/>
      <c r="CDK11" s="12"/>
      <c r="CDL11" s="12"/>
      <c r="CEC11" s="12"/>
      <c r="CED11" s="12"/>
      <c r="CEU11" s="12"/>
      <c r="CEV11" s="12"/>
      <c r="CFM11" s="12"/>
      <c r="CFN11" s="12"/>
      <c r="CGE11" s="12"/>
      <c r="CGF11" s="12"/>
      <c r="CGW11" s="12"/>
      <c r="CGX11" s="12"/>
      <c r="CHO11" s="12"/>
      <c r="CHP11" s="12"/>
      <c r="CIG11" s="12"/>
      <c r="CIH11" s="12"/>
      <c r="CIY11" s="12"/>
      <c r="CIZ11" s="12"/>
      <c r="CJQ11" s="12"/>
      <c r="CJR11" s="12"/>
      <c r="CKI11" s="12"/>
      <c r="CKJ11" s="12"/>
      <c r="CLA11" s="12"/>
      <c r="CLB11" s="12"/>
      <c r="CLS11" s="12"/>
      <c r="CLT11" s="12"/>
      <c r="CMK11" s="12"/>
      <c r="CML11" s="12"/>
      <c r="CNC11" s="12"/>
      <c r="CND11" s="12"/>
      <c r="CNU11" s="12"/>
      <c r="CNV11" s="12"/>
      <c r="COM11" s="12"/>
      <c r="CON11" s="12"/>
      <c r="CPE11" s="12"/>
      <c r="CPF11" s="12"/>
      <c r="CPW11" s="12"/>
      <c r="CPX11" s="12"/>
      <c r="CQO11" s="12"/>
      <c r="CQP11" s="12"/>
      <c r="CRG11" s="12"/>
      <c r="CRH11" s="12"/>
      <c r="CRY11" s="12"/>
      <c r="CRZ11" s="12"/>
      <c r="CSQ11" s="12"/>
      <c r="CSR11" s="12"/>
      <c r="CTI11" s="12"/>
      <c r="CTJ11" s="12"/>
      <c r="CUA11" s="12"/>
      <c r="CUB11" s="12"/>
      <c r="CUS11" s="12"/>
      <c r="CUT11" s="12"/>
      <c r="CVK11" s="12"/>
      <c r="CVL11" s="12"/>
      <c r="CWC11" s="12"/>
      <c r="CWD11" s="12"/>
      <c r="CWU11" s="12"/>
      <c r="CWV11" s="12"/>
      <c r="CXM11" s="12"/>
      <c r="CXN11" s="12"/>
      <c r="CYE11" s="12"/>
      <c r="CYF11" s="12"/>
      <c r="CYW11" s="12"/>
      <c r="CYX11" s="12"/>
      <c r="CZO11" s="12"/>
      <c r="CZP11" s="12"/>
      <c r="DAG11" s="12"/>
      <c r="DAH11" s="12"/>
      <c r="DAY11" s="12"/>
      <c r="DAZ11" s="12"/>
      <c r="DBQ11" s="12"/>
      <c r="DBR11" s="12"/>
      <c r="DCI11" s="12"/>
      <c r="DCJ11" s="12"/>
      <c r="DDA11" s="12"/>
      <c r="DDB11" s="12"/>
      <c r="DDS11" s="12"/>
      <c r="DDT11" s="12"/>
      <c r="DEK11" s="12"/>
      <c r="DEL11" s="12"/>
      <c r="DFC11" s="12"/>
      <c r="DFD11" s="12"/>
      <c r="DFU11" s="12"/>
      <c r="DFV11" s="12"/>
      <c r="DGM11" s="12"/>
      <c r="DGN11" s="12"/>
      <c r="DHE11" s="12"/>
      <c r="DHF11" s="12"/>
      <c r="DHW11" s="12"/>
      <c r="DHX11" s="12"/>
      <c r="DIO11" s="12"/>
      <c r="DIP11" s="12"/>
      <c r="DJG11" s="12"/>
      <c r="DJH11" s="12"/>
      <c r="DJY11" s="12"/>
      <c r="DJZ11" s="12"/>
      <c r="DKQ11" s="12"/>
      <c r="DKR11" s="12"/>
      <c r="DLI11" s="12"/>
      <c r="DLJ11" s="12"/>
      <c r="DMA11" s="12"/>
      <c r="DMB11" s="12"/>
      <c r="DMS11" s="12"/>
      <c r="DMT11" s="12"/>
      <c r="DNK11" s="12"/>
      <c r="DNL11" s="12"/>
      <c r="DOC11" s="12"/>
      <c r="DOD11" s="12"/>
      <c r="DOU11" s="12"/>
      <c r="DOV11" s="12"/>
      <c r="DPM11" s="12"/>
      <c r="DPN11" s="12"/>
      <c r="DQE11" s="12"/>
      <c r="DQF11" s="12"/>
      <c r="DQW11" s="12"/>
      <c r="DQX11" s="12"/>
      <c r="DRO11" s="12"/>
      <c r="DRP11" s="12"/>
      <c r="DSG11" s="12"/>
      <c r="DSH11" s="12"/>
      <c r="DSY11" s="12"/>
      <c r="DSZ11" s="12"/>
      <c r="DTQ11" s="12"/>
      <c r="DTR11" s="12"/>
      <c r="DUI11" s="12"/>
      <c r="DUJ11" s="12"/>
      <c r="DVA11" s="12"/>
      <c r="DVB11" s="12"/>
      <c r="DVS11" s="12"/>
      <c r="DVT11" s="12"/>
      <c r="DWK11" s="12"/>
      <c r="DWL11" s="12"/>
      <c r="DXC11" s="12"/>
      <c r="DXD11" s="12"/>
      <c r="DXU11" s="12"/>
      <c r="DXV11" s="12"/>
      <c r="DYM11" s="12"/>
      <c r="DYN11" s="12"/>
      <c r="DZE11" s="12"/>
      <c r="DZF11" s="12"/>
      <c r="DZW11" s="12"/>
      <c r="DZX11" s="12"/>
      <c r="EAO11" s="12"/>
      <c r="EAP11" s="12"/>
      <c r="EBG11" s="12"/>
      <c r="EBH11" s="12"/>
      <c r="EBY11" s="12"/>
      <c r="EBZ11" s="12"/>
      <c r="ECQ11" s="12"/>
      <c r="ECR11" s="12"/>
      <c r="EDI11" s="12"/>
      <c r="EDJ11" s="12"/>
      <c r="EEA11" s="12"/>
      <c r="EEB11" s="12"/>
      <c r="EES11" s="12"/>
      <c r="EET11" s="12"/>
      <c r="EFK11" s="12"/>
      <c r="EFL11" s="12"/>
      <c r="EGC11" s="12"/>
      <c r="EGD11" s="12"/>
      <c r="EGU11" s="12"/>
      <c r="EGV11" s="12"/>
      <c r="EHM11" s="12"/>
      <c r="EHN11" s="12"/>
      <c r="EIE11" s="12"/>
      <c r="EIF11" s="12"/>
      <c r="EIW11" s="12"/>
      <c r="EIX11" s="12"/>
      <c r="EJO11" s="12"/>
      <c r="EJP11" s="12"/>
      <c r="EKG11" s="12"/>
      <c r="EKH11" s="12"/>
      <c r="EKY11" s="12"/>
      <c r="EKZ11" s="12"/>
      <c r="ELQ11" s="12"/>
      <c r="ELR11" s="12"/>
      <c r="EMI11" s="12"/>
      <c r="EMJ11" s="12"/>
      <c r="ENA11" s="12"/>
      <c r="ENB11" s="12"/>
      <c r="ENS11" s="12"/>
      <c r="ENT11" s="12"/>
      <c r="EOK11" s="12"/>
      <c r="EOL11" s="12"/>
      <c r="EPC11" s="12"/>
      <c r="EPD11" s="12"/>
      <c r="EPU11" s="12"/>
      <c r="EPV11" s="12"/>
      <c r="EQM11" s="12"/>
      <c r="EQN11" s="12"/>
      <c r="ERE11" s="12"/>
      <c r="ERF11" s="12"/>
      <c r="ERW11" s="12"/>
      <c r="ERX11" s="12"/>
      <c r="ESO11" s="12"/>
      <c r="ESP11" s="12"/>
      <c r="ETG11" s="12"/>
      <c r="ETH11" s="12"/>
      <c r="ETY11" s="12"/>
      <c r="ETZ11" s="12"/>
      <c r="EUQ11" s="12"/>
      <c r="EUR11" s="12"/>
      <c r="EVI11" s="12"/>
      <c r="EVJ11" s="12"/>
      <c r="EWA11" s="12"/>
      <c r="EWB11" s="12"/>
      <c r="EWS11" s="12"/>
      <c r="EWT11" s="12"/>
      <c r="EXK11" s="12"/>
      <c r="EXL11" s="12"/>
      <c r="EYC11" s="12"/>
      <c r="EYD11" s="12"/>
      <c r="EYU11" s="12"/>
      <c r="EYV11" s="12"/>
      <c r="EZM11" s="12"/>
      <c r="EZN11" s="12"/>
      <c r="FAE11" s="12"/>
      <c r="FAF11" s="12"/>
      <c r="FAW11" s="12"/>
      <c r="FAX11" s="12"/>
      <c r="FBO11" s="12"/>
      <c r="FBP11" s="12"/>
      <c r="FCG11" s="12"/>
      <c r="FCH11" s="12"/>
      <c r="FCY11" s="12"/>
      <c r="FCZ11" s="12"/>
      <c r="FDQ11" s="12"/>
      <c r="FDR11" s="12"/>
      <c r="FEI11" s="12"/>
      <c r="FEJ11" s="12"/>
      <c r="FFA11" s="12"/>
      <c r="FFB11" s="12"/>
      <c r="FFS11" s="12"/>
      <c r="FFT11" s="12"/>
      <c r="FGK11" s="12"/>
      <c r="FGL11" s="12"/>
      <c r="FHC11" s="12"/>
      <c r="FHD11" s="12"/>
      <c r="FHU11" s="12"/>
      <c r="FHV11" s="12"/>
      <c r="FIM11" s="12"/>
      <c r="FIN11" s="12"/>
      <c r="FJE11" s="12"/>
      <c r="FJF11" s="12"/>
      <c r="FJW11" s="12"/>
      <c r="FJX11" s="12"/>
      <c r="FKO11" s="12"/>
      <c r="FKP11" s="12"/>
      <c r="FLG11" s="12"/>
      <c r="FLH11" s="12"/>
      <c r="FLY11" s="12"/>
      <c r="FLZ11" s="12"/>
      <c r="FMQ11" s="12"/>
      <c r="FMR11" s="12"/>
      <c r="FNI11" s="12"/>
      <c r="FNJ11" s="12"/>
      <c r="FOA11" s="12"/>
      <c r="FOB11" s="12"/>
      <c r="FOS11" s="12"/>
      <c r="FOT11" s="12"/>
      <c r="FPK11" s="12"/>
      <c r="FPL11" s="12"/>
      <c r="FQC11" s="12"/>
      <c r="FQD11" s="12"/>
      <c r="FQU11" s="12"/>
      <c r="FQV11" s="12"/>
      <c r="FRM11" s="12"/>
      <c r="FRN11" s="12"/>
      <c r="FSE11" s="12"/>
      <c r="FSF11" s="12"/>
      <c r="FSW11" s="12"/>
      <c r="FSX11" s="12"/>
      <c r="FTO11" s="12"/>
      <c r="FTP11" s="12"/>
      <c r="FUG11" s="12"/>
      <c r="FUH11" s="12"/>
      <c r="FUY11" s="12"/>
      <c r="FUZ11" s="12"/>
      <c r="FVQ11" s="12"/>
      <c r="FVR11" s="12"/>
      <c r="FWI11" s="12"/>
      <c r="FWJ11" s="12"/>
      <c r="FXA11" s="12"/>
      <c r="FXB11" s="12"/>
      <c r="FXS11" s="12"/>
      <c r="FXT11" s="12"/>
      <c r="FYK11" s="12"/>
      <c r="FYL11" s="12"/>
      <c r="FZC11" s="12"/>
      <c r="FZD11" s="12"/>
      <c r="FZU11" s="12"/>
      <c r="FZV11" s="12"/>
      <c r="GAM11" s="12"/>
      <c r="GAN11" s="12"/>
      <c r="GBE11" s="12"/>
      <c r="GBF11" s="12"/>
      <c r="GBW11" s="12"/>
      <c r="GBX11" s="12"/>
      <c r="GCO11" s="12"/>
      <c r="GCP11" s="12"/>
      <c r="GDG11" s="12"/>
      <c r="GDH11" s="12"/>
      <c r="GDY11" s="12"/>
      <c r="GDZ11" s="12"/>
      <c r="GEQ11" s="12"/>
      <c r="GER11" s="12"/>
      <c r="GFI11" s="12"/>
      <c r="GFJ11" s="12"/>
      <c r="GGA11" s="12"/>
      <c r="GGB11" s="12"/>
      <c r="GGS11" s="12"/>
      <c r="GGT11" s="12"/>
      <c r="GHK11" s="12"/>
      <c r="GHL11" s="12"/>
      <c r="GIC11" s="12"/>
      <c r="GID11" s="12"/>
      <c r="GIU11" s="12"/>
      <c r="GIV11" s="12"/>
      <c r="GJM11" s="12"/>
      <c r="GJN11" s="12"/>
      <c r="GKE11" s="12"/>
      <c r="GKF11" s="12"/>
      <c r="GKW11" s="12"/>
      <c r="GKX11" s="12"/>
      <c r="GLO11" s="12"/>
      <c r="GLP11" s="12"/>
      <c r="GMG11" s="12"/>
      <c r="GMH11" s="12"/>
      <c r="GMY11" s="12"/>
      <c r="GMZ11" s="12"/>
      <c r="GNQ11" s="12"/>
      <c r="GNR11" s="12"/>
      <c r="GOI11" s="12"/>
      <c r="GOJ11" s="12"/>
      <c r="GPA11" s="12"/>
      <c r="GPB11" s="12"/>
      <c r="GPS11" s="12"/>
      <c r="GPT11" s="12"/>
      <c r="GQK11" s="12"/>
      <c r="GQL11" s="12"/>
      <c r="GRC11" s="12"/>
      <c r="GRD11" s="12"/>
      <c r="GRU11" s="12"/>
      <c r="GRV11" s="12"/>
      <c r="GSM11" s="12"/>
      <c r="GSN11" s="12"/>
      <c r="GTE11" s="12"/>
      <c r="GTF11" s="12"/>
      <c r="GTW11" s="12"/>
      <c r="GTX11" s="12"/>
      <c r="GUO11" s="12"/>
      <c r="GUP11" s="12"/>
      <c r="GVG11" s="12"/>
      <c r="GVH11" s="12"/>
      <c r="GVY11" s="12"/>
      <c r="GVZ11" s="12"/>
      <c r="GWQ11" s="12"/>
      <c r="GWR11" s="12"/>
      <c r="GXI11" s="12"/>
      <c r="GXJ11" s="12"/>
      <c r="GYA11" s="12"/>
      <c r="GYB11" s="12"/>
      <c r="GYS11" s="12"/>
      <c r="GYT11" s="12"/>
      <c r="GZK11" s="12"/>
      <c r="GZL11" s="12"/>
      <c r="HAC11" s="12"/>
      <c r="HAD11" s="12"/>
      <c r="HAU11" s="12"/>
      <c r="HAV11" s="12"/>
      <c r="HBM11" s="12"/>
      <c r="HBN11" s="12"/>
      <c r="HCE11" s="12"/>
      <c r="HCF11" s="12"/>
      <c r="HCW11" s="12"/>
      <c r="HCX11" s="12"/>
      <c r="HDO11" s="12"/>
      <c r="HDP11" s="12"/>
      <c r="HEG11" s="12"/>
      <c r="HEH11" s="12"/>
      <c r="HEY11" s="12"/>
      <c r="HEZ11" s="12"/>
      <c r="HFQ11" s="12"/>
      <c r="HFR11" s="12"/>
      <c r="HGI11" s="12"/>
      <c r="HGJ11" s="12"/>
      <c r="HHA11" s="12"/>
      <c r="HHB11" s="12"/>
      <c r="HHS11" s="12"/>
      <c r="HHT11" s="12"/>
      <c r="HIK11" s="12"/>
      <c r="HIL11" s="12"/>
      <c r="HJC11" s="12"/>
      <c r="HJD11" s="12"/>
      <c r="HJU11" s="12"/>
      <c r="HJV11" s="12"/>
      <c r="HKM11" s="12"/>
      <c r="HKN11" s="12"/>
      <c r="HLE11" s="12"/>
      <c r="HLF11" s="12"/>
      <c r="HLW11" s="12"/>
      <c r="HLX11" s="12"/>
      <c r="HMO11" s="12"/>
      <c r="HMP11" s="12"/>
      <c r="HNG11" s="12"/>
      <c r="HNH11" s="12"/>
      <c r="HNY11" s="12"/>
      <c r="HNZ11" s="12"/>
      <c r="HOQ11" s="12"/>
      <c r="HOR11" s="12"/>
      <c r="HPI11" s="12"/>
      <c r="HPJ11" s="12"/>
      <c r="HQA11" s="12"/>
      <c r="HQB11" s="12"/>
      <c r="HQS11" s="12"/>
      <c r="HQT11" s="12"/>
      <c r="HRK11" s="12"/>
      <c r="HRL11" s="12"/>
      <c r="HSC11" s="12"/>
      <c r="HSD11" s="12"/>
      <c r="HSU11" s="12"/>
      <c r="HSV11" s="12"/>
      <c r="HTM11" s="12"/>
      <c r="HTN11" s="12"/>
      <c r="HUE11" s="12"/>
      <c r="HUF11" s="12"/>
      <c r="HUW11" s="12"/>
      <c r="HUX11" s="12"/>
      <c r="HVO11" s="12"/>
      <c r="HVP11" s="12"/>
      <c r="HWG11" s="12"/>
      <c r="HWH11" s="12"/>
      <c r="HWY11" s="12"/>
      <c r="HWZ11" s="12"/>
      <c r="HXQ11" s="12"/>
      <c r="HXR11" s="12"/>
      <c r="HYI11" s="12"/>
      <c r="HYJ11" s="12"/>
      <c r="HZA11" s="12"/>
      <c r="HZB11" s="12"/>
      <c r="HZS11" s="12"/>
      <c r="HZT11" s="12"/>
      <c r="IAK11" s="12"/>
      <c r="IAL11" s="12"/>
      <c r="IBC11" s="12"/>
      <c r="IBD11" s="12"/>
      <c r="IBU11" s="12"/>
      <c r="IBV11" s="12"/>
      <c r="ICM11" s="12"/>
      <c r="ICN11" s="12"/>
      <c r="IDE11" s="12"/>
      <c r="IDF11" s="12"/>
      <c r="IDW11" s="12"/>
      <c r="IDX11" s="12"/>
      <c r="IEO11" s="12"/>
      <c r="IEP11" s="12"/>
      <c r="IFG11" s="12"/>
      <c r="IFH11" s="12"/>
      <c r="IFY11" s="12"/>
      <c r="IFZ11" s="12"/>
      <c r="IGQ11" s="12"/>
      <c r="IGR11" s="12"/>
      <c r="IHI11" s="12"/>
      <c r="IHJ11" s="12"/>
      <c r="IIA11" s="12"/>
      <c r="IIB11" s="12"/>
      <c r="IIS11" s="12"/>
      <c r="IIT11" s="12"/>
      <c r="IJK11" s="12"/>
      <c r="IJL11" s="12"/>
      <c r="IKC11" s="12"/>
      <c r="IKD11" s="12"/>
      <c r="IKU11" s="12"/>
      <c r="IKV11" s="12"/>
      <c r="ILM11" s="12"/>
      <c r="ILN11" s="12"/>
      <c r="IME11" s="12"/>
      <c r="IMF11" s="12"/>
      <c r="IMW11" s="12"/>
      <c r="IMX11" s="12"/>
      <c r="INO11" s="12"/>
      <c r="INP11" s="12"/>
      <c r="IOG11" s="12"/>
      <c r="IOH11" s="12"/>
      <c r="IOY11" s="12"/>
      <c r="IOZ11" s="12"/>
      <c r="IPQ11" s="12"/>
      <c r="IPR11" s="12"/>
      <c r="IQI11" s="12"/>
      <c r="IQJ11" s="12"/>
      <c r="IRA11" s="12"/>
      <c r="IRB11" s="12"/>
      <c r="IRS11" s="12"/>
      <c r="IRT11" s="12"/>
      <c r="ISK11" s="12"/>
      <c r="ISL11" s="12"/>
      <c r="ITC11" s="12"/>
      <c r="ITD11" s="12"/>
      <c r="ITU11" s="12"/>
      <c r="ITV11" s="12"/>
      <c r="IUM11" s="12"/>
      <c r="IUN11" s="12"/>
      <c r="IVE11" s="12"/>
      <c r="IVF11" s="12"/>
      <c r="IVW11" s="12"/>
      <c r="IVX11" s="12"/>
      <c r="IWO11" s="12"/>
      <c r="IWP11" s="12"/>
      <c r="IXG11" s="12"/>
      <c r="IXH11" s="12"/>
      <c r="IXY11" s="12"/>
      <c r="IXZ11" s="12"/>
      <c r="IYQ11" s="12"/>
      <c r="IYR11" s="12"/>
      <c r="IZI11" s="12"/>
      <c r="IZJ11" s="12"/>
      <c r="JAA11" s="12"/>
      <c r="JAB11" s="12"/>
      <c r="JAS11" s="12"/>
      <c r="JAT11" s="12"/>
      <c r="JBK11" s="12"/>
      <c r="JBL11" s="12"/>
      <c r="JCC11" s="12"/>
      <c r="JCD11" s="12"/>
      <c r="JCU11" s="12"/>
      <c r="JCV11" s="12"/>
      <c r="JDM11" s="12"/>
      <c r="JDN11" s="12"/>
      <c r="JEE11" s="12"/>
      <c r="JEF11" s="12"/>
      <c r="JEW11" s="12"/>
      <c r="JEX11" s="12"/>
      <c r="JFO11" s="12"/>
      <c r="JFP11" s="12"/>
      <c r="JGG11" s="12"/>
      <c r="JGH11" s="12"/>
      <c r="JGY11" s="12"/>
      <c r="JGZ11" s="12"/>
      <c r="JHQ11" s="12"/>
      <c r="JHR11" s="12"/>
      <c r="JII11" s="12"/>
      <c r="JIJ11" s="12"/>
      <c r="JJA11" s="12"/>
      <c r="JJB11" s="12"/>
      <c r="JJS11" s="12"/>
      <c r="JJT11" s="12"/>
      <c r="JKK11" s="12"/>
      <c r="JKL11" s="12"/>
      <c r="JLC11" s="12"/>
      <c r="JLD11" s="12"/>
      <c r="JLU11" s="12"/>
      <c r="JLV11" s="12"/>
      <c r="JMM11" s="12"/>
      <c r="JMN11" s="12"/>
      <c r="JNE11" s="12"/>
      <c r="JNF11" s="12"/>
      <c r="JNW11" s="12"/>
      <c r="JNX11" s="12"/>
      <c r="JOO11" s="12"/>
      <c r="JOP11" s="12"/>
      <c r="JPG11" s="12"/>
      <c r="JPH11" s="12"/>
      <c r="JPY11" s="12"/>
      <c r="JPZ11" s="12"/>
      <c r="JQQ11" s="12"/>
      <c r="JQR11" s="12"/>
      <c r="JRI11" s="12"/>
      <c r="JRJ11" s="12"/>
      <c r="JSA11" s="12"/>
      <c r="JSB11" s="12"/>
      <c r="JSS11" s="12"/>
      <c r="JST11" s="12"/>
      <c r="JTK11" s="12"/>
      <c r="JTL11" s="12"/>
      <c r="JUC11" s="12"/>
      <c r="JUD11" s="12"/>
      <c r="JUU11" s="12"/>
      <c r="JUV11" s="12"/>
      <c r="JVM11" s="12"/>
      <c r="JVN11" s="12"/>
      <c r="JWE11" s="12"/>
      <c r="JWF11" s="12"/>
      <c r="JWW11" s="12"/>
      <c r="JWX11" s="12"/>
      <c r="JXO11" s="12"/>
      <c r="JXP11" s="12"/>
      <c r="JYG11" s="12"/>
      <c r="JYH11" s="12"/>
      <c r="JYY11" s="12"/>
      <c r="JYZ11" s="12"/>
      <c r="JZQ11" s="12"/>
      <c r="JZR11" s="12"/>
      <c r="KAI11" s="12"/>
      <c r="KAJ11" s="12"/>
      <c r="KBA11" s="12"/>
      <c r="KBB11" s="12"/>
      <c r="KBS11" s="12"/>
      <c r="KBT11" s="12"/>
      <c r="KCK11" s="12"/>
      <c r="KCL11" s="12"/>
      <c r="KDC11" s="12"/>
      <c r="KDD11" s="12"/>
      <c r="KDU11" s="12"/>
      <c r="KDV11" s="12"/>
      <c r="KEM11" s="12"/>
      <c r="KEN11" s="12"/>
      <c r="KFE11" s="12"/>
      <c r="KFF11" s="12"/>
      <c r="KFW11" s="12"/>
      <c r="KFX11" s="12"/>
      <c r="KGO11" s="12"/>
      <c r="KGP11" s="12"/>
      <c r="KHG11" s="12"/>
      <c r="KHH11" s="12"/>
      <c r="KHY11" s="12"/>
      <c r="KHZ11" s="12"/>
      <c r="KIQ11" s="12"/>
      <c r="KIR11" s="12"/>
      <c r="KJI11" s="12"/>
      <c r="KJJ11" s="12"/>
      <c r="KKA11" s="12"/>
      <c r="KKB11" s="12"/>
      <c r="KKS11" s="12"/>
      <c r="KKT11" s="12"/>
      <c r="KLK11" s="12"/>
      <c r="KLL11" s="12"/>
      <c r="KMC11" s="12"/>
      <c r="KMD11" s="12"/>
      <c r="KMU11" s="12"/>
      <c r="KMV11" s="12"/>
      <c r="KNM11" s="12"/>
      <c r="KNN11" s="12"/>
      <c r="KOE11" s="12"/>
      <c r="KOF11" s="12"/>
      <c r="KOW11" s="12"/>
      <c r="KOX11" s="12"/>
      <c r="KPO11" s="12"/>
      <c r="KPP11" s="12"/>
      <c r="KQG11" s="12"/>
      <c r="KQH11" s="12"/>
      <c r="KQY11" s="12"/>
      <c r="KQZ11" s="12"/>
      <c r="KRQ11" s="12"/>
      <c r="KRR11" s="12"/>
      <c r="KSI11" s="12"/>
      <c r="KSJ11" s="12"/>
      <c r="KTA11" s="12"/>
      <c r="KTB11" s="12"/>
      <c r="KTS11" s="12"/>
      <c r="KTT11" s="12"/>
      <c r="KUK11" s="12"/>
      <c r="KUL11" s="12"/>
      <c r="KVC11" s="12"/>
      <c r="KVD11" s="12"/>
      <c r="KVU11" s="12"/>
      <c r="KVV11" s="12"/>
      <c r="KWM11" s="12"/>
      <c r="KWN11" s="12"/>
      <c r="KXE11" s="12"/>
      <c r="KXF11" s="12"/>
      <c r="KXW11" s="12"/>
      <c r="KXX11" s="12"/>
      <c r="KYO11" s="12"/>
      <c r="KYP11" s="12"/>
      <c r="KZG11" s="12"/>
      <c r="KZH11" s="12"/>
      <c r="KZY11" s="12"/>
      <c r="KZZ11" s="12"/>
      <c r="LAQ11" s="12"/>
      <c r="LAR11" s="12"/>
      <c r="LBI11" s="12"/>
      <c r="LBJ11" s="12"/>
      <c r="LCA11" s="12"/>
      <c r="LCB11" s="12"/>
      <c r="LCS11" s="12"/>
      <c r="LCT11" s="12"/>
      <c r="LDK11" s="12"/>
      <c r="LDL11" s="12"/>
      <c r="LEC11" s="12"/>
      <c r="LED11" s="12"/>
      <c r="LEU11" s="12"/>
      <c r="LEV11" s="12"/>
      <c r="LFM11" s="12"/>
      <c r="LFN11" s="12"/>
      <c r="LGE11" s="12"/>
      <c r="LGF11" s="12"/>
      <c r="LGW11" s="12"/>
      <c r="LGX11" s="12"/>
      <c r="LHO11" s="12"/>
      <c r="LHP11" s="12"/>
      <c r="LIG11" s="12"/>
      <c r="LIH11" s="12"/>
      <c r="LIY11" s="12"/>
      <c r="LIZ11" s="12"/>
      <c r="LJQ11" s="12"/>
      <c r="LJR11" s="12"/>
      <c r="LKI11" s="12"/>
      <c r="LKJ11" s="12"/>
      <c r="LLA11" s="12"/>
      <c r="LLB11" s="12"/>
      <c r="LLS11" s="12"/>
      <c r="LLT11" s="12"/>
      <c r="LMK11" s="12"/>
      <c r="LML11" s="12"/>
      <c r="LNC11" s="12"/>
      <c r="LND11" s="12"/>
      <c r="LNU11" s="12"/>
      <c r="LNV11" s="12"/>
      <c r="LOM11" s="12"/>
      <c r="LON11" s="12"/>
      <c r="LPE11" s="12"/>
      <c r="LPF11" s="12"/>
      <c r="LPW11" s="12"/>
      <c r="LPX11" s="12"/>
      <c r="LQO11" s="12"/>
      <c r="LQP11" s="12"/>
      <c r="LRG11" s="12"/>
      <c r="LRH11" s="12"/>
      <c r="LRY11" s="12"/>
      <c r="LRZ11" s="12"/>
      <c r="LSQ11" s="12"/>
      <c r="LSR11" s="12"/>
      <c r="LTI11" s="12"/>
      <c r="LTJ11" s="12"/>
      <c r="LUA11" s="12"/>
      <c r="LUB11" s="12"/>
      <c r="LUS11" s="12"/>
      <c r="LUT11" s="12"/>
      <c r="LVK11" s="12"/>
      <c r="LVL11" s="12"/>
      <c r="LWC11" s="12"/>
      <c r="LWD11" s="12"/>
      <c r="LWU11" s="12"/>
      <c r="LWV11" s="12"/>
      <c r="LXM11" s="12"/>
      <c r="LXN11" s="12"/>
      <c r="LYE11" s="12"/>
      <c r="LYF11" s="12"/>
      <c r="LYW11" s="12"/>
      <c r="LYX11" s="12"/>
      <c r="LZO11" s="12"/>
      <c r="LZP11" s="12"/>
      <c r="MAG11" s="12"/>
      <c r="MAH11" s="12"/>
      <c r="MAY11" s="12"/>
      <c r="MAZ11" s="12"/>
      <c r="MBQ11" s="12"/>
      <c r="MBR11" s="12"/>
      <c r="MCI11" s="12"/>
      <c r="MCJ11" s="12"/>
      <c r="MDA11" s="12"/>
      <c r="MDB11" s="12"/>
      <c r="MDS11" s="12"/>
      <c r="MDT11" s="12"/>
      <c r="MEK11" s="12"/>
      <c r="MEL11" s="12"/>
      <c r="MFC11" s="12"/>
      <c r="MFD11" s="12"/>
      <c r="MFU11" s="12"/>
      <c r="MFV11" s="12"/>
      <c r="MGM11" s="12"/>
      <c r="MGN11" s="12"/>
      <c r="MHE11" s="12"/>
      <c r="MHF11" s="12"/>
      <c r="MHW11" s="12"/>
      <c r="MHX11" s="12"/>
      <c r="MIO11" s="12"/>
      <c r="MIP11" s="12"/>
      <c r="MJG11" s="12"/>
      <c r="MJH11" s="12"/>
      <c r="MJY11" s="12"/>
      <c r="MJZ11" s="12"/>
      <c r="MKQ11" s="12"/>
      <c r="MKR11" s="12"/>
      <c r="MLI11" s="12"/>
      <c r="MLJ11" s="12"/>
      <c r="MMA11" s="12"/>
      <c r="MMB11" s="12"/>
      <c r="MMS11" s="12"/>
      <c r="MMT11" s="12"/>
      <c r="MNK11" s="12"/>
      <c r="MNL11" s="12"/>
      <c r="MOC11" s="12"/>
      <c r="MOD11" s="12"/>
      <c r="MOU11" s="12"/>
      <c r="MOV11" s="12"/>
      <c r="MPM11" s="12"/>
      <c r="MPN11" s="12"/>
      <c r="MQE11" s="12"/>
      <c r="MQF11" s="12"/>
      <c r="MQW11" s="12"/>
      <c r="MQX11" s="12"/>
      <c r="MRO11" s="12"/>
      <c r="MRP11" s="12"/>
      <c r="MSG11" s="12"/>
      <c r="MSH11" s="12"/>
      <c r="MSY11" s="12"/>
      <c r="MSZ11" s="12"/>
      <c r="MTQ11" s="12"/>
      <c r="MTR11" s="12"/>
      <c r="MUI11" s="12"/>
      <c r="MUJ11" s="12"/>
      <c r="MVA11" s="12"/>
      <c r="MVB11" s="12"/>
      <c r="MVS11" s="12"/>
      <c r="MVT11" s="12"/>
      <c r="MWK11" s="12"/>
      <c r="MWL11" s="12"/>
      <c r="MXC11" s="12"/>
      <c r="MXD11" s="12"/>
      <c r="MXU11" s="12"/>
      <c r="MXV11" s="12"/>
      <c r="MYM11" s="12"/>
      <c r="MYN11" s="12"/>
      <c r="MZE11" s="12"/>
      <c r="MZF11" s="12"/>
      <c r="MZW11" s="12"/>
      <c r="MZX11" s="12"/>
      <c r="NAO11" s="12"/>
      <c r="NAP11" s="12"/>
      <c r="NBG11" s="12"/>
      <c r="NBH11" s="12"/>
      <c r="NBY11" s="12"/>
      <c r="NBZ11" s="12"/>
      <c r="NCQ11" s="12"/>
      <c r="NCR11" s="12"/>
      <c r="NDI11" s="12"/>
      <c r="NDJ11" s="12"/>
      <c r="NEA11" s="12"/>
      <c r="NEB11" s="12"/>
      <c r="NES11" s="12"/>
      <c r="NET11" s="12"/>
      <c r="NFK11" s="12"/>
      <c r="NFL11" s="12"/>
      <c r="NGC11" s="12"/>
      <c r="NGD11" s="12"/>
      <c r="NGU11" s="12"/>
      <c r="NGV11" s="12"/>
      <c r="NHM11" s="12"/>
      <c r="NHN11" s="12"/>
      <c r="NIE11" s="12"/>
      <c r="NIF11" s="12"/>
      <c r="NIW11" s="12"/>
      <c r="NIX11" s="12"/>
      <c r="NJO11" s="12"/>
      <c r="NJP11" s="12"/>
      <c r="NKG11" s="12"/>
      <c r="NKH11" s="12"/>
      <c r="NKY11" s="12"/>
      <c r="NKZ11" s="12"/>
      <c r="NLQ11" s="12"/>
      <c r="NLR11" s="12"/>
      <c r="NMI11" s="12"/>
      <c r="NMJ11" s="12"/>
      <c r="NNA11" s="12"/>
      <c r="NNB11" s="12"/>
      <c r="NNS11" s="12"/>
      <c r="NNT11" s="12"/>
      <c r="NOK11" s="12"/>
      <c r="NOL11" s="12"/>
      <c r="NPC11" s="12"/>
      <c r="NPD11" s="12"/>
      <c r="NPU11" s="12"/>
      <c r="NPV11" s="12"/>
      <c r="NQM11" s="12"/>
      <c r="NQN11" s="12"/>
      <c r="NRE11" s="12"/>
      <c r="NRF11" s="12"/>
      <c r="NRW11" s="12"/>
      <c r="NRX11" s="12"/>
      <c r="NSO11" s="12"/>
      <c r="NSP11" s="12"/>
      <c r="NTG11" s="12"/>
      <c r="NTH11" s="12"/>
      <c r="NTY11" s="12"/>
      <c r="NTZ11" s="12"/>
      <c r="NUQ11" s="12"/>
      <c r="NUR11" s="12"/>
      <c r="NVI11" s="12"/>
      <c r="NVJ11" s="12"/>
      <c r="NWA11" s="12"/>
      <c r="NWB11" s="12"/>
      <c r="NWS11" s="12"/>
      <c r="NWT11" s="12"/>
      <c r="NXK11" s="12"/>
      <c r="NXL11" s="12"/>
      <c r="NYC11" s="12"/>
      <c r="NYD11" s="12"/>
      <c r="NYU11" s="12"/>
      <c r="NYV11" s="12"/>
      <c r="NZM11" s="12"/>
      <c r="NZN11" s="12"/>
      <c r="OAE11" s="12"/>
      <c r="OAF11" s="12"/>
      <c r="OAW11" s="12"/>
      <c r="OAX11" s="12"/>
      <c r="OBO11" s="12"/>
      <c r="OBP11" s="12"/>
      <c r="OCG11" s="12"/>
      <c r="OCH11" s="12"/>
      <c r="OCY11" s="12"/>
      <c r="OCZ11" s="12"/>
      <c r="ODQ11" s="12"/>
      <c r="ODR11" s="12"/>
      <c r="OEI11" s="12"/>
      <c r="OEJ11" s="12"/>
      <c r="OFA11" s="12"/>
      <c r="OFB11" s="12"/>
      <c r="OFS11" s="12"/>
      <c r="OFT11" s="12"/>
      <c r="OGK11" s="12"/>
      <c r="OGL11" s="12"/>
      <c r="OHC11" s="12"/>
      <c r="OHD11" s="12"/>
      <c r="OHU11" s="12"/>
      <c r="OHV11" s="12"/>
      <c r="OIM11" s="12"/>
      <c r="OIN11" s="12"/>
      <c r="OJE11" s="12"/>
      <c r="OJF11" s="12"/>
      <c r="OJW11" s="12"/>
      <c r="OJX11" s="12"/>
      <c r="OKO11" s="12"/>
      <c r="OKP11" s="12"/>
      <c r="OLG11" s="12"/>
      <c r="OLH11" s="12"/>
      <c r="OLY11" s="12"/>
      <c r="OLZ11" s="12"/>
      <c r="OMQ11" s="12"/>
      <c r="OMR11" s="12"/>
      <c r="ONI11" s="12"/>
      <c r="ONJ11" s="12"/>
      <c r="OOA11" s="12"/>
      <c r="OOB11" s="12"/>
      <c r="OOS11" s="12"/>
      <c r="OOT11" s="12"/>
      <c r="OPK11" s="12"/>
      <c r="OPL11" s="12"/>
      <c r="OQC11" s="12"/>
      <c r="OQD11" s="12"/>
      <c r="OQU11" s="12"/>
      <c r="OQV11" s="12"/>
      <c r="ORM11" s="12"/>
      <c r="ORN11" s="12"/>
      <c r="OSE11" s="12"/>
      <c r="OSF11" s="12"/>
      <c r="OSW11" s="12"/>
      <c r="OSX11" s="12"/>
      <c r="OTO11" s="12"/>
      <c r="OTP11" s="12"/>
      <c r="OUG11" s="12"/>
      <c r="OUH11" s="12"/>
      <c r="OUY11" s="12"/>
      <c r="OUZ11" s="12"/>
      <c r="OVQ11" s="12"/>
      <c r="OVR11" s="12"/>
      <c r="OWI11" s="12"/>
      <c r="OWJ11" s="12"/>
      <c r="OXA11" s="12"/>
      <c r="OXB11" s="12"/>
      <c r="OXS11" s="12"/>
      <c r="OXT11" s="12"/>
      <c r="OYK11" s="12"/>
      <c r="OYL11" s="12"/>
      <c r="OZC11" s="12"/>
      <c r="OZD11" s="12"/>
      <c r="OZU11" s="12"/>
      <c r="OZV11" s="12"/>
      <c r="PAM11" s="12"/>
      <c r="PAN11" s="12"/>
      <c r="PBE11" s="12"/>
      <c r="PBF11" s="12"/>
      <c r="PBW11" s="12"/>
      <c r="PBX11" s="12"/>
      <c r="PCO11" s="12"/>
      <c r="PCP11" s="12"/>
      <c r="PDG11" s="12"/>
      <c r="PDH11" s="12"/>
      <c r="PDY11" s="12"/>
      <c r="PDZ11" s="12"/>
      <c r="PEQ11" s="12"/>
      <c r="PER11" s="12"/>
      <c r="PFI11" s="12"/>
      <c r="PFJ11" s="12"/>
      <c r="PGA11" s="12"/>
      <c r="PGB11" s="12"/>
      <c r="PGS11" s="12"/>
      <c r="PGT11" s="12"/>
      <c r="PHK11" s="12"/>
      <c r="PHL11" s="12"/>
      <c r="PIC11" s="12"/>
      <c r="PID11" s="12"/>
      <c r="PIU11" s="12"/>
      <c r="PIV11" s="12"/>
      <c r="PJM11" s="12"/>
      <c r="PJN11" s="12"/>
      <c r="PKE11" s="12"/>
      <c r="PKF11" s="12"/>
      <c r="PKW11" s="12"/>
      <c r="PKX11" s="12"/>
      <c r="PLO11" s="12"/>
      <c r="PLP11" s="12"/>
      <c r="PMG11" s="12"/>
      <c r="PMH11" s="12"/>
      <c r="PMY11" s="12"/>
      <c r="PMZ11" s="12"/>
      <c r="PNQ11" s="12"/>
      <c r="PNR11" s="12"/>
      <c r="POI11" s="12"/>
      <c r="POJ11" s="12"/>
      <c r="PPA11" s="12"/>
      <c r="PPB11" s="12"/>
      <c r="PPS11" s="12"/>
      <c r="PPT11" s="12"/>
      <c r="PQK11" s="12"/>
      <c r="PQL11" s="12"/>
      <c r="PRC11" s="12"/>
      <c r="PRD11" s="12"/>
      <c r="PRU11" s="12"/>
      <c r="PRV11" s="12"/>
      <c r="PSM11" s="12"/>
      <c r="PSN11" s="12"/>
      <c r="PTE11" s="12"/>
      <c r="PTF11" s="12"/>
      <c r="PTW11" s="12"/>
      <c r="PTX11" s="12"/>
      <c r="PUO11" s="12"/>
      <c r="PUP11" s="12"/>
      <c r="PVG11" s="12"/>
      <c r="PVH11" s="12"/>
      <c r="PVY11" s="12"/>
      <c r="PVZ11" s="12"/>
      <c r="PWQ11" s="12"/>
      <c r="PWR11" s="12"/>
      <c r="PXI11" s="12"/>
      <c r="PXJ11" s="12"/>
      <c r="PYA11" s="12"/>
      <c r="PYB11" s="12"/>
      <c r="PYS11" s="12"/>
      <c r="PYT11" s="12"/>
      <c r="PZK11" s="12"/>
      <c r="PZL11" s="12"/>
      <c r="QAC11" s="12"/>
      <c r="QAD11" s="12"/>
      <c r="QAU11" s="12"/>
      <c r="QAV11" s="12"/>
      <c r="QBM11" s="12"/>
      <c r="QBN11" s="12"/>
      <c r="QCE11" s="12"/>
      <c r="QCF11" s="12"/>
      <c r="QCW11" s="12"/>
      <c r="QCX11" s="12"/>
      <c r="QDO11" s="12"/>
      <c r="QDP11" s="12"/>
      <c r="QEG11" s="12"/>
      <c r="QEH11" s="12"/>
      <c r="QEY11" s="12"/>
      <c r="QEZ11" s="12"/>
      <c r="QFQ11" s="12"/>
      <c r="QFR11" s="12"/>
      <c r="QGI11" s="12"/>
      <c r="QGJ11" s="12"/>
      <c r="QHA11" s="12"/>
      <c r="QHB11" s="12"/>
      <c r="QHS11" s="12"/>
      <c r="QHT11" s="12"/>
      <c r="QIK11" s="12"/>
      <c r="QIL11" s="12"/>
      <c r="QJC11" s="12"/>
      <c r="QJD11" s="12"/>
      <c r="QJU11" s="12"/>
      <c r="QJV11" s="12"/>
      <c r="QKM11" s="12"/>
      <c r="QKN11" s="12"/>
      <c r="QLE11" s="12"/>
      <c r="QLF11" s="12"/>
      <c r="QLW11" s="12"/>
      <c r="QLX11" s="12"/>
      <c r="QMO11" s="12"/>
      <c r="QMP11" s="12"/>
      <c r="QNG11" s="12"/>
      <c r="QNH11" s="12"/>
      <c r="QNY11" s="12"/>
      <c r="QNZ11" s="12"/>
      <c r="QOQ11" s="12"/>
      <c r="QOR11" s="12"/>
      <c r="QPI11" s="12"/>
      <c r="QPJ11" s="12"/>
      <c r="QQA11" s="12"/>
      <c r="QQB11" s="12"/>
      <c r="QQS11" s="12"/>
      <c r="QQT11" s="12"/>
      <c r="QRK11" s="12"/>
      <c r="QRL11" s="12"/>
      <c r="QSC11" s="12"/>
      <c r="QSD11" s="12"/>
      <c r="QSU11" s="12"/>
      <c r="QSV11" s="12"/>
      <c r="QTM11" s="12"/>
      <c r="QTN11" s="12"/>
      <c r="QUE11" s="12"/>
      <c r="QUF11" s="12"/>
      <c r="QUW11" s="12"/>
      <c r="QUX11" s="12"/>
      <c r="QVO11" s="12"/>
      <c r="QVP11" s="12"/>
      <c r="QWG11" s="12"/>
      <c r="QWH11" s="12"/>
      <c r="QWY11" s="12"/>
      <c r="QWZ11" s="12"/>
      <c r="QXQ11" s="12"/>
      <c r="QXR11" s="12"/>
      <c r="QYI11" s="12"/>
      <c r="QYJ11" s="12"/>
      <c r="QZA11" s="12"/>
      <c r="QZB11" s="12"/>
      <c r="QZS11" s="12"/>
      <c r="QZT11" s="12"/>
      <c r="RAK11" s="12"/>
      <c r="RAL11" s="12"/>
      <c r="RBC11" s="12"/>
      <c r="RBD11" s="12"/>
      <c r="RBU11" s="12"/>
      <c r="RBV11" s="12"/>
      <c r="RCM11" s="12"/>
      <c r="RCN11" s="12"/>
      <c r="RDE11" s="12"/>
      <c r="RDF11" s="12"/>
      <c r="RDW11" s="12"/>
      <c r="RDX11" s="12"/>
      <c r="REO11" s="12"/>
      <c r="REP11" s="12"/>
      <c r="RFG11" s="12"/>
      <c r="RFH11" s="12"/>
      <c r="RFY11" s="12"/>
      <c r="RFZ11" s="12"/>
      <c r="RGQ11" s="12"/>
      <c r="RGR11" s="12"/>
      <c r="RHI11" s="12"/>
      <c r="RHJ11" s="12"/>
      <c r="RIA11" s="12"/>
      <c r="RIB11" s="12"/>
      <c r="RIS11" s="12"/>
      <c r="RIT11" s="12"/>
      <c r="RJK11" s="12"/>
      <c r="RJL11" s="12"/>
      <c r="RKC11" s="12"/>
      <c r="RKD11" s="12"/>
      <c r="RKU11" s="12"/>
      <c r="RKV11" s="12"/>
      <c r="RLM11" s="12"/>
      <c r="RLN11" s="12"/>
      <c r="RME11" s="12"/>
      <c r="RMF11" s="12"/>
      <c r="RMW11" s="12"/>
      <c r="RMX11" s="12"/>
      <c r="RNO11" s="12"/>
      <c r="RNP11" s="12"/>
      <c r="ROG11" s="12"/>
      <c r="ROH11" s="12"/>
      <c r="ROY11" s="12"/>
      <c r="ROZ11" s="12"/>
      <c r="RPQ11" s="12"/>
      <c r="RPR11" s="12"/>
      <c r="RQI11" s="12"/>
      <c r="RQJ11" s="12"/>
      <c r="RRA11" s="12"/>
      <c r="RRB11" s="12"/>
      <c r="RRS11" s="12"/>
      <c r="RRT11" s="12"/>
      <c r="RSK11" s="12"/>
      <c r="RSL11" s="12"/>
      <c r="RTC11" s="12"/>
      <c r="RTD11" s="12"/>
      <c r="RTU11" s="12"/>
      <c r="RTV11" s="12"/>
      <c r="RUM11" s="12"/>
      <c r="RUN11" s="12"/>
      <c r="RVE11" s="12"/>
      <c r="RVF11" s="12"/>
      <c r="RVW11" s="12"/>
      <c r="RVX11" s="12"/>
      <c r="RWO11" s="12"/>
      <c r="RWP11" s="12"/>
      <c r="RXG11" s="12"/>
      <c r="RXH11" s="12"/>
      <c r="RXY11" s="12"/>
      <c r="RXZ11" s="12"/>
      <c r="RYQ11" s="12"/>
      <c r="RYR11" s="12"/>
      <c r="RZI11" s="12"/>
      <c r="RZJ11" s="12"/>
      <c r="SAA11" s="12"/>
      <c r="SAB11" s="12"/>
      <c r="SAS11" s="12"/>
      <c r="SAT11" s="12"/>
      <c r="SBK11" s="12"/>
      <c r="SBL11" s="12"/>
      <c r="SCC11" s="12"/>
      <c r="SCD11" s="12"/>
      <c r="SCU11" s="12"/>
      <c r="SCV11" s="12"/>
      <c r="SDM11" s="12"/>
      <c r="SDN11" s="12"/>
      <c r="SEE11" s="12"/>
      <c r="SEF11" s="12"/>
      <c r="SEW11" s="12"/>
      <c r="SEX11" s="12"/>
      <c r="SFO11" s="12"/>
      <c r="SFP11" s="12"/>
      <c r="SGG11" s="12"/>
      <c r="SGH11" s="12"/>
      <c r="SGY11" s="12"/>
      <c r="SGZ11" s="12"/>
      <c r="SHQ11" s="12"/>
      <c r="SHR11" s="12"/>
      <c r="SII11" s="12"/>
      <c r="SIJ11" s="12"/>
      <c r="SJA11" s="12"/>
      <c r="SJB11" s="12"/>
      <c r="SJS11" s="12"/>
      <c r="SJT11" s="12"/>
      <c r="SKK11" s="12"/>
      <c r="SKL11" s="12"/>
      <c r="SLC11" s="12"/>
      <c r="SLD11" s="12"/>
      <c r="SLU11" s="12"/>
      <c r="SLV11" s="12"/>
      <c r="SMM11" s="12"/>
      <c r="SMN11" s="12"/>
      <c r="SNE11" s="12"/>
      <c r="SNF11" s="12"/>
      <c r="SNW11" s="12"/>
      <c r="SNX11" s="12"/>
      <c r="SOO11" s="12"/>
      <c r="SOP11" s="12"/>
      <c r="SPG11" s="12"/>
      <c r="SPH11" s="12"/>
      <c r="SPY11" s="12"/>
      <c r="SPZ11" s="12"/>
      <c r="SQQ11" s="12"/>
      <c r="SQR11" s="12"/>
      <c r="SRI11" s="12"/>
      <c r="SRJ11" s="12"/>
      <c r="SSA11" s="12"/>
      <c r="SSB11" s="12"/>
      <c r="SSS11" s="12"/>
      <c r="SST11" s="12"/>
      <c r="STK11" s="12"/>
      <c r="STL11" s="12"/>
      <c r="SUC11" s="12"/>
      <c r="SUD11" s="12"/>
      <c r="SUU11" s="12"/>
      <c r="SUV11" s="12"/>
      <c r="SVM11" s="12"/>
      <c r="SVN11" s="12"/>
      <c r="SWE11" s="12"/>
      <c r="SWF11" s="12"/>
      <c r="SWW11" s="12"/>
      <c r="SWX11" s="12"/>
      <c r="SXO11" s="12"/>
      <c r="SXP11" s="12"/>
      <c r="SYG11" s="12"/>
      <c r="SYH11" s="12"/>
      <c r="SYY11" s="12"/>
      <c r="SYZ11" s="12"/>
      <c r="SZQ11" s="12"/>
      <c r="SZR11" s="12"/>
      <c r="TAI11" s="12"/>
      <c r="TAJ11" s="12"/>
      <c r="TBA11" s="12"/>
      <c r="TBB11" s="12"/>
      <c r="TBS11" s="12"/>
      <c r="TBT11" s="12"/>
      <c r="TCK11" s="12"/>
      <c r="TCL11" s="12"/>
      <c r="TDC11" s="12"/>
      <c r="TDD11" s="12"/>
      <c r="TDU11" s="12"/>
      <c r="TDV11" s="12"/>
      <c r="TEM11" s="12"/>
      <c r="TEN11" s="12"/>
      <c r="TFE11" s="12"/>
      <c r="TFF11" s="12"/>
      <c r="TFW11" s="12"/>
      <c r="TFX11" s="12"/>
      <c r="TGO11" s="12"/>
      <c r="TGP11" s="12"/>
      <c r="THG11" s="12"/>
      <c r="THH11" s="12"/>
      <c r="THY11" s="12"/>
      <c r="THZ11" s="12"/>
      <c r="TIQ11" s="12"/>
      <c r="TIR11" s="12"/>
      <c r="TJI11" s="12"/>
      <c r="TJJ11" s="12"/>
      <c r="TKA11" s="12"/>
      <c r="TKB11" s="12"/>
      <c r="TKS11" s="12"/>
      <c r="TKT11" s="12"/>
      <c r="TLK11" s="12"/>
      <c r="TLL11" s="12"/>
      <c r="TMC11" s="12"/>
      <c r="TMD11" s="12"/>
      <c r="TMU11" s="12"/>
      <c r="TMV11" s="12"/>
      <c r="TNM11" s="12"/>
      <c r="TNN11" s="12"/>
      <c r="TOE11" s="12"/>
      <c r="TOF11" s="12"/>
      <c r="TOW11" s="12"/>
      <c r="TOX11" s="12"/>
      <c r="TPO11" s="12"/>
      <c r="TPP11" s="12"/>
      <c r="TQG11" s="12"/>
      <c r="TQH11" s="12"/>
      <c r="TQY11" s="12"/>
      <c r="TQZ11" s="12"/>
      <c r="TRQ11" s="12"/>
      <c r="TRR11" s="12"/>
      <c r="TSI11" s="12"/>
      <c r="TSJ11" s="12"/>
      <c r="TTA11" s="12"/>
      <c r="TTB11" s="12"/>
      <c r="TTS11" s="12"/>
      <c r="TTT11" s="12"/>
      <c r="TUK11" s="12"/>
      <c r="TUL11" s="12"/>
      <c r="TVC11" s="12"/>
      <c r="TVD11" s="12"/>
      <c r="TVU11" s="12"/>
      <c r="TVV11" s="12"/>
      <c r="TWM11" s="12"/>
      <c r="TWN11" s="12"/>
      <c r="TXE11" s="12"/>
      <c r="TXF11" s="12"/>
      <c r="TXW11" s="12"/>
      <c r="TXX11" s="12"/>
      <c r="TYO11" s="12"/>
      <c r="TYP11" s="12"/>
      <c r="TZG11" s="12"/>
      <c r="TZH11" s="12"/>
      <c r="TZY11" s="12"/>
      <c r="TZZ11" s="12"/>
      <c r="UAQ11" s="12"/>
      <c r="UAR11" s="12"/>
      <c r="UBI11" s="12"/>
      <c r="UBJ11" s="12"/>
      <c r="UCA11" s="12"/>
      <c r="UCB11" s="12"/>
      <c r="UCS11" s="12"/>
      <c r="UCT11" s="12"/>
      <c r="UDK11" s="12"/>
      <c r="UDL11" s="12"/>
      <c r="UEC11" s="12"/>
      <c r="UED11" s="12"/>
      <c r="UEU11" s="12"/>
      <c r="UEV11" s="12"/>
      <c r="UFM11" s="12"/>
      <c r="UFN11" s="12"/>
      <c r="UGE11" s="12"/>
      <c r="UGF11" s="12"/>
      <c r="UGW11" s="12"/>
      <c r="UGX11" s="12"/>
      <c r="UHO11" s="12"/>
      <c r="UHP11" s="12"/>
      <c r="UIG11" s="12"/>
      <c r="UIH11" s="12"/>
      <c r="UIY11" s="12"/>
      <c r="UIZ11" s="12"/>
      <c r="UJQ11" s="12"/>
      <c r="UJR11" s="12"/>
      <c r="UKI11" s="12"/>
      <c r="UKJ11" s="12"/>
      <c r="ULA11" s="12"/>
      <c r="ULB11" s="12"/>
      <c r="ULS11" s="12"/>
      <c r="ULT11" s="12"/>
      <c r="UMK11" s="12"/>
      <c r="UML11" s="12"/>
      <c r="UNC11" s="12"/>
      <c r="UND11" s="12"/>
      <c r="UNU11" s="12"/>
      <c r="UNV11" s="12"/>
      <c r="UOM11" s="12"/>
      <c r="UON11" s="12"/>
      <c r="UPE11" s="12"/>
      <c r="UPF11" s="12"/>
      <c r="UPW11" s="12"/>
      <c r="UPX11" s="12"/>
      <c r="UQO11" s="12"/>
      <c r="UQP11" s="12"/>
      <c r="URG11" s="12"/>
      <c r="URH11" s="12"/>
      <c r="URY11" s="12"/>
      <c r="URZ11" s="12"/>
      <c r="USQ11" s="12"/>
      <c r="USR11" s="12"/>
      <c r="UTI11" s="12"/>
      <c r="UTJ11" s="12"/>
      <c r="UUA11" s="12"/>
      <c r="UUB11" s="12"/>
      <c r="UUS11" s="12"/>
      <c r="UUT11" s="12"/>
      <c r="UVK11" s="12"/>
      <c r="UVL11" s="12"/>
      <c r="UWC11" s="12"/>
      <c r="UWD11" s="12"/>
      <c r="UWU11" s="12"/>
      <c r="UWV11" s="12"/>
      <c r="UXM11" s="12"/>
      <c r="UXN11" s="12"/>
      <c r="UYE11" s="12"/>
      <c r="UYF11" s="12"/>
      <c r="UYW11" s="12"/>
      <c r="UYX11" s="12"/>
      <c r="UZO11" s="12"/>
      <c r="UZP11" s="12"/>
      <c r="VAG11" s="12"/>
      <c r="VAH11" s="12"/>
      <c r="VAY11" s="12"/>
      <c r="VAZ11" s="12"/>
      <c r="VBQ11" s="12"/>
      <c r="VBR11" s="12"/>
      <c r="VCI11" s="12"/>
      <c r="VCJ11" s="12"/>
      <c r="VDA11" s="12"/>
      <c r="VDB11" s="12"/>
      <c r="VDS11" s="12"/>
      <c r="VDT11" s="12"/>
      <c r="VEK11" s="12"/>
      <c r="VEL11" s="12"/>
      <c r="VFC11" s="12"/>
      <c r="VFD11" s="12"/>
      <c r="VFU11" s="12"/>
      <c r="VFV11" s="12"/>
      <c r="VGM11" s="12"/>
      <c r="VGN11" s="12"/>
      <c r="VHE11" s="12"/>
      <c r="VHF11" s="12"/>
      <c r="VHW11" s="12"/>
      <c r="VHX11" s="12"/>
      <c r="VIO11" s="12"/>
      <c r="VIP11" s="12"/>
      <c r="VJG11" s="12"/>
      <c r="VJH11" s="12"/>
      <c r="VJY11" s="12"/>
      <c r="VJZ11" s="12"/>
      <c r="VKQ11" s="12"/>
      <c r="VKR11" s="12"/>
      <c r="VLI11" s="12"/>
      <c r="VLJ11" s="12"/>
      <c r="VMA11" s="12"/>
      <c r="VMB11" s="12"/>
      <c r="VMS11" s="12"/>
      <c r="VMT11" s="12"/>
      <c r="VNK11" s="12"/>
      <c r="VNL11" s="12"/>
      <c r="VOC11" s="12"/>
      <c r="VOD11" s="12"/>
      <c r="VOU11" s="12"/>
      <c r="VOV11" s="12"/>
      <c r="VPM11" s="12"/>
      <c r="VPN11" s="12"/>
      <c r="VQE11" s="12"/>
      <c r="VQF11" s="12"/>
      <c r="VQW11" s="12"/>
      <c r="VQX11" s="12"/>
      <c r="VRO11" s="12"/>
      <c r="VRP11" s="12"/>
      <c r="VSG11" s="12"/>
      <c r="VSH11" s="12"/>
      <c r="VSY11" s="12"/>
      <c r="VSZ11" s="12"/>
      <c r="VTQ11" s="12"/>
      <c r="VTR11" s="12"/>
      <c r="VUI11" s="12"/>
      <c r="VUJ11" s="12"/>
      <c r="VVA11" s="12"/>
      <c r="VVB11" s="12"/>
      <c r="VVS11" s="12"/>
      <c r="VVT11" s="12"/>
      <c r="VWK11" s="12"/>
      <c r="VWL11" s="12"/>
      <c r="VXC11" s="12"/>
      <c r="VXD11" s="12"/>
      <c r="VXU11" s="12"/>
      <c r="VXV11" s="12"/>
      <c r="VYM11" s="12"/>
      <c r="VYN11" s="12"/>
      <c r="VZE11" s="12"/>
      <c r="VZF11" s="12"/>
      <c r="VZW11" s="12"/>
      <c r="VZX11" s="12"/>
      <c r="WAO11" s="12"/>
      <c r="WAP11" s="12"/>
      <c r="WBG11" s="12"/>
      <c r="WBH11" s="12"/>
      <c r="WBY11" s="12"/>
      <c r="WBZ11" s="12"/>
      <c r="WCQ11" s="12"/>
      <c r="WCR11" s="12"/>
      <c r="WDI11" s="12"/>
      <c r="WDJ11" s="12"/>
      <c r="WEA11" s="12"/>
      <c r="WEB11" s="12"/>
      <c r="WES11" s="12"/>
      <c r="WET11" s="12"/>
      <c r="WFK11" s="12"/>
      <c r="WFL11" s="12"/>
      <c r="WGC11" s="12"/>
      <c r="WGD11" s="12"/>
      <c r="WGU11" s="12"/>
      <c r="WGV11" s="12"/>
      <c r="WHM11" s="12"/>
      <c r="WHN11" s="12"/>
      <c r="WIE11" s="12"/>
      <c r="WIF11" s="12"/>
      <c r="WIW11" s="12"/>
      <c r="WIX11" s="12"/>
      <c r="WJO11" s="12"/>
      <c r="WJP11" s="12"/>
      <c r="WKG11" s="12"/>
      <c r="WKH11" s="12"/>
      <c r="WKY11" s="12"/>
      <c r="WKZ11" s="12"/>
      <c r="WLQ11" s="12"/>
      <c r="WLR11" s="12"/>
      <c r="WMI11" s="12"/>
      <c r="WMJ11" s="12"/>
      <c r="WNA11" s="12"/>
      <c r="WNB11" s="12"/>
      <c r="WNS11" s="12"/>
      <c r="WNT11" s="12"/>
      <c r="WOK11" s="12"/>
      <c r="WOL11" s="12"/>
      <c r="WPC11" s="12"/>
      <c r="WPD11" s="12"/>
      <c r="WPU11" s="12"/>
      <c r="WPV11" s="12"/>
      <c r="WQM11" s="12"/>
      <c r="WQN11" s="12"/>
      <c r="WRE11" s="12"/>
      <c r="WRF11" s="12"/>
      <c r="WRW11" s="12"/>
      <c r="WRX11" s="12"/>
      <c r="WSO11" s="12"/>
      <c r="WSP11" s="12"/>
      <c r="WTG11" s="12"/>
      <c r="WTH11" s="12"/>
      <c r="WTY11" s="12"/>
      <c r="WTZ11" s="12"/>
      <c r="WUQ11" s="12"/>
      <c r="WUR11" s="12"/>
      <c r="WVI11" s="12"/>
      <c r="WVJ11" s="12"/>
      <c r="WWA11" s="12"/>
      <c r="WWB11" s="12"/>
      <c r="WWS11" s="12"/>
      <c r="WWT11" s="12"/>
      <c r="WXK11" s="12"/>
      <c r="WXL11" s="12"/>
      <c r="WYC11" s="12"/>
      <c r="WYD11" s="12"/>
      <c r="WYU11" s="12"/>
      <c r="WYV11" s="12"/>
      <c r="WZM11" s="12"/>
      <c r="WZN11" s="12"/>
      <c r="XAE11" s="12"/>
      <c r="XAF11" s="12"/>
      <c r="XAW11" s="12"/>
      <c r="XAX11" s="12"/>
      <c r="XBO11" s="12"/>
      <c r="XBP11" s="12"/>
      <c r="XCG11" s="12"/>
      <c r="XCH11" s="12"/>
      <c r="XCY11" s="12"/>
      <c r="XCZ11" s="12"/>
      <c r="XDQ11" s="12"/>
      <c r="XDR11" s="12"/>
      <c r="XEI11" s="12"/>
      <c r="XEJ11" s="12"/>
      <c r="XFA11" s="12"/>
      <c r="XFB11" s="12"/>
    </row>
    <row r="12" spans="1:1010 1027:2036 2053:3062 3079:4088 4105:5114 5131:6140 6157:7166 7183:8192 8209:9200 9217:10226 10243:11252 11269:12278 12295:13304 13321:14330 14347:15356 15373:16382" s="11" customFormat="1" x14ac:dyDescent="0.35">
      <c r="A12" s="183" t="str">
        <f>'Cash Flow - Standardized'!A12</f>
        <v xml:space="preserve">  + Non-Cash Items</v>
      </c>
      <c r="B12" s="75" t="str">
        <f>'Cash Flow - Standardized'!B12</f>
        <v>NON_CASH_ITEMS_DETAILED</v>
      </c>
      <c r="C12" s="76">
        <f>IF('Cash Flow - Standardized'!C12="",0,'Cash Flow - Standardized'!C12)/'Cash Flow - Standardized'!C$24</f>
        <v>0.2586566037735849</v>
      </c>
      <c r="D12" s="76">
        <f>IF('Cash Flow - Standardized'!D12="",0,'Cash Flow - Standardized'!D12)/'Cash Flow - Standardized'!D$24</f>
        <v>-7.8861314608735342E-2</v>
      </c>
      <c r="E12" s="76">
        <f>IF('Cash Flow - Standardized'!E12="",0,'Cash Flow - Standardized'!E12)/'Cash Flow - Standardized'!E$24</f>
        <v>0.18712795426415985</v>
      </c>
      <c r="F12" s="76">
        <f>IF('Cash Flow - Standardized'!F12="",0,'Cash Flow - Standardized'!F12)/'Cash Flow - Standardized'!F$24</f>
        <v>1.8019489070318671</v>
      </c>
      <c r="G12" s="76">
        <f>IF('Cash Flow - Standardized'!G12="",0,'Cash Flow - Standardized'!G12)/'Cash Flow - Standardized'!G$24</f>
        <v>4.7812486423078594E-2</v>
      </c>
      <c r="H12" s="76">
        <f>IF('Cash Flow - Standardized'!H12="",0,'Cash Flow - Standardized'!H12)/'Cash Flow - Standardized'!H$24</f>
        <v>8.2287117903930118E-2</v>
      </c>
      <c r="I12" s="76">
        <f>IF('Cash Flow - Standardized'!I12="",0,'Cash Flow - Standardized'!I12)/'Cash Flow - Standardized'!I$24</f>
        <v>1.1417322834645669</v>
      </c>
      <c r="J12" s="76">
        <f>IF('Cash Flow - Standardized'!J12="",0,'Cash Flow - Standardized'!J12)/'Cash Flow - Standardized'!J$24</f>
        <v>9.8022672024192403E-2</v>
      </c>
      <c r="K12" s="76">
        <f>IF('Cash Flow - Standardized'!K12="",0,'Cash Flow - Standardized'!K12)/'Cash Flow - Standardized'!K$24</f>
        <v>9.7033239001263566E-2</v>
      </c>
      <c r="L12" s="76">
        <f>IF('Cash Flow - Standardized'!L12="",0,'Cash Flow - Standardized'!L12)/'Cash Flow - Standardized'!L$24</f>
        <v>7.1589797607403513E-2</v>
      </c>
      <c r="M12" s="108"/>
      <c r="N12" s="108"/>
      <c r="O12" s="108"/>
      <c r="P12" s="108"/>
      <c r="Q12" s="108"/>
      <c r="R12" s="108"/>
      <c r="S12" s="109"/>
      <c r="T12" s="109"/>
      <c r="U12" s="108"/>
      <c r="V12" s="108"/>
      <c r="W12" s="108"/>
      <c r="X12" s="108"/>
      <c r="Y12" s="108"/>
      <c r="Z12" s="108"/>
      <c r="AA12" s="108"/>
      <c r="AB12" s="108"/>
      <c r="AC12" s="108"/>
      <c r="AD12" s="108"/>
      <c r="AE12" s="108"/>
      <c r="AF12" s="108"/>
      <c r="AG12" s="108"/>
      <c r="AH12" s="108"/>
      <c r="AI12" s="108"/>
      <c r="AJ12" s="108"/>
      <c r="AK12" s="109"/>
      <c r="AL12" s="109"/>
      <c r="AM12" s="108"/>
      <c r="AN12" s="108"/>
      <c r="AO12" s="108"/>
      <c r="AP12" s="108"/>
      <c r="AQ12" s="108"/>
      <c r="AR12" s="108"/>
      <c r="AS12" s="108"/>
      <c r="AT12" s="108"/>
      <c r="AU12" s="108"/>
      <c r="AV12" s="108"/>
      <c r="AW12" s="108"/>
      <c r="AX12" s="108"/>
      <c r="BC12" s="12"/>
      <c r="BD12" s="12"/>
      <c r="BU12" s="12"/>
      <c r="BV12" s="12"/>
      <c r="CM12" s="12"/>
      <c r="CN12" s="12"/>
      <c r="DE12" s="12"/>
      <c r="DF12" s="12"/>
      <c r="DW12" s="12"/>
      <c r="DX12" s="12"/>
      <c r="EO12" s="12"/>
      <c r="EP12" s="12"/>
      <c r="FG12" s="12"/>
      <c r="FH12" s="12"/>
      <c r="FY12" s="12"/>
      <c r="FZ12" s="12"/>
      <c r="GQ12" s="12"/>
      <c r="GR12" s="12"/>
      <c r="HI12" s="12"/>
      <c r="HJ12" s="12"/>
      <c r="IA12" s="12"/>
      <c r="IB12" s="12"/>
      <c r="IS12" s="12"/>
      <c r="IT12" s="12"/>
      <c r="JK12" s="12"/>
      <c r="JL12" s="12"/>
      <c r="KC12" s="12"/>
      <c r="KD12" s="12"/>
      <c r="KU12" s="12"/>
      <c r="KV12" s="12"/>
      <c r="LM12" s="12"/>
      <c r="LN12" s="12"/>
      <c r="ME12" s="12"/>
      <c r="MF12" s="12"/>
      <c r="MW12" s="12"/>
      <c r="MX12" s="12"/>
      <c r="NO12" s="12"/>
      <c r="NP12" s="12"/>
      <c r="OG12" s="12"/>
      <c r="OH12" s="12"/>
      <c r="OY12" s="12"/>
      <c r="OZ12" s="12"/>
      <c r="PQ12" s="12"/>
      <c r="PR12" s="12"/>
      <c r="QI12" s="12"/>
      <c r="QJ12" s="12"/>
      <c r="RA12" s="12"/>
      <c r="RB12" s="12"/>
      <c r="RS12" s="12"/>
      <c r="RT12" s="12"/>
      <c r="SK12" s="12"/>
      <c r="SL12" s="12"/>
      <c r="TC12" s="12"/>
      <c r="TD12" s="12"/>
      <c r="TU12" s="12"/>
      <c r="TV12" s="12"/>
      <c r="UM12" s="12"/>
      <c r="UN12" s="12"/>
      <c r="VE12" s="12"/>
      <c r="VF12" s="12"/>
      <c r="VW12" s="12"/>
      <c r="VX12" s="12"/>
      <c r="WO12" s="12"/>
      <c r="WP12" s="12"/>
      <c r="XG12" s="12"/>
      <c r="XH12" s="12"/>
      <c r="XY12" s="12"/>
      <c r="XZ12" s="12"/>
      <c r="YQ12" s="12"/>
      <c r="YR12" s="12"/>
      <c r="ZI12" s="12"/>
      <c r="ZJ12" s="12"/>
      <c r="AAA12" s="12"/>
      <c r="AAB12" s="12"/>
      <c r="AAS12" s="12"/>
      <c r="AAT12" s="12"/>
      <c r="ABK12" s="12"/>
      <c r="ABL12" s="12"/>
      <c r="ACC12" s="12"/>
      <c r="ACD12" s="12"/>
      <c r="ACU12" s="12"/>
      <c r="ACV12" s="12"/>
      <c r="ADM12" s="12"/>
      <c r="ADN12" s="12"/>
      <c r="AEE12" s="12"/>
      <c r="AEF12" s="12"/>
      <c r="AEW12" s="12"/>
      <c r="AEX12" s="12"/>
      <c r="AFO12" s="12"/>
      <c r="AFP12" s="12"/>
      <c r="AGG12" s="12"/>
      <c r="AGH12" s="12"/>
      <c r="AGY12" s="12"/>
      <c r="AGZ12" s="12"/>
      <c r="AHQ12" s="12"/>
      <c r="AHR12" s="12"/>
      <c r="AII12" s="12"/>
      <c r="AIJ12" s="12"/>
      <c r="AJA12" s="12"/>
      <c r="AJB12" s="12"/>
      <c r="AJS12" s="12"/>
      <c r="AJT12" s="12"/>
      <c r="AKK12" s="12"/>
      <c r="AKL12" s="12"/>
      <c r="ALC12" s="12"/>
      <c r="ALD12" s="12"/>
      <c r="ALU12" s="12"/>
      <c r="ALV12" s="12"/>
      <c r="AMM12" s="12"/>
      <c r="AMN12" s="12"/>
      <c r="ANE12" s="12"/>
      <c r="ANF12" s="12"/>
      <c r="ANW12" s="12"/>
      <c r="ANX12" s="12"/>
      <c r="AOO12" s="12"/>
      <c r="AOP12" s="12"/>
      <c r="APG12" s="12"/>
      <c r="APH12" s="12"/>
      <c r="APY12" s="12"/>
      <c r="APZ12" s="12"/>
      <c r="AQQ12" s="12"/>
      <c r="AQR12" s="12"/>
      <c r="ARI12" s="12"/>
      <c r="ARJ12" s="12"/>
      <c r="ASA12" s="12"/>
      <c r="ASB12" s="12"/>
      <c r="ASS12" s="12"/>
      <c r="AST12" s="12"/>
      <c r="ATK12" s="12"/>
      <c r="ATL12" s="12"/>
      <c r="AUC12" s="12"/>
      <c r="AUD12" s="12"/>
      <c r="AUU12" s="12"/>
      <c r="AUV12" s="12"/>
      <c r="AVM12" s="12"/>
      <c r="AVN12" s="12"/>
      <c r="AWE12" s="12"/>
      <c r="AWF12" s="12"/>
      <c r="AWW12" s="12"/>
      <c r="AWX12" s="12"/>
      <c r="AXO12" s="12"/>
      <c r="AXP12" s="12"/>
      <c r="AYG12" s="12"/>
      <c r="AYH12" s="12"/>
      <c r="AYY12" s="12"/>
      <c r="AYZ12" s="12"/>
      <c r="AZQ12" s="12"/>
      <c r="AZR12" s="12"/>
      <c r="BAI12" s="12"/>
      <c r="BAJ12" s="12"/>
      <c r="BBA12" s="12"/>
      <c r="BBB12" s="12"/>
      <c r="BBS12" s="12"/>
      <c r="BBT12" s="12"/>
      <c r="BCK12" s="12"/>
      <c r="BCL12" s="12"/>
      <c r="BDC12" s="12"/>
      <c r="BDD12" s="12"/>
      <c r="BDU12" s="12"/>
      <c r="BDV12" s="12"/>
      <c r="BEM12" s="12"/>
      <c r="BEN12" s="12"/>
      <c r="BFE12" s="12"/>
      <c r="BFF12" s="12"/>
      <c r="BFW12" s="12"/>
      <c r="BFX12" s="12"/>
      <c r="BGO12" s="12"/>
      <c r="BGP12" s="12"/>
      <c r="BHG12" s="12"/>
      <c r="BHH12" s="12"/>
      <c r="BHY12" s="12"/>
      <c r="BHZ12" s="12"/>
      <c r="BIQ12" s="12"/>
      <c r="BIR12" s="12"/>
      <c r="BJI12" s="12"/>
      <c r="BJJ12" s="12"/>
      <c r="BKA12" s="12"/>
      <c r="BKB12" s="12"/>
      <c r="BKS12" s="12"/>
      <c r="BKT12" s="12"/>
      <c r="BLK12" s="12"/>
      <c r="BLL12" s="12"/>
      <c r="BMC12" s="12"/>
      <c r="BMD12" s="12"/>
      <c r="BMU12" s="12"/>
      <c r="BMV12" s="12"/>
      <c r="BNM12" s="12"/>
      <c r="BNN12" s="12"/>
      <c r="BOE12" s="12"/>
      <c r="BOF12" s="12"/>
      <c r="BOW12" s="12"/>
      <c r="BOX12" s="12"/>
      <c r="BPO12" s="12"/>
      <c r="BPP12" s="12"/>
      <c r="BQG12" s="12"/>
      <c r="BQH12" s="12"/>
      <c r="BQY12" s="12"/>
      <c r="BQZ12" s="12"/>
      <c r="BRQ12" s="12"/>
      <c r="BRR12" s="12"/>
      <c r="BSI12" s="12"/>
      <c r="BSJ12" s="12"/>
      <c r="BTA12" s="12"/>
      <c r="BTB12" s="12"/>
      <c r="BTS12" s="12"/>
      <c r="BTT12" s="12"/>
      <c r="BUK12" s="12"/>
      <c r="BUL12" s="12"/>
      <c r="BVC12" s="12"/>
      <c r="BVD12" s="12"/>
      <c r="BVU12" s="12"/>
      <c r="BVV12" s="12"/>
      <c r="BWM12" s="12"/>
      <c r="BWN12" s="12"/>
      <c r="BXE12" s="12"/>
      <c r="BXF12" s="12"/>
      <c r="BXW12" s="12"/>
      <c r="BXX12" s="12"/>
      <c r="BYO12" s="12"/>
      <c r="BYP12" s="12"/>
      <c r="BZG12" s="12"/>
      <c r="BZH12" s="12"/>
      <c r="BZY12" s="12"/>
      <c r="BZZ12" s="12"/>
      <c r="CAQ12" s="12"/>
      <c r="CAR12" s="12"/>
      <c r="CBI12" s="12"/>
      <c r="CBJ12" s="12"/>
      <c r="CCA12" s="12"/>
      <c r="CCB12" s="12"/>
      <c r="CCS12" s="12"/>
      <c r="CCT12" s="12"/>
      <c r="CDK12" s="12"/>
      <c r="CDL12" s="12"/>
      <c r="CEC12" s="12"/>
      <c r="CED12" s="12"/>
      <c r="CEU12" s="12"/>
      <c r="CEV12" s="12"/>
      <c r="CFM12" s="12"/>
      <c r="CFN12" s="12"/>
      <c r="CGE12" s="12"/>
      <c r="CGF12" s="12"/>
      <c r="CGW12" s="12"/>
      <c r="CGX12" s="12"/>
      <c r="CHO12" s="12"/>
      <c r="CHP12" s="12"/>
      <c r="CIG12" s="12"/>
      <c r="CIH12" s="12"/>
      <c r="CIY12" s="12"/>
      <c r="CIZ12" s="12"/>
      <c r="CJQ12" s="12"/>
      <c r="CJR12" s="12"/>
      <c r="CKI12" s="12"/>
      <c r="CKJ12" s="12"/>
      <c r="CLA12" s="12"/>
      <c r="CLB12" s="12"/>
      <c r="CLS12" s="12"/>
      <c r="CLT12" s="12"/>
      <c r="CMK12" s="12"/>
      <c r="CML12" s="12"/>
      <c r="CNC12" s="12"/>
      <c r="CND12" s="12"/>
      <c r="CNU12" s="12"/>
      <c r="CNV12" s="12"/>
      <c r="COM12" s="12"/>
      <c r="CON12" s="12"/>
      <c r="CPE12" s="12"/>
      <c r="CPF12" s="12"/>
      <c r="CPW12" s="12"/>
      <c r="CPX12" s="12"/>
      <c r="CQO12" s="12"/>
      <c r="CQP12" s="12"/>
      <c r="CRG12" s="12"/>
      <c r="CRH12" s="12"/>
      <c r="CRY12" s="12"/>
      <c r="CRZ12" s="12"/>
      <c r="CSQ12" s="12"/>
      <c r="CSR12" s="12"/>
      <c r="CTI12" s="12"/>
      <c r="CTJ12" s="12"/>
      <c r="CUA12" s="12"/>
      <c r="CUB12" s="12"/>
      <c r="CUS12" s="12"/>
      <c r="CUT12" s="12"/>
      <c r="CVK12" s="12"/>
      <c r="CVL12" s="12"/>
      <c r="CWC12" s="12"/>
      <c r="CWD12" s="12"/>
      <c r="CWU12" s="12"/>
      <c r="CWV12" s="12"/>
      <c r="CXM12" s="12"/>
      <c r="CXN12" s="12"/>
      <c r="CYE12" s="12"/>
      <c r="CYF12" s="12"/>
      <c r="CYW12" s="12"/>
      <c r="CYX12" s="12"/>
      <c r="CZO12" s="12"/>
      <c r="CZP12" s="12"/>
      <c r="DAG12" s="12"/>
      <c r="DAH12" s="12"/>
      <c r="DAY12" s="12"/>
      <c r="DAZ12" s="12"/>
      <c r="DBQ12" s="12"/>
      <c r="DBR12" s="12"/>
      <c r="DCI12" s="12"/>
      <c r="DCJ12" s="12"/>
      <c r="DDA12" s="12"/>
      <c r="DDB12" s="12"/>
      <c r="DDS12" s="12"/>
      <c r="DDT12" s="12"/>
      <c r="DEK12" s="12"/>
      <c r="DEL12" s="12"/>
      <c r="DFC12" s="12"/>
      <c r="DFD12" s="12"/>
      <c r="DFU12" s="12"/>
      <c r="DFV12" s="12"/>
      <c r="DGM12" s="12"/>
      <c r="DGN12" s="12"/>
      <c r="DHE12" s="12"/>
      <c r="DHF12" s="12"/>
      <c r="DHW12" s="12"/>
      <c r="DHX12" s="12"/>
      <c r="DIO12" s="12"/>
      <c r="DIP12" s="12"/>
      <c r="DJG12" s="12"/>
      <c r="DJH12" s="12"/>
      <c r="DJY12" s="12"/>
      <c r="DJZ12" s="12"/>
      <c r="DKQ12" s="12"/>
      <c r="DKR12" s="12"/>
      <c r="DLI12" s="12"/>
      <c r="DLJ12" s="12"/>
      <c r="DMA12" s="12"/>
      <c r="DMB12" s="12"/>
      <c r="DMS12" s="12"/>
      <c r="DMT12" s="12"/>
      <c r="DNK12" s="12"/>
      <c r="DNL12" s="12"/>
      <c r="DOC12" s="12"/>
      <c r="DOD12" s="12"/>
      <c r="DOU12" s="12"/>
      <c r="DOV12" s="12"/>
      <c r="DPM12" s="12"/>
      <c r="DPN12" s="12"/>
      <c r="DQE12" s="12"/>
      <c r="DQF12" s="12"/>
      <c r="DQW12" s="12"/>
      <c r="DQX12" s="12"/>
      <c r="DRO12" s="12"/>
      <c r="DRP12" s="12"/>
      <c r="DSG12" s="12"/>
      <c r="DSH12" s="12"/>
      <c r="DSY12" s="12"/>
      <c r="DSZ12" s="12"/>
      <c r="DTQ12" s="12"/>
      <c r="DTR12" s="12"/>
      <c r="DUI12" s="12"/>
      <c r="DUJ12" s="12"/>
      <c r="DVA12" s="12"/>
      <c r="DVB12" s="12"/>
      <c r="DVS12" s="12"/>
      <c r="DVT12" s="12"/>
      <c r="DWK12" s="12"/>
      <c r="DWL12" s="12"/>
      <c r="DXC12" s="12"/>
      <c r="DXD12" s="12"/>
      <c r="DXU12" s="12"/>
      <c r="DXV12" s="12"/>
      <c r="DYM12" s="12"/>
      <c r="DYN12" s="12"/>
      <c r="DZE12" s="12"/>
      <c r="DZF12" s="12"/>
      <c r="DZW12" s="12"/>
      <c r="DZX12" s="12"/>
      <c r="EAO12" s="12"/>
      <c r="EAP12" s="12"/>
      <c r="EBG12" s="12"/>
      <c r="EBH12" s="12"/>
      <c r="EBY12" s="12"/>
      <c r="EBZ12" s="12"/>
      <c r="ECQ12" s="12"/>
      <c r="ECR12" s="12"/>
      <c r="EDI12" s="12"/>
      <c r="EDJ12" s="12"/>
      <c r="EEA12" s="12"/>
      <c r="EEB12" s="12"/>
      <c r="EES12" s="12"/>
      <c r="EET12" s="12"/>
      <c r="EFK12" s="12"/>
      <c r="EFL12" s="12"/>
      <c r="EGC12" s="12"/>
      <c r="EGD12" s="12"/>
      <c r="EGU12" s="12"/>
      <c r="EGV12" s="12"/>
      <c r="EHM12" s="12"/>
      <c r="EHN12" s="12"/>
      <c r="EIE12" s="12"/>
      <c r="EIF12" s="12"/>
      <c r="EIW12" s="12"/>
      <c r="EIX12" s="12"/>
      <c r="EJO12" s="12"/>
      <c r="EJP12" s="12"/>
      <c r="EKG12" s="12"/>
      <c r="EKH12" s="12"/>
      <c r="EKY12" s="12"/>
      <c r="EKZ12" s="12"/>
      <c r="ELQ12" s="12"/>
      <c r="ELR12" s="12"/>
      <c r="EMI12" s="12"/>
      <c r="EMJ12" s="12"/>
      <c r="ENA12" s="12"/>
      <c r="ENB12" s="12"/>
      <c r="ENS12" s="12"/>
      <c r="ENT12" s="12"/>
      <c r="EOK12" s="12"/>
      <c r="EOL12" s="12"/>
      <c r="EPC12" s="12"/>
      <c r="EPD12" s="12"/>
      <c r="EPU12" s="12"/>
      <c r="EPV12" s="12"/>
      <c r="EQM12" s="12"/>
      <c r="EQN12" s="12"/>
      <c r="ERE12" s="12"/>
      <c r="ERF12" s="12"/>
      <c r="ERW12" s="12"/>
      <c r="ERX12" s="12"/>
      <c r="ESO12" s="12"/>
      <c r="ESP12" s="12"/>
      <c r="ETG12" s="12"/>
      <c r="ETH12" s="12"/>
      <c r="ETY12" s="12"/>
      <c r="ETZ12" s="12"/>
      <c r="EUQ12" s="12"/>
      <c r="EUR12" s="12"/>
      <c r="EVI12" s="12"/>
      <c r="EVJ12" s="12"/>
      <c r="EWA12" s="12"/>
      <c r="EWB12" s="12"/>
      <c r="EWS12" s="12"/>
      <c r="EWT12" s="12"/>
      <c r="EXK12" s="12"/>
      <c r="EXL12" s="12"/>
      <c r="EYC12" s="12"/>
      <c r="EYD12" s="12"/>
      <c r="EYU12" s="12"/>
      <c r="EYV12" s="12"/>
      <c r="EZM12" s="12"/>
      <c r="EZN12" s="12"/>
      <c r="FAE12" s="12"/>
      <c r="FAF12" s="12"/>
      <c r="FAW12" s="12"/>
      <c r="FAX12" s="12"/>
      <c r="FBO12" s="12"/>
      <c r="FBP12" s="12"/>
      <c r="FCG12" s="12"/>
      <c r="FCH12" s="12"/>
      <c r="FCY12" s="12"/>
      <c r="FCZ12" s="12"/>
      <c r="FDQ12" s="12"/>
      <c r="FDR12" s="12"/>
      <c r="FEI12" s="12"/>
      <c r="FEJ12" s="12"/>
      <c r="FFA12" s="12"/>
      <c r="FFB12" s="12"/>
      <c r="FFS12" s="12"/>
      <c r="FFT12" s="12"/>
      <c r="FGK12" s="12"/>
      <c r="FGL12" s="12"/>
      <c r="FHC12" s="12"/>
      <c r="FHD12" s="12"/>
      <c r="FHU12" s="12"/>
      <c r="FHV12" s="12"/>
      <c r="FIM12" s="12"/>
      <c r="FIN12" s="12"/>
      <c r="FJE12" s="12"/>
      <c r="FJF12" s="12"/>
      <c r="FJW12" s="12"/>
      <c r="FJX12" s="12"/>
      <c r="FKO12" s="12"/>
      <c r="FKP12" s="12"/>
      <c r="FLG12" s="12"/>
      <c r="FLH12" s="12"/>
      <c r="FLY12" s="12"/>
      <c r="FLZ12" s="12"/>
      <c r="FMQ12" s="12"/>
      <c r="FMR12" s="12"/>
      <c r="FNI12" s="12"/>
      <c r="FNJ12" s="12"/>
      <c r="FOA12" s="12"/>
      <c r="FOB12" s="12"/>
      <c r="FOS12" s="12"/>
      <c r="FOT12" s="12"/>
      <c r="FPK12" s="12"/>
      <c r="FPL12" s="12"/>
      <c r="FQC12" s="12"/>
      <c r="FQD12" s="12"/>
      <c r="FQU12" s="12"/>
      <c r="FQV12" s="12"/>
      <c r="FRM12" s="12"/>
      <c r="FRN12" s="12"/>
      <c r="FSE12" s="12"/>
      <c r="FSF12" s="12"/>
      <c r="FSW12" s="12"/>
      <c r="FSX12" s="12"/>
      <c r="FTO12" s="12"/>
      <c r="FTP12" s="12"/>
      <c r="FUG12" s="12"/>
      <c r="FUH12" s="12"/>
      <c r="FUY12" s="12"/>
      <c r="FUZ12" s="12"/>
      <c r="FVQ12" s="12"/>
      <c r="FVR12" s="12"/>
      <c r="FWI12" s="12"/>
      <c r="FWJ12" s="12"/>
      <c r="FXA12" s="12"/>
      <c r="FXB12" s="12"/>
      <c r="FXS12" s="12"/>
      <c r="FXT12" s="12"/>
      <c r="FYK12" s="12"/>
      <c r="FYL12" s="12"/>
      <c r="FZC12" s="12"/>
      <c r="FZD12" s="12"/>
      <c r="FZU12" s="12"/>
      <c r="FZV12" s="12"/>
      <c r="GAM12" s="12"/>
      <c r="GAN12" s="12"/>
      <c r="GBE12" s="12"/>
      <c r="GBF12" s="12"/>
      <c r="GBW12" s="12"/>
      <c r="GBX12" s="12"/>
      <c r="GCO12" s="12"/>
      <c r="GCP12" s="12"/>
      <c r="GDG12" s="12"/>
      <c r="GDH12" s="12"/>
      <c r="GDY12" s="12"/>
      <c r="GDZ12" s="12"/>
      <c r="GEQ12" s="12"/>
      <c r="GER12" s="12"/>
      <c r="GFI12" s="12"/>
      <c r="GFJ12" s="12"/>
      <c r="GGA12" s="12"/>
      <c r="GGB12" s="12"/>
      <c r="GGS12" s="12"/>
      <c r="GGT12" s="12"/>
      <c r="GHK12" s="12"/>
      <c r="GHL12" s="12"/>
      <c r="GIC12" s="12"/>
      <c r="GID12" s="12"/>
      <c r="GIU12" s="12"/>
      <c r="GIV12" s="12"/>
      <c r="GJM12" s="12"/>
      <c r="GJN12" s="12"/>
      <c r="GKE12" s="12"/>
      <c r="GKF12" s="12"/>
      <c r="GKW12" s="12"/>
      <c r="GKX12" s="12"/>
      <c r="GLO12" s="12"/>
      <c r="GLP12" s="12"/>
      <c r="GMG12" s="12"/>
      <c r="GMH12" s="12"/>
      <c r="GMY12" s="12"/>
      <c r="GMZ12" s="12"/>
      <c r="GNQ12" s="12"/>
      <c r="GNR12" s="12"/>
      <c r="GOI12" s="12"/>
      <c r="GOJ12" s="12"/>
      <c r="GPA12" s="12"/>
      <c r="GPB12" s="12"/>
      <c r="GPS12" s="12"/>
      <c r="GPT12" s="12"/>
      <c r="GQK12" s="12"/>
      <c r="GQL12" s="12"/>
      <c r="GRC12" s="12"/>
      <c r="GRD12" s="12"/>
      <c r="GRU12" s="12"/>
      <c r="GRV12" s="12"/>
      <c r="GSM12" s="12"/>
      <c r="GSN12" s="12"/>
      <c r="GTE12" s="12"/>
      <c r="GTF12" s="12"/>
      <c r="GTW12" s="12"/>
      <c r="GTX12" s="12"/>
      <c r="GUO12" s="12"/>
      <c r="GUP12" s="12"/>
      <c r="GVG12" s="12"/>
      <c r="GVH12" s="12"/>
      <c r="GVY12" s="12"/>
      <c r="GVZ12" s="12"/>
      <c r="GWQ12" s="12"/>
      <c r="GWR12" s="12"/>
      <c r="GXI12" s="12"/>
      <c r="GXJ12" s="12"/>
      <c r="GYA12" s="12"/>
      <c r="GYB12" s="12"/>
      <c r="GYS12" s="12"/>
      <c r="GYT12" s="12"/>
      <c r="GZK12" s="12"/>
      <c r="GZL12" s="12"/>
      <c r="HAC12" s="12"/>
      <c r="HAD12" s="12"/>
      <c r="HAU12" s="12"/>
      <c r="HAV12" s="12"/>
      <c r="HBM12" s="12"/>
      <c r="HBN12" s="12"/>
      <c r="HCE12" s="12"/>
      <c r="HCF12" s="12"/>
      <c r="HCW12" s="12"/>
      <c r="HCX12" s="12"/>
      <c r="HDO12" s="12"/>
      <c r="HDP12" s="12"/>
      <c r="HEG12" s="12"/>
      <c r="HEH12" s="12"/>
      <c r="HEY12" s="12"/>
      <c r="HEZ12" s="12"/>
      <c r="HFQ12" s="12"/>
      <c r="HFR12" s="12"/>
      <c r="HGI12" s="12"/>
      <c r="HGJ12" s="12"/>
      <c r="HHA12" s="12"/>
      <c r="HHB12" s="12"/>
      <c r="HHS12" s="12"/>
      <c r="HHT12" s="12"/>
      <c r="HIK12" s="12"/>
      <c r="HIL12" s="12"/>
      <c r="HJC12" s="12"/>
      <c r="HJD12" s="12"/>
      <c r="HJU12" s="12"/>
      <c r="HJV12" s="12"/>
      <c r="HKM12" s="12"/>
      <c r="HKN12" s="12"/>
      <c r="HLE12" s="12"/>
      <c r="HLF12" s="12"/>
      <c r="HLW12" s="12"/>
      <c r="HLX12" s="12"/>
      <c r="HMO12" s="12"/>
      <c r="HMP12" s="12"/>
      <c r="HNG12" s="12"/>
      <c r="HNH12" s="12"/>
      <c r="HNY12" s="12"/>
      <c r="HNZ12" s="12"/>
      <c r="HOQ12" s="12"/>
      <c r="HOR12" s="12"/>
      <c r="HPI12" s="12"/>
      <c r="HPJ12" s="12"/>
      <c r="HQA12" s="12"/>
      <c r="HQB12" s="12"/>
      <c r="HQS12" s="12"/>
      <c r="HQT12" s="12"/>
      <c r="HRK12" s="12"/>
      <c r="HRL12" s="12"/>
      <c r="HSC12" s="12"/>
      <c r="HSD12" s="12"/>
      <c r="HSU12" s="12"/>
      <c r="HSV12" s="12"/>
      <c r="HTM12" s="12"/>
      <c r="HTN12" s="12"/>
      <c r="HUE12" s="12"/>
      <c r="HUF12" s="12"/>
      <c r="HUW12" s="12"/>
      <c r="HUX12" s="12"/>
      <c r="HVO12" s="12"/>
      <c r="HVP12" s="12"/>
      <c r="HWG12" s="12"/>
      <c r="HWH12" s="12"/>
      <c r="HWY12" s="12"/>
      <c r="HWZ12" s="12"/>
      <c r="HXQ12" s="12"/>
      <c r="HXR12" s="12"/>
      <c r="HYI12" s="12"/>
      <c r="HYJ12" s="12"/>
      <c r="HZA12" s="12"/>
      <c r="HZB12" s="12"/>
      <c r="HZS12" s="12"/>
      <c r="HZT12" s="12"/>
      <c r="IAK12" s="12"/>
      <c r="IAL12" s="12"/>
      <c r="IBC12" s="12"/>
      <c r="IBD12" s="12"/>
      <c r="IBU12" s="12"/>
      <c r="IBV12" s="12"/>
      <c r="ICM12" s="12"/>
      <c r="ICN12" s="12"/>
      <c r="IDE12" s="12"/>
      <c r="IDF12" s="12"/>
      <c r="IDW12" s="12"/>
      <c r="IDX12" s="12"/>
      <c r="IEO12" s="12"/>
      <c r="IEP12" s="12"/>
      <c r="IFG12" s="12"/>
      <c r="IFH12" s="12"/>
      <c r="IFY12" s="12"/>
      <c r="IFZ12" s="12"/>
      <c r="IGQ12" s="12"/>
      <c r="IGR12" s="12"/>
      <c r="IHI12" s="12"/>
      <c r="IHJ12" s="12"/>
      <c r="IIA12" s="12"/>
      <c r="IIB12" s="12"/>
      <c r="IIS12" s="12"/>
      <c r="IIT12" s="12"/>
      <c r="IJK12" s="12"/>
      <c r="IJL12" s="12"/>
      <c r="IKC12" s="12"/>
      <c r="IKD12" s="12"/>
      <c r="IKU12" s="12"/>
      <c r="IKV12" s="12"/>
      <c r="ILM12" s="12"/>
      <c r="ILN12" s="12"/>
      <c r="IME12" s="12"/>
      <c r="IMF12" s="12"/>
      <c r="IMW12" s="12"/>
      <c r="IMX12" s="12"/>
      <c r="INO12" s="12"/>
      <c r="INP12" s="12"/>
      <c r="IOG12" s="12"/>
      <c r="IOH12" s="12"/>
      <c r="IOY12" s="12"/>
      <c r="IOZ12" s="12"/>
      <c r="IPQ12" s="12"/>
      <c r="IPR12" s="12"/>
      <c r="IQI12" s="12"/>
      <c r="IQJ12" s="12"/>
      <c r="IRA12" s="12"/>
      <c r="IRB12" s="12"/>
      <c r="IRS12" s="12"/>
      <c r="IRT12" s="12"/>
      <c r="ISK12" s="12"/>
      <c r="ISL12" s="12"/>
      <c r="ITC12" s="12"/>
      <c r="ITD12" s="12"/>
      <c r="ITU12" s="12"/>
      <c r="ITV12" s="12"/>
      <c r="IUM12" s="12"/>
      <c r="IUN12" s="12"/>
      <c r="IVE12" s="12"/>
      <c r="IVF12" s="12"/>
      <c r="IVW12" s="12"/>
      <c r="IVX12" s="12"/>
      <c r="IWO12" s="12"/>
      <c r="IWP12" s="12"/>
      <c r="IXG12" s="12"/>
      <c r="IXH12" s="12"/>
      <c r="IXY12" s="12"/>
      <c r="IXZ12" s="12"/>
      <c r="IYQ12" s="12"/>
      <c r="IYR12" s="12"/>
      <c r="IZI12" s="12"/>
      <c r="IZJ12" s="12"/>
      <c r="JAA12" s="12"/>
      <c r="JAB12" s="12"/>
      <c r="JAS12" s="12"/>
      <c r="JAT12" s="12"/>
      <c r="JBK12" s="12"/>
      <c r="JBL12" s="12"/>
      <c r="JCC12" s="12"/>
      <c r="JCD12" s="12"/>
      <c r="JCU12" s="12"/>
      <c r="JCV12" s="12"/>
      <c r="JDM12" s="12"/>
      <c r="JDN12" s="12"/>
      <c r="JEE12" s="12"/>
      <c r="JEF12" s="12"/>
      <c r="JEW12" s="12"/>
      <c r="JEX12" s="12"/>
      <c r="JFO12" s="12"/>
      <c r="JFP12" s="12"/>
      <c r="JGG12" s="12"/>
      <c r="JGH12" s="12"/>
      <c r="JGY12" s="12"/>
      <c r="JGZ12" s="12"/>
      <c r="JHQ12" s="12"/>
      <c r="JHR12" s="12"/>
      <c r="JII12" s="12"/>
      <c r="JIJ12" s="12"/>
      <c r="JJA12" s="12"/>
      <c r="JJB12" s="12"/>
      <c r="JJS12" s="12"/>
      <c r="JJT12" s="12"/>
      <c r="JKK12" s="12"/>
      <c r="JKL12" s="12"/>
      <c r="JLC12" s="12"/>
      <c r="JLD12" s="12"/>
      <c r="JLU12" s="12"/>
      <c r="JLV12" s="12"/>
      <c r="JMM12" s="12"/>
      <c r="JMN12" s="12"/>
      <c r="JNE12" s="12"/>
      <c r="JNF12" s="12"/>
      <c r="JNW12" s="12"/>
      <c r="JNX12" s="12"/>
      <c r="JOO12" s="12"/>
      <c r="JOP12" s="12"/>
      <c r="JPG12" s="12"/>
      <c r="JPH12" s="12"/>
      <c r="JPY12" s="12"/>
      <c r="JPZ12" s="12"/>
      <c r="JQQ12" s="12"/>
      <c r="JQR12" s="12"/>
      <c r="JRI12" s="12"/>
      <c r="JRJ12" s="12"/>
      <c r="JSA12" s="12"/>
      <c r="JSB12" s="12"/>
      <c r="JSS12" s="12"/>
      <c r="JST12" s="12"/>
      <c r="JTK12" s="12"/>
      <c r="JTL12" s="12"/>
      <c r="JUC12" s="12"/>
      <c r="JUD12" s="12"/>
      <c r="JUU12" s="12"/>
      <c r="JUV12" s="12"/>
      <c r="JVM12" s="12"/>
      <c r="JVN12" s="12"/>
      <c r="JWE12" s="12"/>
      <c r="JWF12" s="12"/>
      <c r="JWW12" s="12"/>
      <c r="JWX12" s="12"/>
      <c r="JXO12" s="12"/>
      <c r="JXP12" s="12"/>
      <c r="JYG12" s="12"/>
      <c r="JYH12" s="12"/>
      <c r="JYY12" s="12"/>
      <c r="JYZ12" s="12"/>
      <c r="JZQ12" s="12"/>
      <c r="JZR12" s="12"/>
      <c r="KAI12" s="12"/>
      <c r="KAJ12" s="12"/>
      <c r="KBA12" s="12"/>
      <c r="KBB12" s="12"/>
      <c r="KBS12" s="12"/>
      <c r="KBT12" s="12"/>
      <c r="KCK12" s="12"/>
      <c r="KCL12" s="12"/>
      <c r="KDC12" s="12"/>
      <c r="KDD12" s="12"/>
      <c r="KDU12" s="12"/>
      <c r="KDV12" s="12"/>
      <c r="KEM12" s="12"/>
      <c r="KEN12" s="12"/>
      <c r="KFE12" s="12"/>
      <c r="KFF12" s="12"/>
      <c r="KFW12" s="12"/>
      <c r="KFX12" s="12"/>
      <c r="KGO12" s="12"/>
      <c r="KGP12" s="12"/>
      <c r="KHG12" s="12"/>
      <c r="KHH12" s="12"/>
      <c r="KHY12" s="12"/>
      <c r="KHZ12" s="12"/>
      <c r="KIQ12" s="12"/>
      <c r="KIR12" s="12"/>
      <c r="KJI12" s="12"/>
      <c r="KJJ12" s="12"/>
      <c r="KKA12" s="12"/>
      <c r="KKB12" s="12"/>
      <c r="KKS12" s="12"/>
      <c r="KKT12" s="12"/>
      <c r="KLK12" s="12"/>
      <c r="KLL12" s="12"/>
      <c r="KMC12" s="12"/>
      <c r="KMD12" s="12"/>
      <c r="KMU12" s="12"/>
      <c r="KMV12" s="12"/>
      <c r="KNM12" s="12"/>
      <c r="KNN12" s="12"/>
      <c r="KOE12" s="12"/>
      <c r="KOF12" s="12"/>
      <c r="KOW12" s="12"/>
      <c r="KOX12" s="12"/>
      <c r="KPO12" s="12"/>
      <c r="KPP12" s="12"/>
      <c r="KQG12" s="12"/>
      <c r="KQH12" s="12"/>
      <c r="KQY12" s="12"/>
      <c r="KQZ12" s="12"/>
      <c r="KRQ12" s="12"/>
      <c r="KRR12" s="12"/>
      <c r="KSI12" s="12"/>
      <c r="KSJ12" s="12"/>
      <c r="KTA12" s="12"/>
      <c r="KTB12" s="12"/>
      <c r="KTS12" s="12"/>
      <c r="KTT12" s="12"/>
      <c r="KUK12" s="12"/>
      <c r="KUL12" s="12"/>
      <c r="KVC12" s="12"/>
      <c r="KVD12" s="12"/>
      <c r="KVU12" s="12"/>
      <c r="KVV12" s="12"/>
      <c r="KWM12" s="12"/>
      <c r="KWN12" s="12"/>
      <c r="KXE12" s="12"/>
      <c r="KXF12" s="12"/>
      <c r="KXW12" s="12"/>
      <c r="KXX12" s="12"/>
      <c r="KYO12" s="12"/>
      <c r="KYP12" s="12"/>
      <c r="KZG12" s="12"/>
      <c r="KZH12" s="12"/>
      <c r="KZY12" s="12"/>
      <c r="KZZ12" s="12"/>
      <c r="LAQ12" s="12"/>
      <c r="LAR12" s="12"/>
      <c r="LBI12" s="12"/>
      <c r="LBJ12" s="12"/>
      <c r="LCA12" s="12"/>
      <c r="LCB12" s="12"/>
      <c r="LCS12" s="12"/>
      <c r="LCT12" s="12"/>
      <c r="LDK12" s="12"/>
      <c r="LDL12" s="12"/>
      <c r="LEC12" s="12"/>
      <c r="LED12" s="12"/>
      <c r="LEU12" s="12"/>
      <c r="LEV12" s="12"/>
      <c r="LFM12" s="12"/>
      <c r="LFN12" s="12"/>
      <c r="LGE12" s="12"/>
      <c r="LGF12" s="12"/>
      <c r="LGW12" s="12"/>
      <c r="LGX12" s="12"/>
      <c r="LHO12" s="12"/>
      <c r="LHP12" s="12"/>
      <c r="LIG12" s="12"/>
      <c r="LIH12" s="12"/>
      <c r="LIY12" s="12"/>
      <c r="LIZ12" s="12"/>
      <c r="LJQ12" s="12"/>
      <c r="LJR12" s="12"/>
      <c r="LKI12" s="12"/>
      <c r="LKJ12" s="12"/>
      <c r="LLA12" s="12"/>
      <c r="LLB12" s="12"/>
      <c r="LLS12" s="12"/>
      <c r="LLT12" s="12"/>
      <c r="LMK12" s="12"/>
      <c r="LML12" s="12"/>
      <c r="LNC12" s="12"/>
      <c r="LND12" s="12"/>
      <c r="LNU12" s="12"/>
      <c r="LNV12" s="12"/>
      <c r="LOM12" s="12"/>
      <c r="LON12" s="12"/>
      <c r="LPE12" s="12"/>
      <c r="LPF12" s="12"/>
      <c r="LPW12" s="12"/>
      <c r="LPX12" s="12"/>
      <c r="LQO12" s="12"/>
      <c r="LQP12" s="12"/>
      <c r="LRG12" s="12"/>
      <c r="LRH12" s="12"/>
      <c r="LRY12" s="12"/>
      <c r="LRZ12" s="12"/>
      <c r="LSQ12" s="12"/>
      <c r="LSR12" s="12"/>
      <c r="LTI12" s="12"/>
      <c r="LTJ12" s="12"/>
      <c r="LUA12" s="12"/>
      <c r="LUB12" s="12"/>
      <c r="LUS12" s="12"/>
      <c r="LUT12" s="12"/>
      <c r="LVK12" s="12"/>
      <c r="LVL12" s="12"/>
      <c r="LWC12" s="12"/>
      <c r="LWD12" s="12"/>
      <c r="LWU12" s="12"/>
      <c r="LWV12" s="12"/>
      <c r="LXM12" s="12"/>
      <c r="LXN12" s="12"/>
      <c r="LYE12" s="12"/>
      <c r="LYF12" s="12"/>
      <c r="LYW12" s="12"/>
      <c r="LYX12" s="12"/>
      <c r="LZO12" s="12"/>
      <c r="LZP12" s="12"/>
      <c r="MAG12" s="12"/>
      <c r="MAH12" s="12"/>
      <c r="MAY12" s="12"/>
      <c r="MAZ12" s="12"/>
      <c r="MBQ12" s="12"/>
      <c r="MBR12" s="12"/>
      <c r="MCI12" s="12"/>
      <c r="MCJ12" s="12"/>
      <c r="MDA12" s="12"/>
      <c r="MDB12" s="12"/>
      <c r="MDS12" s="12"/>
      <c r="MDT12" s="12"/>
      <c r="MEK12" s="12"/>
      <c r="MEL12" s="12"/>
      <c r="MFC12" s="12"/>
      <c r="MFD12" s="12"/>
      <c r="MFU12" s="12"/>
      <c r="MFV12" s="12"/>
      <c r="MGM12" s="12"/>
      <c r="MGN12" s="12"/>
      <c r="MHE12" s="12"/>
      <c r="MHF12" s="12"/>
      <c r="MHW12" s="12"/>
      <c r="MHX12" s="12"/>
      <c r="MIO12" s="12"/>
      <c r="MIP12" s="12"/>
      <c r="MJG12" s="12"/>
      <c r="MJH12" s="12"/>
      <c r="MJY12" s="12"/>
      <c r="MJZ12" s="12"/>
      <c r="MKQ12" s="12"/>
      <c r="MKR12" s="12"/>
      <c r="MLI12" s="12"/>
      <c r="MLJ12" s="12"/>
      <c r="MMA12" s="12"/>
      <c r="MMB12" s="12"/>
      <c r="MMS12" s="12"/>
      <c r="MMT12" s="12"/>
      <c r="MNK12" s="12"/>
      <c r="MNL12" s="12"/>
      <c r="MOC12" s="12"/>
      <c r="MOD12" s="12"/>
      <c r="MOU12" s="12"/>
      <c r="MOV12" s="12"/>
      <c r="MPM12" s="12"/>
      <c r="MPN12" s="12"/>
      <c r="MQE12" s="12"/>
      <c r="MQF12" s="12"/>
      <c r="MQW12" s="12"/>
      <c r="MQX12" s="12"/>
      <c r="MRO12" s="12"/>
      <c r="MRP12" s="12"/>
      <c r="MSG12" s="12"/>
      <c r="MSH12" s="12"/>
      <c r="MSY12" s="12"/>
      <c r="MSZ12" s="12"/>
      <c r="MTQ12" s="12"/>
      <c r="MTR12" s="12"/>
      <c r="MUI12" s="12"/>
      <c r="MUJ12" s="12"/>
      <c r="MVA12" s="12"/>
      <c r="MVB12" s="12"/>
      <c r="MVS12" s="12"/>
      <c r="MVT12" s="12"/>
      <c r="MWK12" s="12"/>
      <c r="MWL12" s="12"/>
      <c r="MXC12" s="12"/>
      <c r="MXD12" s="12"/>
      <c r="MXU12" s="12"/>
      <c r="MXV12" s="12"/>
      <c r="MYM12" s="12"/>
      <c r="MYN12" s="12"/>
      <c r="MZE12" s="12"/>
      <c r="MZF12" s="12"/>
      <c r="MZW12" s="12"/>
      <c r="MZX12" s="12"/>
      <c r="NAO12" s="12"/>
      <c r="NAP12" s="12"/>
      <c r="NBG12" s="12"/>
      <c r="NBH12" s="12"/>
      <c r="NBY12" s="12"/>
      <c r="NBZ12" s="12"/>
      <c r="NCQ12" s="12"/>
      <c r="NCR12" s="12"/>
      <c r="NDI12" s="12"/>
      <c r="NDJ12" s="12"/>
      <c r="NEA12" s="12"/>
      <c r="NEB12" s="12"/>
      <c r="NES12" s="12"/>
      <c r="NET12" s="12"/>
      <c r="NFK12" s="12"/>
      <c r="NFL12" s="12"/>
      <c r="NGC12" s="12"/>
      <c r="NGD12" s="12"/>
      <c r="NGU12" s="12"/>
      <c r="NGV12" s="12"/>
      <c r="NHM12" s="12"/>
      <c r="NHN12" s="12"/>
      <c r="NIE12" s="12"/>
      <c r="NIF12" s="12"/>
      <c r="NIW12" s="12"/>
      <c r="NIX12" s="12"/>
      <c r="NJO12" s="12"/>
      <c r="NJP12" s="12"/>
      <c r="NKG12" s="12"/>
      <c r="NKH12" s="12"/>
      <c r="NKY12" s="12"/>
      <c r="NKZ12" s="12"/>
      <c r="NLQ12" s="12"/>
      <c r="NLR12" s="12"/>
      <c r="NMI12" s="12"/>
      <c r="NMJ12" s="12"/>
      <c r="NNA12" s="12"/>
      <c r="NNB12" s="12"/>
      <c r="NNS12" s="12"/>
      <c r="NNT12" s="12"/>
      <c r="NOK12" s="12"/>
      <c r="NOL12" s="12"/>
      <c r="NPC12" s="12"/>
      <c r="NPD12" s="12"/>
      <c r="NPU12" s="12"/>
      <c r="NPV12" s="12"/>
      <c r="NQM12" s="12"/>
      <c r="NQN12" s="12"/>
      <c r="NRE12" s="12"/>
      <c r="NRF12" s="12"/>
      <c r="NRW12" s="12"/>
      <c r="NRX12" s="12"/>
      <c r="NSO12" s="12"/>
      <c r="NSP12" s="12"/>
      <c r="NTG12" s="12"/>
      <c r="NTH12" s="12"/>
      <c r="NTY12" s="12"/>
      <c r="NTZ12" s="12"/>
      <c r="NUQ12" s="12"/>
      <c r="NUR12" s="12"/>
      <c r="NVI12" s="12"/>
      <c r="NVJ12" s="12"/>
      <c r="NWA12" s="12"/>
      <c r="NWB12" s="12"/>
      <c r="NWS12" s="12"/>
      <c r="NWT12" s="12"/>
      <c r="NXK12" s="12"/>
      <c r="NXL12" s="12"/>
      <c r="NYC12" s="12"/>
      <c r="NYD12" s="12"/>
      <c r="NYU12" s="12"/>
      <c r="NYV12" s="12"/>
      <c r="NZM12" s="12"/>
      <c r="NZN12" s="12"/>
      <c r="OAE12" s="12"/>
      <c r="OAF12" s="12"/>
      <c r="OAW12" s="12"/>
      <c r="OAX12" s="12"/>
      <c r="OBO12" s="12"/>
      <c r="OBP12" s="12"/>
      <c r="OCG12" s="12"/>
      <c r="OCH12" s="12"/>
      <c r="OCY12" s="12"/>
      <c r="OCZ12" s="12"/>
      <c r="ODQ12" s="12"/>
      <c r="ODR12" s="12"/>
      <c r="OEI12" s="12"/>
      <c r="OEJ12" s="12"/>
      <c r="OFA12" s="12"/>
      <c r="OFB12" s="12"/>
      <c r="OFS12" s="12"/>
      <c r="OFT12" s="12"/>
      <c r="OGK12" s="12"/>
      <c r="OGL12" s="12"/>
      <c r="OHC12" s="12"/>
      <c r="OHD12" s="12"/>
      <c r="OHU12" s="12"/>
      <c r="OHV12" s="12"/>
      <c r="OIM12" s="12"/>
      <c r="OIN12" s="12"/>
      <c r="OJE12" s="12"/>
      <c r="OJF12" s="12"/>
      <c r="OJW12" s="12"/>
      <c r="OJX12" s="12"/>
      <c r="OKO12" s="12"/>
      <c r="OKP12" s="12"/>
      <c r="OLG12" s="12"/>
      <c r="OLH12" s="12"/>
      <c r="OLY12" s="12"/>
      <c r="OLZ12" s="12"/>
      <c r="OMQ12" s="12"/>
      <c r="OMR12" s="12"/>
      <c r="ONI12" s="12"/>
      <c r="ONJ12" s="12"/>
      <c r="OOA12" s="12"/>
      <c r="OOB12" s="12"/>
      <c r="OOS12" s="12"/>
      <c r="OOT12" s="12"/>
      <c r="OPK12" s="12"/>
      <c r="OPL12" s="12"/>
      <c r="OQC12" s="12"/>
      <c r="OQD12" s="12"/>
      <c r="OQU12" s="12"/>
      <c r="OQV12" s="12"/>
      <c r="ORM12" s="12"/>
      <c r="ORN12" s="12"/>
      <c r="OSE12" s="12"/>
      <c r="OSF12" s="12"/>
      <c r="OSW12" s="12"/>
      <c r="OSX12" s="12"/>
      <c r="OTO12" s="12"/>
      <c r="OTP12" s="12"/>
      <c r="OUG12" s="12"/>
      <c r="OUH12" s="12"/>
      <c r="OUY12" s="12"/>
      <c r="OUZ12" s="12"/>
      <c r="OVQ12" s="12"/>
      <c r="OVR12" s="12"/>
      <c r="OWI12" s="12"/>
      <c r="OWJ12" s="12"/>
      <c r="OXA12" s="12"/>
      <c r="OXB12" s="12"/>
      <c r="OXS12" s="12"/>
      <c r="OXT12" s="12"/>
      <c r="OYK12" s="12"/>
      <c r="OYL12" s="12"/>
      <c r="OZC12" s="12"/>
      <c r="OZD12" s="12"/>
      <c r="OZU12" s="12"/>
      <c r="OZV12" s="12"/>
      <c r="PAM12" s="12"/>
      <c r="PAN12" s="12"/>
      <c r="PBE12" s="12"/>
      <c r="PBF12" s="12"/>
      <c r="PBW12" s="12"/>
      <c r="PBX12" s="12"/>
      <c r="PCO12" s="12"/>
      <c r="PCP12" s="12"/>
      <c r="PDG12" s="12"/>
      <c r="PDH12" s="12"/>
      <c r="PDY12" s="12"/>
      <c r="PDZ12" s="12"/>
      <c r="PEQ12" s="12"/>
      <c r="PER12" s="12"/>
      <c r="PFI12" s="12"/>
      <c r="PFJ12" s="12"/>
      <c r="PGA12" s="12"/>
      <c r="PGB12" s="12"/>
      <c r="PGS12" s="12"/>
      <c r="PGT12" s="12"/>
      <c r="PHK12" s="12"/>
      <c r="PHL12" s="12"/>
      <c r="PIC12" s="12"/>
      <c r="PID12" s="12"/>
      <c r="PIU12" s="12"/>
      <c r="PIV12" s="12"/>
      <c r="PJM12" s="12"/>
      <c r="PJN12" s="12"/>
      <c r="PKE12" s="12"/>
      <c r="PKF12" s="12"/>
      <c r="PKW12" s="12"/>
      <c r="PKX12" s="12"/>
      <c r="PLO12" s="12"/>
      <c r="PLP12" s="12"/>
      <c r="PMG12" s="12"/>
      <c r="PMH12" s="12"/>
      <c r="PMY12" s="12"/>
      <c r="PMZ12" s="12"/>
      <c r="PNQ12" s="12"/>
      <c r="PNR12" s="12"/>
      <c r="POI12" s="12"/>
      <c r="POJ12" s="12"/>
      <c r="PPA12" s="12"/>
      <c r="PPB12" s="12"/>
      <c r="PPS12" s="12"/>
      <c r="PPT12" s="12"/>
      <c r="PQK12" s="12"/>
      <c r="PQL12" s="12"/>
      <c r="PRC12" s="12"/>
      <c r="PRD12" s="12"/>
      <c r="PRU12" s="12"/>
      <c r="PRV12" s="12"/>
      <c r="PSM12" s="12"/>
      <c r="PSN12" s="12"/>
      <c r="PTE12" s="12"/>
      <c r="PTF12" s="12"/>
      <c r="PTW12" s="12"/>
      <c r="PTX12" s="12"/>
      <c r="PUO12" s="12"/>
      <c r="PUP12" s="12"/>
      <c r="PVG12" s="12"/>
      <c r="PVH12" s="12"/>
      <c r="PVY12" s="12"/>
      <c r="PVZ12" s="12"/>
      <c r="PWQ12" s="12"/>
      <c r="PWR12" s="12"/>
      <c r="PXI12" s="12"/>
      <c r="PXJ12" s="12"/>
      <c r="PYA12" s="12"/>
      <c r="PYB12" s="12"/>
      <c r="PYS12" s="12"/>
      <c r="PYT12" s="12"/>
      <c r="PZK12" s="12"/>
      <c r="PZL12" s="12"/>
      <c r="QAC12" s="12"/>
      <c r="QAD12" s="12"/>
      <c r="QAU12" s="12"/>
      <c r="QAV12" s="12"/>
      <c r="QBM12" s="12"/>
      <c r="QBN12" s="12"/>
      <c r="QCE12" s="12"/>
      <c r="QCF12" s="12"/>
      <c r="QCW12" s="12"/>
      <c r="QCX12" s="12"/>
      <c r="QDO12" s="12"/>
      <c r="QDP12" s="12"/>
      <c r="QEG12" s="12"/>
      <c r="QEH12" s="12"/>
      <c r="QEY12" s="12"/>
      <c r="QEZ12" s="12"/>
      <c r="QFQ12" s="12"/>
      <c r="QFR12" s="12"/>
      <c r="QGI12" s="12"/>
      <c r="QGJ12" s="12"/>
      <c r="QHA12" s="12"/>
      <c r="QHB12" s="12"/>
      <c r="QHS12" s="12"/>
      <c r="QHT12" s="12"/>
      <c r="QIK12" s="12"/>
      <c r="QIL12" s="12"/>
      <c r="QJC12" s="12"/>
      <c r="QJD12" s="12"/>
      <c r="QJU12" s="12"/>
      <c r="QJV12" s="12"/>
      <c r="QKM12" s="12"/>
      <c r="QKN12" s="12"/>
      <c r="QLE12" s="12"/>
      <c r="QLF12" s="12"/>
      <c r="QLW12" s="12"/>
      <c r="QLX12" s="12"/>
      <c r="QMO12" s="12"/>
      <c r="QMP12" s="12"/>
      <c r="QNG12" s="12"/>
      <c r="QNH12" s="12"/>
      <c r="QNY12" s="12"/>
      <c r="QNZ12" s="12"/>
      <c r="QOQ12" s="12"/>
      <c r="QOR12" s="12"/>
      <c r="QPI12" s="12"/>
      <c r="QPJ12" s="12"/>
      <c r="QQA12" s="12"/>
      <c r="QQB12" s="12"/>
      <c r="QQS12" s="12"/>
      <c r="QQT12" s="12"/>
      <c r="QRK12" s="12"/>
      <c r="QRL12" s="12"/>
      <c r="QSC12" s="12"/>
      <c r="QSD12" s="12"/>
      <c r="QSU12" s="12"/>
      <c r="QSV12" s="12"/>
      <c r="QTM12" s="12"/>
      <c r="QTN12" s="12"/>
      <c r="QUE12" s="12"/>
      <c r="QUF12" s="12"/>
      <c r="QUW12" s="12"/>
      <c r="QUX12" s="12"/>
      <c r="QVO12" s="12"/>
      <c r="QVP12" s="12"/>
      <c r="QWG12" s="12"/>
      <c r="QWH12" s="12"/>
      <c r="QWY12" s="12"/>
      <c r="QWZ12" s="12"/>
      <c r="QXQ12" s="12"/>
      <c r="QXR12" s="12"/>
      <c r="QYI12" s="12"/>
      <c r="QYJ12" s="12"/>
      <c r="QZA12" s="12"/>
      <c r="QZB12" s="12"/>
      <c r="QZS12" s="12"/>
      <c r="QZT12" s="12"/>
      <c r="RAK12" s="12"/>
      <c r="RAL12" s="12"/>
      <c r="RBC12" s="12"/>
      <c r="RBD12" s="12"/>
      <c r="RBU12" s="12"/>
      <c r="RBV12" s="12"/>
      <c r="RCM12" s="12"/>
      <c r="RCN12" s="12"/>
      <c r="RDE12" s="12"/>
      <c r="RDF12" s="12"/>
      <c r="RDW12" s="12"/>
      <c r="RDX12" s="12"/>
      <c r="REO12" s="12"/>
      <c r="REP12" s="12"/>
      <c r="RFG12" s="12"/>
      <c r="RFH12" s="12"/>
      <c r="RFY12" s="12"/>
      <c r="RFZ12" s="12"/>
      <c r="RGQ12" s="12"/>
      <c r="RGR12" s="12"/>
      <c r="RHI12" s="12"/>
      <c r="RHJ12" s="12"/>
      <c r="RIA12" s="12"/>
      <c r="RIB12" s="12"/>
      <c r="RIS12" s="12"/>
      <c r="RIT12" s="12"/>
      <c r="RJK12" s="12"/>
      <c r="RJL12" s="12"/>
      <c r="RKC12" s="12"/>
      <c r="RKD12" s="12"/>
      <c r="RKU12" s="12"/>
      <c r="RKV12" s="12"/>
      <c r="RLM12" s="12"/>
      <c r="RLN12" s="12"/>
      <c r="RME12" s="12"/>
      <c r="RMF12" s="12"/>
      <c r="RMW12" s="12"/>
      <c r="RMX12" s="12"/>
      <c r="RNO12" s="12"/>
      <c r="RNP12" s="12"/>
      <c r="ROG12" s="12"/>
      <c r="ROH12" s="12"/>
      <c r="ROY12" s="12"/>
      <c r="ROZ12" s="12"/>
      <c r="RPQ12" s="12"/>
      <c r="RPR12" s="12"/>
      <c r="RQI12" s="12"/>
      <c r="RQJ12" s="12"/>
      <c r="RRA12" s="12"/>
      <c r="RRB12" s="12"/>
      <c r="RRS12" s="12"/>
      <c r="RRT12" s="12"/>
      <c r="RSK12" s="12"/>
      <c r="RSL12" s="12"/>
      <c r="RTC12" s="12"/>
      <c r="RTD12" s="12"/>
      <c r="RTU12" s="12"/>
      <c r="RTV12" s="12"/>
      <c r="RUM12" s="12"/>
      <c r="RUN12" s="12"/>
      <c r="RVE12" s="12"/>
      <c r="RVF12" s="12"/>
      <c r="RVW12" s="12"/>
      <c r="RVX12" s="12"/>
      <c r="RWO12" s="12"/>
      <c r="RWP12" s="12"/>
      <c r="RXG12" s="12"/>
      <c r="RXH12" s="12"/>
      <c r="RXY12" s="12"/>
      <c r="RXZ12" s="12"/>
      <c r="RYQ12" s="12"/>
      <c r="RYR12" s="12"/>
      <c r="RZI12" s="12"/>
      <c r="RZJ12" s="12"/>
      <c r="SAA12" s="12"/>
      <c r="SAB12" s="12"/>
      <c r="SAS12" s="12"/>
      <c r="SAT12" s="12"/>
      <c r="SBK12" s="12"/>
      <c r="SBL12" s="12"/>
      <c r="SCC12" s="12"/>
      <c r="SCD12" s="12"/>
      <c r="SCU12" s="12"/>
      <c r="SCV12" s="12"/>
      <c r="SDM12" s="12"/>
      <c r="SDN12" s="12"/>
      <c r="SEE12" s="12"/>
      <c r="SEF12" s="12"/>
      <c r="SEW12" s="12"/>
      <c r="SEX12" s="12"/>
      <c r="SFO12" s="12"/>
      <c r="SFP12" s="12"/>
      <c r="SGG12" s="12"/>
      <c r="SGH12" s="12"/>
      <c r="SGY12" s="12"/>
      <c r="SGZ12" s="12"/>
      <c r="SHQ12" s="12"/>
      <c r="SHR12" s="12"/>
      <c r="SII12" s="12"/>
      <c r="SIJ12" s="12"/>
      <c r="SJA12" s="12"/>
      <c r="SJB12" s="12"/>
      <c r="SJS12" s="12"/>
      <c r="SJT12" s="12"/>
      <c r="SKK12" s="12"/>
      <c r="SKL12" s="12"/>
      <c r="SLC12" s="12"/>
      <c r="SLD12" s="12"/>
      <c r="SLU12" s="12"/>
      <c r="SLV12" s="12"/>
      <c r="SMM12" s="12"/>
      <c r="SMN12" s="12"/>
      <c r="SNE12" s="12"/>
      <c r="SNF12" s="12"/>
      <c r="SNW12" s="12"/>
      <c r="SNX12" s="12"/>
      <c r="SOO12" s="12"/>
      <c r="SOP12" s="12"/>
      <c r="SPG12" s="12"/>
      <c r="SPH12" s="12"/>
      <c r="SPY12" s="12"/>
      <c r="SPZ12" s="12"/>
      <c r="SQQ12" s="12"/>
      <c r="SQR12" s="12"/>
      <c r="SRI12" s="12"/>
      <c r="SRJ12" s="12"/>
      <c r="SSA12" s="12"/>
      <c r="SSB12" s="12"/>
      <c r="SSS12" s="12"/>
      <c r="SST12" s="12"/>
      <c r="STK12" s="12"/>
      <c r="STL12" s="12"/>
      <c r="SUC12" s="12"/>
      <c r="SUD12" s="12"/>
      <c r="SUU12" s="12"/>
      <c r="SUV12" s="12"/>
      <c r="SVM12" s="12"/>
      <c r="SVN12" s="12"/>
      <c r="SWE12" s="12"/>
      <c r="SWF12" s="12"/>
      <c r="SWW12" s="12"/>
      <c r="SWX12" s="12"/>
      <c r="SXO12" s="12"/>
      <c r="SXP12" s="12"/>
      <c r="SYG12" s="12"/>
      <c r="SYH12" s="12"/>
      <c r="SYY12" s="12"/>
      <c r="SYZ12" s="12"/>
      <c r="SZQ12" s="12"/>
      <c r="SZR12" s="12"/>
      <c r="TAI12" s="12"/>
      <c r="TAJ12" s="12"/>
      <c r="TBA12" s="12"/>
      <c r="TBB12" s="12"/>
      <c r="TBS12" s="12"/>
      <c r="TBT12" s="12"/>
      <c r="TCK12" s="12"/>
      <c r="TCL12" s="12"/>
      <c r="TDC12" s="12"/>
      <c r="TDD12" s="12"/>
      <c r="TDU12" s="12"/>
      <c r="TDV12" s="12"/>
      <c r="TEM12" s="12"/>
      <c r="TEN12" s="12"/>
      <c r="TFE12" s="12"/>
      <c r="TFF12" s="12"/>
      <c r="TFW12" s="12"/>
      <c r="TFX12" s="12"/>
      <c r="TGO12" s="12"/>
      <c r="TGP12" s="12"/>
      <c r="THG12" s="12"/>
      <c r="THH12" s="12"/>
      <c r="THY12" s="12"/>
      <c r="THZ12" s="12"/>
      <c r="TIQ12" s="12"/>
      <c r="TIR12" s="12"/>
      <c r="TJI12" s="12"/>
      <c r="TJJ12" s="12"/>
      <c r="TKA12" s="12"/>
      <c r="TKB12" s="12"/>
      <c r="TKS12" s="12"/>
      <c r="TKT12" s="12"/>
      <c r="TLK12" s="12"/>
      <c r="TLL12" s="12"/>
      <c r="TMC12" s="12"/>
      <c r="TMD12" s="12"/>
      <c r="TMU12" s="12"/>
      <c r="TMV12" s="12"/>
      <c r="TNM12" s="12"/>
      <c r="TNN12" s="12"/>
      <c r="TOE12" s="12"/>
      <c r="TOF12" s="12"/>
      <c r="TOW12" s="12"/>
      <c r="TOX12" s="12"/>
      <c r="TPO12" s="12"/>
      <c r="TPP12" s="12"/>
      <c r="TQG12" s="12"/>
      <c r="TQH12" s="12"/>
      <c r="TQY12" s="12"/>
      <c r="TQZ12" s="12"/>
      <c r="TRQ12" s="12"/>
      <c r="TRR12" s="12"/>
      <c r="TSI12" s="12"/>
      <c r="TSJ12" s="12"/>
      <c r="TTA12" s="12"/>
      <c r="TTB12" s="12"/>
      <c r="TTS12" s="12"/>
      <c r="TTT12" s="12"/>
      <c r="TUK12" s="12"/>
      <c r="TUL12" s="12"/>
      <c r="TVC12" s="12"/>
      <c r="TVD12" s="12"/>
      <c r="TVU12" s="12"/>
      <c r="TVV12" s="12"/>
      <c r="TWM12" s="12"/>
      <c r="TWN12" s="12"/>
      <c r="TXE12" s="12"/>
      <c r="TXF12" s="12"/>
      <c r="TXW12" s="12"/>
      <c r="TXX12" s="12"/>
      <c r="TYO12" s="12"/>
      <c r="TYP12" s="12"/>
      <c r="TZG12" s="12"/>
      <c r="TZH12" s="12"/>
      <c r="TZY12" s="12"/>
      <c r="TZZ12" s="12"/>
      <c r="UAQ12" s="12"/>
      <c r="UAR12" s="12"/>
      <c r="UBI12" s="12"/>
      <c r="UBJ12" s="12"/>
      <c r="UCA12" s="12"/>
      <c r="UCB12" s="12"/>
      <c r="UCS12" s="12"/>
      <c r="UCT12" s="12"/>
      <c r="UDK12" s="12"/>
      <c r="UDL12" s="12"/>
      <c r="UEC12" s="12"/>
      <c r="UED12" s="12"/>
      <c r="UEU12" s="12"/>
      <c r="UEV12" s="12"/>
      <c r="UFM12" s="12"/>
      <c r="UFN12" s="12"/>
      <c r="UGE12" s="12"/>
      <c r="UGF12" s="12"/>
      <c r="UGW12" s="12"/>
      <c r="UGX12" s="12"/>
      <c r="UHO12" s="12"/>
      <c r="UHP12" s="12"/>
      <c r="UIG12" s="12"/>
      <c r="UIH12" s="12"/>
      <c r="UIY12" s="12"/>
      <c r="UIZ12" s="12"/>
      <c r="UJQ12" s="12"/>
      <c r="UJR12" s="12"/>
      <c r="UKI12" s="12"/>
      <c r="UKJ12" s="12"/>
      <c r="ULA12" s="12"/>
      <c r="ULB12" s="12"/>
      <c r="ULS12" s="12"/>
      <c r="ULT12" s="12"/>
      <c r="UMK12" s="12"/>
      <c r="UML12" s="12"/>
      <c r="UNC12" s="12"/>
      <c r="UND12" s="12"/>
      <c r="UNU12" s="12"/>
      <c r="UNV12" s="12"/>
      <c r="UOM12" s="12"/>
      <c r="UON12" s="12"/>
      <c r="UPE12" s="12"/>
      <c r="UPF12" s="12"/>
      <c r="UPW12" s="12"/>
      <c r="UPX12" s="12"/>
      <c r="UQO12" s="12"/>
      <c r="UQP12" s="12"/>
      <c r="URG12" s="12"/>
      <c r="URH12" s="12"/>
      <c r="URY12" s="12"/>
      <c r="URZ12" s="12"/>
      <c r="USQ12" s="12"/>
      <c r="USR12" s="12"/>
      <c r="UTI12" s="12"/>
      <c r="UTJ12" s="12"/>
      <c r="UUA12" s="12"/>
      <c r="UUB12" s="12"/>
      <c r="UUS12" s="12"/>
      <c r="UUT12" s="12"/>
      <c r="UVK12" s="12"/>
      <c r="UVL12" s="12"/>
      <c r="UWC12" s="12"/>
      <c r="UWD12" s="12"/>
      <c r="UWU12" s="12"/>
      <c r="UWV12" s="12"/>
      <c r="UXM12" s="12"/>
      <c r="UXN12" s="12"/>
      <c r="UYE12" s="12"/>
      <c r="UYF12" s="12"/>
      <c r="UYW12" s="12"/>
      <c r="UYX12" s="12"/>
      <c r="UZO12" s="12"/>
      <c r="UZP12" s="12"/>
      <c r="VAG12" s="12"/>
      <c r="VAH12" s="12"/>
      <c r="VAY12" s="12"/>
      <c r="VAZ12" s="12"/>
      <c r="VBQ12" s="12"/>
      <c r="VBR12" s="12"/>
      <c r="VCI12" s="12"/>
      <c r="VCJ12" s="12"/>
      <c r="VDA12" s="12"/>
      <c r="VDB12" s="12"/>
      <c r="VDS12" s="12"/>
      <c r="VDT12" s="12"/>
      <c r="VEK12" s="12"/>
      <c r="VEL12" s="12"/>
      <c r="VFC12" s="12"/>
      <c r="VFD12" s="12"/>
      <c r="VFU12" s="12"/>
      <c r="VFV12" s="12"/>
      <c r="VGM12" s="12"/>
      <c r="VGN12" s="12"/>
      <c r="VHE12" s="12"/>
      <c r="VHF12" s="12"/>
      <c r="VHW12" s="12"/>
      <c r="VHX12" s="12"/>
      <c r="VIO12" s="12"/>
      <c r="VIP12" s="12"/>
      <c r="VJG12" s="12"/>
      <c r="VJH12" s="12"/>
      <c r="VJY12" s="12"/>
      <c r="VJZ12" s="12"/>
      <c r="VKQ12" s="12"/>
      <c r="VKR12" s="12"/>
      <c r="VLI12" s="12"/>
      <c r="VLJ12" s="12"/>
      <c r="VMA12" s="12"/>
      <c r="VMB12" s="12"/>
      <c r="VMS12" s="12"/>
      <c r="VMT12" s="12"/>
      <c r="VNK12" s="12"/>
      <c r="VNL12" s="12"/>
      <c r="VOC12" s="12"/>
      <c r="VOD12" s="12"/>
      <c r="VOU12" s="12"/>
      <c r="VOV12" s="12"/>
      <c r="VPM12" s="12"/>
      <c r="VPN12" s="12"/>
      <c r="VQE12" s="12"/>
      <c r="VQF12" s="12"/>
      <c r="VQW12" s="12"/>
      <c r="VQX12" s="12"/>
      <c r="VRO12" s="12"/>
      <c r="VRP12" s="12"/>
      <c r="VSG12" s="12"/>
      <c r="VSH12" s="12"/>
      <c r="VSY12" s="12"/>
      <c r="VSZ12" s="12"/>
      <c r="VTQ12" s="12"/>
      <c r="VTR12" s="12"/>
      <c r="VUI12" s="12"/>
      <c r="VUJ12" s="12"/>
      <c r="VVA12" s="12"/>
      <c r="VVB12" s="12"/>
      <c r="VVS12" s="12"/>
      <c r="VVT12" s="12"/>
      <c r="VWK12" s="12"/>
      <c r="VWL12" s="12"/>
      <c r="VXC12" s="12"/>
      <c r="VXD12" s="12"/>
      <c r="VXU12" s="12"/>
      <c r="VXV12" s="12"/>
      <c r="VYM12" s="12"/>
      <c r="VYN12" s="12"/>
      <c r="VZE12" s="12"/>
      <c r="VZF12" s="12"/>
      <c r="VZW12" s="12"/>
      <c r="VZX12" s="12"/>
      <c r="WAO12" s="12"/>
      <c r="WAP12" s="12"/>
      <c r="WBG12" s="12"/>
      <c r="WBH12" s="12"/>
      <c r="WBY12" s="12"/>
      <c r="WBZ12" s="12"/>
      <c r="WCQ12" s="12"/>
      <c r="WCR12" s="12"/>
      <c r="WDI12" s="12"/>
      <c r="WDJ12" s="12"/>
      <c r="WEA12" s="12"/>
      <c r="WEB12" s="12"/>
      <c r="WES12" s="12"/>
      <c r="WET12" s="12"/>
      <c r="WFK12" s="12"/>
      <c r="WFL12" s="12"/>
      <c r="WGC12" s="12"/>
      <c r="WGD12" s="12"/>
      <c r="WGU12" s="12"/>
      <c r="WGV12" s="12"/>
      <c r="WHM12" s="12"/>
      <c r="WHN12" s="12"/>
      <c r="WIE12" s="12"/>
      <c r="WIF12" s="12"/>
      <c r="WIW12" s="12"/>
      <c r="WIX12" s="12"/>
      <c r="WJO12" s="12"/>
      <c r="WJP12" s="12"/>
      <c r="WKG12" s="12"/>
      <c r="WKH12" s="12"/>
      <c r="WKY12" s="12"/>
      <c r="WKZ12" s="12"/>
      <c r="WLQ12" s="12"/>
      <c r="WLR12" s="12"/>
      <c r="WMI12" s="12"/>
      <c r="WMJ12" s="12"/>
      <c r="WNA12" s="12"/>
      <c r="WNB12" s="12"/>
      <c r="WNS12" s="12"/>
      <c r="WNT12" s="12"/>
      <c r="WOK12" s="12"/>
      <c r="WOL12" s="12"/>
      <c r="WPC12" s="12"/>
      <c r="WPD12" s="12"/>
      <c r="WPU12" s="12"/>
      <c r="WPV12" s="12"/>
      <c r="WQM12" s="12"/>
      <c r="WQN12" s="12"/>
      <c r="WRE12" s="12"/>
      <c r="WRF12" s="12"/>
      <c r="WRW12" s="12"/>
      <c r="WRX12" s="12"/>
      <c r="WSO12" s="12"/>
      <c r="WSP12" s="12"/>
      <c r="WTG12" s="12"/>
      <c r="WTH12" s="12"/>
      <c r="WTY12" s="12"/>
      <c r="WTZ12" s="12"/>
      <c r="WUQ12" s="12"/>
      <c r="WUR12" s="12"/>
      <c r="WVI12" s="12"/>
      <c r="WVJ12" s="12"/>
      <c r="WWA12" s="12"/>
      <c r="WWB12" s="12"/>
      <c r="WWS12" s="12"/>
      <c r="WWT12" s="12"/>
      <c r="WXK12" s="12"/>
      <c r="WXL12" s="12"/>
      <c r="WYC12" s="12"/>
      <c r="WYD12" s="12"/>
      <c r="WYU12" s="12"/>
      <c r="WYV12" s="12"/>
      <c r="WZM12" s="12"/>
      <c r="WZN12" s="12"/>
      <c r="XAE12" s="12"/>
      <c r="XAF12" s="12"/>
      <c r="XAW12" s="12"/>
      <c r="XAX12" s="12"/>
      <c r="XBO12" s="12"/>
      <c r="XBP12" s="12"/>
      <c r="XCG12" s="12"/>
      <c r="XCH12" s="12"/>
      <c r="XCY12" s="12"/>
      <c r="XCZ12" s="12"/>
      <c r="XDQ12" s="12"/>
      <c r="XDR12" s="12"/>
      <c r="XEI12" s="12"/>
      <c r="XEJ12" s="12"/>
      <c r="XFA12" s="12"/>
      <c r="XFB12" s="12"/>
    </row>
    <row r="13" spans="1:1010 1027:2036 2053:3062 3079:4088 4105:5114 5131:6140 6157:7166 7183:8192 8209:9200 9217:10226 10243:11252 11269:12278 12295:13304 13321:14330 14347:15356 15373:16382" x14ac:dyDescent="0.35">
      <c r="A13" s="181" t="str">
        <f>'Cash Flow - Standardized'!A13</f>
        <v xml:space="preserve">    + Stock-Based Compensation</v>
      </c>
      <c r="B13" s="13" t="str">
        <f>'Cash Flow - Standardized'!B13</f>
        <v>CF_STOCK_BASED_COMPENSATION</v>
      </c>
      <c r="C13" s="77">
        <f>IF('Cash Flow - Standardized'!C13="",0,'Cash Flow - Standardized'!C13)/'Cash Flow - Standardized'!C$24</f>
        <v>9.2377358490566039E-2</v>
      </c>
      <c r="D13" s="77">
        <f>IF('Cash Flow - Standardized'!D13="",0,'Cash Flow - Standardized'!D13)/'Cash Flow - Standardized'!D$24</f>
        <v>9.1206367715277958E-2</v>
      </c>
      <c r="E13" s="77">
        <f>IF('Cash Flow - Standardized'!E13="",0,'Cash Flow - Standardized'!E13)/'Cash Flow - Standardized'!E$24</f>
        <v>0.11466375906170803</v>
      </c>
      <c r="F13" s="77">
        <f>IF('Cash Flow - Standardized'!F13="",0,'Cash Flow - Standardized'!F13)/'Cash Flow - Standardized'!F$24</f>
        <v>1.1048195944166448</v>
      </c>
      <c r="G13" s="77">
        <f>IF('Cash Flow - Standardized'!G13="",0,'Cash Flow - Standardized'!G13)/'Cash Flow - Standardized'!G$24</f>
        <v>0.12199678498501107</v>
      </c>
      <c r="H13" s="77">
        <f>IF('Cash Flow - Standardized'!H13="",0,'Cash Flow - Standardized'!H13)/'Cash Flow - Standardized'!H$24</f>
        <v>0.14069323144104803</v>
      </c>
      <c r="I13" s="77">
        <f>IF('Cash Flow - Standardized'!I13="",0,'Cash Flow - Standardized'!I13)/'Cash Flow - Standardized'!I$24</f>
        <v>1.7906824146981628</v>
      </c>
      <c r="J13" s="77">
        <f>IF('Cash Flow - Standardized'!J13="",0,'Cash Flow - Standardized'!J13)/'Cash Flow - Standardized'!J$24</f>
        <v>5.4541505509285174E-2</v>
      </c>
      <c r="K13" s="77">
        <f>IF('Cash Flow - Standardized'!K13="",0,'Cash Flow - Standardized'!K13)/'Cash Flow - Standardized'!K$24</f>
        <v>6.6749511805432274E-2</v>
      </c>
      <c r="L13" s="77">
        <f>IF('Cash Flow - Standardized'!L13="",0,'Cash Flow - Standardized'!L13)/'Cash Flow - Standardized'!L$24</f>
        <v>6.063501617635994E-2</v>
      </c>
      <c r="M13" s="108"/>
      <c r="N13" s="108"/>
      <c r="O13" s="108"/>
      <c r="P13" s="108"/>
      <c r="Q13" s="108"/>
      <c r="R13" s="108"/>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row>
    <row r="14" spans="1:1010 1027:2036 2053:3062 3079:4088 4105:5114 5131:6140 6157:7166 7183:8192 8209:9200 9217:10226 10243:11252 11269:12278 12295:13304 13321:14330 14347:15356 15373:16382" x14ac:dyDescent="0.35">
      <c r="A14" s="181" t="str">
        <f>'Cash Flow - Standardized'!A14</f>
        <v xml:space="preserve">    + Deferred Income Taxes</v>
      </c>
      <c r="B14" s="13" t="str">
        <f>'Cash Flow - Standardized'!B14</f>
        <v>CF_DEF_INC_TAX</v>
      </c>
      <c r="C14" s="77">
        <f>IF('Cash Flow - Standardized'!C14="",0,'Cash Flow - Standardized'!C14)/'Cash Flow - Standardized'!C$24</f>
        <v>-0.17373584905660377</v>
      </c>
      <c r="D14" s="77">
        <f>IF('Cash Flow - Standardized'!D14="",0,'Cash Flow - Standardized'!D14)/'Cash Flow - Standardized'!D$24</f>
        <v>-2.2890314076402445E-2</v>
      </c>
      <c r="E14" s="77">
        <f>IF('Cash Flow - Standardized'!E14="",0,'Cash Flow - Standardized'!E14)/'Cash Flow - Standardized'!E$24</f>
        <v>-1.4734484587729123E-3</v>
      </c>
      <c r="F14" s="77">
        <f>IF('Cash Flow - Standardized'!F14="",0,'Cash Flow - Standardized'!F14)/'Cash Flow - Standardized'!F$24</f>
        <v>-1.4974980247563865</v>
      </c>
      <c r="G14" s="77">
        <f>IF('Cash Flow - Standardized'!G14="",0,'Cash Flow - Standardized'!G14)/'Cash Flow - Standardized'!G$24</f>
        <v>3.0064734761263413E-2</v>
      </c>
      <c r="H14" s="77">
        <f>IF('Cash Flow - Standardized'!H14="",0,'Cash Flow - Standardized'!H14)/'Cash Flow - Standardized'!H$24</f>
        <v>4.3463427947598249E-2</v>
      </c>
      <c r="I14" s="77">
        <f>IF('Cash Flow - Standardized'!I14="",0,'Cash Flow - Standardized'!I14)/'Cash Flow - Standardized'!I$24</f>
        <v>-0.67683727034120744</v>
      </c>
      <c r="J14" s="77">
        <f>IF('Cash Flow - Standardized'!J14="",0,'Cash Flow - Standardized'!J14)/'Cash Flow - Standardized'!J$24</f>
        <v>0</v>
      </c>
      <c r="K14" s="77">
        <f>IF('Cash Flow - Standardized'!K14="",0,'Cash Flow - Standardized'!K14)/'Cash Flow - Standardized'!K$24</f>
        <v>-4.0674178423366507E-2</v>
      </c>
      <c r="L14" s="77">
        <f>IF('Cash Flow - Standardized'!L14="",0,'Cash Flow - Standardized'!L14)/'Cash Flow - Standardized'!L$24</f>
        <v>-1.0781731999097134E-2</v>
      </c>
      <c r="M14" s="108"/>
      <c r="N14" s="108"/>
      <c r="O14" s="108"/>
      <c r="P14" s="108"/>
      <c r="Q14" s="108"/>
      <c r="R14" s="108"/>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row>
    <row r="15" spans="1:1010 1027:2036 2053:3062 3079:4088 4105:5114 5131:6140 6157:7166 7183:8192 8209:9200 9217:10226 10243:11252 11269:12278 12295:13304 13321:14330 14347:15356 15373:16382" x14ac:dyDescent="0.35">
      <c r="A15" s="181" t="str">
        <f>'Cash Flow - Standardized'!A15</f>
        <v xml:space="preserve">    + Other Non-Cash Adj</v>
      </c>
      <c r="B15" s="13" t="str">
        <f>'Cash Flow - Standardized'!B15</f>
        <v>OTHER_NON_CASH_ADJ_LESS_DETAILED</v>
      </c>
      <c r="C15" s="77">
        <f>IF('Cash Flow - Standardized'!C15="",0,'Cash Flow - Standardized'!C15)/'Cash Flow - Standardized'!C$24</f>
        <v>0.34001509433962263</v>
      </c>
      <c r="D15" s="77">
        <f>IF('Cash Flow - Standardized'!D15="",0,'Cash Flow - Standardized'!D15)/'Cash Flow - Standardized'!D$24</f>
        <v>-0.14717736824761085</v>
      </c>
      <c r="E15" s="77">
        <f>IF('Cash Flow - Standardized'!E15="",0,'Cash Flow - Standardized'!E15)/'Cash Flow - Standardized'!E$24</f>
        <v>7.3937643661224739E-2</v>
      </c>
      <c r="F15" s="77">
        <f>IF('Cash Flow - Standardized'!F15="",0,'Cash Flow - Standardized'!F15)/'Cash Flow - Standardized'!F$24</f>
        <v>2.194627337371609</v>
      </c>
      <c r="G15" s="77">
        <f>IF('Cash Flow - Standardized'!G15="",0,'Cash Flow - Standardized'!G15)/'Cash Flow - Standardized'!G$24</f>
        <v>-0.10424903332319591</v>
      </c>
      <c r="H15" s="77">
        <f>IF('Cash Flow - Standardized'!H15="",0,'Cash Flow - Standardized'!H15)/'Cash Flow - Standardized'!H$24</f>
        <v>-0.10186954148471615</v>
      </c>
      <c r="I15" s="77">
        <f>IF('Cash Flow - Standardized'!I15="",0,'Cash Flow - Standardized'!I15)/'Cash Flow - Standardized'!I$24</f>
        <v>2.788713910761155E-2</v>
      </c>
      <c r="J15" s="77">
        <f>IF('Cash Flow - Standardized'!J15="",0,'Cash Flow - Standardized'!J15)/'Cash Flow - Standardized'!J$24</f>
        <v>4.3481166514907237E-2</v>
      </c>
      <c r="K15" s="77">
        <f>IF('Cash Flow - Standardized'!K15="",0,'Cash Flow - Standardized'!K15)/'Cash Flow - Standardized'!K$24</f>
        <v>7.0957905619197792E-2</v>
      </c>
      <c r="L15" s="77">
        <f>IF('Cash Flow - Standardized'!L15="",0,'Cash Flow - Standardized'!L15)/'Cash Flow - Standardized'!L$24</f>
        <v>2.1736513430140696E-2</v>
      </c>
      <c r="M15" s="108"/>
      <c r="N15" s="108"/>
      <c r="O15" s="108"/>
      <c r="P15" s="108"/>
      <c r="Q15" s="108"/>
      <c r="R15" s="108"/>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row>
    <row r="16" spans="1:1010 1027:2036 2053:3062 3079:4088 4105:5114 5131:6140 6157:7166 7183:8192 8209:9200 9217:10226 10243:11252 11269:12278 12295:13304 13321:14330 14347:15356 15373:16382" x14ac:dyDescent="0.35">
      <c r="A16" s="23" t="str">
        <f>'Cash Flow - Standardized'!A16</f>
        <v>check</v>
      </c>
      <c r="B16" s="23"/>
      <c r="C16" s="79"/>
      <c r="D16" s="79"/>
      <c r="E16" s="79"/>
      <c r="F16" s="79"/>
      <c r="G16" s="79"/>
      <c r="H16" s="79"/>
      <c r="I16" s="79"/>
      <c r="J16" s="79"/>
      <c r="K16" s="79"/>
      <c r="L16" s="79"/>
      <c r="M16" s="127"/>
      <c r="N16" s="127"/>
      <c r="O16" s="127"/>
      <c r="P16" s="127"/>
      <c r="Q16" s="127"/>
      <c r="R16" s="12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row>
    <row r="17" spans="1:1010 1027:2036 2053:3062 3079:4088 4105:5114 5131:6140 6157:7166 7183:8192 8209:9200 9217:10226 10243:11252 11269:12278 12295:13304 13321:14330 14347:15356 15373:16382" s="11" customFormat="1" x14ac:dyDescent="0.35">
      <c r="A17" s="183" t="str">
        <f>'Cash Flow - Standardized'!A17</f>
        <v xml:space="preserve">  + Chg in Non-Cash Work Cap</v>
      </c>
      <c r="B17" s="75" t="str">
        <f>'Cash Flow - Standardized'!B17</f>
        <v>CF_CHNG_NON_CASH_WORK_CAP</v>
      </c>
      <c r="C17" s="76">
        <f>IF('Cash Flow - Standardized'!C17="",0,'Cash Flow - Standardized'!C17)/'Cash Flow - Standardized'!C$24</f>
        <v>-0.38010566037735849</v>
      </c>
      <c r="D17" s="76">
        <f>IF('Cash Flow - Standardized'!D17="",0,'Cash Flow - Standardized'!D17)/'Cash Flow - Standardized'!D$24</f>
        <v>6.8518847119065127E-2</v>
      </c>
      <c r="E17" s="76">
        <f>IF('Cash Flow - Standardized'!E17="",0,'Cash Flow - Standardized'!E17)/'Cash Flow - Standardized'!E$24</f>
        <v>-0.2713207991984441</v>
      </c>
      <c r="F17" s="76">
        <f>IF('Cash Flow - Standardized'!F17="",0,'Cash Flow - Standardized'!F17)/'Cash Flow - Standardized'!F$24</f>
        <v>-5.0658414537792993</v>
      </c>
      <c r="G17" s="76">
        <f>IF('Cash Flow - Standardized'!G17="",0,'Cash Flow - Standardized'!G17)/'Cash Flow - Standardized'!G$24</f>
        <v>-0.3082938697484468</v>
      </c>
      <c r="H17" s="76">
        <f>IF('Cash Flow - Standardized'!H17="",0,'Cash Flow - Standardized'!H17)/'Cash Flow - Standardized'!H$24</f>
        <v>-0.48669486899563319</v>
      </c>
      <c r="I17" s="76">
        <f>IF('Cash Flow - Standardized'!I17="",0,'Cash Flow - Standardized'!I17)/'Cash Flow - Standardized'!I$24</f>
        <v>-28.241141732283463</v>
      </c>
      <c r="J17" s="76">
        <f>IF('Cash Flow - Standardized'!J17="",0,'Cash Flow - Standardized'!J17)/'Cash Flow - Standardized'!J$24</f>
        <v>0.13626604960445088</v>
      </c>
      <c r="K17" s="76">
        <f>IF('Cash Flow - Standardized'!K17="",0,'Cash Flow - Standardized'!K17)/'Cash Flow - Standardized'!K$24</f>
        <v>-1.0317352575683211E-2</v>
      </c>
      <c r="L17" s="76">
        <f>IF('Cash Flow - Standardized'!L17="",0,'Cash Flow - Standardized'!L17)/'Cash Flow - Standardized'!L$24</f>
        <v>0.21403205176435181</v>
      </c>
      <c r="M17" s="108"/>
      <c r="N17" s="108"/>
      <c r="O17" s="108"/>
      <c r="P17" s="108"/>
      <c r="Q17" s="108"/>
      <c r="R17" s="108"/>
      <c r="S17" s="109"/>
      <c r="T17" s="109"/>
      <c r="U17" s="108"/>
      <c r="V17" s="108"/>
      <c r="W17" s="108"/>
      <c r="X17" s="108"/>
      <c r="Y17" s="108"/>
      <c r="Z17" s="108"/>
      <c r="AA17" s="108"/>
      <c r="AB17" s="108"/>
      <c r="AC17" s="108"/>
      <c r="AD17" s="108"/>
      <c r="AE17" s="108"/>
      <c r="AF17" s="108"/>
      <c r="AG17" s="108"/>
      <c r="AH17" s="108"/>
      <c r="AI17" s="108"/>
      <c r="AJ17" s="108"/>
      <c r="AK17" s="109"/>
      <c r="AL17" s="109"/>
      <c r="AM17" s="108"/>
      <c r="AN17" s="108"/>
      <c r="AO17" s="108"/>
      <c r="AP17" s="108"/>
      <c r="AQ17" s="108"/>
      <c r="AR17" s="108"/>
      <c r="AS17" s="108"/>
      <c r="AT17" s="108"/>
      <c r="AU17" s="108"/>
      <c r="AV17" s="108"/>
      <c r="AW17" s="108"/>
      <c r="AX17" s="108"/>
      <c r="BC17" s="12"/>
      <c r="BD17" s="12"/>
      <c r="BU17" s="12"/>
      <c r="BV17" s="12"/>
      <c r="CM17" s="12"/>
      <c r="CN17" s="12"/>
      <c r="DE17" s="12"/>
      <c r="DF17" s="12"/>
      <c r="DW17" s="12"/>
      <c r="DX17" s="12"/>
      <c r="EO17" s="12"/>
      <c r="EP17" s="12"/>
      <c r="FG17" s="12"/>
      <c r="FH17" s="12"/>
      <c r="FY17" s="12"/>
      <c r="FZ17" s="12"/>
      <c r="GQ17" s="12"/>
      <c r="GR17" s="12"/>
      <c r="HI17" s="12"/>
      <c r="HJ17" s="12"/>
      <c r="IA17" s="12"/>
      <c r="IB17" s="12"/>
      <c r="IS17" s="12"/>
      <c r="IT17" s="12"/>
      <c r="JK17" s="12"/>
      <c r="JL17" s="12"/>
      <c r="KC17" s="12"/>
      <c r="KD17" s="12"/>
      <c r="KU17" s="12"/>
      <c r="KV17" s="12"/>
      <c r="LM17" s="12"/>
      <c r="LN17" s="12"/>
      <c r="ME17" s="12"/>
      <c r="MF17" s="12"/>
      <c r="MW17" s="12"/>
      <c r="MX17" s="12"/>
      <c r="NO17" s="12"/>
      <c r="NP17" s="12"/>
      <c r="OG17" s="12"/>
      <c r="OH17" s="12"/>
      <c r="OY17" s="12"/>
      <c r="OZ17" s="12"/>
      <c r="PQ17" s="12"/>
      <c r="PR17" s="12"/>
      <c r="QI17" s="12"/>
      <c r="QJ17" s="12"/>
      <c r="RA17" s="12"/>
      <c r="RB17" s="12"/>
      <c r="RS17" s="12"/>
      <c r="RT17" s="12"/>
      <c r="SK17" s="12"/>
      <c r="SL17" s="12"/>
      <c r="TC17" s="12"/>
      <c r="TD17" s="12"/>
      <c r="TU17" s="12"/>
      <c r="TV17" s="12"/>
      <c r="UM17" s="12"/>
      <c r="UN17" s="12"/>
      <c r="VE17" s="12"/>
      <c r="VF17" s="12"/>
      <c r="VW17" s="12"/>
      <c r="VX17" s="12"/>
      <c r="WO17" s="12"/>
      <c r="WP17" s="12"/>
      <c r="XG17" s="12"/>
      <c r="XH17" s="12"/>
      <c r="XY17" s="12"/>
      <c r="XZ17" s="12"/>
      <c r="YQ17" s="12"/>
      <c r="YR17" s="12"/>
      <c r="ZI17" s="12"/>
      <c r="ZJ17" s="12"/>
      <c r="AAA17" s="12"/>
      <c r="AAB17" s="12"/>
      <c r="AAS17" s="12"/>
      <c r="AAT17" s="12"/>
      <c r="ABK17" s="12"/>
      <c r="ABL17" s="12"/>
      <c r="ACC17" s="12"/>
      <c r="ACD17" s="12"/>
      <c r="ACU17" s="12"/>
      <c r="ACV17" s="12"/>
      <c r="ADM17" s="12"/>
      <c r="ADN17" s="12"/>
      <c r="AEE17" s="12"/>
      <c r="AEF17" s="12"/>
      <c r="AEW17" s="12"/>
      <c r="AEX17" s="12"/>
      <c r="AFO17" s="12"/>
      <c r="AFP17" s="12"/>
      <c r="AGG17" s="12"/>
      <c r="AGH17" s="12"/>
      <c r="AGY17" s="12"/>
      <c r="AGZ17" s="12"/>
      <c r="AHQ17" s="12"/>
      <c r="AHR17" s="12"/>
      <c r="AII17" s="12"/>
      <c r="AIJ17" s="12"/>
      <c r="AJA17" s="12"/>
      <c r="AJB17" s="12"/>
      <c r="AJS17" s="12"/>
      <c r="AJT17" s="12"/>
      <c r="AKK17" s="12"/>
      <c r="AKL17" s="12"/>
      <c r="ALC17" s="12"/>
      <c r="ALD17" s="12"/>
      <c r="ALU17" s="12"/>
      <c r="ALV17" s="12"/>
      <c r="AMM17" s="12"/>
      <c r="AMN17" s="12"/>
      <c r="ANE17" s="12"/>
      <c r="ANF17" s="12"/>
      <c r="ANW17" s="12"/>
      <c r="ANX17" s="12"/>
      <c r="AOO17" s="12"/>
      <c r="AOP17" s="12"/>
      <c r="APG17" s="12"/>
      <c r="APH17" s="12"/>
      <c r="APY17" s="12"/>
      <c r="APZ17" s="12"/>
      <c r="AQQ17" s="12"/>
      <c r="AQR17" s="12"/>
      <c r="ARI17" s="12"/>
      <c r="ARJ17" s="12"/>
      <c r="ASA17" s="12"/>
      <c r="ASB17" s="12"/>
      <c r="ASS17" s="12"/>
      <c r="AST17" s="12"/>
      <c r="ATK17" s="12"/>
      <c r="ATL17" s="12"/>
      <c r="AUC17" s="12"/>
      <c r="AUD17" s="12"/>
      <c r="AUU17" s="12"/>
      <c r="AUV17" s="12"/>
      <c r="AVM17" s="12"/>
      <c r="AVN17" s="12"/>
      <c r="AWE17" s="12"/>
      <c r="AWF17" s="12"/>
      <c r="AWW17" s="12"/>
      <c r="AWX17" s="12"/>
      <c r="AXO17" s="12"/>
      <c r="AXP17" s="12"/>
      <c r="AYG17" s="12"/>
      <c r="AYH17" s="12"/>
      <c r="AYY17" s="12"/>
      <c r="AYZ17" s="12"/>
      <c r="AZQ17" s="12"/>
      <c r="AZR17" s="12"/>
      <c r="BAI17" s="12"/>
      <c r="BAJ17" s="12"/>
      <c r="BBA17" s="12"/>
      <c r="BBB17" s="12"/>
      <c r="BBS17" s="12"/>
      <c r="BBT17" s="12"/>
      <c r="BCK17" s="12"/>
      <c r="BCL17" s="12"/>
      <c r="BDC17" s="12"/>
      <c r="BDD17" s="12"/>
      <c r="BDU17" s="12"/>
      <c r="BDV17" s="12"/>
      <c r="BEM17" s="12"/>
      <c r="BEN17" s="12"/>
      <c r="BFE17" s="12"/>
      <c r="BFF17" s="12"/>
      <c r="BFW17" s="12"/>
      <c r="BFX17" s="12"/>
      <c r="BGO17" s="12"/>
      <c r="BGP17" s="12"/>
      <c r="BHG17" s="12"/>
      <c r="BHH17" s="12"/>
      <c r="BHY17" s="12"/>
      <c r="BHZ17" s="12"/>
      <c r="BIQ17" s="12"/>
      <c r="BIR17" s="12"/>
      <c r="BJI17" s="12"/>
      <c r="BJJ17" s="12"/>
      <c r="BKA17" s="12"/>
      <c r="BKB17" s="12"/>
      <c r="BKS17" s="12"/>
      <c r="BKT17" s="12"/>
      <c r="BLK17" s="12"/>
      <c r="BLL17" s="12"/>
      <c r="BMC17" s="12"/>
      <c r="BMD17" s="12"/>
      <c r="BMU17" s="12"/>
      <c r="BMV17" s="12"/>
      <c r="BNM17" s="12"/>
      <c r="BNN17" s="12"/>
      <c r="BOE17" s="12"/>
      <c r="BOF17" s="12"/>
      <c r="BOW17" s="12"/>
      <c r="BOX17" s="12"/>
      <c r="BPO17" s="12"/>
      <c r="BPP17" s="12"/>
      <c r="BQG17" s="12"/>
      <c r="BQH17" s="12"/>
      <c r="BQY17" s="12"/>
      <c r="BQZ17" s="12"/>
      <c r="BRQ17" s="12"/>
      <c r="BRR17" s="12"/>
      <c r="BSI17" s="12"/>
      <c r="BSJ17" s="12"/>
      <c r="BTA17" s="12"/>
      <c r="BTB17" s="12"/>
      <c r="BTS17" s="12"/>
      <c r="BTT17" s="12"/>
      <c r="BUK17" s="12"/>
      <c r="BUL17" s="12"/>
      <c r="BVC17" s="12"/>
      <c r="BVD17" s="12"/>
      <c r="BVU17" s="12"/>
      <c r="BVV17" s="12"/>
      <c r="BWM17" s="12"/>
      <c r="BWN17" s="12"/>
      <c r="BXE17" s="12"/>
      <c r="BXF17" s="12"/>
      <c r="BXW17" s="12"/>
      <c r="BXX17" s="12"/>
      <c r="BYO17" s="12"/>
      <c r="BYP17" s="12"/>
      <c r="BZG17" s="12"/>
      <c r="BZH17" s="12"/>
      <c r="BZY17" s="12"/>
      <c r="BZZ17" s="12"/>
      <c r="CAQ17" s="12"/>
      <c r="CAR17" s="12"/>
      <c r="CBI17" s="12"/>
      <c r="CBJ17" s="12"/>
      <c r="CCA17" s="12"/>
      <c r="CCB17" s="12"/>
      <c r="CCS17" s="12"/>
      <c r="CCT17" s="12"/>
      <c r="CDK17" s="12"/>
      <c r="CDL17" s="12"/>
      <c r="CEC17" s="12"/>
      <c r="CED17" s="12"/>
      <c r="CEU17" s="12"/>
      <c r="CEV17" s="12"/>
      <c r="CFM17" s="12"/>
      <c r="CFN17" s="12"/>
      <c r="CGE17" s="12"/>
      <c r="CGF17" s="12"/>
      <c r="CGW17" s="12"/>
      <c r="CGX17" s="12"/>
      <c r="CHO17" s="12"/>
      <c r="CHP17" s="12"/>
      <c r="CIG17" s="12"/>
      <c r="CIH17" s="12"/>
      <c r="CIY17" s="12"/>
      <c r="CIZ17" s="12"/>
      <c r="CJQ17" s="12"/>
      <c r="CJR17" s="12"/>
      <c r="CKI17" s="12"/>
      <c r="CKJ17" s="12"/>
      <c r="CLA17" s="12"/>
      <c r="CLB17" s="12"/>
      <c r="CLS17" s="12"/>
      <c r="CLT17" s="12"/>
      <c r="CMK17" s="12"/>
      <c r="CML17" s="12"/>
      <c r="CNC17" s="12"/>
      <c r="CND17" s="12"/>
      <c r="CNU17" s="12"/>
      <c r="CNV17" s="12"/>
      <c r="COM17" s="12"/>
      <c r="CON17" s="12"/>
      <c r="CPE17" s="12"/>
      <c r="CPF17" s="12"/>
      <c r="CPW17" s="12"/>
      <c r="CPX17" s="12"/>
      <c r="CQO17" s="12"/>
      <c r="CQP17" s="12"/>
      <c r="CRG17" s="12"/>
      <c r="CRH17" s="12"/>
      <c r="CRY17" s="12"/>
      <c r="CRZ17" s="12"/>
      <c r="CSQ17" s="12"/>
      <c r="CSR17" s="12"/>
      <c r="CTI17" s="12"/>
      <c r="CTJ17" s="12"/>
      <c r="CUA17" s="12"/>
      <c r="CUB17" s="12"/>
      <c r="CUS17" s="12"/>
      <c r="CUT17" s="12"/>
      <c r="CVK17" s="12"/>
      <c r="CVL17" s="12"/>
      <c r="CWC17" s="12"/>
      <c r="CWD17" s="12"/>
      <c r="CWU17" s="12"/>
      <c r="CWV17" s="12"/>
      <c r="CXM17" s="12"/>
      <c r="CXN17" s="12"/>
      <c r="CYE17" s="12"/>
      <c r="CYF17" s="12"/>
      <c r="CYW17" s="12"/>
      <c r="CYX17" s="12"/>
      <c r="CZO17" s="12"/>
      <c r="CZP17" s="12"/>
      <c r="DAG17" s="12"/>
      <c r="DAH17" s="12"/>
      <c r="DAY17" s="12"/>
      <c r="DAZ17" s="12"/>
      <c r="DBQ17" s="12"/>
      <c r="DBR17" s="12"/>
      <c r="DCI17" s="12"/>
      <c r="DCJ17" s="12"/>
      <c r="DDA17" s="12"/>
      <c r="DDB17" s="12"/>
      <c r="DDS17" s="12"/>
      <c r="DDT17" s="12"/>
      <c r="DEK17" s="12"/>
      <c r="DEL17" s="12"/>
      <c r="DFC17" s="12"/>
      <c r="DFD17" s="12"/>
      <c r="DFU17" s="12"/>
      <c r="DFV17" s="12"/>
      <c r="DGM17" s="12"/>
      <c r="DGN17" s="12"/>
      <c r="DHE17" s="12"/>
      <c r="DHF17" s="12"/>
      <c r="DHW17" s="12"/>
      <c r="DHX17" s="12"/>
      <c r="DIO17" s="12"/>
      <c r="DIP17" s="12"/>
      <c r="DJG17" s="12"/>
      <c r="DJH17" s="12"/>
      <c r="DJY17" s="12"/>
      <c r="DJZ17" s="12"/>
      <c r="DKQ17" s="12"/>
      <c r="DKR17" s="12"/>
      <c r="DLI17" s="12"/>
      <c r="DLJ17" s="12"/>
      <c r="DMA17" s="12"/>
      <c r="DMB17" s="12"/>
      <c r="DMS17" s="12"/>
      <c r="DMT17" s="12"/>
      <c r="DNK17" s="12"/>
      <c r="DNL17" s="12"/>
      <c r="DOC17" s="12"/>
      <c r="DOD17" s="12"/>
      <c r="DOU17" s="12"/>
      <c r="DOV17" s="12"/>
      <c r="DPM17" s="12"/>
      <c r="DPN17" s="12"/>
      <c r="DQE17" s="12"/>
      <c r="DQF17" s="12"/>
      <c r="DQW17" s="12"/>
      <c r="DQX17" s="12"/>
      <c r="DRO17" s="12"/>
      <c r="DRP17" s="12"/>
      <c r="DSG17" s="12"/>
      <c r="DSH17" s="12"/>
      <c r="DSY17" s="12"/>
      <c r="DSZ17" s="12"/>
      <c r="DTQ17" s="12"/>
      <c r="DTR17" s="12"/>
      <c r="DUI17" s="12"/>
      <c r="DUJ17" s="12"/>
      <c r="DVA17" s="12"/>
      <c r="DVB17" s="12"/>
      <c r="DVS17" s="12"/>
      <c r="DVT17" s="12"/>
      <c r="DWK17" s="12"/>
      <c r="DWL17" s="12"/>
      <c r="DXC17" s="12"/>
      <c r="DXD17" s="12"/>
      <c r="DXU17" s="12"/>
      <c r="DXV17" s="12"/>
      <c r="DYM17" s="12"/>
      <c r="DYN17" s="12"/>
      <c r="DZE17" s="12"/>
      <c r="DZF17" s="12"/>
      <c r="DZW17" s="12"/>
      <c r="DZX17" s="12"/>
      <c r="EAO17" s="12"/>
      <c r="EAP17" s="12"/>
      <c r="EBG17" s="12"/>
      <c r="EBH17" s="12"/>
      <c r="EBY17" s="12"/>
      <c r="EBZ17" s="12"/>
      <c r="ECQ17" s="12"/>
      <c r="ECR17" s="12"/>
      <c r="EDI17" s="12"/>
      <c r="EDJ17" s="12"/>
      <c r="EEA17" s="12"/>
      <c r="EEB17" s="12"/>
      <c r="EES17" s="12"/>
      <c r="EET17" s="12"/>
      <c r="EFK17" s="12"/>
      <c r="EFL17" s="12"/>
      <c r="EGC17" s="12"/>
      <c r="EGD17" s="12"/>
      <c r="EGU17" s="12"/>
      <c r="EGV17" s="12"/>
      <c r="EHM17" s="12"/>
      <c r="EHN17" s="12"/>
      <c r="EIE17" s="12"/>
      <c r="EIF17" s="12"/>
      <c r="EIW17" s="12"/>
      <c r="EIX17" s="12"/>
      <c r="EJO17" s="12"/>
      <c r="EJP17" s="12"/>
      <c r="EKG17" s="12"/>
      <c r="EKH17" s="12"/>
      <c r="EKY17" s="12"/>
      <c r="EKZ17" s="12"/>
      <c r="ELQ17" s="12"/>
      <c r="ELR17" s="12"/>
      <c r="EMI17" s="12"/>
      <c r="EMJ17" s="12"/>
      <c r="ENA17" s="12"/>
      <c r="ENB17" s="12"/>
      <c r="ENS17" s="12"/>
      <c r="ENT17" s="12"/>
      <c r="EOK17" s="12"/>
      <c r="EOL17" s="12"/>
      <c r="EPC17" s="12"/>
      <c r="EPD17" s="12"/>
      <c r="EPU17" s="12"/>
      <c r="EPV17" s="12"/>
      <c r="EQM17" s="12"/>
      <c r="EQN17" s="12"/>
      <c r="ERE17" s="12"/>
      <c r="ERF17" s="12"/>
      <c r="ERW17" s="12"/>
      <c r="ERX17" s="12"/>
      <c r="ESO17" s="12"/>
      <c r="ESP17" s="12"/>
      <c r="ETG17" s="12"/>
      <c r="ETH17" s="12"/>
      <c r="ETY17" s="12"/>
      <c r="ETZ17" s="12"/>
      <c r="EUQ17" s="12"/>
      <c r="EUR17" s="12"/>
      <c r="EVI17" s="12"/>
      <c r="EVJ17" s="12"/>
      <c r="EWA17" s="12"/>
      <c r="EWB17" s="12"/>
      <c r="EWS17" s="12"/>
      <c r="EWT17" s="12"/>
      <c r="EXK17" s="12"/>
      <c r="EXL17" s="12"/>
      <c r="EYC17" s="12"/>
      <c r="EYD17" s="12"/>
      <c r="EYU17" s="12"/>
      <c r="EYV17" s="12"/>
      <c r="EZM17" s="12"/>
      <c r="EZN17" s="12"/>
      <c r="FAE17" s="12"/>
      <c r="FAF17" s="12"/>
      <c r="FAW17" s="12"/>
      <c r="FAX17" s="12"/>
      <c r="FBO17" s="12"/>
      <c r="FBP17" s="12"/>
      <c r="FCG17" s="12"/>
      <c r="FCH17" s="12"/>
      <c r="FCY17" s="12"/>
      <c r="FCZ17" s="12"/>
      <c r="FDQ17" s="12"/>
      <c r="FDR17" s="12"/>
      <c r="FEI17" s="12"/>
      <c r="FEJ17" s="12"/>
      <c r="FFA17" s="12"/>
      <c r="FFB17" s="12"/>
      <c r="FFS17" s="12"/>
      <c r="FFT17" s="12"/>
      <c r="FGK17" s="12"/>
      <c r="FGL17" s="12"/>
      <c r="FHC17" s="12"/>
      <c r="FHD17" s="12"/>
      <c r="FHU17" s="12"/>
      <c r="FHV17" s="12"/>
      <c r="FIM17" s="12"/>
      <c r="FIN17" s="12"/>
      <c r="FJE17" s="12"/>
      <c r="FJF17" s="12"/>
      <c r="FJW17" s="12"/>
      <c r="FJX17" s="12"/>
      <c r="FKO17" s="12"/>
      <c r="FKP17" s="12"/>
      <c r="FLG17" s="12"/>
      <c r="FLH17" s="12"/>
      <c r="FLY17" s="12"/>
      <c r="FLZ17" s="12"/>
      <c r="FMQ17" s="12"/>
      <c r="FMR17" s="12"/>
      <c r="FNI17" s="12"/>
      <c r="FNJ17" s="12"/>
      <c r="FOA17" s="12"/>
      <c r="FOB17" s="12"/>
      <c r="FOS17" s="12"/>
      <c r="FOT17" s="12"/>
      <c r="FPK17" s="12"/>
      <c r="FPL17" s="12"/>
      <c r="FQC17" s="12"/>
      <c r="FQD17" s="12"/>
      <c r="FQU17" s="12"/>
      <c r="FQV17" s="12"/>
      <c r="FRM17" s="12"/>
      <c r="FRN17" s="12"/>
      <c r="FSE17" s="12"/>
      <c r="FSF17" s="12"/>
      <c r="FSW17" s="12"/>
      <c r="FSX17" s="12"/>
      <c r="FTO17" s="12"/>
      <c r="FTP17" s="12"/>
      <c r="FUG17" s="12"/>
      <c r="FUH17" s="12"/>
      <c r="FUY17" s="12"/>
      <c r="FUZ17" s="12"/>
      <c r="FVQ17" s="12"/>
      <c r="FVR17" s="12"/>
      <c r="FWI17" s="12"/>
      <c r="FWJ17" s="12"/>
      <c r="FXA17" s="12"/>
      <c r="FXB17" s="12"/>
      <c r="FXS17" s="12"/>
      <c r="FXT17" s="12"/>
      <c r="FYK17" s="12"/>
      <c r="FYL17" s="12"/>
      <c r="FZC17" s="12"/>
      <c r="FZD17" s="12"/>
      <c r="FZU17" s="12"/>
      <c r="FZV17" s="12"/>
      <c r="GAM17" s="12"/>
      <c r="GAN17" s="12"/>
      <c r="GBE17" s="12"/>
      <c r="GBF17" s="12"/>
      <c r="GBW17" s="12"/>
      <c r="GBX17" s="12"/>
      <c r="GCO17" s="12"/>
      <c r="GCP17" s="12"/>
      <c r="GDG17" s="12"/>
      <c r="GDH17" s="12"/>
      <c r="GDY17" s="12"/>
      <c r="GDZ17" s="12"/>
      <c r="GEQ17" s="12"/>
      <c r="GER17" s="12"/>
      <c r="GFI17" s="12"/>
      <c r="GFJ17" s="12"/>
      <c r="GGA17" s="12"/>
      <c r="GGB17" s="12"/>
      <c r="GGS17" s="12"/>
      <c r="GGT17" s="12"/>
      <c r="GHK17" s="12"/>
      <c r="GHL17" s="12"/>
      <c r="GIC17" s="12"/>
      <c r="GID17" s="12"/>
      <c r="GIU17" s="12"/>
      <c r="GIV17" s="12"/>
      <c r="GJM17" s="12"/>
      <c r="GJN17" s="12"/>
      <c r="GKE17" s="12"/>
      <c r="GKF17" s="12"/>
      <c r="GKW17" s="12"/>
      <c r="GKX17" s="12"/>
      <c r="GLO17" s="12"/>
      <c r="GLP17" s="12"/>
      <c r="GMG17" s="12"/>
      <c r="GMH17" s="12"/>
      <c r="GMY17" s="12"/>
      <c r="GMZ17" s="12"/>
      <c r="GNQ17" s="12"/>
      <c r="GNR17" s="12"/>
      <c r="GOI17" s="12"/>
      <c r="GOJ17" s="12"/>
      <c r="GPA17" s="12"/>
      <c r="GPB17" s="12"/>
      <c r="GPS17" s="12"/>
      <c r="GPT17" s="12"/>
      <c r="GQK17" s="12"/>
      <c r="GQL17" s="12"/>
      <c r="GRC17" s="12"/>
      <c r="GRD17" s="12"/>
      <c r="GRU17" s="12"/>
      <c r="GRV17" s="12"/>
      <c r="GSM17" s="12"/>
      <c r="GSN17" s="12"/>
      <c r="GTE17" s="12"/>
      <c r="GTF17" s="12"/>
      <c r="GTW17" s="12"/>
      <c r="GTX17" s="12"/>
      <c r="GUO17" s="12"/>
      <c r="GUP17" s="12"/>
      <c r="GVG17" s="12"/>
      <c r="GVH17" s="12"/>
      <c r="GVY17" s="12"/>
      <c r="GVZ17" s="12"/>
      <c r="GWQ17" s="12"/>
      <c r="GWR17" s="12"/>
      <c r="GXI17" s="12"/>
      <c r="GXJ17" s="12"/>
      <c r="GYA17" s="12"/>
      <c r="GYB17" s="12"/>
      <c r="GYS17" s="12"/>
      <c r="GYT17" s="12"/>
      <c r="GZK17" s="12"/>
      <c r="GZL17" s="12"/>
      <c r="HAC17" s="12"/>
      <c r="HAD17" s="12"/>
      <c r="HAU17" s="12"/>
      <c r="HAV17" s="12"/>
      <c r="HBM17" s="12"/>
      <c r="HBN17" s="12"/>
      <c r="HCE17" s="12"/>
      <c r="HCF17" s="12"/>
      <c r="HCW17" s="12"/>
      <c r="HCX17" s="12"/>
      <c r="HDO17" s="12"/>
      <c r="HDP17" s="12"/>
      <c r="HEG17" s="12"/>
      <c r="HEH17" s="12"/>
      <c r="HEY17" s="12"/>
      <c r="HEZ17" s="12"/>
      <c r="HFQ17" s="12"/>
      <c r="HFR17" s="12"/>
      <c r="HGI17" s="12"/>
      <c r="HGJ17" s="12"/>
      <c r="HHA17" s="12"/>
      <c r="HHB17" s="12"/>
      <c r="HHS17" s="12"/>
      <c r="HHT17" s="12"/>
      <c r="HIK17" s="12"/>
      <c r="HIL17" s="12"/>
      <c r="HJC17" s="12"/>
      <c r="HJD17" s="12"/>
      <c r="HJU17" s="12"/>
      <c r="HJV17" s="12"/>
      <c r="HKM17" s="12"/>
      <c r="HKN17" s="12"/>
      <c r="HLE17" s="12"/>
      <c r="HLF17" s="12"/>
      <c r="HLW17" s="12"/>
      <c r="HLX17" s="12"/>
      <c r="HMO17" s="12"/>
      <c r="HMP17" s="12"/>
      <c r="HNG17" s="12"/>
      <c r="HNH17" s="12"/>
      <c r="HNY17" s="12"/>
      <c r="HNZ17" s="12"/>
      <c r="HOQ17" s="12"/>
      <c r="HOR17" s="12"/>
      <c r="HPI17" s="12"/>
      <c r="HPJ17" s="12"/>
      <c r="HQA17" s="12"/>
      <c r="HQB17" s="12"/>
      <c r="HQS17" s="12"/>
      <c r="HQT17" s="12"/>
      <c r="HRK17" s="12"/>
      <c r="HRL17" s="12"/>
      <c r="HSC17" s="12"/>
      <c r="HSD17" s="12"/>
      <c r="HSU17" s="12"/>
      <c r="HSV17" s="12"/>
      <c r="HTM17" s="12"/>
      <c r="HTN17" s="12"/>
      <c r="HUE17" s="12"/>
      <c r="HUF17" s="12"/>
      <c r="HUW17" s="12"/>
      <c r="HUX17" s="12"/>
      <c r="HVO17" s="12"/>
      <c r="HVP17" s="12"/>
      <c r="HWG17" s="12"/>
      <c r="HWH17" s="12"/>
      <c r="HWY17" s="12"/>
      <c r="HWZ17" s="12"/>
      <c r="HXQ17" s="12"/>
      <c r="HXR17" s="12"/>
      <c r="HYI17" s="12"/>
      <c r="HYJ17" s="12"/>
      <c r="HZA17" s="12"/>
      <c r="HZB17" s="12"/>
      <c r="HZS17" s="12"/>
      <c r="HZT17" s="12"/>
      <c r="IAK17" s="12"/>
      <c r="IAL17" s="12"/>
      <c r="IBC17" s="12"/>
      <c r="IBD17" s="12"/>
      <c r="IBU17" s="12"/>
      <c r="IBV17" s="12"/>
      <c r="ICM17" s="12"/>
      <c r="ICN17" s="12"/>
      <c r="IDE17" s="12"/>
      <c r="IDF17" s="12"/>
      <c r="IDW17" s="12"/>
      <c r="IDX17" s="12"/>
      <c r="IEO17" s="12"/>
      <c r="IEP17" s="12"/>
      <c r="IFG17" s="12"/>
      <c r="IFH17" s="12"/>
      <c r="IFY17" s="12"/>
      <c r="IFZ17" s="12"/>
      <c r="IGQ17" s="12"/>
      <c r="IGR17" s="12"/>
      <c r="IHI17" s="12"/>
      <c r="IHJ17" s="12"/>
      <c r="IIA17" s="12"/>
      <c r="IIB17" s="12"/>
      <c r="IIS17" s="12"/>
      <c r="IIT17" s="12"/>
      <c r="IJK17" s="12"/>
      <c r="IJL17" s="12"/>
      <c r="IKC17" s="12"/>
      <c r="IKD17" s="12"/>
      <c r="IKU17" s="12"/>
      <c r="IKV17" s="12"/>
      <c r="ILM17" s="12"/>
      <c r="ILN17" s="12"/>
      <c r="IME17" s="12"/>
      <c r="IMF17" s="12"/>
      <c r="IMW17" s="12"/>
      <c r="IMX17" s="12"/>
      <c r="INO17" s="12"/>
      <c r="INP17" s="12"/>
      <c r="IOG17" s="12"/>
      <c r="IOH17" s="12"/>
      <c r="IOY17" s="12"/>
      <c r="IOZ17" s="12"/>
      <c r="IPQ17" s="12"/>
      <c r="IPR17" s="12"/>
      <c r="IQI17" s="12"/>
      <c r="IQJ17" s="12"/>
      <c r="IRA17" s="12"/>
      <c r="IRB17" s="12"/>
      <c r="IRS17" s="12"/>
      <c r="IRT17" s="12"/>
      <c r="ISK17" s="12"/>
      <c r="ISL17" s="12"/>
      <c r="ITC17" s="12"/>
      <c r="ITD17" s="12"/>
      <c r="ITU17" s="12"/>
      <c r="ITV17" s="12"/>
      <c r="IUM17" s="12"/>
      <c r="IUN17" s="12"/>
      <c r="IVE17" s="12"/>
      <c r="IVF17" s="12"/>
      <c r="IVW17" s="12"/>
      <c r="IVX17" s="12"/>
      <c r="IWO17" s="12"/>
      <c r="IWP17" s="12"/>
      <c r="IXG17" s="12"/>
      <c r="IXH17" s="12"/>
      <c r="IXY17" s="12"/>
      <c r="IXZ17" s="12"/>
      <c r="IYQ17" s="12"/>
      <c r="IYR17" s="12"/>
      <c r="IZI17" s="12"/>
      <c r="IZJ17" s="12"/>
      <c r="JAA17" s="12"/>
      <c r="JAB17" s="12"/>
      <c r="JAS17" s="12"/>
      <c r="JAT17" s="12"/>
      <c r="JBK17" s="12"/>
      <c r="JBL17" s="12"/>
      <c r="JCC17" s="12"/>
      <c r="JCD17" s="12"/>
      <c r="JCU17" s="12"/>
      <c r="JCV17" s="12"/>
      <c r="JDM17" s="12"/>
      <c r="JDN17" s="12"/>
      <c r="JEE17" s="12"/>
      <c r="JEF17" s="12"/>
      <c r="JEW17" s="12"/>
      <c r="JEX17" s="12"/>
      <c r="JFO17" s="12"/>
      <c r="JFP17" s="12"/>
      <c r="JGG17" s="12"/>
      <c r="JGH17" s="12"/>
      <c r="JGY17" s="12"/>
      <c r="JGZ17" s="12"/>
      <c r="JHQ17" s="12"/>
      <c r="JHR17" s="12"/>
      <c r="JII17" s="12"/>
      <c r="JIJ17" s="12"/>
      <c r="JJA17" s="12"/>
      <c r="JJB17" s="12"/>
      <c r="JJS17" s="12"/>
      <c r="JJT17" s="12"/>
      <c r="JKK17" s="12"/>
      <c r="JKL17" s="12"/>
      <c r="JLC17" s="12"/>
      <c r="JLD17" s="12"/>
      <c r="JLU17" s="12"/>
      <c r="JLV17" s="12"/>
      <c r="JMM17" s="12"/>
      <c r="JMN17" s="12"/>
      <c r="JNE17" s="12"/>
      <c r="JNF17" s="12"/>
      <c r="JNW17" s="12"/>
      <c r="JNX17" s="12"/>
      <c r="JOO17" s="12"/>
      <c r="JOP17" s="12"/>
      <c r="JPG17" s="12"/>
      <c r="JPH17" s="12"/>
      <c r="JPY17" s="12"/>
      <c r="JPZ17" s="12"/>
      <c r="JQQ17" s="12"/>
      <c r="JQR17" s="12"/>
      <c r="JRI17" s="12"/>
      <c r="JRJ17" s="12"/>
      <c r="JSA17" s="12"/>
      <c r="JSB17" s="12"/>
      <c r="JSS17" s="12"/>
      <c r="JST17" s="12"/>
      <c r="JTK17" s="12"/>
      <c r="JTL17" s="12"/>
      <c r="JUC17" s="12"/>
      <c r="JUD17" s="12"/>
      <c r="JUU17" s="12"/>
      <c r="JUV17" s="12"/>
      <c r="JVM17" s="12"/>
      <c r="JVN17" s="12"/>
      <c r="JWE17" s="12"/>
      <c r="JWF17" s="12"/>
      <c r="JWW17" s="12"/>
      <c r="JWX17" s="12"/>
      <c r="JXO17" s="12"/>
      <c r="JXP17" s="12"/>
      <c r="JYG17" s="12"/>
      <c r="JYH17" s="12"/>
      <c r="JYY17" s="12"/>
      <c r="JYZ17" s="12"/>
      <c r="JZQ17" s="12"/>
      <c r="JZR17" s="12"/>
      <c r="KAI17" s="12"/>
      <c r="KAJ17" s="12"/>
      <c r="KBA17" s="12"/>
      <c r="KBB17" s="12"/>
      <c r="KBS17" s="12"/>
      <c r="KBT17" s="12"/>
      <c r="KCK17" s="12"/>
      <c r="KCL17" s="12"/>
      <c r="KDC17" s="12"/>
      <c r="KDD17" s="12"/>
      <c r="KDU17" s="12"/>
      <c r="KDV17" s="12"/>
      <c r="KEM17" s="12"/>
      <c r="KEN17" s="12"/>
      <c r="KFE17" s="12"/>
      <c r="KFF17" s="12"/>
      <c r="KFW17" s="12"/>
      <c r="KFX17" s="12"/>
      <c r="KGO17" s="12"/>
      <c r="KGP17" s="12"/>
      <c r="KHG17" s="12"/>
      <c r="KHH17" s="12"/>
      <c r="KHY17" s="12"/>
      <c r="KHZ17" s="12"/>
      <c r="KIQ17" s="12"/>
      <c r="KIR17" s="12"/>
      <c r="KJI17" s="12"/>
      <c r="KJJ17" s="12"/>
      <c r="KKA17" s="12"/>
      <c r="KKB17" s="12"/>
      <c r="KKS17" s="12"/>
      <c r="KKT17" s="12"/>
      <c r="KLK17" s="12"/>
      <c r="KLL17" s="12"/>
      <c r="KMC17" s="12"/>
      <c r="KMD17" s="12"/>
      <c r="KMU17" s="12"/>
      <c r="KMV17" s="12"/>
      <c r="KNM17" s="12"/>
      <c r="KNN17" s="12"/>
      <c r="KOE17" s="12"/>
      <c r="KOF17" s="12"/>
      <c r="KOW17" s="12"/>
      <c r="KOX17" s="12"/>
      <c r="KPO17" s="12"/>
      <c r="KPP17" s="12"/>
      <c r="KQG17" s="12"/>
      <c r="KQH17" s="12"/>
      <c r="KQY17" s="12"/>
      <c r="KQZ17" s="12"/>
      <c r="KRQ17" s="12"/>
      <c r="KRR17" s="12"/>
      <c r="KSI17" s="12"/>
      <c r="KSJ17" s="12"/>
      <c r="KTA17" s="12"/>
      <c r="KTB17" s="12"/>
      <c r="KTS17" s="12"/>
      <c r="KTT17" s="12"/>
      <c r="KUK17" s="12"/>
      <c r="KUL17" s="12"/>
      <c r="KVC17" s="12"/>
      <c r="KVD17" s="12"/>
      <c r="KVU17" s="12"/>
      <c r="KVV17" s="12"/>
      <c r="KWM17" s="12"/>
      <c r="KWN17" s="12"/>
      <c r="KXE17" s="12"/>
      <c r="KXF17" s="12"/>
      <c r="KXW17" s="12"/>
      <c r="KXX17" s="12"/>
      <c r="KYO17" s="12"/>
      <c r="KYP17" s="12"/>
      <c r="KZG17" s="12"/>
      <c r="KZH17" s="12"/>
      <c r="KZY17" s="12"/>
      <c r="KZZ17" s="12"/>
      <c r="LAQ17" s="12"/>
      <c r="LAR17" s="12"/>
      <c r="LBI17" s="12"/>
      <c r="LBJ17" s="12"/>
      <c r="LCA17" s="12"/>
      <c r="LCB17" s="12"/>
      <c r="LCS17" s="12"/>
      <c r="LCT17" s="12"/>
      <c r="LDK17" s="12"/>
      <c r="LDL17" s="12"/>
      <c r="LEC17" s="12"/>
      <c r="LED17" s="12"/>
      <c r="LEU17" s="12"/>
      <c r="LEV17" s="12"/>
      <c r="LFM17" s="12"/>
      <c r="LFN17" s="12"/>
      <c r="LGE17" s="12"/>
      <c r="LGF17" s="12"/>
      <c r="LGW17" s="12"/>
      <c r="LGX17" s="12"/>
      <c r="LHO17" s="12"/>
      <c r="LHP17" s="12"/>
      <c r="LIG17" s="12"/>
      <c r="LIH17" s="12"/>
      <c r="LIY17" s="12"/>
      <c r="LIZ17" s="12"/>
      <c r="LJQ17" s="12"/>
      <c r="LJR17" s="12"/>
      <c r="LKI17" s="12"/>
      <c r="LKJ17" s="12"/>
      <c r="LLA17" s="12"/>
      <c r="LLB17" s="12"/>
      <c r="LLS17" s="12"/>
      <c r="LLT17" s="12"/>
      <c r="LMK17" s="12"/>
      <c r="LML17" s="12"/>
      <c r="LNC17" s="12"/>
      <c r="LND17" s="12"/>
      <c r="LNU17" s="12"/>
      <c r="LNV17" s="12"/>
      <c r="LOM17" s="12"/>
      <c r="LON17" s="12"/>
      <c r="LPE17" s="12"/>
      <c r="LPF17" s="12"/>
      <c r="LPW17" s="12"/>
      <c r="LPX17" s="12"/>
      <c r="LQO17" s="12"/>
      <c r="LQP17" s="12"/>
      <c r="LRG17" s="12"/>
      <c r="LRH17" s="12"/>
      <c r="LRY17" s="12"/>
      <c r="LRZ17" s="12"/>
      <c r="LSQ17" s="12"/>
      <c r="LSR17" s="12"/>
      <c r="LTI17" s="12"/>
      <c r="LTJ17" s="12"/>
      <c r="LUA17" s="12"/>
      <c r="LUB17" s="12"/>
      <c r="LUS17" s="12"/>
      <c r="LUT17" s="12"/>
      <c r="LVK17" s="12"/>
      <c r="LVL17" s="12"/>
      <c r="LWC17" s="12"/>
      <c r="LWD17" s="12"/>
      <c r="LWU17" s="12"/>
      <c r="LWV17" s="12"/>
      <c r="LXM17" s="12"/>
      <c r="LXN17" s="12"/>
      <c r="LYE17" s="12"/>
      <c r="LYF17" s="12"/>
      <c r="LYW17" s="12"/>
      <c r="LYX17" s="12"/>
      <c r="LZO17" s="12"/>
      <c r="LZP17" s="12"/>
      <c r="MAG17" s="12"/>
      <c r="MAH17" s="12"/>
      <c r="MAY17" s="12"/>
      <c r="MAZ17" s="12"/>
      <c r="MBQ17" s="12"/>
      <c r="MBR17" s="12"/>
      <c r="MCI17" s="12"/>
      <c r="MCJ17" s="12"/>
      <c r="MDA17" s="12"/>
      <c r="MDB17" s="12"/>
      <c r="MDS17" s="12"/>
      <c r="MDT17" s="12"/>
      <c r="MEK17" s="12"/>
      <c r="MEL17" s="12"/>
      <c r="MFC17" s="12"/>
      <c r="MFD17" s="12"/>
      <c r="MFU17" s="12"/>
      <c r="MFV17" s="12"/>
      <c r="MGM17" s="12"/>
      <c r="MGN17" s="12"/>
      <c r="MHE17" s="12"/>
      <c r="MHF17" s="12"/>
      <c r="MHW17" s="12"/>
      <c r="MHX17" s="12"/>
      <c r="MIO17" s="12"/>
      <c r="MIP17" s="12"/>
      <c r="MJG17" s="12"/>
      <c r="MJH17" s="12"/>
      <c r="MJY17" s="12"/>
      <c r="MJZ17" s="12"/>
      <c r="MKQ17" s="12"/>
      <c r="MKR17" s="12"/>
      <c r="MLI17" s="12"/>
      <c r="MLJ17" s="12"/>
      <c r="MMA17" s="12"/>
      <c r="MMB17" s="12"/>
      <c r="MMS17" s="12"/>
      <c r="MMT17" s="12"/>
      <c r="MNK17" s="12"/>
      <c r="MNL17" s="12"/>
      <c r="MOC17" s="12"/>
      <c r="MOD17" s="12"/>
      <c r="MOU17" s="12"/>
      <c r="MOV17" s="12"/>
      <c r="MPM17" s="12"/>
      <c r="MPN17" s="12"/>
      <c r="MQE17" s="12"/>
      <c r="MQF17" s="12"/>
      <c r="MQW17" s="12"/>
      <c r="MQX17" s="12"/>
      <c r="MRO17" s="12"/>
      <c r="MRP17" s="12"/>
      <c r="MSG17" s="12"/>
      <c r="MSH17" s="12"/>
      <c r="MSY17" s="12"/>
      <c r="MSZ17" s="12"/>
      <c r="MTQ17" s="12"/>
      <c r="MTR17" s="12"/>
      <c r="MUI17" s="12"/>
      <c r="MUJ17" s="12"/>
      <c r="MVA17" s="12"/>
      <c r="MVB17" s="12"/>
      <c r="MVS17" s="12"/>
      <c r="MVT17" s="12"/>
      <c r="MWK17" s="12"/>
      <c r="MWL17" s="12"/>
      <c r="MXC17" s="12"/>
      <c r="MXD17" s="12"/>
      <c r="MXU17" s="12"/>
      <c r="MXV17" s="12"/>
      <c r="MYM17" s="12"/>
      <c r="MYN17" s="12"/>
      <c r="MZE17" s="12"/>
      <c r="MZF17" s="12"/>
      <c r="MZW17" s="12"/>
      <c r="MZX17" s="12"/>
      <c r="NAO17" s="12"/>
      <c r="NAP17" s="12"/>
      <c r="NBG17" s="12"/>
      <c r="NBH17" s="12"/>
      <c r="NBY17" s="12"/>
      <c r="NBZ17" s="12"/>
      <c r="NCQ17" s="12"/>
      <c r="NCR17" s="12"/>
      <c r="NDI17" s="12"/>
      <c r="NDJ17" s="12"/>
      <c r="NEA17" s="12"/>
      <c r="NEB17" s="12"/>
      <c r="NES17" s="12"/>
      <c r="NET17" s="12"/>
      <c r="NFK17" s="12"/>
      <c r="NFL17" s="12"/>
      <c r="NGC17" s="12"/>
      <c r="NGD17" s="12"/>
      <c r="NGU17" s="12"/>
      <c r="NGV17" s="12"/>
      <c r="NHM17" s="12"/>
      <c r="NHN17" s="12"/>
      <c r="NIE17" s="12"/>
      <c r="NIF17" s="12"/>
      <c r="NIW17" s="12"/>
      <c r="NIX17" s="12"/>
      <c r="NJO17" s="12"/>
      <c r="NJP17" s="12"/>
      <c r="NKG17" s="12"/>
      <c r="NKH17" s="12"/>
      <c r="NKY17" s="12"/>
      <c r="NKZ17" s="12"/>
      <c r="NLQ17" s="12"/>
      <c r="NLR17" s="12"/>
      <c r="NMI17" s="12"/>
      <c r="NMJ17" s="12"/>
      <c r="NNA17" s="12"/>
      <c r="NNB17" s="12"/>
      <c r="NNS17" s="12"/>
      <c r="NNT17" s="12"/>
      <c r="NOK17" s="12"/>
      <c r="NOL17" s="12"/>
      <c r="NPC17" s="12"/>
      <c r="NPD17" s="12"/>
      <c r="NPU17" s="12"/>
      <c r="NPV17" s="12"/>
      <c r="NQM17" s="12"/>
      <c r="NQN17" s="12"/>
      <c r="NRE17" s="12"/>
      <c r="NRF17" s="12"/>
      <c r="NRW17" s="12"/>
      <c r="NRX17" s="12"/>
      <c r="NSO17" s="12"/>
      <c r="NSP17" s="12"/>
      <c r="NTG17" s="12"/>
      <c r="NTH17" s="12"/>
      <c r="NTY17" s="12"/>
      <c r="NTZ17" s="12"/>
      <c r="NUQ17" s="12"/>
      <c r="NUR17" s="12"/>
      <c r="NVI17" s="12"/>
      <c r="NVJ17" s="12"/>
      <c r="NWA17" s="12"/>
      <c r="NWB17" s="12"/>
      <c r="NWS17" s="12"/>
      <c r="NWT17" s="12"/>
      <c r="NXK17" s="12"/>
      <c r="NXL17" s="12"/>
      <c r="NYC17" s="12"/>
      <c r="NYD17" s="12"/>
      <c r="NYU17" s="12"/>
      <c r="NYV17" s="12"/>
      <c r="NZM17" s="12"/>
      <c r="NZN17" s="12"/>
      <c r="OAE17" s="12"/>
      <c r="OAF17" s="12"/>
      <c r="OAW17" s="12"/>
      <c r="OAX17" s="12"/>
      <c r="OBO17" s="12"/>
      <c r="OBP17" s="12"/>
      <c r="OCG17" s="12"/>
      <c r="OCH17" s="12"/>
      <c r="OCY17" s="12"/>
      <c r="OCZ17" s="12"/>
      <c r="ODQ17" s="12"/>
      <c r="ODR17" s="12"/>
      <c r="OEI17" s="12"/>
      <c r="OEJ17" s="12"/>
      <c r="OFA17" s="12"/>
      <c r="OFB17" s="12"/>
      <c r="OFS17" s="12"/>
      <c r="OFT17" s="12"/>
      <c r="OGK17" s="12"/>
      <c r="OGL17" s="12"/>
      <c r="OHC17" s="12"/>
      <c r="OHD17" s="12"/>
      <c r="OHU17" s="12"/>
      <c r="OHV17" s="12"/>
      <c r="OIM17" s="12"/>
      <c r="OIN17" s="12"/>
      <c r="OJE17" s="12"/>
      <c r="OJF17" s="12"/>
      <c r="OJW17" s="12"/>
      <c r="OJX17" s="12"/>
      <c r="OKO17" s="12"/>
      <c r="OKP17" s="12"/>
      <c r="OLG17" s="12"/>
      <c r="OLH17" s="12"/>
      <c r="OLY17" s="12"/>
      <c r="OLZ17" s="12"/>
      <c r="OMQ17" s="12"/>
      <c r="OMR17" s="12"/>
      <c r="ONI17" s="12"/>
      <c r="ONJ17" s="12"/>
      <c r="OOA17" s="12"/>
      <c r="OOB17" s="12"/>
      <c r="OOS17" s="12"/>
      <c r="OOT17" s="12"/>
      <c r="OPK17" s="12"/>
      <c r="OPL17" s="12"/>
      <c r="OQC17" s="12"/>
      <c r="OQD17" s="12"/>
      <c r="OQU17" s="12"/>
      <c r="OQV17" s="12"/>
      <c r="ORM17" s="12"/>
      <c r="ORN17" s="12"/>
      <c r="OSE17" s="12"/>
      <c r="OSF17" s="12"/>
      <c r="OSW17" s="12"/>
      <c r="OSX17" s="12"/>
      <c r="OTO17" s="12"/>
      <c r="OTP17" s="12"/>
      <c r="OUG17" s="12"/>
      <c r="OUH17" s="12"/>
      <c r="OUY17" s="12"/>
      <c r="OUZ17" s="12"/>
      <c r="OVQ17" s="12"/>
      <c r="OVR17" s="12"/>
      <c r="OWI17" s="12"/>
      <c r="OWJ17" s="12"/>
      <c r="OXA17" s="12"/>
      <c r="OXB17" s="12"/>
      <c r="OXS17" s="12"/>
      <c r="OXT17" s="12"/>
      <c r="OYK17" s="12"/>
      <c r="OYL17" s="12"/>
      <c r="OZC17" s="12"/>
      <c r="OZD17" s="12"/>
      <c r="OZU17" s="12"/>
      <c r="OZV17" s="12"/>
      <c r="PAM17" s="12"/>
      <c r="PAN17" s="12"/>
      <c r="PBE17" s="12"/>
      <c r="PBF17" s="12"/>
      <c r="PBW17" s="12"/>
      <c r="PBX17" s="12"/>
      <c r="PCO17" s="12"/>
      <c r="PCP17" s="12"/>
      <c r="PDG17" s="12"/>
      <c r="PDH17" s="12"/>
      <c r="PDY17" s="12"/>
      <c r="PDZ17" s="12"/>
      <c r="PEQ17" s="12"/>
      <c r="PER17" s="12"/>
      <c r="PFI17" s="12"/>
      <c r="PFJ17" s="12"/>
      <c r="PGA17" s="12"/>
      <c r="PGB17" s="12"/>
      <c r="PGS17" s="12"/>
      <c r="PGT17" s="12"/>
      <c r="PHK17" s="12"/>
      <c r="PHL17" s="12"/>
      <c r="PIC17" s="12"/>
      <c r="PID17" s="12"/>
      <c r="PIU17" s="12"/>
      <c r="PIV17" s="12"/>
      <c r="PJM17" s="12"/>
      <c r="PJN17" s="12"/>
      <c r="PKE17" s="12"/>
      <c r="PKF17" s="12"/>
      <c r="PKW17" s="12"/>
      <c r="PKX17" s="12"/>
      <c r="PLO17" s="12"/>
      <c r="PLP17" s="12"/>
      <c r="PMG17" s="12"/>
      <c r="PMH17" s="12"/>
      <c r="PMY17" s="12"/>
      <c r="PMZ17" s="12"/>
      <c r="PNQ17" s="12"/>
      <c r="PNR17" s="12"/>
      <c r="POI17" s="12"/>
      <c r="POJ17" s="12"/>
      <c r="PPA17" s="12"/>
      <c r="PPB17" s="12"/>
      <c r="PPS17" s="12"/>
      <c r="PPT17" s="12"/>
      <c r="PQK17" s="12"/>
      <c r="PQL17" s="12"/>
      <c r="PRC17" s="12"/>
      <c r="PRD17" s="12"/>
      <c r="PRU17" s="12"/>
      <c r="PRV17" s="12"/>
      <c r="PSM17" s="12"/>
      <c r="PSN17" s="12"/>
      <c r="PTE17" s="12"/>
      <c r="PTF17" s="12"/>
      <c r="PTW17" s="12"/>
      <c r="PTX17" s="12"/>
      <c r="PUO17" s="12"/>
      <c r="PUP17" s="12"/>
      <c r="PVG17" s="12"/>
      <c r="PVH17" s="12"/>
      <c r="PVY17" s="12"/>
      <c r="PVZ17" s="12"/>
      <c r="PWQ17" s="12"/>
      <c r="PWR17" s="12"/>
      <c r="PXI17" s="12"/>
      <c r="PXJ17" s="12"/>
      <c r="PYA17" s="12"/>
      <c r="PYB17" s="12"/>
      <c r="PYS17" s="12"/>
      <c r="PYT17" s="12"/>
      <c r="PZK17" s="12"/>
      <c r="PZL17" s="12"/>
      <c r="QAC17" s="12"/>
      <c r="QAD17" s="12"/>
      <c r="QAU17" s="12"/>
      <c r="QAV17" s="12"/>
      <c r="QBM17" s="12"/>
      <c r="QBN17" s="12"/>
      <c r="QCE17" s="12"/>
      <c r="QCF17" s="12"/>
      <c r="QCW17" s="12"/>
      <c r="QCX17" s="12"/>
      <c r="QDO17" s="12"/>
      <c r="QDP17" s="12"/>
      <c r="QEG17" s="12"/>
      <c r="QEH17" s="12"/>
      <c r="QEY17" s="12"/>
      <c r="QEZ17" s="12"/>
      <c r="QFQ17" s="12"/>
      <c r="QFR17" s="12"/>
      <c r="QGI17" s="12"/>
      <c r="QGJ17" s="12"/>
      <c r="QHA17" s="12"/>
      <c r="QHB17" s="12"/>
      <c r="QHS17" s="12"/>
      <c r="QHT17" s="12"/>
      <c r="QIK17" s="12"/>
      <c r="QIL17" s="12"/>
      <c r="QJC17" s="12"/>
      <c r="QJD17" s="12"/>
      <c r="QJU17" s="12"/>
      <c r="QJV17" s="12"/>
      <c r="QKM17" s="12"/>
      <c r="QKN17" s="12"/>
      <c r="QLE17" s="12"/>
      <c r="QLF17" s="12"/>
      <c r="QLW17" s="12"/>
      <c r="QLX17" s="12"/>
      <c r="QMO17" s="12"/>
      <c r="QMP17" s="12"/>
      <c r="QNG17" s="12"/>
      <c r="QNH17" s="12"/>
      <c r="QNY17" s="12"/>
      <c r="QNZ17" s="12"/>
      <c r="QOQ17" s="12"/>
      <c r="QOR17" s="12"/>
      <c r="QPI17" s="12"/>
      <c r="QPJ17" s="12"/>
      <c r="QQA17" s="12"/>
      <c r="QQB17" s="12"/>
      <c r="QQS17" s="12"/>
      <c r="QQT17" s="12"/>
      <c r="QRK17" s="12"/>
      <c r="QRL17" s="12"/>
      <c r="QSC17" s="12"/>
      <c r="QSD17" s="12"/>
      <c r="QSU17" s="12"/>
      <c r="QSV17" s="12"/>
      <c r="QTM17" s="12"/>
      <c r="QTN17" s="12"/>
      <c r="QUE17" s="12"/>
      <c r="QUF17" s="12"/>
      <c r="QUW17" s="12"/>
      <c r="QUX17" s="12"/>
      <c r="QVO17" s="12"/>
      <c r="QVP17" s="12"/>
      <c r="QWG17" s="12"/>
      <c r="QWH17" s="12"/>
      <c r="QWY17" s="12"/>
      <c r="QWZ17" s="12"/>
      <c r="QXQ17" s="12"/>
      <c r="QXR17" s="12"/>
      <c r="QYI17" s="12"/>
      <c r="QYJ17" s="12"/>
      <c r="QZA17" s="12"/>
      <c r="QZB17" s="12"/>
      <c r="QZS17" s="12"/>
      <c r="QZT17" s="12"/>
      <c r="RAK17" s="12"/>
      <c r="RAL17" s="12"/>
      <c r="RBC17" s="12"/>
      <c r="RBD17" s="12"/>
      <c r="RBU17" s="12"/>
      <c r="RBV17" s="12"/>
      <c r="RCM17" s="12"/>
      <c r="RCN17" s="12"/>
      <c r="RDE17" s="12"/>
      <c r="RDF17" s="12"/>
      <c r="RDW17" s="12"/>
      <c r="RDX17" s="12"/>
      <c r="REO17" s="12"/>
      <c r="REP17" s="12"/>
      <c r="RFG17" s="12"/>
      <c r="RFH17" s="12"/>
      <c r="RFY17" s="12"/>
      <c r="RFZ17" s="12"/>
      <c r="RGQ17" s="12"/>
      <c r="RGR17" s="12"/>
      <c r="RHI17" s="12"/>
      <c r="RHJ17" s="12"/>
      <c r="RIA17" s="12"/>
      <c r="RIB17" s="12"/>
      <c r="RIS17" s="12"/>
      <c r="RIT17" s="12"/>
      <c r="RJK17" s="12"/>
      <c r="RJL17" s="12"/>
      <c r="RKC17" s="12"/>
      <c r="RKD17" s="12"/>
      <c r="RKU17" s="12"/>
      <c r="RKV17" s="12"/>
      <c r="RLM17" s="12"/>
      <c r="RLN17" s="12"/>
      <c r="RME17" s="12"/>
      <c r="RMF17" s="12"/>
      <c r="RMW17" s="12"/>
      <c r="RMX17" s="12"/>
      <c r="RNO17" s="12"/>
      <c r="RNP17" s="12"/>
      <c r="ROG17" s="12"/>
      <c r="ROH17" s="12"/>
      <c r="ROY17" s="12"/>
      <c r="ROZ17" s="12"/>
      <c r="RPQ17" s="12"/>
      <c r="RPR17" s="12"/>
      <c r="RQI17" s="12"/>
      <c r="RQJ17" s="12"/>
      <c r="RRA17" s="12"/>
      <c r="RRB17" s="12"/>
      <c r="RRS17" s="12"/>
      <c r="RRT17" s="12"/>
      <c r="RSK17" s="12"/>
      <c r="RSL17" s="12"/>
      <c r="RTC17" s="12"/>
      <c r="RTD17" s="12"/>
      <c r="RTU17" s="12"/>
      <c r="RTV17" s="12"/>
      <c r="RUM17" s="12"/>
      <c r="RUN17" s="12"/>
      <c r="RVE17" s="12"/>
      <c r="RVF17" s="12"/>
      <c r="RVW17" s="12"/>
      <c r="RVX17" s="12"/>
      <c r="RWO17" s="12"/>
      <c r="RWP17" s="12"/>
      <c r="RXG17" s="12"/>
      <c r="RXH17" s="12"/>
      <c r="RXY17" s="12"/>
      <c r="RXZ17" s="12"/>
      <c r="RYQ17" s="12"/>
      <c r="RYR17" s="12"/>
      <c r="RZI17" s="12"/>
      <c r="RZJ17" s="12"/>
      <c r="SAA17" s="12"/>
      <c r="SAB17" s="12"/>
      <c r="SAS17" s="12"/>
      <c r="SAT17" s="12"/>
      <c r="SBK17" s="12"/>
      <c r="SBL17" s="12"/>
      <c r="SCC17" s="12"/>
      <c r="SCD17" s="12"/>
      <c r="SCU17" s="12"/>
      <c r="SCV17" s="12"/>
      <c r="SDM17" s="12"/>
      <c r="SDN17" s="12"/>
      <c r="SEE17" s="12"/>
      <c r="SEF17" s="12"/>
      <c r="SEW17" s="12"/>
      <c r="SEX17" s="12"/>
      <c r="SFO17" s="12"/>
      <c r="SFP17" s="12"/>
      <c r="SGG17" s="12"/>
      <c r="SGH17" s="12"/>
      <c r="SGY17" s="12"/>
      <c r="SGZ17" s="12"/>
      <c r="SHQ17" s="12"/>
      <c r="SHR17" s="12"/>
      <c r="SII17" s="12"/>
      <c r="SIJ17" s="12"/>
      <c r="SJA17" s="12"/>
      <c r="SJB17" s="12"/>
      <c r="SJS17" s="12"/>
      <c r="SJT17" s="12"/>
      <c r="SKK17" s="12"/>
      <c r="SKL17" s="12"/>
      <c r="SLC17" s="12"/>
      <c r="SLD17" s="12"/>
      <c r="SLU17" s="12"/>
      <c r="SLV17" s="12"/>
      <c r="SMM17" s="12"/>
      <c r="SMN17" s="12"/>
      <c r="SNE17" s="12"/>
      <c r="SNF17" s="12"/>
      <c r="SNW17" s="12"/>
      <c r="SNX17" s="12"/>
      <c r="SOO17" s="12"/>
      <c r="SOP17" s="12"/>
      <c r="SPG17" s="12"/>
      <c r="SPH17" s="12"/>
      <c r="SPY17" s="12"/>
      <c r="SPZ17" s="12"/>
      <c r="SQQ17" s="12"/>
      <c r="SQR17" s="12"/>
      <c r="SRI17" s="12"/>
      <c r="SRJ17" s="12"/>
      <c r="SSA17" s="12"/>
      <c r="SSB17" s="12"/>
      <c r="SSS17" s="12"/>
      <c r="SST17" s="12"/>
      <c r="STK17" s="12"/>
      <c r="STL17" s="12"/>
      <c r="SUC17" s="12"/>
      <c r="SUD17" s="12"/>
      <c r="SUU17" s="12"/>
      <c r="SUV17" s="12"/>
      <c r="SVM17" s="12"/>
      <c r="SVN17" s="12"/>
      <c r="SWE17" s="12"/>
      <c r="SWF17" s="12"/>
      <c r="SWW17" s="12"/>
      <c r="SWX17" s="12"/>
      <c r="SXO17" s="12"/>
      <c r="SXP17" s="12"/>
      <c r="SYG17" s="12"/>
      <c r="SYH17" s="12"/>
      <c r="SYY17" s="12"/>
      <c r="SYZ17" s="12"/>
      <c r="SZQ17" s="12"/>
      <c r="SZR17" s="12"/>
      <c r="TAI17" s="12"/>
      <c r="TAJ17" s="12"/>
      <c r="TBA17" s="12"/>
      <c r="TBB17" s="12"/>
      <c r="TBS17" s="12"/>
      <c r="TBT17" s="12"/>
      <c r="TCK17" s="12"/>
      <c r="TCL17" s="12"/>
      <c r="TDC17" s="12"/>
      <c r="TDD17" s="12"/>
      <c r="TDU17" s="12"/>
      <c r="TDV17" s="12"/>
      <c r="TEM17" s="12"/>
      <c r="TEN17" s="12"/>
      <c r="TFE17" s="12"/>
      <c r="TFF17" s="12"/>
      <c r="TFW17" s="12"/>
      <c r="TFX17" s="12"/>
      <c r="TGO17" s="12"/>
      <c r="TGP17" s="12"/>
      <c r="THG17" s="12"/>
      <c r="THH17" s="12"/>
      <c r="THY17" s="12"/>
      <c r="THZ17" s="12"/>
      <c r="TIQ17" s="12"/>
      <c r="TIR17" s="12"/>
      <c r="TJI17" s="12"/>
      <c r="TJJ17" s="12"/>
      <c r="TKA17" s="12"/>
      <c r="TKB17" s="12"/>
      <c r="TKS17" s="12"/>
      <c r="TKT17" s="12"/>
      <c r="TLK17" s="12"/>
      <c r="TLL17" s="12"/>
      <c r="TMC17" s="12"/>
      <c r="TMD17" s="12"/>
      <c r="TMU17" s="12"/>
      <c r="TMV17" s="12"/>
      <c r="TNM17" s="12"/>
      <c r="TNN17" s="12"/>
      <c r="TOE17" s="12"/>
      <c r="TOF17" s="12"/>
      <c r="TOW17" s="12"/>
      <c r="TOX17" s="12"/>
      <c r="TPO17" s="12"/>
      <c r="TPP17" s="12"/>
      <c r="TQG17" s="12"/>
      <c r="TQH17" s="12"/>
      <c r="TQY17" s="12"/>
      <c r="TQZ17" s="12"/>
      <c r="TRQ17" s="12"/>
      <c r="TRR17" s="12"/>
      <c r="TSI17" s="12"/>
      <c r="TSJ17" s="12"/>
      <c r="TTA17" s="12"/>
      <c r="TTB17" s="12"/>
      <c r="TTS17" s="12"/>
      <c r="TTT17" s="12"/>
      <c r="TUK17" s="12"/>
      <c r="TUL17" s="12"/>
      <c r="TVC17" s="12"/>
      <c r="TVD17" s="12"/>
      <c r="TVU17" s="12"/>
      <c r="TVV17" s="12"/>
      <c r="TWM17" s="12"/>
      <c r="TWN17" s="12"/>
      <c r="TXE17" s="12"/>
      <c r="TXF17" s="12"/>
      <c r="TXW17" s="12"/>
      <c r="TXX17" s="12"/>
      <c r="TYO17" s="12"/>
      <c r="TYP17" s="12"/>
      <c r="TZG17" s="12"/>
      <c r="TZH17" s="12"/>
      <c r="TZY17" s="12"/>
      <c r="TZZ17" s="12"/>
      <c r="UAQ17" s="12"/>
      <c r="UAR17" s="12"/>
      <c r="UBI17" s="12"/>
      <c r="UBJ17" s="12"/>
      <c r="UCA17" s="12"/>
      <c r="UCB17" s="12"/>
      <c r="UCS17" s="12"/>
      <c r="UCT17" s="12"/>
      <c r="UDK17" s="12"/>
      <c r="UDL17" s="12"/>
      <c r="UEC17" s="12"/>
      <c r="UED17" s="12"/>
      <c r="UEU17" s="12"/>
      <c r="UEV17" s="12"/>
      <c r="UFM17" s="12"/>
      <c r="UFN17" s="12"/>
      <c r="UGE17" s="12"/>
      <c r="UGF17" s="12"/>
      <c r="UGW17" s="12"/>
      <c r="UGX17" s="12"/>
      <c r="UHO17" s="12"/>
      <c r="UHP17" s="12"/>
      <c r="UIG17" s="12"/>
      <c r="UIH17" s="12"/>
      <c r="UIY17" s="12"/>
      <c r="UIZ17" s="12"/>
      <c r="UJQ17" s="12"/>
      <c r="UJR17" s="12"/>
      <c r="UKI17" s="12"/>
      <c r="UKJ17" s="12"/>
      <c r="ULA17" s="12"/>
      <c r="ULB17" s="12"/>
      <c r="ULS17" s="12"/>
      <c r="ULT17" s="12"/>
      <c r="UMK17" s="12"/>
      <c r="UML17" s="12"/>
      <c r="UNC17" s="12"/>
      <c r="UND17" s="12"/>
      <c r="UNU17" s="12"/>
      <c r="UNV17" s="12"/>
      <c r="UOM17" s="12"/>
      <c r="UON17" s="12"/>
      <c r="UPE17" s="12"/>
      <c r="UPF17" s="12"/>
      <c r="UPW17" s="12"/>
      <c r="UPX17" s="12"/>
      <c r="UQO17" s="12"/>
      <c r="UQP17" s="12"/>
      <c r="URG17" s="12"/>
      <c r="URH17" s="12"/>
      <c r="URY17" s="12"/>
      <c r="URZ17" s="12"/>
      <c r="USQ17" s="12"/>
      <c r="USR17" s="12"/>
      <c r="UTI17" s="12"/>
      <c r="UTJ17" s="12"/>
      <c r="UUA17" s="12"/>
      <c r="UUB17" s="12"/>
      <c r="UUS17" s="12"/>
      <c r="UUT17" s="12"/>
      <c r="UVK17" s="12"/>
      <c r="UVL17" s="12"/>
      <c r="UWC17" s="12"/>
      <c r="UWD17" s="12"/>
      <c r="UWU17" s="12"/>
      <c r="UWV17" s="12"/>
      <c r="UXM17" s="12"/>
      <c r="UXN17" s="12"/>
      <c r="UYE17" s="12"/>
      <c r="UYF17" s="12"/>
      <c r="UYW17" s="12"/>
      <c r="UYX17" s="12"/>
      <c r="UZO17" s="12"/>
      <c r="UZP17" s="12"/>
      <c r="VAG17" s="12"/>
      <c r="VAH17" s="12"/>
      <c r="VAY17" s="12"/>
      <c r="VAZ17" s="12"/>
      <c r="VBQ17" s="12"/>
      <c r="VBR17" s="12"/>
      <c r="VCI17" s="12"/>
      <c r="VCJ17" s="12"/>
      <c r="VDA17" s="12"/>
      <c r="VDB17" s="12"/>
      <c r="VDS17" s="12"/>
      <c r="VDT17" s="12"/>
      <c r="VEK17" s="12"/>
      <c r="VEL17" s="12"/>
      <c r="VFC17" s="12"/>
      <c r="VFD17" s="12"/>
      <c r="VFU17" s="12"/>
      <c r="VFV17" s="12"/>
      <c r="VGM17" s="12"/>
      <c r="VGN17" s="12"/>
      <c r="VHE17" s="12"/>
      <c r="VHF17" s="12"/>
      <c r="VHW17" s="12"/>
      <c r="VHX17" s="12"/>
      <c r="VIO17" s="12"/>
      <c r="VIP17" s="12"/>
      <c r="VJG17" s="12"/>
      <c r="VJH17" s="12"/>
      <c r="VJY17" s="12"/>
      <c r="VJZ17" s="12"/>
      <c r="VKQ17" s="12"/>
      <c r="VKR17" s="12"/>
      <c r="VLI17" s="12"/>
      <c r="VLJ17" s="12"/>
      <c r="VMA17" s="12"/>
      <c r="VMB17" s="12"/>
      <c r="VMS17" s="12"/>
      <c r="VMT17" s="12"/>
      <c r="VNK17" s="12"/>
      <c r="VNL17" s="12"/>
      <c r="VOC17" s="12"/>
      <c r="VOD17" s="12"/>
      <c r="VOU17" s="12"/>
      <c r="VOV17" s="12"/>
      <c r="VPM17" s="12"/>
      <c r="VPN17" s="12"/>
      <c r="VQE17" s="12"/>
      <c r="VQF17" s="12"/>
      <c r="VQW17" s="12"/>
      <c r="VQX17" s="12"/>
      <c r="VRO17" s="12"/>
      <c r="VRP17" s="12"/>
      <c r="VSG17" s="12"/>
      <c r="VSH17" s="12"/>
      <c r="VSY17" s="12"/>
      <c r="VSZ17" s="12"/>
      <c r="VTQ17" s="12"/>
      <c r="VTR17" s="12"/>
      <c r="VUI17" s="12"/>
      <c r="VUJ17" s="12"/>
      <c r="VVA17" s="12"/>
      <c r="VVB17" s="12"/>
      <c r="VVS17" s="12"/>
      <c r="VVT17" s="12"/>
      <c r="VWK17" s="12"/>
      <c r="VWL17" s="12"/>
      <c r="VXC17" s="12"/>
      <c r="VXD17" s="12"/>
      <c r="VXU17" s="12"/>
      <c r="VXV17" s="12"/>
      <c r="VYM17" s="12"/>
      <c r="VYN17" s="12"/>
      <c r="VZE17" s="12"/>
      <c r="VZF17" s="12"/>
      <c r="VZW17" s="12"/>
      <c r="VZX17" s="12"/>
      <c r="WAO17" s="12"/>
      <c r="WAP17" s="12"/>
      <c r="WBG17" s="12"/>
      <c r="WBH17" s="12"/>
      <c r="WBY17" s="12"/>
      <c r="WBZ17" s="12"/>
      <c r="WCQ17" s="12"/>
      <c r="WCR17" s="12"/>
      <c r="WDI17" s="12"/>
      <c r="WDJ17" s="12"/>
      <c r="WEA17" s="12"/>
      <c r="WEB17" s="12"/>
      <c r="WES17" s="12"/>
      <c r="WET17" s="12"/>
      <c r="WFK17" s="12"/>
      <c r="WFL17" s="12"/>
      <c r="WGC17" s="12"/>
      <c r="WGD17" s="12"/>
      <c r="WGU17" s="12"/>
      <c r="WGV17" s="12"/>
      <c r="WHM17" s="12"/>
      <c r="WHN17" s="12"/>
      <c r="WIE17" s="12"/>
      <c r="WIF17" s="12"/>
      <c r="WIW17" s="12"/>
      <c r="WIX17" s="12"/>
      <c r="WJO17" s="12"/>
      <c r="WJP17" s="12"/>
      <c r="WKG17" s="12"/>
      <c r="WKH17" s="12"/>
      <c r="WKY17" s="12"/>
      <c r="WKZ17" s="12"/>
      <c r="WLQ17" s="12"/>
      <c r="WLR17" s="12"/>
      <c r="WMI17" s="12"/>
      <c r="WMJ17" s="12"/>
      <c r="WNA17" s="12"/>
      <c r="WNB17" s="12"/>
      <c r="WNS17" s="12"/>
      <c r="WNT17" s="12"/>
      <c r="WOK17" s="12"/>
      <c r="WOL17" s="12"/>
      <c r="WPC17" s="12"/>
      <c r="WPD17" s="12"/>
      <c r="WPU17" s="12"/>
      <c r="WPV17" s="12"/>
      <c r="WQM17" s="12"/>
      <c r="WQN17" s="12"/>
      <c r="WRE17" s="12"/>
      <c r="WRF17" s="12"/>
      <c r="WRW17" s="12"/>
      <c r="WRX17" s="12"/>
      <c r="WSO17" s="12"/>
      <c r="WSP17" s="12"/>
      <c r="WTG17" s="12"/>
      <c r="WTH17" s="12"/>
      <c r="WTY17" s="12"/>
      <c r="WTZ17" s="12"/>
      <c r="WUQ17" s="12"/>
      <c r="WUR17" s="12"/>
      <c r="WVI17" s="12"/>
      <c r="WVJ17" s="12"/>
      <c r="WWA17" s="12"/>
      <c r="WWB17" s="12"/>
      <c r="WWS17" s="12"/>
      <c r="WWT17" s="12"/>
      <c r="WXK17" s="12"/>
      <c r="WXL17" s="12"/>
      <c r="WYC17" s="12"/>
      <c r="WYD17" s="12"/>
      <c r="WYU17" s="12"/>
      <c r="WYV17" s="12"/>
      <c r="WZM17" s="12"/>
      <c r="WZN17" s="12"/>
      <c r="XAE17" s="12"/>
      <c r="XAF17" s="12"/>
      <c r="XAW17" s="12"/>
      <c r="XAX17" s="12"/>
      <c r="XBO17" s="12"/>
      <c r="XBP17" s="12"/>
      <c r="XCG17" s="12"/>
      <c r="XCH17" s="12"/>
      <c r="XCY17" s="12"/>
      <c r="XCZ17" s="12"/>
      <c r="XDQ17" s="12"/>
      <c r="XDR17" s="12"/>
      <c r="XEI17" s="12"/>
      <c r="XEJ17" s="12"/>
      <c r="XFA17" s="12"/>
      <c r="XFB17" s="12"/>
    </row>
    <row r="18" spans="1:1010 1027:2036 2053:3062 3079:4088 4105:5114 5131:6140 6157:7166 7183:8192 8209:9200 9217:10226 10243:11252 11269:12278 12295:13304 13321:14330 14347:15356 15373:16382" x14ac:dyDescent="0.35">
      <c r="A18" s="181" t="str">
        <f>'Cash Flow - Standardized'!A18</f>
        <v xml:space="preserve">    + (Inc) Dec in Accts Receiv</v>
      </c>
      <c r="B18" s="13" t="str">
        <f>'Cash Flow - Standardized'!B18</f>
        <v>CF_ACCT_RCV_UNBILLED_REV</v>
      </c>
      <c r="C18" s="77">
        <f>IF('Cash Flow - Standardized'!C18="",0,'Cash Flow - Standardized'!C18)/'Cash Flow - Standardized'!C$24</f>
        <v>-0.14279245283018868</v>
      </c>
      <c r="D18" s="77">
        <f>IF('Cash Flow - Standardized'!D18="",0,'Cash Flow - Standardized'!D18)/'Cash Flow - Standardized'!D$24</f>
        <v>0.20175416360364015</v>
      </c>
      <c r="E18" s="77">
        <f>IF('Cash Flow - Standardized'!E18="",0,'Cash Flow - Standardized'!E18)/'Cash Flow - Standardized'!E$24</f>
        <v>-0.10944775151765192</v>
      </c>
      <c r="F18" s="77">
        <f>IF('Cash Flow - Standardized'!F18="",0,'Cash Flow - Standardized'!F18)/'Cash Flow - Standardized'!F$24</f>
        <v>-2.0987621806689494</v>
      </c>
      <c r="G18" s="77">
        <f>IF('Cash Flow - Standardized'!G18="",0,'Cash Flow - Standardized'!G18)/'Cash Flow - Standardized'!G$24</f>
        <v>-0.20686883607768172</v>
      </c>
      <c r="H18" s="77">
        <f>IF('Cash Flow - Standardized'!H18="",0,'Cash Flow - Standardized'!H18)/'Cash Flow - Standardized'!H$24</f>
        <v>-0.26234989082969429</v>
      </c>
      <c r="I18" s="77">
        <f>IF('Cash Flow - Standardized'!I18="",0,'Cash Flow - Standardized'!I18)/'Cash Flow - Standardized'!I$24</f>
        <v>-15.588582677165356</v>
      </c>
      <c r="J18" s="77">
        <f>IF('Cash Flow - Standardized'!J18="",0,'Cash Flow - Standardized'!J18)/'Cash Flow - Standardized'!J$24</f>
        <v>-4.1150475744943911E-2</v>
      </c>
      <c r="K18" s="77">
        <f>IF('Cash Flow - Standardized'!K18="",0,'Cash Flow - Standardized'!K18)/'Cash Flow - Standardized'!K$24</f>
        <v>0.24517287831163001</v>
      </c>
      <c r="L18" s="77">
        <f>IF('Cash Flow - Standardized'!L18="",0,'Cash Flow - Standardized'!L18)/'Cash Flow - Standardized'!L$24</f>
        <v>2.5942367015273495E-2</v>
      </c>
      <c r="M18" s="108"/>
      <c r="N18" s="108"/>
      <c r="O18" s="108"/>
      <c r="P18" s="108"/>
      <c r="Q18" s="108"/>
      <c r="R18" s="108"/>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row>
    <row r="19" spans="1:1010 1027:2036 2053:3062 3079:4088 4105:5114 5131:6140 6157:7166 7183:8192 8209:9200 9217:10226 10243:11252 11269:12278 12295:13304 13321:14330 14347:15356 15373:16382" x14ac:dyDescent="0.35">
      <c r="A19" s="181" t="str">
        <f>'Cash Flow - Standardized'!A19</f>
        <v xml:space="preserve">    + (Inc) Dec in Inventories</v>
      </c>
      <c r="B19" s="13" t="str">
        <f>'Cash Flow - Standardized'!B19</f>
        <v>CF_CHANGE_IN_INVENTORIES</v>
      </c>
      <c r="C19" s="77">
        <f>IF('Cash Flow - Standardized'!C19="",0,'Cash Flow - Standardized'!C19)/'Cash Flow - Standardized'!C$24</f>
        <v>4.0150943396226414E-2</v>
      </c>
      <c r="D19" s="77">
        <f>IF('Cash Flow - Standardized'!D19="",0,'Cash Flow - Standardized'!D19)/'Cash Flow - Standardized'!D$24</f>
        <v>-0.25582397525919542</v>
      </c>
      <c r="E19" s="77">
        <f>IF('Cash Flow - Standardized'!E19="",0,'Cash Flow - Standardized'!E19)/'Cash Flow - Standardized'!E$24</f>
        <v>-0.24084988507102023</v>
      </c>
      <c r="F19" s="77">
        <f>IF('Cash Flow - Standardized'!F19="",0,'Cash Flow - Standardized'!F19)/'Cash Flow - Standardized'!F$24</f>
        <v>-4.2631024493020808</v>
      </c>
      <c r="G19" s="77">
        <f>IF('Cash Flow - Standardized'!G19="",0,'Cash Flow - Standardized'!G19)/'Cash Flow - Standardized'!G$24</f>
        <v>-0.30497023938827822</v>
      </c>
      <c r="H19" s="77">
        <f>IF('Cash Flow - Standardized'!H19="",0,'Cash Flow - Standardized'!H19)/'Cash Flow - Standardized'!H$24</f>
        <v>-0.86785844250363897</v>
      </c>
      <c r="I19" s="77">
        <f>IF('Cash Flow - Standardized'!I19="",0,'Cash Flow - Standardized'!I19)/'Cash Flow - Standardized'!I$24</f>
        <v>-17.651902887139105</v>
      </c>
      <c r="J19" s="77">
        <f>IF('Cash Flow - Standardized'!J19="",0,'Cash Flow - Standardized'!J19)/'Cash Flow - Standardized'!J$24</f>
        <v>0.34211867309346994</v>
      </c>
      <c r="K19" s="77">
        <f>IF('Cash Flow - Standardized'!K19="",0,'Cash Flow - Standardized'!K19)/'Cash Flow - Standardized'!K$24</f>
        <v>-7.9886383809692884E-3</v>
      </c>
      <c r="L19" s="77">
        <f>IF('Cash Flow - Standardized'!L19="",0,'Cash Flow - Standardized'!L19)/'Cash Flow - Standardized'!L$24</f>
        <v>0.14363102851553683</v>
      </c>
      <c r="M19" s="108"/>
      <c r="N19" s="108"/>
      <c r="O19" s="108"/>
      <c r="P19" s="108"/>
      <c r="Q19" s="108"/>
      <c r="R19" s="108"/>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row>
    <row r="20" spans="1:1010 1027:2036 2053:3062 3079:4088 4105:5114 5131:6140 6157:7166 7183:8192 8209:9200 9217:10226 10243:11252 11269:12278 12295:13304 13321:14330 14347:15356 15373:16382" x14ac:dyDescent="0.35">
      <c r="A20" s="181" t="str">
        <f>'Cash Flow - Standardized'!A20</f>
        <v xml:space="preserve">    + Inc (Dec) in Accts Payable</v>
      </c>
      <c r="B20" s="13" t="str">
        <f>'Cash Flow - Standardized'!B20</f>
        <v>CF_CHANGE_IN_ACCOUNTS_PAYABLE</v>
      </c>
      <c r="C20" s="77">
        <f>IF('Cash Flow - Standardized'!C20="",0,'Cash Flow - Standardized'!C20)/'Cash Flow - Standardized'!C$24</f>
        <v>-0.21436981132075472</v>
      </c>
      <c r="D20" s="77">
        <f>IF('Cash Flow - Standardized'!D20="",0,'Cash Flow - Standardized'!D20)/'Cash Flow - Standardized'!D$24</f>
        <v>0.10332327815660726</v>
      </c>
      <c r="E20" s="77">
        <f>IF('Cash Flow - Standardized'!E20="",0,'Cash Flow - Standardized'!E20)/'Cash Flow - Standardized'!E$24</f>
        <v>4.6855660988978608E-3</v>
      </c>
      <c r="F20" s="77">
        <f>IF('Cash Flow - Standardized'!F20="",0,'Cash Flow - Standardized'!F20)/'Cash Flow - Standardized'!F$24</f>
        <v>0.55807216223334211</v>
      </c>
      <c r="G20" s="77">
        <f>IF('Cash Flow - Standardized'!G20="",0,'Cash Flow - Standardized'!G20)/'Cash Flow - Standardized'!G$24</f>
        <v>-1.5010644306382239E-2</v>
      </c>
      <c r="H20" s="77">
        <f>IF('Cash Flow - Standardized'!H20="",0,'Cash Flow - Standardized'!H20)/'Cash Flow - Standardized'!H$24</f>
        <v>0.4092294395924308</v>
      </c>
      <c r="I20" s="77">
        <f>IF('Cash Flow - Standardized'!I20="",0,'Cash Flow - Standardized'!I20)/'Cash Flow - Standardized'!I$24</f>
        <v>4.5380577427821525</v>
      </c>
      <c r="J20" s="77">
        <f>IF('Cash Flow - Standardized'!J20="",0,'Cash Flow - Standardized'!J20)/'Cash Flow - Standardized'!J$24</f>
        <v>-0.12759487749254431</v>
      </c>
      <c r="K20" s="77">
        <f>IF('Cash Flow - Standardized'!K20="",0,'Cash Flow - Standardized'!K20)/'Cash Flow - Standardized'!K$24</f>
        <v>-6.2217395390607874E-2</v>
      </c>
      <c r="L20" s="77">
        <f>IF('Cash Flow - Standardized'!L20="",0,'Cash Flow - Standardized'!L20)/'Cash Flow - Standardized'!L$24</f>
        <v>8.3628018960198641E-2</v>
      </c>
      <c r="M20" s="108"/>
      <c r="N20" s="108"/>
      <c r="O20" s="108"/>
      <c r="P20" s="108"/>
      <c r="Q20" s="108"/>
      <c r="R20" s="108"/>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row>
    <row r="21" spans="1:1010 1027:2036 2053:3062 3079:4088 4105:5114 5131:6140 6157:7166 7183:8192 8209:9200 9217:10226 10243:11252 11269:12278 12295:13304 13321:14330 14347:15356 15373:16382" x14ac:dyDescent="0.35">
      <c r="A21" s="181" t="str">
        <f>'Cash Flow - Standardized'!A21</f>
        <v xml:space="preserve">    + Inc (Dec) in Other</v>
      </c>
      <c r="B21" s="13" t="str">
        <f>'Cash Flow - Standardized'!B21</f>
        <v>INC_DEC_IN_OT_OP_AST_LIAB_DETAIL</v>
      </c>
      <c r="C21" s="77">
        <f>IF('Cash Flow - Standardized'!C21="",0,'Cash Flow - Standardized'!C21)/'Cash Flow - Standardized'!C$24</f>
        <v>-6.3094339622641507E-2</v>
      </c>
      <c r="D21" s="77">
        <f>IF('Cash Flow - Standardized'!D21="",0,'Cash Flow - Standardized'!D21)/'Cash Flow - Standardized'!D$24</f>
        <v>1.9265380618013132E-2</v>
      </c>
      <c r="E21" s="77">
        <f>IF('Cash Flow - Standardized'!E21="",0,'Cash Flow - Standardized'!E21)/'Cash Flow - Standardized'!E$24</f>
        <v>7.429127129133023E-2</v>
      </c>
      <c r="F21" s="77">
        <f>IF('Cash Flow - Standardized'!F21="",0,'Cash Flow - Standardized'!F21)/'Cash Flow - Standardized'!F$24</f>
        <v>0.73795101395838814</v>
      </c>
      <c r="G21" s="77">
        <f>IF('Cash Flow - Standardized'!G21="",0,'Cash Flow - Standardized'!G21)/'Cash Flow - Standardized'!G$24</f>
        <v>0.21855585002389538</v>
      </c>
      <c r="H21" s="77">
        <f>IF('Cash Flow - Standardized'!H21="",0,'Cash Flow - Standardized'!H21)/'Cash Flow - Standardized'!H$24</f>
        <v>0.23428402474526927</v>
      </c>
      <c r="I21" s="77">
        <f>IF('Cash Flow - Standardized'!I21="",0,'Cash Flow - Standardized'!I21)/'Cash Flow - Standardized'!I$24</f>
        <v>0.46128608923884512</v>
      </c>
      <c r="J21" s="77">
        <f>IF('Cash Flow - Standardized'!J21="",0,'Cash Flow - Standardized'!J21)/'Cash Flow - Standardized'!J$24</f>
        <v>-3.7107270251530822E-2</v>
      </c>
      <c r="K21" s="77">
        <f>IF('Cash Flow - Standardized'!K21="",0,'Cash Flow - Standardized'!K21)/'Cash Flow - Standardized'!K$24</f>
        <v>-0.18528419711573604</v>
      </c>
      <c r="L21" s="77">
        <f>IF('Cash Flow - Standardized'!L21="",0,'Cash Flow - Standardized'!L21)/'Cash Flow - Standardized'!L$24</f>
        <v>-3.9169362726657143E-2</v>
      </c>
      <c r="M21" s="108"/>
      <c r="N21" s="108"/>
      <c r="O21" s="108"/>
      <c r="P21" s="108"/>
      <c r="Q21" s="108"/>
      <c r="R21" s="108"/>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row>
    <row r="22" spans="1:1010 1027:2036 2053:3062 3079:4088 4105:5114 5131:6140 6157:7166 7183:8192 8209:9200 9217:10226 10243:11252 11269:12278 12295:13304 13321:14330 14347:15356 15373:16382" x14ac:dyDescent="0.35">
      <c r="A22" s="23" t="str">
        <f>'Cash Flow - Standardized'!A22</f>
        <v>check</v>
      </c>
      <c r="B22" s="23"/>
      <c r="C22" s="79"/>
      <c r="D22" s="79"/>
      <c r="E22" s="79"/>
      <c r="F22" s="79"/>
      <c r="G22" s="79"/>
      <c r="H22" s="79"/>
      <c r="I22" s="79"/>
      <c r="J22" s="79"/>
      <c r="K22" s="79"/>
      <c r="L22" s="79"/>
      <c r="M22" s="127"/>
      <c r="N22" s="127"/>
      <c r="O22" s="127"/>
      <c r="P22" s="127"/>
      <c r="Q22" s="127"/>
      <c r="R22" s="12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row>
    <row r="23" spans="1:1010 1027:2036 2053:3062 3079:4088 4105:5114 5131:6140 6157:7166 7183:8192 8209:9200 9217:10226 10243:11252 11269:12278 12295:13304 13321:14330 14347:15356 15373:16382" s="11" customFormat="1" x14ac:dyDescent="0.35">
      <c r="A23" s="183" t="str">
        <f>'Cash Flow - Standardized'!A23</f>
        <v xml:space="preserve">  + Net Operating Cash From Disc Ops</v>
      </c>
      <c r="B23" s="75" t="str">
        <f>'Cash Flow - Standardized'!B23</f>
        <v>CF_NET_CASH_DISCONT_OPS_OPER</v>
      </c>
      <c r="C23" s="76">
        <f>IF('Cash Flow - Standardized'!C23="",0,'Cash Flow - Standardized'!C23)/'Cash Flow - Standardized'!C$24</f>
        <v>0</v>
      </c>
      <c r="D23" s="76">
        <f>IF('Cash Flow - Standardized'!D23="",0,'Cash Flow - Standardized'!D23)/'Cash Flow - Standardized'!D$24</f>
        <v>0</v>
      </c>
      <c r="E23" s="76">
        <f>IF('Cash Flow - Standardized'!E23="",0,'Cash Flow - Standardized'!E23)/'Cash Flow - Standardized'!E$24</f>
        <v>0</v>
      </c>
      <c r="F23" s="76">
        <f>IF('Cash Flow - Standardized'!F23="",0,'Cash Flow - Standardized'!F23)/'Cash Flow - Standardized'!F$24</f>
        <v>0</v>
      </c>
      <c r="G23" s="76">
        <f>IF('Cash Flow - Standardized'!G23="",0,'Cash Flow - Standardized'!G23)/'Cash Flow - Standardized'!G$24</f>
        <v>0</v>
      </c>
      <c r="H23" s="76">
        <f>IF('Cash Flow - Standardized'!H23="",0,'Cash Flow - Standardized'!H23)/'Cash Flow - Standardized'!H$24</f>
        <v>0</v>
      </c>
      <c r="I23" s="76">
        <f>IF('Cash Flow - Standardized'!I23="",0,'Cash Flow - Standardized'!I23)/'Cash Flow - Standardized'!I$24</f>
        <v>0</v>
      </c>
      <c r="J23" s="76">
        <f>IF('Cash Flow - Standardized'!J23="",0,'Cash Flow - Standardized'!J23)/'Cash Flow - Standardized'!J$24</f>
        <v>0</v>
      </c>
      <c r="K23" s="76">
        <f>IF('Cash Flow - Standardized'!K23="",0,'Cash Flow - Standardized'!K23)/'Cash Flow - Standardized'!K$24</f>
        <v>0</v>
      </c>
      <c r="L23" s="76">
        <f>IF('Cash Flow - Standardized'!L23="",0,'Cash Flow - Standardized'!L23)/'Cash Flow - Standardized'!L$24</f>
        <v>0</v>
      </c>
      <c r="M23" s="108"/>
      <c r="N23" s="108"/>
      <c r="O23" s="108"/>
      <c r="P23" s="108"/>
      <c r="Q23" s="108"/>
      <c r="R23" s="108"/>
      <c r="S23" s="109"/>
      <c r="T23" s="109"/>
      <c r="U23" s="108"/>
      <c r="V23" s="108"/>
      <c r="W23" s="108"/>
      <c r="X23" s="108"/>
      <c r="Y23" s="108"/>
      <c r="Z23" s="108"/>
      <c r="AA23" s="108"/>
      <c r="AB23" s="108"/>
      <c r="AC23" s="108"/>
      <c r="AD23" s="108"/>
      <c r="AE23" s="108"/>
      <c r="AF23" s="108"/>
      <c r="AG23" s="108"/>
      <c r="AH23" s="108"/>
      <c r="AI23" s="108"/>
      <c r="AJ23" s="108"/>
      <c r="AK23" s="109"/>
      <c r="AL23" s="109"/>
      <c r="AM23" s="108"/>
      <c r="AN23" s="108"/>
      <c r="AO23" s="108"/>
      <c r="AP23" s="108"/>
      <c r="AQ23" s="108"/>
      <c r="AR23" s="108"/>
      <c r="AS23" s="108"/>
      <c r="AT23" s="108"/>
      <c r="AU23" s="108"/>
      <c r="AV23" s="108"/>
      <c r="AW23" s="108"/>
      <c r="AX23" s="108"/>
      <c r="BC23" s="12"/>
      <c r="BD23" s="12"/>
      <c r="BU23" s="12"/>
      <c r="BV23" s="12"/>
      <c r="CM23" s="12"/>
      <c r="CN23" s="12"/>
      <c r="DE23" s="12"/>
      <c r="DF23" s="12"/>
      <c r="DW23" s="12"/>
      <c r="DX23" s="12"/>
      <c r="EO23" s="12"/>
      <c r="EP23" s="12"/>
      <c r="FG23" s="12"/>
      <c r="FH23" s="12"/>
      <c r="FY23" s="12"/>
      <c r="FZ23" s="12"/>
      <c r="GQ23" s="12"/>
      <c r="GR23" s="12"/>
      <c r="HI23" s="12"/>
      <c r="HJ23" s="12"/>
      <c r="IA23" s="12"/>
      <c r="IB23" s="12"/>
      <c r="IS23" s="12"/>
      <c r="IT23" s="12"/>
      <c r="JK23" s="12"/>
      <c r="JL23" s="12"/>
      <c r="KC23" s="12"/>
      <c r="KD23" s="12"/>
      <c r="KU23" s="12"/>
      <c r="KV23" s="12"/>
      <c r="LM23" s="12"/>
      <c r="LN23" s="12"/>
      <c r="ME23" s="12"/>
      <c r="MF23" s="12"/>
      <c r="MW23" s="12"/>
      <c r="MX23" s="12"/>
      <c r="NO23" s="12"/>
      <c r="NP23" s="12"/>
      <c r="OG23" s="12"/>
      <c r="OH23" s="12"/>
      <c r="OY23" s="12"/>
      <c r="OZ23" s="12"/>
      <c r="PQ23" s="12"/>
      <c r="PR23" s="12"/>
      <c r="QI23" s="12"/>
      <c r="QJ23" s="12"/>
      <c r="RA23" s="12"/>
      <c r="RB23" s="12"/>
      <c r="RS23" s="12"/>
      <c r="RT23" s="12"/>
      <c r="SK23" s="12"/>
      <c r="SL23" s="12"/>
      <c r="TC23" s="12"/>
      <c r="TD23" s="12"/>
      <c r="TU23" s="12"/>
      <c r="TV23" s="12"/>
      <c r="UM23" s="12"/>
      <c r="UN23" s="12"/>
      <c r="VE23" s="12"/>
      <c r="VF23" s="12"/>
      <c r="VW23" s="12"/>
      <c r="VX23" s="12"/>
      <c r="WO23" s="12"/>
      <c r="WP23" s="12"/>
      <c r="XG23" s="12"/>
      <c r="XH23" s="12"/>
      <c r="XY23" s="12"/>
      <c r="XZ23" s="12"/>
      <c r="YQ23" s="12"/>
      <c r="YR23" s="12"/>
      <c r="ZI23" s="12"/>
      <c r="ZJ23" s="12"/>
      <c r="AAA23" s="12"/>
      <c r="AAB23" s="12"/>
      <c r="AAS23" s="12"/>
      <c r="AAT23" s="12"/>
      <c r="ABK23" s="12"/>
      <c r="ABL23" s="12"/>
      <c r="ACC23" s="12"/>
      <c r="ACD23" s="12"/>
      <c r="ACU23" s="12"/>
      <c r="ACV23" s="12"/>
      <c r="ADM23" s="12"/>
      <c r="ADN23" s="12"/>
      <c r="AEE23" s="12"/>
      <c r="AEF23" s="12"/>
      <c r="AEW23" s="12"/>
      <c r="AEX23" s="12"/>
      <c r="AFO23" s="12"/>
      <c r="AFP23" s="12"/>
      <c r="AGG23" s="12"/>
      <c r="AGH23" s="12"/>
      <c r="AGY23" s="12"/>
      <c r="AGZ23" s="12"/>
      <c r="AHQ23" s="12"/>
      <c r="AHR23" s="12"/>
      <c r="AII23" s="12"/>
      <c r="AIJ23" s="12"/>
      <c r="AJA23" s="12"/>
      <c r="AJB23" s="12"/>
      <c r="AJS23" s="12"/>
      <c r="AJT23" s="12"/>
      <c r="AKK23" s="12"/>
      <c r="AKL23" s="12"/>
      <c r="ALC23" s="12"/>
      <c r="ALD23" s="12"/>
      <c r="ALU23" s="12"/>
      <c r="ALV23" s="12"/>
      <c r="AMM23" s="12"/>
      <c r="AMN23" s="12"/>
      <c r="ANE23" s="12"/>
      <c r="ANF23" s="12"/>
      <c r="ANW23" s="12"/>
      <c r="ANX23" s="12"/>
      <c r="AOO23" s="12"/>
      <c r="AOP23" s="12"/>
      <c r="APG23" s="12"/>
      <c r="APH23" s="12"/>
      <c r="APY23" s="12"/>
      <c r="APZ23" s="12"/>
      <c r="AQQ23" s="12"/>
      <c r="AQR23" s="12"/>
      <c r="ARI23" s="12"/>
      <c r="ARJ23" s="12"/>
      <c r="ASA23" s="12"/>
      <c r="ASB23" s="12"/>
      <c r="ASS23" s="12"/>
      <c r="AST23" s="12"/>
      <c r="ATK23" s="12"/>
      <c r="ATL23" s="12"/>
      <c r="AUC23" s="12"/>
      <c r="AUD23" s="12"/>
      <c r="AUU23" s="12"/>
      <c r="AUV23" s="12"/>
      <c r="AVM23" s="12"/>
      <c r="AVN23" s="12"/>
      <c r="AWE23" s="12"/>
      <c r="AWF23" s="12"/>
      <c r="AWW23" s="12"/>
      <c r="AWX23" s="12"/>
      <c r="AXO23" s="12"/>
      <c r="AXP23" s="12"/>
      <c r="AYG23" s="12"/>
      <c r="AYH23" s="12"/>
      <c r="AYY23" s="12"/>
      <c r="AYZ23" s="12"/>
      <c r="AZQ23" s="12"/>
      <c r="AZR23" s="12"/>
      <c r="BAI23" s="12"/>
      <c r="BAJ23" s="12"/>
      <c r="BBA23" s="12"/>
      <c r="BBB23" s="12"/>
      <c r="BBS23" s="12"/>
      <c r="BBT23" s="12"/>
      <c r="BCK23" s="12"/>
      <c r="BCL23" s="12"/>
      <c r="BDC23" s="12"/>
      <c r="BDD23" s="12"/>
      <c r="BDU23" s="12"/>
      <c r="BDV23" s="12"/>
      <c r="BEM23" s="12"/>
      <c r="BEN23" s="12"/>
      <c r="BFE23" s="12"/>
      <c r="BFF23" s="12"/>
      <c r="BFW23" s="12"/>
      <c r="BFX23" s="12"/>
      <c r="BGO23" s="12"/>
      <c r="BGP23" s="12"/>
      <c r="BHG23" s="12"/>
      <c r="BHH23" s="12"/>
      <c r="BHY23" s="12"/>
      <c r="BHZ23" s="12"/>
      <c r="BIQ23" s="12"/>
      <c r="BIR23" s="12"/>
      <c r="BJI23" s="12"/>
      <c r="BJJ23" s="12"/>
      <c r="BKA23" s="12"/>
      <c r="BKB23" s="12"/>
      <c r="BKS23" s="12"/>
      <c r="BKT23" s="12"/>
      <c r="BLK23" s="12"/>
      <c r="BLL23" s="12"/>
      <c r="BMC23" s="12"/>
      <c r="BMD23" s="12"/>
      <c r="BMU23" s="12"/>
      <c r="BMV23" s="12"/>
      <c r="BNM23" s="12"/>
      <c r="BNN23" s="12"/>
      <c r="BOE23" s="12"/>
      <c r="BOF23" s="12"/>
      <c r="BOW23" s="12"/>
      <c r="BOX23" s="12"/>
      <c r="BPO23" s="12"/>
      <c r="BPP23" s="12"/>
      <c r="BQG23" s="12"/>
      <c r="BQH23" s="12"/>
      <c r="BQY23" s="12"/>
      <c r="BQZ23" s="12"/>
      <c r="BRQ23" s="12"/>
      <c r="BRR23" s="12"/>
      <c r="BSI23" s="12"/>
      <c r="BSJ23" s="12"/>
      <c r="BTA23" s="12"/>
      <c r="BTB23" s="12"/>
      <c r="BTS23" s="12"/>
      <c r="BTT23" s="12"/>
      <c r="BUK23" s="12"/>
      <c r="BUL23" s="12"/>
      <c r="BVC23" s="12"/>
      <c r="BVD23" s="12"/>
      <c r="BVU23" s="12"/>
      <c r="BVV23" s="12"/>
      <c r="BWM23" s="12"/>
      <c r="BWN23" s="12"/>
      <c r="BXE23" s="12"/>
      <c r="BXF23" s="12"/>
      <c r="BXW23" s="12"/>
      <c r="BXX23" s="12"/>
      <c r="BYO23" s="12"/>
      <c r="BYP23" s="12"/>
      <c r="BZG23" s="12"/>
      <c r="BZH23" s="12"/>
      <c r="BZY23" s="12"/>
      <c r="BZZ23" s="12"/>
      <c r="CAQ23" s="12"/>
      <c r="CAR23" s="12"/>
      <c r="CBI23" s="12"/>
      <c r="CBJ23" s="12"/>
      <c r="CCA23" s="12"/>
      <c r="CCB23" s="12"/>
      <c r="CCS23" s="12"/>
      <c r="CCT23" s="12"/>
      <c r="CDK23" s="12"/>
      <c r="CDL23" s="12"/>
      <c r="CEC23" s="12"/>
      <c r="CED23" s="12"/>
      <c r="CEU23" s="12"/>
      <c r="CEV23" s="12"/>
      <c r="CFM23" s="12"/>
      <c r="CFN23" s="12"/>
      <c r="CGE23" s="12"/>
      <c r="CGF23" s="12"/>
      <c r="CGW23" s="12"/>
      <c r="CGX23" s="12"/>
      <c r="CHO23" s="12"/>
      <c r="CHP23" s="12"/>
      <c r="CIG23" s="12"/>
      <c r="CIH23" s="12"/>
      <c r="CIY23" s="12"/>
      <c r="CIZ23" s="12"/>
      <c r="CJQ23" s="12"/>
      <c r="CJR23" s="12"/>
      <c r="CKI23" s="12"/>
      <c r="CKJ23" s="12"/>
      <c r="CLA23" s="12"/>
      <c r="CLB23" s="12"/>
      <c r="CLS23" s="12"/>
      <c r="CLT23" s="12"/>
      <c r="CMK23" s="12"/>
      <c r="CML23" s="12"/>
      <c r="CNC23" s="12"/>
      <c r="CND23" s="12"/>
      <c r="CNU23" s="12"/>
      <c r="CNV23" s="12"/>
      <c r="COM23" s="12"/>
      <c r="CON23" s="12"/>
      <c r="CPE23" s="12"/>
      <c r="CPF23" s="12"/>
      <c r="CPW23" s="12"/>
      <c r="CPX23" s="12"/>
      <c r="CQO23" s="12"/>
      <c r="CQP23" s="12"/>
      <c r="CRG23" s="12"/>
      <c r="CRH23" s="12"/>
      <c r="CRY23" s="12"/>
      <c r="CRZ23" s="12"/>
      <c r="CSQ23" s="12"/>
      <c r="CSR23" s="12"/>
      <c r="CTI23" s="12"/>
      <c r="CTJ23" s="12"/>
      <c r="CUA23" s="12"/>
      <c r="CUB23" s="12"/>
      <c r="CUS23" s="12"/>
      <c r="CUT23" s="12"/>
      <c r="CVK23" s="12"/>
      <c r="CVL23" s="12"/>
      <c r="CWC23" s="12"/>
      <c r="CWD23" s="12"/>
      <c r="CWU23" s="12"/>
      <c r="CWV23" s="12"/>
      <c r="CXM23" s="12"/>
      <c r="CXN23" s="12"/>
      <c r="CYE23" s="12"/>
      <c r="CYF23" s="12"/>
      <c r="CYW23" s="12"/>
      <c r="CYX23" s="12"/>
      <c r="CZO23" s="12"/>
      <c r="CZP23" s="12"/>
      <c r="DAG23" s="12"/>
      <c r="DAH23" s="12"/>
      <c r="DAY23" s="12"/>
      <c r="DAZ23" s="12"/>
      <c r="DBQ23" s="12"/>
      <c r="DBR23" s="12"/>
      <c r="DCI23" s="12"/>
      <c r="DCJ23" s="12"/>
      <c r="DDA23" s="12"/>
      <c r="DDB23" s="12"/>
      <c r="DDS23" s="12"/>
      <c r="DDT23" s="12"/>
      <c r="DEK23" s="12"/>
      <c r="DEL23" s="12"/>
      <c r="DFC23" s="12"/>
      <c r="DFD23" s="12"/>
      <c r="DFU23" s="12"/>
      <c r="DFV23" s="12"/>
      <c r="DGM23" s="12"/>
      <c r="DGN23" s="12"/>
      <c r="DHE23" s="12"/>
      <c r="DHF23" s="12"/>
      <c r="DHW23" s="12"/>
      <c r="DHX23" s="12"/>
      <c r="DIO23" s="12"/>
      <c r="DIP23" s="12"/>
      <c r="DJG23" s="12"/>
      <c r="DJH23" s="12"/>
      <c r="DJY23" s="12"/>
      <c r="DJZ23" s="12"/>
      <c r="DKQ23" s="12"/>
      <c r="DKR23" s="12"/>
      <c r="DLI23" s="12"/>
      <c r="DLJ23" s="12"/>
      <c r="DMA23" s="12"/>
      <c r="DMB23" s="12"/>
      <c r="DMS23" s="12"/>
      <c r="DMT23" s="12"/>
      <c r="DNK23" s="12"/>
      <c r="DNL23" s="12"/>
      <c r="DOC23" s="12"/>
      <c r="DOD23" s="12"/>
      <c r="DOU23" s="12"/>
      <c r="DOV23" s="12"/>
      <c r="DPM23" s="12"/>
      <c r="DPN23" s="12"/>
      <c r="DQE23" s="12"/>
      <c r="DQF23" s="12"/>
      <c r="DQW23" s="12"/>
      <c r="DQX23" s="12"/>
      <c r="DRO23" s="12"/>
      <c r="DRP23" s="12"/>
      <c r="DSG23" s="12"/>
      <c r="DSH23" s="12"/>
      <c r="DSY23" s="12"/>
      <c r="DSZ23" s="12"/>
      <c r="DTQ23" s="12"/>
      <c r="DTR23" s="12"/>
      <c r="DUI23" s="12"/>
      <c r="DUJ23" s="12"/>
      <c r="DVA23" s="12"/>
      <c r="DVB23" s="12"/>
      <c r="DVS23" s="12"/>
      <c r="DVT23" s="12"/>
      <c r="DWK23" s="12"/>
      <c r="DWL23" s="12"/>
      <c r="DXC23" s="12"/>
      <c r="DXD23" s="12"/>
      <c r="DXU23" s="12"/>
      <c r="DXV23" s="12"/>
      <c r="DYM23" s="12"/>
      <c r="DYN23" s="12"/>
      <c r="DZE23" s="12"/>
      <c r="DZF23" s="12"/>
      <c r="DZW23" s="12"/>
      <c r="DZX23" s="12"/>
      <c r="EAO23" s="12"/>
      <c r="EAP23" s="12"/>
      <c r="EBG23" s="12"/>
      <c r="EBH23" s="12"/>
      <c r="EBY23" s="12"/>
      <c r="EBZ23" s="12"/>
      <c r="ECQ23" s="12"/>
      <c r="ECR23" s="12"/>
      <c r="EDI23" s="12"/>
      <c r="EDJ23" s="12"/>
      <c r="EEA23" s="12"/>
      <c r="EEB23" s="12"/>
      <c r="EES23" s="12"/>
      <c r="EET23" s="12"/>
      <c r="EFK23" s="12"/>
      <c r="EFL23" s="12"/>
      <c r="EGC23" s="12"/>
      <c r="EGD23" s="12"/>
      <c r="EGU23" s="12"/>
      <c r="EGV23" s="12"/>
      <c r="EHM23" s="12"/>
      <c r="EHN23" s="12"/>
      <c r="EIE23" s="12"/>
      <c r="EIF23" s="12"/>
      <c r="EIW23" s="12"/>
      <c r="EIX23" s="12"/>
      <c r="EJO23" s="12"/>
      <c r="EJP23" s="12"/>
      <c r="EKG23" s="12"/>
      <c r="EKH23" s="12"/>
      <c r="EKY23" s="12"/>
      <c r="EKZ23" s="12"/>
      <c r="ELQ23" s="12"/>
      <c r="ELR23" s="12"/>
      <c r="EMI23" s="12"/>
      <c r="EMJ23" s="12"/>
      <c r="ENA23" s="12"/>
      <c r="ENB23" s="12"/>
      <c r="ENS23" s="12"/>
      <c r="ENT23" s="12"/>
      <c r="EOK23" s="12"/>
      <c r="EOL23" s="12"/>
      <c r="EPC23" s="12"/>
      <c r="EPD23" s="12"/>
      <c r="EPU23" s="12"/>
      <c r="EPV23" s="12"/>
      <c r="EQM23" s="12"/>
      <c r="EQN23" s="12"/>
      <c r="ERE23" s="12"/>
      <c r="ERF23" s="12"/>
      <c r="ERW23" s="12"/>
      <c r="ERX23" s="12"/>
      <c r="ESO23" s="12"/>
      <c r="ESP23" s="12"/>
      <c r="ETG23" s="12"/>
      <c r="ETH23" s="12"/>
      <c r="ETY23" s="12"/>
      <c r="ETZ23" s="12"/>
      <c r="EUQ23" s="12"/>
      <c r="EUR23" s="12"/>
      <c r="EVI23" s="12"/>
      <c r="EVJ23" s="12"/>
      <c r="EWA23" s="12"/>
      <c r="EWB23" s="12"/>
      <c r="EWS23" s="12"/>
      <c r="EWT23" s="12"/>
      <c r="EXK23" s="12"/>
      <c r="EXL23" s="12"/>
      <c r="EYC23" s="12"/>
      <c r="EYD23" s="12"/>
      <c r="EYU23" s="12"/>
      <c r="EYV23" s="12"/>
      <c r="EZM23" s="12"/>
      <c r="EZN23" s="12"/>
      <c r="FAE23" s="12"/>
      <c r="FAF23" s="12"/>
      <c r="FAW23" s="12"/>
      <c r="FAX23" s="12"/>
      <c r="FBO23" s="12"/>
      <c r="FBP23" s="12"/>
      <c r="FCG23" s="12"/>
      <c r="FCH23" s="12"/>
      <c r="FCY23" s="12"/>
      <c r="FCZ23" s="12"/>
      <c r="FDQ23" s="12"/>
      <c r="FDR23" s="12"/>
      <c r="FEI23" s="12"/>
      <c r="FEJ23" s="12"/>
      <c r="FFA23" s="12"/>
      <c r="FFB23" s="12"/>
      <c r="FFS23" s="12"/>
      <c r="FFT23" s="12"/>
      <c r="FGK23" s="12"/>
      <c r="FGL23" s="12"/>
      <c r="FHC23" s="12"/>
      <c r="FHD23" s="12"/>
      <c r="FHU23" s="12"/>
      <c r="FHV23" s="12"/>
      <c r="FIM23" s="12"/>
      <c r="FIN23" s="12"/>
      <c r="FJE23" s="12"/>
      <c r="FJF23" s="12"/>
      <c r="FJW23" s="12"/>
      <c r="FJX23" s="12"/>
      <c r="FKO23" s="12"/>
      <c r="FKP23" s="12"/>
      <c r="FLG23" s="12"/>
      <c r="FLH23" s="12"/>
      <c r="FLY23" s="12"/>
      <c r="FLZ23" s="12"/>
      <c r="FMQ23" s="12"/>
      <c r="FMR23" s="12"/>
      <c r="FNI23" s="12"/>
      <c r="FNJ23" s="12"/>
      <c r="FOA23" s="12"/>
      <c r="FOB23" s="12"/>
      <c r="FOS23" s="12"/>
      <c r="FOT23" s="12"/>
      <c r="FPK23" s="12"/>
      <c r="FPL23" s="12"/>
      <c r="FQC23" s="12"/>
      <c r="FQD23" s="12"/>
      <c r="FQU23" s="12"/>
      <c r="FQV23" s="12"/>
      <c r="FRM23" s="12"/>
      <c r="FRN23" s="12"/>
      <c r="FSE23" s="12"/>
      <c r="FSF23" s="12"/>
      <c r="FSW23" s="12"/>
      <c r="FSX23" s="12"/>
      <c r="FTO23" s="12"/>
      <c r="FTP23" s="12"/>
      <c r="FUG23" s="12"/>
      <c r="FUH23" s="12"/>
      <c r="FUY23" s="12"/>
      <c r="FUZ23" s="12"/>
      <c r="FVQ23" s="12"/>
      <c r="FVR23" s="12"/>
      <c r="FWI23" s="12"/>
      <c r="FWJ23" s="12"/>
      <c r="FXA23" s="12"/>
      <c r="FXB23" s="12"/>
      <c r="FXS23" s="12"/>
      <c r="FXT23" s="12"/>
      <c r="FYK23" s="12"/>
      <c r="FYL23" s="12"/>
      <c r="FZC23" s="12"/>
      <c r="FZD23" s="12"/>
      <c r="FZU23" s="12"/>
      <c r="FZV23" s="12"/>
      <c r="GAM23" s="12"/>
      <c r="GAN23" s="12"/>
      <c r="GBE23" s="12"/>
      <c r="GBF23" s="12"/>
      <c r="GBW23" s="12"/>
      <c r="GBX23" s="12"/>
      <c r="GCO23" s="12"/>
      <c r="GCP23" s="12"/>
      <c r="GDG23" s="12"/>
      <c r="GDH23" s="12"/>
      <c r="GDY23" s="12"/>
      <c r="GDZ23" s="12"/>
      <c r="GEQ23" s="12"/>
      <c r="GER23" s="12"/>
      <c r="GFI23" s="12"/>
      <c r="GFJ23" s="12"/>
      <c r="GGA23" s="12"/>
      <c r="GGB23" s="12"/>
      <c r="GGS23" s="12"/>
      <c r="GGT23" s="12"/>
      <c r="GHK23" s="12"/>
      <c r="GHL23" s="12"/>
      <c r="GIC23" s="12"/>
      <c r="GID23" s="12"/>
      <c r="GIU23" s="12"/>
      <c r="GIV23" s="12"/>
      <c r="GJM23" s="12"/>
      <c r="GJN23" s="12"/>
      <c r="GKE23" s="12"/>
      <c r="GKF23" s="12"/>
      <c r="GKW23" s="12"/>
      <c r="GKX23" s="12"/>
      <c r="GLO23" s="12"/>
      <c r="GLP23" s="12"/>
      <c r="GMG23" s="12"/>
      <c r="GMH23" s="12"/>
      <c r="GMY23" s="12"/>
      <c r="GMZ23" s="12"/>
      <c r="GNQ23" s="12"/>
      <c r="GNR23" s="12"/>
      <c r="GOI23" s="12"/>
      <c r="GOJ23" s="12"/>
      <c r="GPA23" s="12"/>
      <c r="GPB23" s="12"/>
      <c r="GPS23" s="12"/>
      <c r="GPT23" s="12"/>
      <c r="GQK23" s="12"/>
      <c r="GQL23" s="12"/>
      <c r="GRC23" s="12"/>
      <c r="GRD23" s="12"/>
      <c r="GRU23" s="12"/>
      <c r="GRV23" s="12"/>
      <c r="GSM23" s="12"/>
      <c r="GSN23" s="12"/>
      <c r="GTE23" s="12"/>
      <c r="GTF23" s="12"/>
      <c r="GTW23" s="12"/>
      <c r="GTX23" s="12"/>
      <c r="GUO23" s="12"/>
      <c r="GUP23" s="12"/>
      <c r="GVG23" s="12"/>
      <c r="GVH23" s="12"/>
      <c r="GVY23" s="12"/>
      <c r="GVZ23" s="12"/>
      <c r="GWQ23" s="12"/>
      <c r="GWR23" s="12"/>
      <c r="GXI23" s="12"/>
      <c r="GXJ23" s="12"/>
      <c r="GYA23" s="12"/>
      <c r="GYB23" s="12"/>
      <c r="GYS23" s="12"/>
      <c r="GYT23" s="12"/>
      <c r="GZK23" s="12"/>
      <c r="GZL23" s="12"/>
      <c r="HAC23" s="12"/>
      <c r="HAD23" s="12"/>
      <c r="HAU23" s="12"/>
      <c r="HAV23" s="12"/>
      <c r="HBM23" s="12"/>
      <c r="HBN23" s="12"/>
      <c r="HCE23" s="12"/>
      <c r="HCF23" s="12"/>
      <c r="HCW23" s="12"/>
      <c r="HCX23" s="12"/>
      <c r="HDO23" s="12"/>
      <c r="HDP23" s="12"/>
      <c r="HEG23" s="12"/>
      <c r="HEH23" s="12"/>
      <c r="HEY23" s="12"/>
      <c r="HEZ23" s="12"/>
      <c r="HFQ23" s="12"/>
      <c r="HFR23" s="12"/>
      <c r="HGI23" s="12"/>
      <c r="HGJ23" s="12"/>
      <c r="HHA23" s="12"/>
      <c r="HHB23" s="12"/>
      <c r="HHS23" s="12"/>
      <c r="HHT23" s="12"/>
      <c r="HIK23" s="12"/>
      <c r="HIL23" s="12"/>
      <c r="HJC23" s="12"/>
      <c r="HJD23" s="12"/>
      <c r="HJU23" s="12"/>
      <c r="HJV23" s="12"/>
      <c r="HKM23" s="12"/>
      <c r="HKN23" s="12"/>
      <c r="HLE23" s="12"/>
      <c r="HLF23" s="12"/>
      <c r="HLW23" s="12"/>
      <c r="HLX23" s="12"/>
      <c r="HMO23" s="12"/>
      <c r="HMP23" s="12"/>
      <c r="HNG23" s="12"/>
      <c r="HNH23" s="12"/>
      <c r="HNY23" s="12"/>
      <c r="HNZ23" s="12"/>
      <c r="HOQ23" s="12"/>
      <c r="HOR23" s="12"/>
      <c r="HPI23" s="12"/>
      <c r="HPJ23" s="12"/>
      <c r="HQA23" s="12"/>
      <c r="HQB23" s="12"/>
      <c r="HQS23" s="12"/>
      <c r="HQT23" s="12"/>
      <c r="HRK23" s="12"/>
      <c r="HRL23" s="12"/>
      <c r="HSC23" s="12"/>
      <c r="HSD23" s="12"/>
      <c r="HSU23" s="12"/>
      <c r="HSV23" s="12"/>
      <c r="HTM23" s="12"/>
      <c r="HTN23" s="12"/>
      <c r="HUE23" s="12"/>
      <c r="HUF23" s="12"/>
      <c r="HUW23" s="12"/>
      <c r="HUX23" s="12"/>
      <c r="HVO23" s="12"/>
      <c r="HVP23" s="12"/>
      <c r="HWG23" s="12"/>
      <c r="HWH23" s="12"/>
      <c r="HWY23" s="12"/>
      <c r="HWZ23" s="12"/>
      <c r="HXQ23" s="12"/>
      <c r="HXR23" s="12"/>
      <c r="HYI23" s="12"/>
      <c r="HYJ23" s="12"/>
      <c r="HZA23" s="12"/>
      <c r="HZB23" s="12"/>
      <c r="HZS23" s="12"/>
      <c r="HZT23" s="12"/>
      <c r="IAK23" s="12"/>
      <c r="IAL23" s="12"/>
      <c r="IBC23" s="12"/>
      <c r="IBD23" s="12"/>
      <c r="IBU23" s="12"/>
      <c r="IBV23" s="12"/>
      <c r="ICM23" s="12"/>
      <c r="ICN23" s="12"/>
      <c r="IDE23" s="12"/>
      <c r="IDF23" s="12"/>
      <c r="IDW23" s="12"/>
      <c r="IDX23" s="12"/>
      <c r="IEO23" s="12"/>
      <c r="IEP23" s="12"/>
      <c r="IFG23" s="12"/>
      <c r="IFH23" s="12"/>
      <c r="IFY23" s="12"/>
      <c r="IFZ23" s="12"/>
      <c r="IGQ23" s="12"/>
      <c r="IGR23" s="12"/>
      <c r="IHI23" s="12"/>
      <c r="IHJ23" s="12"/>
      <c r="IIA23" s="12"/>
      <c r="IIB23" s="12"/>
      <c r="IIS23" s="12"/>
      <c r="IIT23" s="12"/>
      <c r="IJK23" s="12"/>
      <c r="IJL23" s="12"/>
      <c r="IKC23" s="12"/>
      <c r="IKD23" s="12"/>
      <c r="IKU23" s="12"/>
      <c r="IKV23" s="12"/>
      <c r="ILM23" s="12"/>
      <c r="ILN23" s="12"/>
      <c r="IME23" s="12"/>
      <c r="IMF23" s="12"/>
      <c r="IMW23" s="12"/>
      <c r="IMX23" s="12"/>
      <c r="INO23" s="12"/>
      <c r="INP23" s="12"/>
      <c r="IOG23" s="12"/>
      <c r="IOH23" s="12"/>
      <c r="IOY23" s="12"/>
      <c r="IOZ23" s="12"/>
      <c r="IPQ23" s="12"/>
      <c r="IPR23" s="12"/>
      <c r="IQI23" s="12"/>
      <c r="IQJ23" s="12"/>
      <c r="IRA23" s="12"/>
      <c r="IRB23" s="12"/>
      <c r="IRS23" s="12"/>
      <c r="IRT23" s="12"/>
      <c r="ISK23" s="12"/>
      <c r="ISL23" s="12"/>
      <c r="ITC23" s="12"/>
      <c r="ITD23" s="12"/>
      <c r="ITU23" s="12"/>
      <c r="ITV23" s="12"/>
      <c r="IUM23" s="12"/>
      <c r="IUN23" s="12"/>
      <c r="IVE23" s="12"/>
      <c r="IVF23" s="12"/>
      <c r="IVW23" s="12"/>
      <c r="IVX23" s="12"/>
      <c r="IWO23" s="12"/>
      <c r="IWP23" s="12"/>
      <c r="IXG23" s="12"/>
      <c r="IXH23" s="12"/>
      <c r="IXY23" s="12"/>
      <c r="IXZ23" s="12"/>
      <c r="IYQ23" s="12"/>
      <c r="IYR23" s="12"/>
      <c r="IZI23" s="12"/>
      <c r="IZJ23" s="12"/>
      <c r="JAA23" s="12"/>
      <c r="JAB23" s="12"/>
      <c r="JAS23" s="12"/>
      <c r="JAT23" s="12"/>
      <c r="JBK23" s="12"/>
      <c r="JBL23" s="12"/>
      <c r="JCC23" s="12"/>
      <c r="JCD23" s="12"/>
      <c r="JCU23" s="12"/>
      <c r="JCV23" s="12"/>
      <c r="JDM23" s="12"/>
      <c r="JDN23" s="12"/>
      <c r="JEE23" s="12"/>
      <c r="JEF23" s="12"/>
      <c r="JEW23" s="12"/>
      <c r="JEX23" s="12"/>
      <c r="JFO23" s="12"/>
      <c r="JFP23" s="12"/>
      <c r="JGG23" s="12"/>
      <c r="JGH23" s="12"/>
      <c r="JGY23" s="12"/>
      <c r="JGZ23" s="12"/>
      <c r="JHQ23" s="12"/>
      <c r="JHR23" s="12"/>
      <c r="JII23" s="12"/>
      <c r="JIJ23" s="12"/>
      <c r="JJA23" s="12"/>
      <c r="JJB23" s="12"/>
      <c r="JJS23" s="12"/>
      <c r="JJT23" s="12"/>
      <c r="JKK23" s="12"/>
      <c r="JKL23" s="12"/>
      <c r="JLC23" s="12"/>
      <c r="JLD23" s="12"/>
      <c r="JLU23" s="12"/>
      <c r="JLV23" s="12"/>
      <c r="JMM23" s="12"/>
      <c r="JMN23" s="12"/>
      <c r="JNE23" s="12"/>
      <c r="JNF23" s="12"/>
      <c r="JNW23" s="12"/>
      <c r="JNX23" s="12"/>
      <c r="JOO23" s="12"/>
      <c r="JOP23" s="12"/>
      <c r="JPG23" s="12"/>
      <c r="JPH23" s="12"/>
      <c r="JPY23" s="12"/>
      <c r="JPZ23" s="12"/>
      <c r="JQQ23" s="12"/>
      <c r="JQR23" s="12"/>
      <c r="JRI23" s="12"/>
      <c r="JRJ23" s="12"/>
      <c r="JSA23" s="12"/>
      <c r="JSB23" s="12"/>
      <c r="JSS23" s="12"/>
      <c r="JST23" s="12"/>
      <c r="JTK23" s="12"/>
      <c r="JTL23" s="12"/>
      <c r="JUC23" s="12"/>
      <c r="JUD23" s="12"/>
      <c r="JUU23" s="12"/>
      <c r="JUV23" s="12"/>
      <c r="JVM23" s="12"/>
      <c r="JVN23" s="12"/>
      <c r="JWE23" s="12"/>
      <c r="JWF23" s="12"/>
      <c r="JWW23" s="12"/>
      <c r="JWX23" s="12"/>
      <c r="JXO23" s="12"/>
      <c r="JXP23" s="12"/>
      <c r="JYG23" s="12"/>
      <c r="JYH23" s="12"/>
      <c r="JYY23" s="12"/>
      <c r="JYZ23" s="12"/>
      <c r="JZQ23" s="12"/>
      <c r="JZR23" s="12"/>
      <c r="KAI23" s="12"/>
      <c r="KAJ23" s="12"/>
      <c r="KBA23" s="12"/>
      <c r="KBB23" s="12"/>
      <c r="KBS23" s="12"/>
      <c r="KBT23" s="12"/>
      <c r="KCK23" s="12"/>
      <c r="KCL23" s="12"/>
      <c r="KDC23" s="12"/>
      <c r="KDD23" s="12"/>
      <c r="KDU23" s="12"/>
      <c r="KDV23" s="12"/>
      <c r="KEM23" s="12"/>
      <c r="KEN23" s="12"/>
      <c r="KFE23" s="12"/>
      <c r="KFF23" s="12"/>
      <c r="KFW23" s="12"/>
      <c r="KFX23" s="12"/>
      <c r="KGO23" s="12"/>
      <c r="KGP23" s="12"/>
      <c r="KHG23" s="12"/>
      <c r="KHH23" s="12"/>
      <c r="KHY23" s="12"/>
      <c r="KHZ23" s="12"/>
      <c r="KIQ23" s="12"/>
      <c r="KIR23" s="12"/>
      <c r="KJI23" s="12"/>
      <c r="KJJ23" s="12"/>
      <c r="KKA23" s="12"/>
      <c r="KKB23" s="12"/>
      <c r="KKS23" s="12"/>
      <c r="KKT23" s="12"/>
      <c r="KLK23" s="12"/>
      <c r="KLL23" s="12"/>
      <c r="KMC23" s="12"/>
      <c r="KMD23" s="12"/>
      <c r="KMU23" s="12"/>
      <c r="KMV23" s="12"/>
      <c r="KNM23" s="12"/>
      <c r="KNN23" s="12"/>
      <c r="KOE23" s="12"/>
      <c r="KOF23" s="12"/>
      <c r="KOW23" s="12"/>
      <c r="KOX23" s="12"/>
      <c r="KPO23" s="12"/>
      <c r="KPP23" s="12"/>
      <c r="KQG23" s="12"/>
      <c r="KQH23" s="12"/>
      <c r="KQY23" s="12"/>
      <c r="KQZ23" s="12"/>
      <c r="KRQ23" s="12"/>
      <c r="KRR23" s="12"/>
      <c r="KSI23" s="12"/>
      <c r="KSJ23" s="12"/>
      <c r="KTA23" s="12"/>
      <c r="KTB23" s="12"/>
      <c r="KTS23" s="12"/>
      <c r="KTT23" s="12"/>
      <c r="KUK23" s="12"/>
      <c r="KUL23" s="12"/>
      <c r="KVC23" s="12"/>
      <c r="KVD23" s="12"/>
      <c r="KVU23" s="12"/>
      <c r="KVV23" s="12"/>
      <c r="KWM23" s="12"/>
      <c r="KWN23" s="12"/>
      <c r="KXE23" s="12"/>
      <c r="KXF23" s="12"/>
      <c r="KXW23" s="12"/>
      <c r="KXX23" s="12"/>
      <c r="KYO23" s="12"/>
      <c r="KYP23" s="12"/>
      <c r="KZG23" s="12"/>
      <c r="KZH23" s="12"/>
      <c r="KZY23" s="12"/>
      <c r="KZZ23" s="12"/>
      <c r="LAQ23" s="12"/>
      <c r="LAR23" s="12"/>
      <c r="LBI23" s="12"/>
      <c r="LBJ23" s="12"/>
      <c r="LCA23" s="12"/>
      <c r="LCB23" s="12"/>
      <c r="LCS23" s="12"/>
      <c r="LCT23" s="12"/>
      <c r="LDK23" s="12"/>
      <c r="LDL23" s="12"/>
      <c r="LEC23" s="12"/>
      <c r="LED23" s="12"/>
      <c r="LEU23" s="12"/>
      <c r="LEV23" s="12"/>
      <c r="LFM23" s="12"/>
      <c r="LFN23" s="12"/>
      <c r="LGE23" s="12"/>
      <c r="LGF23" s="12"/>
      <c r="LGW23" s="12"/>
      <c r="LGX23" s="12"/>
      <c r="LHO23" s="12"/>
      <c r="LHP23" s="12"/>
      <c r="LIG23" s="12"/>
      <c r="LIH23" s="12"/>
      <c r="LIY23" s="12"/>
      <c r="LIZ23" s="12"/>
      <c r="LJQ23" s="12"/>
      <c r="LJR23" s="12"/>
      <c r="LKI23" s="12"/>
      <c r="LKJ23" s="12"/>
      <c r="LLA23" s="12"/>
      <c r="LLB23" s="12"/>
      <c r="LLS23" s="12"/>
      <c r="LLT23" s="12"/>
      <c r="LMK23" s="12"/>
      <c r="LML23" s="12"/>
      <c r="LNC23" s="12"/>
      <c r="LND23" s="12"/>
      <c r="LNU23" s="12"/>
      <c r="LNV23" s="12"/>
      <c r="LOM23" s="12"/>
      <c r="LON23" s="12"/>
      <c r="LPE23" s="12"/>
      <c r="LPF23" s="12"/>
      <c r="LPW23" s="12"/>
      <c r="LPX23" s="12"/>
      <c r="LQO23" s="12"/>
      <c r="LQP23" s="12"/>
      <c r="LRG23" s="12"/>
      <c r="LRH23" s="12"/>
      <c r="LRY23" s="12"/>
      <c r="LRZ23" s="12"/>
      <c r="LSQ23" s="12"/>
      <c r="LSR23" s="12"/>
      <c r="LTI23" s="12"/>
      <c r="LTJ23" s="12"/>
      <c r="LUA23" s="12"/>
      <c r="LUB23" s="12"/>
      <c r="LUS23" s="12"/>
      <c r="LUT23" s="12"/>
      <c r="LVK23" s="12"/>
      <c r="LVL23" s="12"/>
      <c r="LWC23" s="12"/>
      <c r="LWD23" s="12"/>
      <c r="LWU23" s="12"/>
      <c r="LWV23" s="12"/>
      <c r="LXM23" s="12"/>
      <c r="LXN23" s="12"/>
      <c r="LYE23" s="12"/>
      <c r="LYF23" s="12"/>
      <c r="LYW23" s="12"/>
      <c r="LYX23" s="12"/>
      <c r="LZO23" s="12"/>
      <c r="LZP23" s="12"/>
      <c r="MAG23" s="12"/>
      <c r="MAH23" s="12"/>
      <c r="MAY23" s="12"/>
      <c r="MAZ23" s="12"/>
      <c r="MBQ23" s="12"/>
      <c r="MBR23" s="12"/>
      <c r="MCI23" s="12"/>
      <c r="MCJ23" s="12"/>
      <c r="MDA23" s="12"/>
      <c r="MDB23" s="12"/>
      <c r="MDS23" s="12"/>
      <c r="MDT23" s="12"/>
      <c r="MEK23" s="12"/>
      <c r="MEL23" s="12"/>
      <c r="MFC23" s="12"/>
      <c r="MFD23" s="12"/>
      <c r="MFU23" s="12"/>
      <c r="MFV23" s="12"/>
      <c r="MGM23" s="12"/>
      <c r="MGN23" s="12"/>
      <c r="MHE23" s="12"/>
      <c r="MHF23" s="12"/>
      <c r="MHW23" s="12"/>
      <c r="MHX23" s="12"/>
      <c r="MIO23" s="12"/>
      <c r="MIP23" s="12"/>
      <c r="MJG23" s="12"/>
      <c r="MJH23" s="12"/>
      <c r="MJY23" s="12"/>
      <c r="MJZ23" s="12"/>
      <c r="MKQ23" s="12"/>
      <c r="MKR23" s="12"/>
      <c r="MLI23" s="12"/>
      <c r="MLJ23" s="12"/>
      <c r="MMA23" s="12"/>
      <c r="MMB23" s="12"/>
      <c r="MMS23" s="12"/>
      <c r="MMT23" s="12"/>
      <c r="MNK23" s="12"/>
      <c r="MNL23" s="12"/>
      <c r="MOC23" s="12"/>
      <c r="MOD23" s="12"/>
      <c r="MOU23" s="12"/>
      <c r="MOV23" s="12"/>
      <c r="MPM23" s="12"/>
      <c r="MPN23" s="12"/>
      <c r="MQE23" s="12"/>
      <c r="MQF23" s="12"/>
      <c r="MQW23" s="12"/>
      <c r="MQX23" s="12"/>
      <c r="MRO23" s="12"/>
      <c r="MRP23" s="12"/>
      <c r="MSG23" s="12"/>
      <c r="MSH23" s="12"/>
      <c r="MSY23" s="12"/>
      <c r="MSZ23" s="12"/>
      <c r="MTQ23" s="12"/>
      <c r="MTR23" s="12"/>
      <c r="MUI23" s="12"/>
      <c r="MUJ23" s="12"/>
      <c r="MVA23" s="12"/>
      <c r="MVB23" s="12"/>
      <c r="MVS23" s="12"/>
      <c r="MVT23" s="12"/>
      <c r="MWK23" s="12"/>
      <c r="MWL23" s="12"/>
      <c r="MXC23" s="12"/>
      <c r="MXD23" s="12"/>
      <c r="MXU23" s="12"/>
      <c r="MXV23" s="12"/>
      <c r="MYM23" s="12"/>
      <c r="MYN23" s="12"/>
      <c r="MZE23" s="12"/>
      <c r="MZF23" s="12"/>
      <c r="MZW23" s="12"/>
      <c r="MZX23" s="12"/>
      <c r="NAO23" s="12"/>
      <c r="NAP23" s="12"/>
      <c r="NBG23" s="12"/>
      <c r="NBH23" s="12"/>
      <c r="NBY23" s="12"/>
      <c r="NBZ23" s="12"/>
      <c r="NCQ23" s="12"/>
      <c r="NCR23" s="12"/>
      <c r="NDI23" s="12"/>
      <c r="NDJ23" s="12"/>
      <c r="NEA23" s="12"/>
      <c r="NEB23" s="12"/>
      <c r="NES23" s="12"/>
      <c r="NET23" s="12"/>
      <c r="NFK23" s="12"/>
      <c r="NFL23" s="12"/>
      <c r="NGC23" s="12"/>
      <c r="NGD23" s="12"/>
      <c r="NGU23" s="12"/>
      <c r="NGV23" s="12"/>
      <c r="NHM23" s="12"/>
      <c r="NHN23" s="12"/>
      <c r="NIE23" s="12"/>
      <c r="NIF23" s="12"/>
      <c r="NIW23" s="12"/>
      <c r="NIX23" s="12"/>
      <c r="NJO23" s="12"/>
      <c r="NJP23" s="12"/>
      <c r="NKG23" s="12"/>
      <c r="NKH23" s="12"/>
      <c r="NKY23" s="12"/>
      <c r="NKZ23" s="12"/>
      <c r="NLQ23" s="12"/>
      <c r="NLR23" s="12"/>
      <c r="NMI23" s="12"/>
      <c r="NMJ23" s="12"/>
      <c r="NNA23" s="12"/>
      <c r="NNB23" s="12"/>
      <c r="NNS23" s="12"/>
      <c r="NNT23" s="12"/>
      <c r="NOK23" s="12"/>
      <c r="NOL23" s="12"/>
      <c r="NPC23" s="12"/>
      <c r="NPD23" s="12"/>
      <c r="NPU23" s="12"/>
      <c r="NPV23" s="12"/>
      <c r="NQM23" s="12"/>
      <c r="NQN23" s="12"/>
      <c r="NRE23" s="12"/>
      <c r="NRF23" s="12"/>
      <c r="NRW23" s="12"/>
      <c r="NRX23" s="12"/>
      <c r="NSO23" s="12"/>
      <c r="NSP23" s="12"/>
      <c r="NTG23" s="12"/>
      <c r="NTH23" s="12"/>
      <c r="NTY23" s="12"/>
      <c r="NTZ23" s="12"/>
      <c r="NUQ23" s="12"/>
      <c r="NUR23" s="12"/>
      <c r="NVI23" s="12"/>
      <c r="NVJ23" s="12"/>
      <c r="NWA23" s="12"/>
      <c r="NWB23" s="12"/>
      <c r="NWS23" s="12"/>
      <c r="NWT23" s="12"/>
      <c r="NXK23" s="12"/>
      <c r="NXL23" s="12"/>
      <c r="NYC23" s="12"/>
      <c r="NYD23" s="12"/>
      <c r="NYU23" s="12"/>
      <c r="NYV23" s="12"/>
      <c r="NZM23" s="12"/>
      <c r="NZN23" s="12"/>
      <c r="OAE23" s="12"/>
      <c r="OAF23" s="12"/>
      <c r="OAW23" s="12"/>
      <c r="OAX23" s="12"/>
      <c r="OBO23" s="12"/>
      <c r="OBP23" s="12"/>
      <c r="OCG23" s="12"/>
      <c r="OCH23" s="12"/>
      <c r="OCY23" s="12"/>
      <c r="OCZ23" s="12"/>
      <c r="ODQ23" s="12"/>
      <c r="ODR23" s="12"/>
      <c r="OEI23" s="12"/>
      <c r="OEJ23" s="12"/>
      <c r="OFA23" s="12"/>
      <c r="OFB23" s="12"/>
      <c r="OFS23" s="12"/>
      <c r="OFT23" s="12"/>
      <c r="OGK23" s="12"/>
      <c r="OGL23" s="12"/>
      <c r="OHC23" s="12"/>
      <c r="OHD23" s="12"/>
      <c r="OHU23" s="12"/>
      <c r="OHV23" s="12"/>
      <c r="OIM23" s="12"/>
      <c r="OIN23" s="12"/>
      <c r="OJE23" s="12"/>
      <c r="OJF23" s="12"/>
      <c r="OJW23" s="12"/>
      <c r="OJX23" s="12"/>
      <c r="OKO23" s="12"/>
      <c r="OKP23" s="12"/>
      <c r="OLG23" s="12"/>
      <c r="OLH23" s="12"/>
      <c r="OLY23" s="12"/>
      <c r="OLZ23" s="12"/>
      <c r="OMQ23" s="12"/>
      <c r="OMR23" s="12"/>
      <c r="ONI23" s="12"/>
      <c r="ONJ23" s="12"/>
      <c r="OOA23" s="12"/>
      <c r="OOB23" s="12"/>
      <c r="OOS23" s="12"/>
      <c r="OOT23" s="12"/>
      <c r="OPK23" s="12"/>
      <c r="OPL23" s="12"/>
      <c r="OQC23" s="12"/>
      <c r="OQD23" s="12"/>
      <c r="OQU23" s="12"/>
      <c r="OQV23" s="12"/>
      <c r="ORM23" s="12"/>
      <c r="ORN23" s="12"/>
      <c r="OSE23" s="12"/>
      <c r="OSF23" s="12"/>
      <c r="OSW23" s="12"/>
      <c r="OSX23" s="12"/>
      <c r="OTO23" s="12"/>
      <c r="OTP23" s="12"/>
      <c r="OUG23" s="12"/>
      <c r="OUH23" s="12"/>
      <c r="OUY23" s="12"/>
      <c r="OUZ23" s="12"/>
      <c r="OVQ23" s="12"/>
      <c r="OVR23" s="12"/>
      <c r="OWI23" s="12"/>
      <c r="OWJ23" s="12"/>
      <c r="OXA23" s="12"/>
      <c r="OXB23" s="12"/>
      <c r="OXS23" s="12"/>
      <c r="OXT23" s="12"/>
      <c r="OYK23" s="12"/>
      <c r="OYL23" s="12"/>
      <c r="OZC23" s="12"/>
      <c r="OZD23" s="12"/>
      <c r="OZU23" s="12"/>
      <c r="OZV23" s="12"/>
      <c r="PAM23" s="12"/>
      <c r="PAN23" s="12"/>
      <c r="PBE23" s="12"/>
      <c r="PBF23" s="12"/>
      <c r="PBW23" s="12"/>
      <c r="PBX23" s="12"/>
      <c r="PCO23" s="12"/>
      <c r="PCP23" s="12"/>
      <c r="PDG23" s="12"/>
      <c r="PDH23" s="12"/>
      <c r="PDY23" s="12"/>
      <c r="PDZ23" s="12"/>
      <c r="PEQ23" s="12"/>
      <c r="PER23" s="12"/>
      <c r="PFI23" s="12"/>
      <c r="PFJ23" s="12"/>
      <c r="PGA23" s="12"/>
      <c r="PGB23" s="12"/>
      <c r="PGS23" s="12"/>
      <c r="PGT23" s="12"/>
      <c r="PHK23" s="12"/>
      <c r="PHL23" s="12"/>
      <c r="PIC23" s="12"/>
      <c r="PID23" s="12"/>
      <c r="PIU23" s="12"/>
      <c r="PIV23" s="12"/>
      <c r="PJM23" s="12"/>
      <c r="PJN23" s="12"/>
      <c r="PKE23" s="12"/>
      <c r="PKF23" s="12"/>
      <c r="PKW23" s="12"/>
      <c r="PKX23" s="12"/>
      <c r="PLO23" s="12"/>
      <c r="PLP23" s="12"/>
      <c r="PMG23" s="12"/>
      <c r="PMH23" s="12"/>
      <c r="PMY23" s="12"/>
      <c r="PMZ23" s="12"/>
      <c r="PNQ23" s="12"/>
      <c r="PNR23" s="12"/>
      <c r="POI23" s="12"/>
      <c r="POJ23" s="12"/>
      <c r="PPA23" s="12"/>
      <c r="PPB23" s="12"/>
      <c r="PPS23" s="12"/>
      <c r="PPT23" s="12"/>
      <c r="PQK23" s="12"/>
      <c r="PQL23" s="12"/>
      <c r="PRC23" s="12"/>
      <c r="PRD23" s="12"/>
      <c r="PRU23" s="12"/>
      <c r="PRV23" s="12"/>
      <c r="PSM23" s="12"/>
      <c r="PSN23" s="12"/>
      <c r="PTE23" s="12"/>
      <c r="PTF23" s="12"/>
      <c r="PTW23" s="12"/>
      <c r="PTX23" s="12"/>
      <c r="PUO23" s="12"/>
      <c r="PUP23" s="12"/>
      <c r="PVG23" s="12"/>
      <c r="PVH23" s="12"/>
      <c r="PVY23" s="12"/>
      <c r="PVZ23" s="12"/>
      <c r="PWQ23" s="12"/>
      <c r="PWR23" s="12"/>
      <c r="PXI23" s="12"/>
      <c r="PXJ23" s="12"/>
      <c r="PYA23" s="12"/>
      <c r="PYB23" s="12"/>
      <c r="PYS23" s="12"/>
      <c r="PYT23" s="12"/>
      <c r="PZK23" s="12"/>
      <c r="PZL23" s="12"/>
      <c r="QAC23" s="12"/>
      <c r="QAD23" s="12"/>
      <c r="QAU23" s="12"/>
      <c r="QAV23" s="12"/>
      <c r="QBM23" s="12"/>
      <c r="QBN23" s="12"/>
      <c r="QCE23" s="12"/>
      <c r="QCF23" s="12"/>
      <c r="QCW23" s="12"/>
      <c r="QCX23" s="12"/>
      <c r="QDO23" s="12"/>
      <c r="QDP23" s="12"/>
      <c r="QEG23" s="12"/>
      <c r="QEH23" s="12"/>
      <c r="QEY23" s="12"/>
      <c r="QEZ23" s="12"/>
      <c r="QFQ23" s="12"/>
      <c r="QFR23" s="12"/>
      <c r="QGI23" s="12"/>
      <c r="QGJ23" s="12"/>
      <c r="QHA23" s="12"/>
      <c r="QHB23" s="12"/>
      <c r="QHS23" s="12"/>
      <c r="QHT23" s="12"/>
      <c r="QIK23" s="12"/>
      <c r="QIL23" s="12"/>
      <c r="QJC23" s="12"/>
      <c r="QJD23" s="12"/>
      <c r="QJU23" s="12"/>
      <c r="QJV23" s="12"/>
      <c r="QKM23" s="12"/>
      <c r="QKN23" s="12"/>
      <c r="QLE23" s="12"/>
      <c r="QLF23" s="12"/>
      <c r="QLW23" s="12"/>
      <c r="QLX23" s="12"/>
      <c r="QMO23" s="12"/>
      <c r="QMP23" s="12"/>
      <c r="QNG23" s="12"/>
      <c r="QNH23" s="12"/>
      <c r="QNY23" s="12"/>
      <c r="QNZ23" s="12"/>
      <c r="QOQ23" s="12"/>
      <c r="QOR23" s="12"/>
      <c r="QPI23" s="12"/>
      <c r="QPJ23" s="12"/>
      <c r="QQA23" s="12"/>
      <c r="QQB23" s="12"/>
      <c r="QQS23" s="12"/>
      <c r="QQT23" s="12"/>
      <c r="QRK23" s="12"/>
      <c r="QRL23" s="12"/>
      <c r="QSC23" s="12"/>
      <c r="QSD23" s="12"/>
      <c r="QSU23" s="12"/>
      <c r="QSV23" s="12"/>
      <c r="QTM23" s="12"/>
      <c r="QTN23" s="12"/>
      <c r="QUE23" s="12"/>
      <c r="QUF23" s="12"/>
      <c r="QUW23" s="12"/>
      <c r="QUX23" s="12"/>
      <c r="QVO23" s="12"/>
      <c r="QVP23" s="12"/>
      <c r="QWG23" s="12"/>
      <c r="QWH23" s="12"/>
      <c r="QWY23" s="12"/>
      <c r="QWZ23" s="12"/>
      <c r="QXQ23" s="12"/>
      <c r="QXR23" s="12"/>
      <c r="QYI23" s="12"/>
      <c r="QYJ23" s="12"/>
      <c r="QZA23" s="12"/>
      <c r="QZB23" s="12"/>
      <c r="QZS23" s="12"/>
      <c r="QZT23" s="12"/>
      <c r="RAK23" s="12"/>
      <c r="RAL23" s="12"/>
      <c r="RBC23" s="12"/>
      <c r="RBD23" s="12"/>
      <c r="RBU23" s="12"/>
      <c r="RBV23" s="12"/>
      <c r="RCM23" s="12"/>
      <c r="RCN23" s="12"/>
      <c r="RDE23" s="12"/>
      <c r="RDF23" s="12"/>
      <c r="RDW23" s="12"/>
      <c r="RDX23" s="12"/>
      <c r="REO23" s="12"/>
      <c r="REP23" s="12"/>
      <c r="RFG23" s="12"/>
      <c r="RFH23" s="12"/>
      <c r="RFY23" s="12"/>
      <c r="RFZ23" s="12"/>
      <c r="RGQ23" s="12"/>
      <c r="RGR23" s="12"/>
      <c r="RHI23" s="12"/>
      <c r="RHJ23" s="12"/>
      <c r="RIA23" s="12"/>
      <c r="RIB23" s="12"/>
      <c r="RIS23" s="12"/>
      <c r="RIT23" s="12"/>
      <c r="RJK23" s="12"/>
      <c r="RJL23" s="12"/>
      <c r="RKC23" s="12"/>
      <c r="RKD23" s="12"/>
      <c r="RKU23" s="12"/>
      <c r="RKV23" s="12"/>
      <c r="RLM23" s="12"/>
      <c r="RLN23" s="12"/>
      <c r="RME23" s="12"/>
      <c r="RMF23" s="12"/>
      <c r="RMW23" s="12"/>
      <c r="RMX23" s="12"/>
      <c r="RNO23" s="12"/>
      <c r="RNP23" s="12"/>
      <c r="ROG23" s="12"/>
      <c r="ROH23" s="12"/>
      <c r="ROY23" s="12"/>
      <c r="ROZ23" s="12"/>
      <c r="RPQ23" s="12"/>
      <c r="RPR23" s="12"/>
      <c r="RQI23" s="12"/>
      <c r="RQJ23" s="12"/>
      <c r="RRA23" s="12"/>
      <c r="RRB23" s="12"/>
      <c r="RRS23" s="12"/>
      <c r="RRT23" s="12"/>
      <c r="RSK23" s="12"/>
      <c r="RSL23" s="12"/>
      <c r="RTC23" s="12"/>
      <c r="RTD23" s="12"/>
      <c r="RTU23" s="12"/>
      <c r="RTV23" s="12"/>
      <c r="RUM23" s="12"/>
      <c r="RUN23" s="12"/>
      <c r="RVE23" s="12"/>
      <c r="RVF23" s="12"/>
      <c r="RVW23" s="12"/>
      <c r="RVX23" s="12"/>
      <c r="RWO23" s="12"/>
      <c r="RWP23" s="12"/>
      <c r="RXG23" s="12"/>
      <c r="RXH23" s="12"/>
      <c r="RXY23" s="12"/>
      <c r="RXZ23" s="12"/>
      <c r="RYQ23" s="12"/>
      <c r="RYR23" s="12"/>
      <c r="RZI23" s="12"/>
      <c r="RZJ23" s="12"/>
      <c r="SAA23" s="12"/>
      <c r="SAB23" s="12"/>
      <c r="SAS23" s="12"/>
      <c r="SAT23" s="12"/>
      <c r="SBK23" s="12"/>
      <c r="SBL23" s="12"/>
      <c r="SCC23" s="12"/>
      <c r="SCD23" s="12"/>
      <c r="SCU23" s="12"/>
      <c r="SCV23" s="12"/>
      <c r="SDM23" s="12"/>
      <c r="SDN23" s="12"/>
      <c r="SEE23" s="12"/>
      <c r="SEF23" s="12"/>
      <c r="SEW23" s="12"/>
      <c r="SEX23" s="12"/>
      <c r="SFO23" s="12"/>
      <c r="SFP23" s="12"/>
      <c r="SGG23" s="12"/>
      <c r="SGH23" s="12"/>
      <c r="SGY23" s="12"/>
      <c r="SGZ23" s="12"/>
      <c r="SHQ23" s="12"/>
      <c r="SHR23" s="12"/>
      <c r="SII23" s="12"/>
      <c r="SIJ23" s="12"/>
      <c r="SJA23" s="12"/>
      <c r="SJB23" s="12"/>
      <c r="SJS23" s="12"/>
      <c r="SJT23" s="12"/>
      <c r="SKK23" s="12"/>
      <c r="SKL23" s="12"/>
      <c r="SLC23" s="12"/>
      <c r="SLD23" s="12"/>
      <c r="SLU23" s="12"/>
      <c r="SLV23" s="12"/>
      <c r="SMM23" s="12"/>
      <c r="SMN23" s="12"/>
      <c r="SNE23" s="12"/>
      <c r="SNF23" s="12"/>
      <c r="SNW23" s="12"/>
      <c r="SNX23" s="12"/>
      <c r="SOO23" s="12"/>
      <c r="SOP23" s="12"/>
      <c r="SPG23" s="12"/>
      <c r="SPH23" s="12"/>
      <c r="SPY23" s="12"/>
      <c r="SPZ23" s="12"/>
      <c r="SQQ23" s="12"/>
      <c r="SQR23" s="12"/>
      <c r="SRI23" s="12"/>
      <c r="SRJ23" s="12"/>
      <c r="SSA23" s="12"/>
      <c r="SSB23" s="12"/>
      <c r="SSS23" s="12"/>
      <c r="SST23" s="12"/>
      <c r="STK23" s="12"/>
      <c r="STL23" s="12"/>
      <c r="SUC23" s="12"/>
      <c r="SUD23" s="12"/>
      <c r="SUU23" s="12"/>
      <c r="SUV23" s="12"/>
      <c r="SVM23" s="12"/>
      <c r="SVN23" s="12"/>
      <c r="SWE23" s="12"/>
      <c r="SWF23" s="12"/>
      <c r="SWW23" s="12"/>
      <c r="SWX23" s="12"/>
      <c r="SXO23" s="12"/>
      <c r="SXP23" s="12"/>
      <c r="SYG23" s="12"/>
      <c r="SYH23" s="12"/>
      <c r="SYY23" s="12"/>
      <c r="SYZ23" s="12"/>
      <c r="SZQ23" s="12"/>
      <c r="SZR23" s="12"/>
      <c r="TAI23" s="12"/>
      <c r="TAJ23" s="12"/>
      <c r="TBA23" s="12"/>
      <c r="TBB23" s="12"/>
      <c r="TBS23" s="12"/>
      <c r="TBT23" s="12"/>
      <c r="TCK23" s="12"/>
      <c r="TCL23" s="12"/>
      <c r="TDC23" s="12"/>
      <c r="TDD23" s="12"/>
      <c r="TDU23" s="12"/>
      <c r="TDV23" s="12"/>
      <c r="TEM23" s="12"/>
      <c r="TEN23" s="12"/>
      <c r="TFE23" s="12"/>
      <c r="TFF23" s="12"/>
      <c r="TFW23" s="12"/>
      <c r="TFX23" s="12"/>
      <c r="TGO23" s="12"/>
      <c r="TGP23" s="12"/>
      <c r="THG23" s="12"/>
      <c r="THH23" s="12"/>
      <c r="THY23" s="12"/>
      <c r="THZ23" s="12"/>
      <c r="TIQ23" s="12"/>
      <c r="TIR23" s="12"/>
      <c r="TJI23" s="12"/>
      <c r="TJJ23" s="12"/>
      <c r="TKA23" s="12"/>
      <c r="TKB23" s="12"/>
      <c r="TKS23" s="12"/>
      <c r="TKT23" s="12"/>
      <c r="TLK23" s="12"/>
      <c r="TLL23" s="12"/>
      <c r="TMC23" s="12"/>
      <c r="TMD23" s="12"/>
      <c r="TMU23" s="12"/>
      <c r="TMV23" s="12"/>
      <c r="TNM23" s="12"/>
      <c r="TNN23" s="12"/>
      <c r="TOE23" s="12"/>
      <c r="TOF23" s="12"/>
      <c r="TOW23" s="12"/>
      <c r="TOX23" s="12"/>
      <c r="TPO23" s="12"/>
      <c r="TPP23" s="12"/>
      <c r="TQG23" s="12"/>
      <c r="TQH23" s="12"/>
      <c r="TQY23" s="12"/>
      <c r="TQZ23" s="12"/>
      <c r="TRQ23" s="12"/>
      <c r="TRR23" s="12"/>
      <c r="TSI23" s="12"/>
      <c r="TSJ23" s="12"/>
      <c r="TTA23" s="12"/>
      <c r="TTB23" s="12"/>
      <c r="TTS23" s="12"/>
      <c r="TTT23" s="12"/>
      <c r="TUK23" s="12"/>
      <c r="TUL23" s="12"/>
      <c r="TVC23" s="12"/>
      <c r="TVD23" s="12"/>
      <c r="TVU23" s="12"/>
      <c r="TVV23" s="12"/>
      <c r="TWM23" s="12"/>
      <c r="TWN23" s="12"/>
      <c r="TXE23" s="12"/>
      <c r="TXF23" s="12"/>
      <c r="TXW23" s="12"/>
      <c r="TXX23" s="12"/>
      <c r="TYO23" s="12"/>
      <c r="TYP23" s="12"/>
      <c r="TZG23" s="12"/>
      <c r="TZH23" s="12"/>
      <c r="TZY23" s="12"/>
      <c r="TZZ23" s="12"/>
      <c r="UAQ23" s="12"/>
      <c r="UAR23" s="12"/>
      <c r="UBI23" s="12"/>
      <c r="UBJ23" s="12"/>
      <c r="UCA23" s="12"/>
      <c r="UCB23" s="12"/>
      <c r="UCS23" s="12"/>
      <c r="UCT23" s="12"/>
      <c r="UDK23" s="12"/>
      <c r="UDL23" s="12"/>
      <c r="UEC23" s="12"/>
      <c r="UED23" s="12"/>
      <c r="UEU23" s="12"/>
      <c r="UEV23" s="12"/>
      <c r="UFM23" s="12"/>
      <c r="UFN23" s="12"/>
      <c r="UGE23" s="12"/>
      <c r="UGF23" s="12"/>
      <c r="UGW23" s="12"/>
      <c r="UGX23" s="12"/>
      <c r="UHO23" s="12"/>
      <c r="UHP23" s="12"/>
      <c r="UIG23" s="12"/>
      <c r="UIH23" s="12"/>
      <c r="UIY23" s="12"/>
      <c r="UIZ23" s="12"/>
      <c r="UJQ23" s="12"/>
      <c r="UJR23" s="12"/>
      <c r="UKI23" s="12"/>
      <c r="UKJ23" s="12"/>
      <c r="ULA23" s="12"/>
      <c r="ULB23" s="12"/>
      <c r="ULS23" s="12"/>
      <c r="ULT23" s="12"/>
      <c r="UMK23" s="12"/>
      <c r="UML23" s="12"/>
      <c r="UNC23" s="12"/>
      <c r="UND23" s="12"/>
      <c r="UNU23" s="12"/>
      <c r="UNV23" s="12"/>
      <c r="UOM23" s="12"/>
      <c r="UON23" s="12"/>
      <c r="UPE23" s="12"/>
      <c r="UPF23" s="12"/>
      <c r="UPW23" s="12"/>
      <c r="UPX23" s="12"/>
      <c r="UQO23" s="12"/>
      <c r="UQP23" s="12"/>
      <c r="URG23" s="12"/>
      <c r="URH23" s="12"/>
      <c r="URY23" s="12"/>
      <c r="URZ23" s="12"/>
      <c r="USQ23" s="12"/>
      <c r="USR23" s="12"/>
      <c r="UTI23" s="12"/>
      <c r="UTJ23" s="12"/>
      <c r="UUA23" s="12"/>
      <c r="UUB23" s="12"/>
      <c r="UUS23" s="12"/>
      <c r="UUT23" s="12"/>
      <c r="UVK23" s="12"/>
      <c r="UVL23" s="12"/>
      <c r="UWC23" s="12"/>
      <c r="UWD23" s="12"/>
      <c r="UWU23" s="12"/>
      <c r="UWV23" s="12"/>
      <c r="UXM23" s="12"/>
      <c r="UXN23" s="12"/>
      <c r="UYE23" s="12"/>
      <c r="UYF23" s="12"/>
      <c r="UYW23" s="12"/>
      <c r="UYX23" s="12"/>
      <c r="UZO23" s="12"/>
      <c r="UZP23" s="12"/>
      <c r="VAG23" s="12"/>
      <c r="VAH23" s="12"/>
      <c r="VAY23" s="12"/>
      <c r="VAZ23" s="12"/>
      <c r="VBQ23" s="12"/>
      <c r="VBR23" s="12"/>
      <c r="VCI23" s="12"/>
      <c r="VCJ23" s="12"/>
      <c r="VDA23" s="12"/>
      <c r="VDB23" s="12"/>
      <c r="VDS23" s="12"/>
      <c r="VDT23" s="12"/>
      <c r="VEK23" s="12"/>
      <c r="VEL23" s="12"/>
      <c r="VFC23" s="12"/>
      <c r="VFD23" s="12"/>
      <c r="VFU23" s="12"/>
      <c r="VFV23" s="12"/>
      <c r="VGM23" s="12"/>
      <c r="VGN23" s="12"/>
      <c r="VHE23" s="12"/>
      <c r="VHF23" s="12"/>
      <c r="VHW23" s="12"/>
      <c r="VHX23" s="12"/>
      <c r="VIO23" s="12"/>
      <c r="VIP23" s="12"/>
      <c r="VJG23" s="12"/>
      <c r="VJH23" s="12"/>
      <c r="VJY23" s="12"/>
      <c r="VJZ23" s="12"/>
      <c r="VKQ23" s="12"/>
      <c r="VKR23" s="12"/>
      <c r="VLI23" s="12"/>
      <c r="VLJ23" s="12"/>
      <c r="VMA23" s="12"/>
      <c r="VMB23" s="12"/>
      <c r="VMS23" s="12"/>
      <c r="VMT23" s="12"/>
      <c r="VNK23" s="12"/>
      <c r="VNL23" s="12"/>
      <c r="VOC23" s="12"/>
      <c r="VOD23" s="12"/>
      <c r="VOU23" s="12"/>
      <c r="VOV23" s="12"/>
      <c r="VPM23" s="12"/>
      <c r="VPN23" s="12"/>
      <c r="VQE23" s="12"/>
      <c r="VQF23" s="12"/>
      <c r="VQW23" s="12"/>
      <c r="VQX23" s="12"/>
      <c r="VRO23" s="12"/>
      <c r="VRP23" s="12"/>
      <c r="VSG23" s="12"/>
      <c r="VSH23" s="12"/>
      <c r="VSY23" s="12"/>
      <c r="VSZ23" s="12"/>
      <c r="VTQ23" s="12"/>
      <c r="VTR23" s="12"/>
      <c r="VUI23" s="12"/>
      <c r="VUJ23" s="12"/>
      <c r="VVA23" s="12"/>
      <c r="VVB23" s="12"/>
      <c r="VVS23" s="12"/>
      <c r="VVT23" s="12"/>
      <c r="VWK23" s="12"/>
      <c r="VWL23" s="12"/>
      <c r="VXC23" s="12"/>
      <c r="VXD23" s="12"/>
      <c r="VXU23" s="12"/>
      <c r="VXV23" s="12"/>
      <c r="VYM23" s="12"/>
      <c r="VYN23" s="12"/>
      <c r="VZE23" s="12"/>
      <c r="VZF23" s="12"/>
      <c r="VZW23" s="12"/>
      <c r="VZX23" s="12"/>
      <c r="WAO23" s="12"/>
      <c r="WAP23" s="12"/>
      <c r="WBG23" s="12"/>
      <c r="WBH23" s="12"/>
      <c r="WBY23" s="12"/>
      <c r="WBZ23" s="12"/>
      <c r="WCQ23" s="12"/>
      <c r="WCR23" s="12"/>
      <c r="WDI23" s="12"/>
      <c r="WDJ23" s="12"/>
      <c r="WEA23" s="12"/>
      <c r="WEB23" s="12"/>
      <c r="WES23" s="12"/>
      <c r="WET23" s="12"/>
      <c r="WFK23" s="12"/>
      <c r="WFL23" s="12"/>
      <c r="WGC23" s="12"/>
      <c r="WGD23" s="12"/>
      <c r="WGU23" s="12"/>
      <c r="WGV23" s="12"/>
      <c r="WHM23" s="12"/>
      <c r="WHN23" s="12"/>
      <c r="WIE23" s="12"/>
      <c r="WIF23" s="12"/>
      <c r="WIW23" s="12"/>
      <c r="WIX23" s="12"/>
      <c r="WJO23" s="12"/>
      <c r="WJP23" s="12"/>
      <c r="WKG23" s="12"/>
      <c r="WKH23" s="12"/>
      <c r="WKY23" s="12"/>
      <c r="WKZ23" s="12"/>
      <c r="WLQ23" s="12"/>
      <c r="WLR23" s="12"/>
      <c r="WMI23" s="12"/>
      <c r="WMJ23" s="12"/>
      <c r="WNA23" s="12"/>
      <c r="WNB23" s="12"/>
      <c r="WNS23" s="12"/>
      <c r="WNT23" s="12"/>
      <c r="WOK23" s="12"/>
      <c r="WOL23" s="12"/>
      <c r="WPC23" s="12"/>
      <c r="WPD23" s="12"/>
      <c r="WPU23" s="12"/>
      <c r="WPV23" s="12"/>
      <c r="WQM23" s="12"/>
      <c r="WQN23" s="12"/>
      <c r="WRE23" s="12"/>
      <c r="WRF23" s="12"/>
      <c r="WRW23" s="12"/>
      <c r="WRX23" s="12"/>
      <c r="WSO23" s="12"/>
      <c r="WSP23" s="12"/>
      <c r="WTG23" s="12"/>
      <c r="WTH23" s="12"/>
      <c r="WTY23" s="12"/>
      <c r="WTZ23" s="12"/>
      <c r="WUQ23" s="12"/>
      <c r="WUR23" s="12"/>
      <c r="WVI23" s="12"/>
      <c r="WVJ23" s="12"/>
      <c r="WWA23" s="12"/>
      <c r="WWB23" s="12"/>
      <c r="WWS23" s="12"/>
      <c r="WWT23" s="12"/>
      <c r="WXK23" s="12"/>
      <c r="WXL23" s="12"/>
      <c r="WYC23" s="12"/>
      <c r="WYD23" s="12"/>
      <c r="WYU23" s="12"/>
      <c r="WYV23" s="12"/>
      <c r="WZM23" s="12"/>
      <c r="WZN23" s="12"/>
      <c r="XAE23" s="12"/>
      <c r="XAF23" s="12"/>
      <c r="XAW23" s="12"/>
      <c r="XAX23" s="12"/>
      <c r="XBO23" s="12"/>
      <c r="XBP23" s="12"/>
      <c r="XCG23" s="12"/>
      <c r="XCH23" s="12"/>
      <c r="XCY23" s="12"/>
      <c r="XCZ23" s="12"/>
      <c r="XDQ23" s="12"/>
      <c r="XDR23" s="12"/>
      <c r="XEI23" s="12"/>
      <c r="XEJ23" s="12"/>
      <c r="XFA23" s="12"/>
      <c r="XFB23" s="12"/>
    </row>
    <row r="24" spans="1:1010 1027:2036 2053:3062 3079:4088 4105:5114 5131:6140 6157:7166 7183:8192 8209:9200 9217:10226 10243:11252 11269:12278 12295:13304 13321:14330 14347:15356 15373:16382" x14ac:dyDescent="0.35">
      <c r="A24" s="51" t="str">
        <f>'Cash Flow - Standardized'!A24</f>
        <v>Cash from Operating Activities</v>
      </c>
      <c r="B24" s="51" t="str">
        <f>'Cash Flow - Standardized'!B24</f>
        <v>CF_CASH_FROM_OPER</v>
      </c>
      <c r="C24" s="81">
        <f>IF('Cash Flow - Standardized'!C24="",0,'Cash Flow - Standardized'!C24)/'Cash Flow - Standardized'!C$24</f>
        <v>1</v>
      </c>
      <c r="D24" s="81">
        <f>IF('Cash Flow - Standardized'!D24="",0,'Cash Flow - Standardized'!D24)/'Cash Flow - Standardized'!D$24</f>
        <v>1</v>
      </c>
      <c r="E24" s="81">
        <f>IF('Cash Flow - Standardized'!E24="",0,'Cash Flow - Standardized'!E24)/'Cash Flow - Standardized'!E$24</f>
        <v>1</v>
      </c>
      <c r="F24" s="81">
        <f>IF('Cash Flow - Standardized'!F24="",0,'Cash Flow - Standardized'!F24)/'Cash Flow - Standardized'!F$24</f>
        <v>1</v>
      </c>
      <c r="G24" s="81">
        <f>IF('Cash Flow - Standardized'!G24="",0,'Cash Flow - Standardized'!G24)/'Cash Flow - Standardized'!G$24</f>
        <v>1</v>
      </c>
      <c r="H24" s="81">
        <f>IF('Cash Flow - Standardized'!H24="",0,'Cash Flow - Standardized'!H24)/'Cash Flow - Standardized'!H$24</f>
        <v>1</v>
      </c>
      <c r="I24" s="81">
        <f>IF('Cash Flow - Standardized'!I24="",0,'Cash Flow - Standardized'!I24)/'Cash Flow - Standardized'!I$24</f>
        <v>1</v>
      </c>
      <c r="J24" s="81">
        <f>IF('Cash Flow - Standardized'!J24="",0,'Cash Flow - Standardized'!J24)/'Cash Flow - Standardized'!J$24</f>
        <v>1</v>
      </c>
      <c r="K24" s="81">
        <f>IF('Cash Flow - Standardized'!K24="",0,'Cash Flow - Standardized'!K24)/'Cash Flow - Standardized'!K$24</f>
        <v>1</v>
      </c>
      <c r="L24" s="81">
        <f>IF('Cash Flow - Standardized'!L24="",0,'Cash Flow - Standardized'!L24)/'Cash Flow - Standardized'!L$24</f>
        <v>1</v>
      </c>
      <c r="M24" s="128"/>
      <c r="N24" s="128"/>
      <c r="O24" s="128"/>
      <c r="P24" s="128"/>
      <c r="Q24" s="128"/>
      <c r="R24" s="128"/>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row>
    <row r="25" spans="1:1010 1027:2036 2053:3062 3079:4088 4105:5114 5131:6140 6157:7166 7183:8192 8209:9200 9217:10226 10243:11252 11269:12278 12295:13304 13321:14330 14347:15356 15373:16382" x14ac:dyDescent="0.35">
      <c r="A25" s="23" t="str">
        <f>'Cash Flow - Standardized'!A25</f>
        <v>check</v>
      </c>
      <c r="B25" s="24"/>
      <c r="C25" s="83"/>
      <c r="D25" s="83"/>
      <c r="E25" s="83"/>
      <c r="F25" s="83"/>
      <c r="G25" s="83"/>
      <c r="H25" s="83"/>
      <c r="I25" s="83"/>
      <c r="J25" s="83"/>
      <c r="K25" s="83"/>
      <c r="L25" s="83"/>
      <c r="M25" s="129"/>
      <c r="N25" s="129"/>
      <c r="O25" s="129"/>
      <c r="P25" s="129"/>
      <c r="Q25" s="129"/>
      <c r="R25" s="129"/>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row>
    <row r="26" spans="1:1010 1027:2036 2053:3062 3079:4088 4105:5114 5131:6140 6157:7166 7183:8192 8209:9200 9217:10226 10243:11252 11269:12278 12295:13304 13321:14330 14347:15356 15373:16382" x14ac:dyDescent="0.35">
      <c r="A26" s="15" t="str">
        <f>'Cash Flow - Standardized'!A26</f>
        <v>Cash from Investing Activities</v>
      </c>
      <c r="B26" s="14"/>
      <c r="C26" s="85"/>
      <c r="D26" s="85"/>
      <c r="E26" s="85"/>
      <c r="F26" s="85"/>
      <c r="G26" s="85"/>
      <c r="H26" s="85"/>
      <c r="I26" s="85"/>
      <c r="J26" s="85"/>
      <c r="K26" s="85"/>
      <c r="L26" s="85"/>
      <c r="M26" s="128"/>
      <c r="N26" s="128"/>
      <c r="O26" s="128"/>
      <c r="P26" s="128"/>
      <c r="Q26" s="128"/>
      <c r="R26" s="128"/>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row>
    <row r="27" spans="1:1010 1027:2036 2053:3062 3079:4088 4105:5114 5131:6140 6157:7166 7183:8192 8209:9200 9217:10226 10243:11252 11269:12278 12295:13304 13321:14330 14347:15356 15373:16382" s="11" customFormat="1" x14ac:dyDescent="0.35">
      <c r="A27" s="183" t="str">
        <f>'Cash Flow - Standardized'!A27</f>
        <v xml:space="preserve">  + Change in Fixed &amp; Intang</v>
      </c>
      <c r="B27" s="75" t="str">
        <f>'Cash Flow - Standardized'!B27</f>
        <v>CHG_IN_FXD_&amp;_INTANG_AST_DETAILED</v>
      </c>
      <c r="C27" s="76">
        <f>IF('Cash Flow - Standardized'!C27="",0,'Cash Flow - Standardized'!C27)/'Cash Flow - Standardized'!C$46</f>
        <v>1.1614467569205902</v>
      </c>
      <c r="D27" s="76">
        <f>IF('Cash Flow - Standardized'!D27="",0,'Cash Flow - Standardized'!D27)/'Cash Flow - Standardized'!D$46</f>
        <v>0.8881651468082975</v>
      </c>
      <c r="E27" s="76">
        <f>IF('Cash Flow - Standardized'!E27="",0,'Cash Flow - Standardized'!E27)/'Cash Flow - Standardized'!E$46</f>
        <v>-0.61054957194145265</v>
      </c>
      <c r="F27" s="76">
        <f>IF('Cash Flow - Standardized'!F27="",0,'Cash Flow - Standardized'!F27)/'Cash Flow - Standardized'!F$46</f>
        <v>1.093878128092747</v>
      </c>
      <c r="G27" s="76">
        <f>IF('Cash Flow - Standardized'!G27="",0,'Cash Flow - Standardized'!G27)/'Cash Flow - Standardized'!G$46</f>
        <v>0.45412057952952167</v>
      </c>
      <c r="H27" s="76">
        <f>IF('Cash Flow - Standardized'!H27="",0,'Cash Flow - Standardized'!H27)/'Cash Flow - Standardized'!H$46</f>
        <v>0.95988268945291289</v>
      </c>
      <c r="I27" s="76">
        <f>IF('Cash Flow - Standardized'!I27="",0,'Cash Flow - Standardized'!I27)/'Cash Flow - Standardized'!I$46</f>
        <v>1.7424581005586595</v>
      </c>
      <c r="J27" s="76">
        <f>IF('Cash Flow - Standardized'!J27="",0,'Cash Flow - Standardized'!J27)/'Cash Flow - Standardized'!J$46</f>
        <v>0.3959550372229369</v>
      </c>
      <c r="K27" s="76">
        <f>IF('Cash Flow - Standardized'!K27="",0,'Cash Flow - Standardized'!K27)/'Cash Flow - Standardized'!K$46</f>
        <v>1.1171119077907559</v>
      </c>
      <c r="L27" s="76">
        <f>IF('Cash Flow - Standardized'!L27="",0,'Cash Flow - Standardized'!L27)/'Cash Flow - Standardized'!L$46</f>
        <v>0.87487133034133491</v>
      </c>
      <c r="M27" s="108"/>
      <c r="N27" s="108"/>
      <c r="O27" s="108"/>
      <c r="P27" s="108"/>
      <c r="Q27" s="108"/>
      <c r="R27" s="108"/>
      <c r="S27" s="109"/>
      <c r="T27" s="109"/>
      <c r="U27" s="108"/>
      <c r="V27" s="108"/>
      <c r="W27" s="108"/>
      <c r="X27" s="108"/>
      <c r="Y27" s="108"/>
      <c r="Z27" s="108"/>
      <c r="AA27" s="108"/>
      <c r="AB27" s="108"/>
      <c r="AC27" s="108"/>
      <c r="AD27" s="108"/>
      <c r="AE27" s="108"/>
      <c r="AF27" s="108"/>
      <c r="AG27" s="108"/>
      <c r="AH27" s="108"/>
      <c r="AI27" s="108"/>
      <c r="AJ27" s="108"/>
      <c r="AK27" s="109"/>
      <c r="AL27" s="109"/>
      <c r="AM27" s="108"/>
      <c r="AN27" s="108"/>
      <c r="AO27" s="108"/>
      <c r="AP27" s="108"/>
      <c r="AQ27" s="108"/>
      <c r="AR27" s="108"/>
      <c r="AS27" s="108"/>
      <c r="AT27" s="108"/>
      <c r="AU27" s="108"/>
      <c r="AV27" s="108"/>
      <c r="AW27" s="108"/>
      <c r="AX27" s="108"/>
      <c r="BC27" s="12"/>
      <c r="BD27" s="12"/>
      <c r="BU27" s="12"/>
      <c r="BV27" s="12"/>
      <c r="CM27" s="12"/>
      <c r="CN27" s="12"/>
      <c r="DE27" s="12"/>
      <c r="DF27" s="12"/>
      <c r="DW27" s="12"/>
      <c r="DX27" s="12"/>
      <c r="EO27" s="12"/>
      <c r="EP27" s="12"/>
      <c r="FG27" s="12"/>
      <c r="FH27" s="12"/>
      <c r="FY27" s="12"/>
      <c r="FZ27" s="12"/>
      <c r="GQ27" s="12"/>
      <c r="GR27" s="12"/>
      <c r="HI27" s="12"/>
      <c r="HJ27" s="12"/>
      <c r="IA27" s="12"/>
      <c r="IB27" s="12"/>
      <c r="IS27" s="12"/>
      <c r="IT27" s="12"/>
      <c r="JK27" s="12"/>
      <c r="JL27" s="12"/>
      <c r="KC27" s="12"/>
      <c r="KD27" s="12"/>
      <c r="KU27" s="12"/>
      <c r="KV27" s="12"/>
      <c r="LM27" s="12"/>
      <c r="LN27" s="12"/>
      <c r="ME27" s="12"/>
      <c r="MF27" s="12"/>
      <c r="MW27" s="12"/>
      <c r="MX27" s="12"/>
      <c r="NO27" s="12"/>
      <c r="NP27" s="12"/>
      <c r="OG27" s="12"/>
      <c r="OH27" s="12"/>
      <c r="OY27" s="12"/>
      <c r="OZ27" s="12"/>
      <c r="PQ27" s="12"/>
      <c r="PR27" s="12"/>
      <c r="QI27" s="12"/>
      <c r="QJ27" s="12"/>
      <c r="RA27" s="12"/>
      <c r="RB27" s="12"/>
      <c r="RS27" s="12"/>
      <c r="RT27" s="12"/>
      <c r="SK27" s="12"/>
      <c r="SL27" s="12"/>
      <c r="TC27" s="12"/>
      <c r="TD27" s="12"/>
      <c r="TU27" s="12"/>
      <c r="TV27" s="12"/>
      <c r="UM27" s="12"/>
      <c r="UN27" s="12"/>
      <c r="VE27" s="12"/>
      <c r="VF27" s="12"/>
      <c r="VW27" s="12"/>
      <c r="VX27" s="12"/>
      <c r="WO27" s="12"/>
      <c r="WP27" s="12"/>
      <c r="XG27" s="12"/>
      <c r="XH27" s="12"/>
      <c r="XY27" s="12"/>
      <c r="XZ27" s="12"/>
      <c r="YQ27" s="12"/>
      <c r="YR27" s="12"/>
      <c r="ZI27" s="12"/>
      <c r="ZJ27" s="12"/>
      <c r="AAA27" s="12"/>
      <c r="AAB27" s="12"/>
      <c r="AAS27" s="12"/>
      <c r="AAT27" s="12"/>
      <c r="ABK27" s="12"/>
      <c r="ABL27" s="12"/>
      <c r="ACC27" s="12"/>
      <c r="ACD27" s="12"/>
      <c r="ACU27" s="12"/>
      <c r="ACV27" s="12"/>
      <c r="ADM27" s="12"/>
      <c r="ADN27" s="12"/>
      <c r="AEE27" s="12"/>
      <c r="AEF27" s="12"/>
      <c r="AEW27" s="12"/>
      <c r="AEX27" s="12"/>
      <c r="AFO27" s="12"/>
      <c r="AFP27" s="12"/>
      <c r="AGG27" s="12"/>
      <c r="AGH27" s="12"/>
      <c r="AGY27" s="12"/>
      <c r="AGZ27" s="12"/>
      <c r="AHQ27" s="12"/>
      <c r="AHR27" s="12"/>
      <c r="AII27" s="12"/>
      <c r="AIJ27" s="12"/>
      <c r="AJA27" s="12"/>
      <c r="AJB27" s="12"/>
      <c r="AJS27" s="12"/>
      <c r="AJT27" s="12"/>
      <c r="AKK27" s="12"/>
      <c r="AKL27" s="12"/>
      <c r="ALC27" s="12"/>
      <c r="ALD27" s="12"/>
      <c r="ALU27" s="12"/>
      <c r="ALV27" s="12"/>
      <c r="AMM27" s="12"/>
      <c r="AMN27" s="12"/>
      <c r="ANE27" s="12"/>
      <c r="ANF27" s="12"/>
      <c r="ANW27" s="12"/>
      <c r="ANX27" s="12"/>
      <c r="AOO27" s="12"/>
      <c r="AOP27" s="12"/>
      <c r="APG27" s="12"/>
      <c r="APH27" s="12"/>
      <c r="APY27" s="12"/>
      <c r="APZ27" s="12"/>
      <c r="AQQ27" s="12"/>
      <c r="AQR27" s="12"/>
      <c r="ARI27" s="12"/>
      <c r="ARJ27" s="12"/>
      <c r="ASA27" s="12"/>
      <c r="ASB27" s="12"/>
      <c r="ASS27" s="12"/>
      <c r="AST27" s="12"/>
      <c r="ATK27" s="12"/>
      <c r="ATL27" s="12"/>
      <c r="AUC27" s="12"/>
      <c r="AUD27" s="12"/>
      <c r="AUU27" s="12"/>
      <c r="AUV27" s="12"/>
      <c r="AVM27" s="12"/>
      <c r="AVN27" s="12"/>
      <c r="AWE27" s="12"/>
      <c r="AWF27" s="12"/>
      <c r="AWW27" s="12"/>
      <c r="AWX27" s="12"/>
      <c r="AXO27" s="12"/>
      <c r="AXP27" s="12"/>
      <c r="AYG27" s="12"/>
      <c r="AYH27" s="12"/>
      <c r="AYY27" s="12"/>
      <c r="AYZ27" s="12"/>
      <c r="AZQ27" s="12"/>
      <c r="AZR27" s="12"/>
      <c r="BAI27" s="12"/>
      <c r="BAJ27" s="12"/>
      <c r="BBA27" s="12"/>
      <c r="BBB27" s="12"/>
      <c r="BBS27" s="12"/>
      <c r="BBT27" s="12"/>
      <c r="BCK27" s="12"/>
      <c r="BCL27" s="12"/>
      <c r="BDC27" s="12"/>
      <c r="BDD27" s="12"/>
      <c r="BDU27" s="12"/>
      <c r="BDV27" s="12"/>
      <c r="BEM27" s="12"/>
      <c r="BEN27" s="12"/>
      <c r="BFE27" s="12"/>
      <c r="BFF27" s="12"/>
      <c r="BFW27" s="12"/>
      <c r="BFX27" s="12"/>
      <c r="BGO27" s="12"/>
      <c r="BGP27" s="12"/>
      <c r="BHG27" s="12"/>
      <c r="BHH27" s="12"/>
      <c r="BHY27" s="12"/>
      <c r="BHZ27" s="12"/>
      <c r="BIQ27" s="12"/>
      <c r="BIR27" s="12"/>
      <c r="BJI27" s="12"/>
      <c r="BJJ27" s="12"/>
      <c r="BKA27" s="12"/>
      <c r="BKB27" s="12"/>
      <c r="BKS27" s="12"/>
      <c r="BKT27" s="12"/>
      <c r="BLK27" s="12"/>
      <c r="BLL27" s="12"/>
      <c r="BMC27" s="12"/>
      <c r="BMD27" s="12"/>
      <c r="BMU27" s="12"/>
      <c r="BMV27" s="12"/>
      <c r="BNM27" s="12"/>
      <c r="BNN27" s="12"/>
      <c r="BOE27" s="12"/>
      <c r="BOF27" s="12"/>
      <c r="BOW27" s="12"/>
      <c r="BOX27" s="12"/>
      <c r="BPO27" s="12"/>
      <c r="BPP27" s="12"/>
      <c r="BQG27" s="12"/>
      <c r="BQH27" s="12"/>
      <c r="BQY27" s="12"/>
      <c r="BQZ27" s="12"/>
      <c r="BRQ27" s="12"/>
      <c r="BRR27" s="12"/>
      <c r="BSI27" s="12"/>
      <c r="BSJ27" s="12"/>
      <c r="BTA27" s="12"/>
      <c r="BTB27" s="12"/>
      <c r="BTS27" s="12"/>
      <c r="BTT27" s="12"/>
      <c r="BUK27" s="12"/>
      <c r="BUL27" s="12"/>
      <c r="BVC27" s="12"/>
      <c r="BVD27" s="12"/>
      <c r="BVU27" s="12"/>
      <c r="BVV27" s="12"/>
      <c r="BWM27" s="12"/>
      <c r="BWN27" s="12"/>
      <c r="BXE27" s="12"/>
      <c r="BXF27" s="12"/>
      <c r="BXW27" s="12"/>
      <c r="BXX27" s="12"/>
      <c r="BYO27" s="12"/>
      <c r="BYP27" s="12"/>
      <c r="BZG27" s="12"/>
      <c r="BZH27" s="12"/>
      <c r="BZY27" s="12"/>
      <c r="BZZ27" s="12"/>
      <c r="CAQ27" s="12"/>
      <c r="CAR27" s="12"/>
      <c r="CBI27" s="12"/>
      <c r="CBJ27" s="12"/>
      <c r="CCA27" s="12"/>
      <c r="CCB27" s="12"/>
      <c r="CCS27" s="12"/>
      <c r="CCT27" s="12"/>
      <c r="CDK27" s="12"/>
      <c r="CDL27" s="12"/>
      <c r="CEC27" s="12"/>
      <c r="CED27" s="12"/>
      <c r="CEU27" s="12"/>
      <c r="CEV27" s="12"/>
      <c r="CFM27" s="12"/>
      <c r="CFN27" s="12"/>
      <c r="CGE27" s="12"/>
      <c r="CGF27" s="12"/>
      <c r="CGW27" s="12"/>
      <c r="CGX27" s="12"/>
      <c r="CHO27" s="12"/>
      <c r="CHP27" s="12"/>
      <c r="CIG27" s="12"/>
      <c r="CIH27" s="12"/>
      <c r="CIY27" s="12"/>
      <c r="CIZ27" s="12"/>
      <c r="CJQ27" s="12"/>
      <c r="CJR27" s="12"/>
      <c r="CKI27" s="12"/>
      <c r="CKJ27" s="12"/>
      <c r="CLA27" s="12"/>
      <c r="CLB27" s="12"/>
      <c r="CLS27" s="12"/>
      <c r="CLT27" s="12"/>
      <c r="CMK27" s="12"/>
      <c r="CML27" s="12"/>
      <c r="CNC27" s="12"/>
      <c r="CND27" s="12"/>
      <c r="CNU27" s="12"/>
      <c r="CNV27" s="12"/>
      <c r="COM27" s="12"/>
      <c r="CON27" s="12"/>
      <c r="CPE27" s="12"/>
      <c r="CPF27" s="12"/>
      <c r="CPW27" s="12"/>
      <c r="CPX27" s="12"/>
      <c r="CQO27" s="12"/>
      <c r="CQP27" s="12"/>
      <c r="CRG27" s="12"/>
      <c r="CRH27" s="12"/>
      <c r="CRY27" s="12"/>
      <c r="CRZ27" s="12"/>
      <c r="CSQ27" s="12"/>
      <c r="CSR27" s="12"/>
      <c r="CTI27" s="12"/>
      <c r="CTJ27" s="12"/>
      <c r="CUA27" s="12"/>
      <c r="CUB27" s="12"/>
      <c r="CUS27" s="12"/>
      <c r="CUT27" s="12"/>
      <c r="CVK27" s="12"/>
      <c r="CVL27" s="12"/>
      <c r="CWC27" s="12"/>
      <c r="CWD27" s="12"/>
      <c r="CWU27" s="12"/>
      <c r="CWV27" s="12"/>
      <c r="CXM27" s="12"/>
      <c r="CXN27" s="12"/>
      <c r="CYE27" s="12"/>
      <c r="CYF27" s="12"/>
      <c r="CYW27" s="12"/>
      <c r="CYX27" s="12"/>
      <c r="CZO27" s="12"/>
      <c r="CZP27" s="12"/>
      <c r="DAG27" s="12"/>
      <c r="DAH27" s="12"/>
      <c r="DAY27" s="12"/>
      <c r="DAZ27" s="12"/>
      <c r="DBQ27" s="12"/>
      <c r="DBR27" s="12"/>
      <c r="DCI27" s="12"/>
      <c r="DCJ27" s="12"/>
      <c r="DDA27" s="12"/>
      <c r="DDB27" s="12"/>
      <c r="DDS27" s="12"/>
      <c r="DDT27" s="12"/>
      <c r="DEK27" s="12"/>
      <c r="DEL27" s="12"/>
      <c r="DFC27" s="12"/>
      <c r="DFD27" s="12"/>
      <c r="DFU27" s="12"/>
      <c r="DFV27" s="12"/>
      <c r="DGM27" s="12"/>
      <c r="DGN27" s="12"/>
      <c r="DHE27" s="12"/>
      <c r="DHF27" s="12"/>
      <c r="DHW27" s="12"/>
      <c r="DHX27" s="12"/>
      <c r="DIO27" s="12"/>
      <c r="DIP27" s="12"/>
      <c r="DJG27" s="12"/>
      <c r="DJH27" s="12"/>
      <c r="DJY27" s="12"/>
      <c r="DJZ27" s="12"/>
      <c r="DKQ27" s="12"/>
      <c r="DKR27" s="12"/>
      <c r="DLI27" s="12"/>
      <c r="DLJ27" s="12"/>
      <c r="DMA27" s="12"/>
      <c r="DMB27" s="12"/>
      <c r="DMS27" s="12"/>
      <c r="DMT27" s="12"/>
      <c r="DNK27" s="12"/>
      <c r="DNL27" s="12"/>
      <c r="DOC27" s="12"/>
      <c r="DOD27" s="12"/>
      <c r="DOU27" s="12"/>
      <c r="DOV27" s="12"/>
      <c r="DPM27" s="12"/>
      <c r="DPN27" s="12"/>
      <c r="DQE27" s="12"/>
      <c r="DQF27" s="12"/>
      <c r="DQW27" s="12"/>
      <c r="DQX27" s="12"/>
      <c r="DRO27" s="12"/>
      <c r="DRP27" s="12"/>
      <c r="DSG27" s="12"/>
      <c r="DSH27" s="12"/>
      <c r="DSY27" s="12"/>
      <c r="DSZ27" s="12"/>
      <c r="DTQ27" s="12"/>
      <c r="DTR27" s="12"/>
      <c r="DUI27" s="12"/>
      <c r="DUJ27" s="12"/>
      <c r="DVA27" s="12"/>
      <c r="DVB27" s="12"/>
      <c r="DVS27" s="12"/>
      <c r="DVT27" s="12"/>
      <c r="DWK27" s="12"/>
      <c r="DWL27" s="12"/>
      <c r="DXC27" s="12"/>
      <c r="DXD27" s="12"/>
      <c r="DXU27" s="12"/>
      <c r="DXV27" s="12"/>
      <c r="DYM27" s="12"/>
      <c r="DYN27" s="12"/>
      <c r="DZE27" s="12"/>
      <c r="DZF27" s="12"/>
      <c r="DZW27" s="12"/>
      <c r="DZX27" s="12"/>
      <c r="EAO27" s="12"/>
      <c r="EAP27" s="12"/>
      <c r="EBG27" s="12"/>
      <c r="EBH27" s="12"/>
      <c r="EBY27" s="12"/>
      <c r="EBZ27" s="12"/>
      <c r="ECQ27" s="12"/>
      <c r="ECR27" s="12"/>
      <c r="EDI27" s="12"/>
      <c r="EDJ27" s="12"/>
      <c r="EEA27" s="12"/>
      <c r="EEB27" s="12"/>
      <c r="EES27" s="12"/>
      <c r="EET27" s="12"/>
      <c r="EFK27" s="12"/>
      <c r="EFL27" s="12"/>
      <c r="EGC27" s="12"/>
      <c r="EGD27" s="12"/>
      <c r="EGU27" s="12"/>
      <c r="EGV27" s="12"/>
      <c r="EHM27" s="12"/>
      <c r="EHN27" s="12"/>
      <c r="EIE27" s="12"/>
      <c r="EIF27" s="12"/>
      <c r="EIW27" s="12"/>
      <c r="EIX27" s="12"/>
      <c r="EJO27" s="12"/>
      <c r="EJP27" s="12"/>
      <c r="EKG27" s="12"/>
      <c r="EKH27" s="12"/>
      <c r="EKY27" s="12"/>
      <c r="EKZ27" s="12"/>
      <c r="ELQ27" s="12"/>
      <c r="ELR27" s="12"/>
      <c r="EMI27" s="12"/>
      <c r="EMJ27" s="12"/>
      <c r="ENA27" s="12"/>
      <c r="ENB27" s="12"/>
      <c r="ENS27" s="12"/>
      <c r="ENT27" s="12"/>
      <c r="EOK27" s="12"/>
      <c r="EOL27" s="12"/>
      <c r="EPC27" s="12"/>
      <c r="EPD27" s="12"/>
      <c r="EPU27" s="12"/>
      <c r="EPV27" s="12"/>
      <c r="EQM27" s="12"/>
      <c r="EQN27" s="12"/>
      <c r="ERE27" s="12"/>
      <c r="ERF27" s="12"/>
      <c r="ERW27" s="12"/>
      <c r="ERX27" s="12"/>
      <c r="ESO27" s="12"/>
      <c r="ESP27" s="12"/>
      <c r="ETG27" s="12"/>
      <c r="ETH27" s="12"/>
      <c r="ETY27" s="12"/>
      <c r="ETZ27" s="12"/>
      <c r="EUQ27" s="12"/>
      <c r="EUR27" s="12"/>
      <c r="EVI27" s="12"/>
      <c r="EVJ27" s="12"/>
      <c r="EWA27" s="12"/>
      <c r="EWB27" s="12"/>
      <c r="EWS27" s="12"/>
      <c r="EWT27" s="12"/>
      <c r="EXK27" s="12"/>
      <c r="EXL27" s="12"/>
      <c r="EYC27" s="12"/>
      <c r="EYD27" s="12"/>
      <c r="EYU27" s="12"/>
      <c r="EYV27" s="12"/>
      <c r="EZM27" s="12"/>
      <c r="EZN27" s="12"/>
      <c r="FAE27" s="12"/>
      <c r="FAF27" s="12"/>
      <c r="FAW27" s="12"/>
      <c r="FAX27" s="12"/>
      <c r="FBO27" s="12"/>
      <c r="FBP27" s="12"/>
      <c r="FCG27" s="12"/>
      <c r="FCH27" s="12"/>
      <c r="FCY27" s="12"/>
      <c r="FCZ27" s="12"/>
      <c r="FDQ27" s="12"/>
      <c r="FDR27" s="12"/>
      <c r="FEI27" s="12"/>
      <c r="FEJ27" s="12"/>
      <c r="FFA27" s="12"/>
      <c r="FFB27" s="12"/>
      <c r="FFS27" s="12"/>
      <c r="FFT27" s="12"/>
      <c r="FGK27" s="12"/>
      <c r="FGL27" s="12"/>
      <c r="FHC27" s="12"/>
      <c r="FHD27" s="12"/>
      <c r="FHU27" s="12"/>
      <c r="FHV27" s="12"/>
      <c r="FIM27" s="12"/>
      <c r="FIN27" s="12"/>
      <c r="FJE27" s="12"/>
      <c r="FJF27" s="12"/>
      <c r="FJW27" s="12"/>
      <c r="FJX27" s="12"/>
      <c r="FKO27" s="12"/>
      <c r="FKP27" s="12"/>
      <c r="FLG27" s="12"/>
      <c r="FLH27" s="12"/>
      <c r="FLY27" s="12"/>
      <c r="FLZ27" s="12"/>
      <c r="FMQ27" s="12"/>
      <c r="FMR27" s="12"/>
      <c r="FNI27" s="12"/>
      <c r="FNJ27" s="12"/>
      <c r="FOA27" s="12"/>
      <c r="FOB27" s="12"/>
      <c r="FOS27" s="12"/>
      <c r="FOT27" s="12"/>
      <c r="FPK27" s="12"/>
      <c r="FPL27" s="12"/>
      <c r="FQC27" s="12"/>
      <c r="FQD27" s="12"/>
      <c r="FQU27" s="12"/>
      <c r="FQV27" s="12"/>
      <c r="FRM27" s="12"/>
      <c r="FRN27" s="12"/>
      <c r="FSE27" s="12"/>
      <c r="FSF27" s="12"/>
      <c r="FSW27" s="12"/>
      <c r="FSX27" s="12"/>
      <c r="FTO27" s="12"/>
      <c r="FTP27" s="12"/>
      <c r="FUG27" s="12"/>
      <c r="FUH27" s="12"/>
      <c r="FUY27" s="12"/>
      <c r="FUZ27" s="12"/>
      <c r="FVQ27" s="12"/>
      <c r="FVR27" s="12"/>
      <c r="FWI27" s="12"/>
      <c r="FWJ27" s="12"/>
      <c r="FXA27" s="12"/>
      <c r="FXB27" s="12"/>
      <c r="FXS27" s="12"/>
      <c r="FXT27" s="12"/>
      <c r="FYK27" s="12"/>
      <c r="FYL27" s="12"/>
      <c r="FZC27" s="12"/>
      <c r="FZD27" s="12"/>
      <c r="FZU27" s="12"/>
      <c r="FZV27" s="12"/>
      <c r="GAM27" s="12"/>
      <c r="GAN27" s="12"/>
      <c r="GBE27" s="12"/>
      <c r="GBF27" s="12"/>
      <c r="GBW27" s="12"/>
      <c r="GBX27" s="12"/>
      <c r="GCO27" s="12"/>
      <c r="GCP27" s="12"/>
      <c r="GDG27" s="12"/>
      <c r="GDH27" s="12"/>
      <c r="GDY27" s="12"/>
      <c r="GDZ27" s="12"/>
      <c r="GEQ27" s="12"/>
      <c r="GER27" s="12"/>
      <c r="GFI27" s="12"/>
      <c r="GFJ27" s="12"/>
      <c r="GGA27" s="12"/>
      <c r="GGB27" s="12"/>
      <c r="GGS27" s="12"/>
      <c r="GGT27" s="12"/>
      <c r="GHK27" s="12"/>
      <c r="GHL27" s="12"/>
      <c r="GIC27" s="12"/>
      <c r="GID27" s="12"/>
      <c r="GIU27" s="12"/>
      <c r="GIV27" s="12"/>
      <c r="GJM27" s="12"/>
      <c r="GJN27" s="12"/>
      <c r="GKE27" s="12"/>
      <c r="GKF27" s="12"/>
      <c r="GKW27" s="12"/>
      <c r="GKX27" s="12"/>
      <c r="GLO27" s="12"/>
      <c r="GLP27" s="12"/>
      <c r="GMG27" s="12"/>
      <c r="GMH27" s="12"/>
      <c r="GMY27" s="12"/>
      <c r="GMZ27" s="12"/>
      <c r="GNQ27" s="12"/>
      <c r="GNR27" s="12"/>
      <c r="GOI27" s="12"/>
      <c r="GOJ27" s="12"/>
      <c r="GPA27" s="12"/>
      <c r="GPB27" s="12"/>
      <c r="GPS27" s="12"/>
      <c r="GPT27" s="12"/>
      <c r="GQK27" s="12"/>
      <c r="GQL27" s="12"/>
      <c r="GRC27" s="12"/>
      <c r="GRD27" s="12"/>
      <c r="GRU27" s="12"/>
      <c r="GRV27" s="12"/>
      <c r="GSM27" s="12"/>
      <c r="GSN27" s="12"/>
      <c r="GTE27" s="12"/>
      <c r="GTF27" s="12"/>
      <c r="GTW27" s="12"/>
      <c r="GTX27" s="12"/>
      <c r="GUO27" s="12"/>
      <c r="GUP27" s="12"/>
      <c r="GVG27" s="12"/>
      <c r="GVH27" s="12"/>
      <c r="GVY27" s="12"/>
      <c r="GVZ27" s="12"/>
      <c r="GWQ27" s="12"/>
      <c r="GWR27" s="12"/>
      <c r="GXI27" s="12"/>
      <c r="GXJ27" s="12"/>
      <c r="GYA27" s="12"/>
      <c r="GYB27" s="12"/>
      <c r="GYS27" s="12"/>
      <c r="GYT27" s="12"/>
      <c r="GZK27" s="12"/>
      <c r="GZL27" s="12"/>
      <c r="HAC27" s="12"/>
      <c r="HAD27" s="12"/>
      <c r="HAU27" s="12"/>
      <c r="HAV27" s="12"/>
      <c r="HBM27" s="12"/>
      <c r="HBN27" s="12"/>
      <c r="HCE27" s="12"/>
      <c r="HCF27" s="12"/>
      <c r="HCW27" s="12"/>
      <c r="HCX27" s="12"/>
      <c r="HDO27" s="12"/>
      <c r="HDP27" s="12"/>
      <c r="HEG27" s="12"/>
      <c r="HEH27" s="12"/>
      <c r="HEY27" s="12"/>
      <c r="HEZ27" s="12"/>
      <c r="HFQ27" s="12"/>
      <c r="HFR27" s="12"/>
      <c r="HGI27" s="12"/>
      <c r="HGJ27" s="12"/>
      <c r="HHA27" s="12"/>
      <c r="HHB27" s="12"/>
      <c r="HHS27" s="12"/>
      <c r="HHT27" s="12"/>
      <c r="HIK27" s="12"/>
      <c r="HIL27" s="12"/>
      <c r="HJC27" s="12"/>
      <c r="HJD27" s="12"/>
      <c r="HJU27" s="12"/>
      <c r="HJV27" s="12"/>
      <c r="HKM27" s="12"/>
      <c r="HKN27" s="12"/>
      <c r="HLE27" s="12"/>
      <c r="HLF27" s="12"/>
      <c r="HLW27" s="12"/>
      <c r="HLX27" s="12"/>
      <c r="HMO27" s="12"/>
      <c r="HMP27" s="12"/>
      <c r="HNG27" s="12"/>
      <c r="HNH27" s="12"/>
      <c r="HNY27" s="12"/>
      <c r="HNZ27" s="12"/>
      <c r="HOQ27" s="12"/>
      <c r="HOR27" s="12"/>
      <c r="HPI27" s="12"/>
      <c r="HPJ27" s="12"/>
      <c r="HQA27" s="12"/>
      <c r="HQB27" s="12"/>
      <c r="HQS27" s="12"/>
      <c r="HQT27" s="12"/>
      <c r="HRK27" s="12"/>
      <c r="HRL27" s="12"/>
      <c r="HSC27" s="12"/>
      <c r="HSD27" s="12"/>
      <c r="HSU27" s="12"/>
      <c r="HSV27" s="12"/>
      <c r="HTM27" s="12"/>
      <c r="HTN27" s="12"/>
      <c r="HUE27" s="12"/>
      <c r="HUF27" s="12"/>
      <c r="HUW27" s="12"/>
      <c r="HUX27" s="12"/>
      <c r="HVO27" s="12"/>
      <c r="HVP27" s="12"/>
      <c r="HWG27" s="12"/>
      <c r="HWH27" s="12"/>
      <c r="HWY27" s="12"/>
      <c r="HWZ27" s="12"/>
      <c r="HXQ27" s="12"/>
      <c r="HXR27" s="12"/>
      <c r="HYI27" s="12"/>
      <c r="HYJ27" s="12"/>
      <c r="HZA27" s="12"/>
      <c r="HZB27" s="12"/>
      <c r="HZS27" s="12"/>
      <c r="HZT27" s="12"/>
      <c r="IAK27" s="12"/>
      <c r="IAL27" s="12"/>
      <c r="IBC27" s="12"/>
      <c r="IBD27" s="12"/>
      <c r="IBU27" s="12"/>
      <c r="IBV27" s="12"/>
      <c r="ICM27" s="12"/>
      <c r="ICN27" s="12"/>
      <c r="IDE27" s="12"/>
      <c r="IDF27" s="12"/>
      <c r="IDW27" s="12"/>
      <c r="IDX27" s="12"/>
      <c r="IEO27" s="12"/>
      <c r="IEP27" s="12"/>
      <c r="IFG27" s="12"/>
      <c r="IFH27" s="12"/>
      <c r="IFY27" s="12"/>
      <c r="IFZ27" s="12"/>
      <c r="IGQ27" s="12"/>
      <c r="IGR27" s="12"/>
      <c r="IHI27" s="12"/>
      <c r="IHJ27" s="12"/>
      <c r="IIA27" s="12"/>
      <c r="IIB27" s="12"/>
      <c r="IIS27" s="12"/>
      <c r="IIT27" s="12"/>
      <c r="IJK27" s="12"/>
      <c r="IJL27" s="12"/>
      <c r="IKC27" s="12"/>
      <c r="IKD27" s="12"/>
      <c r="IKU27" s="12"/>
      <c r="IKV27" s="12"/>
      <c r="ILM27" s="12"/>
      <c r="ILN27" s="12"/>
      <c r="IME27" s="12"/>
      <c r="IMF27" s="12"/>
      <c r="IMW27" s="12"/>
      <c r="IMX27" s="12"/>
      <c r="INO27" s="12"/>
      <c r="INP27" s="12"/>
      <c r="IOG27" s="12"/>
      <c r="IOH27" s="12"/>
      <c r="IOY27" s="12"/>
      <c r="IOZ27" s="12"/>
      <c r="IPQ27" s="12"/>
      <c r="IPR27" s="12"/>
      <c r="IQI27" s="12"/>
      <c r="IQJ27" s="12"/>
      <c r="IRA27" s="12"/>
      <c r="IRB27" s="12"/>
      <c r="IRS27" s="12"/>
      <c r="IRT27" s="12"/>
      <c r="ISK27" s="12"/>
      <c r="ISL27" s="12"/>
      <c r="ITC27" s="12"/>
      <c r="ITD27" s="12"/>
      <c r="ITU27" s="12"/>
      <c r="ITV27" s="12"/>
      <c r="IUM27" s="12"/>
      <c r="IUN27" s="12"/>
      <c r="IVE27" s="12"/>
      <c r="IVF27" s="12"/>
      <c r="IVW27" s="12"/>
      <c r="IVX27" s="12"/>
      <c r="IWO27" s="12"/>
      <c r="IWP27" s="12"/>
      <c r="IXG27" s="12"/>
      <c r="IXH27" s="12"/>
      <c r="IXY27" s="12"/>
      <c r="IXZ27" s="12"/>
      <c r="IYQ27" s="12"/>
      <c r="IYR27" s="12"/>
      <c r="IZI27" s="12"/>
      <c r="IZJ27" s="12"/>
      <c r="JAA27" s="12"/>
      <c r="JAB27" s="12"/>
      <c r="JAS27" s="12"/>
      <c r="JAT27" s="12"/>
      <c r="JBK27" s="12"/>
      <c r="JBL27" s="12"/>
      <c r="JCC27" s="12"/>
      <c r="JCD27" s="12"/>
      <c r="JCU27" s="12"/>
      <c r="JCV27" s="12"/>
      <c r="JDM27" s="12"/>
      <c r="JDN27" s="12"/>
      <c r="JEE27" s="12"/>
      <c r="JEF27" s="12"/>
      <c r="JEW27" s="12"/>
      <c r="JEX27" s="12"/>
      <c r="JFO27" s="12"/>
      <c r="JFP27" s="12"/>
      <c r="JGG27" s="12"/>
      <c r="JGH27" s="12"/>
      <c r="JGY27" s="12"/>
      <c r="JGZ27" s="12"/>
      <c r="JHQ27" s="12"/>
      <c r="JHR27" s="12"/>
      <c r="JII27" s="12"/>
      <c r="JIJ27" s="12"/>
      <c r="JJA27" s="12"/>
      <c r="JJB27" s="12"/>
      <c r="JJS27" s="12"/>
      <c r="JJT27" s="12"/>
      <c r="JKK27" s="12"/>
      <c r="JKL27" s="12"/>
      <c r="JLC27" s="12"/>
      <c r="JLD27" s="12"/>
      <c r="JLU27" s="12"/>
      <c r="JLV27" s="12"/>
      <c r="JMM27" s="12"/>
      <c r="JMN27" s="12"/>
      <c r="JNE27" s="12"/>
      <c r="JNF27" s="12"/>
      <c r="JNW27" s="12"/>
      <c r="JNX27" s="12"/>
      <c r="JOO27" s="12"/>
      <c r="JOP27" s="12"/>
      <c r="JPG27" s="12"/>
      <c r="JPH27" s="12"/>
      <c r="JPY27" s="12"/>
      <c r="JPZ27" s="12"/>
      <c r="JQQ27" s="12"/>
      <c r="JQR27" s="12"/>
      <c r="JRI27" s="12"/>
      <c r="JRJ27" s="12"/>
      <c r="JSA27" s="12"/>
      <c r="JSB27" s="12"/>
      <c r="JSS27" s="12"/>
      <c r="JST27" s="12"/>
      <c r="JTK27" s="12"/>
      <c r="JTL27" s="12"/>
      <c r="JUC27" s="12"/>
      <c r="JUD27" s="12"/>
      <c r="JUU27" s="12"/>
      <c r="JUV27" s="12"/>
      <c r="JVM27" s="12"/>
      <c r="JVN27" s="12"/>
      <c r="JWE27" s="12"/>
      <c r="JWF27" s="12"/>
      <c r="JWW27" s="12"/>
      <c r="JWX27" s="12"/>
      <c r="JXO27" s="12"/>
      <c r="JXP27" s="12"/>
      <c r="JYG27" s="12"/>
      <c r="JYH27" s="12"/>
      <c r="JYY27" s="12"/>
      <c r="JYZ27" s="12"/>
      <c r="JZQ27" s="12"/>
      <c r="JZR27" s="12"/>
      <c r="KAI27" s="12"/>
      <c r="KAJ27" s="12"/>
      <c r="KBA27" s="12"/>
      <c r="KBB27" s="12"/>
      <c r="KBS27" s="12"/>
      <c r="KBT27" s="12"/>
      <c r="KCK27" s="12"/>
      <c r="KCL27" s="12"/>
      <c r="KDC27" s="12"/>
      <c r="KDD27" s="12"/>
      <c r="KDU27" s="12"/>
      <c r="KDV27" s="12"/>
      <c r="KEM27" s="12"/>
      <c r="KEN27" s="12"/>
      <c r="KFE27" s="12"/>
      <c r="KFF27" s="12"/>
      <c r="KFW27" s="12"/>
      <c r="KFX27" s="12"/>
      <c r="KGO27" s="12"/>
      <c r="KGP27" s="12"/>
      <c r="KHG27" s="12"/>
      <c r="KHH27" s="12"/>
      <c r="KHY27" s="12"/>
      <c r="KHZ27" s="12"/>
      <c r="KIQ27" s="12"/>
      <c r="KIR27" s="12"/>
      <c r="KJI27" s="12"/>
      <c r="KJJ27" s="12"/>
      <c r="KKA27" s="12"/>
      <c r="KKB27" s="12"/>
      <c r="KKS27" s="12"/>
      <c r="KKT27" s="12"/>
      <c r="KLK27" s="12"/>
      <c r="KLL27" s="12"/>
      <c r="KMC27" s="12"/>
      <c r="KMD27" s="12"/>
      <c r="KMU27" s="12"/>
      <c r="KMV27" s="12"/>
      <c r="KNM27" s="12"/>
      <c r="KNN27" s="12"/>
      <c r="KOE27" s="12"/>
      <c r="KOF27" s="12"/>
      <c r="KOW27" s="12"/>
      <c r="KOX27" s="12"/>
      <c r="KPO27" s="12"/>
      <c r="KPP27" s="12"/>
      <c r="KQG27" s="12"/>
      <c r="KQH27" s="12"/>
      <c r="KQY27" s="12"/>
      <c r="KQZ27" s="12"/>
      <c r="KRQ27" s="12"/>
      <c r="KRR27" s="12"/>
      <c r="KSI27" s="12"/>
      <c r="KSJ27" s="12"/>
      <c r="KTA27" s="12"/>
      <c r="KTB27" s="12"/>
      <c r="KTS27" s="12"/>
      <c r="KTT27" s="12"/>
      <c r="KUK27" s="12"/>
      <c r="KUL27" s="12"/>
      <c r="KVC27" s="12"/>
      <c r="KVD27" s="12"/>
      <c r="KVU27" s="12"/>
      <c r="KVV27" s="12"/>
      <c r="KWM27" s="12"/>
      <c r="KWN27" s="12"/>
      <c r="KXE27" s="12"/>
      <c r="KXF27" s="12"/>
      <c r="KXW27" s="12"/>
      <c r="KXX27" s="12"/>
      <c r="KYO27" s="12"/>
      <c r="KYP27" s="12"/>
      <c r="KZG27" s="12"/>
      <c r="KZH27" s="12"/>
      <c r="KZY27" s="12"/>
      <c r="KZZ27" s="12"/>
      <c r="LAQ27" s="12"/>
      <c r="LAR27" s="12"/>
      <c r="LBI27" s="12"/>
      <c r="LBJ27" s="12"/>
      <c r="LCA27" s="12"/>
      <c r="LCB27" s="12"/>
      <c r="LCS27" s="12"/>
      <c r="LCT27" s="12"/>
      <c r="LDK27" s="12"/>
      <c r="LDL27" s="12"/>
      <c r="LEC27" s="12"/>
      <c r="LED27" s="12"/>
      <c r="LEU27" s="12"/>
      <c r="LEV27" s="12"/>
      <c r="LFM27" s="12"/>
      <c r="LFN27" s="12"/>
      <c r="LGE27" s="12"/>
      <c r="LGF27" s="12"/>
      <c r="LGW27" s="12"/>
      <c r="LGX27" s="12"/>
      <c r="LHO27" s="12"/>
      <c r="LHP27" s="12"/>
      <c r="LIG27" s="12"/>
      <c r="LIH27" s="12"/>
      <c r="LIY27" s="12"/>
      <c r="LIZ27" s="12"/>
      <c r="LJQ27" s="12"/>
      <c r="LJR27" s="12"/>
      <c r="LKI27" s="12"/>
      <c r="LKJ27" s="12"/>
      <c r="LLA27" s="12"/>
      <c r="LLB27" s="12"/>
      <c r="LLS27" s="12"/>
      <c r="LLT27" s="12"/>
      <c r="LMK27" s="12"/>
      <c r="LML27" s="12"/>
      <c r="LNC27" s="12"/>
      <c r="LND27" s="12"/>
      <c r="LNU27" s="12"/>
      <c r="LNV27" s="12"/>
      <c r="LOM27" s="12"/>
      <c r="LON27" s="12"/>
      <c r="LPE27" s="12"/>
      <c r="LPF27" s="12"/>
      <c r="LPW27" s="12"/>
      <c r="LPX27" s="12"/>
      <c r="LQO27" s="12"/>
      <c r="LQP27" s="12"/>
      <c r="LRG27" s="12"/>
      <c r="LRH27" s="12"/>
      <c r="LRY27" s="12"/>
      <c r="LRZ27" s="12"/>
      <c r="LSQ27" s="12"/>
      <c r="LSR27" s="12"/>
      <c r="LTI27" s="12"/>
      <c r="LTJ27" s="12"/>
      <c r="LUA27" s="12"/>
      <c r="LUB27" s="12"/>
      <c r="LUS27" s="12"/>
      <c r="LUT27" s="12"/>
      <c r="LVK27" s="12"/>
      <c r="LVL27" s="12"/>
      <c r="LWC27" s="12"/>
      <c r="LWD27" s="12"/>
      <c r="LWU27" s="12"/>
      <c r="LWV27" s="12"/>
      <c r="LXM27" s="12"/>
      <c r="LXN27" s="12"/>
      <c r="LYE27" s="12"/>
      <c r="LYF27" s="12"/>
      <c r="LYW27" s="12"/>
      <c r="LYX27" s="12"/>
      <c r="LZO27" s="12"/>
      <c r="LZP27" s="12"/>
      <c r="MAG27" s="12"/>
      <c r="MAH27" s="12"/>
      <c r="MAY27" s="12"/>
      <c r="MAZ27" s="12"/>
      <c r="MBQ27" s="12"/>
      <c r="MBR27" s="12"/>
      <c r="MCI27" s="12"/>
      <c r="MCJ27" s="12"/>
      <c r="MDA27" s="12"/>
      <c r="MDB27" s="12"/>
      <c r="MDS27" s="12"/>
      <c r="MDT27" s="12"/>
      <c r="MEK27" s="12"/>
      <c r="MEL27" s="12"/>
      <c r="MFC27" s="12"/>
      <c r="MFD27" s="12"/>
      <c r="MFU27" s="12"/>
      <c r="MFV27" s="12"/>
      <c r="MGM27" s="12"/>
      <c r="MGN27" s="12"/>
      <c r="MHE27" s="12"/>
      <c r="MHF27" s="12"/>
      <c r="MHW27" s="12"/>
      <c r="MHX27" s="12"/>
      <c r="MIO27" s="12"/>
      <c r="MIP27" s="12"/>
      <c r="MJG27" s="12"/>
      <c r="MJH27" s="12"/>
      <c r="MJY27" s="12"/>
      <c r="MJZ27" s="12"/>
      <c r="MKQ27" s="12"/>
      <c r="MKR27" s="12"/>
      <c r="MLI27" s="12"/>
      <c r="MLJ27" s="12"/>
      <c r="MMA27" s="12"/>
      <c r="MMB27" s="12"/>
      <c r="MMS27" s="12"/>
      <c r="MMT27" s="12"/>
      <c r="MNK27" s="12"/>
      <c r="MNL27" s="12"/>
      <c r="MOC27" s="12"/>
      <c r="MOD27" s="12"/>
      <c r="MOU27" s="12"/>
      <c r="MOV27" s="12"/>
      <c r="MPM27" s="12"/>
      <c r="MPN27" s="12"/>
      <c r="MQE27" s="12"/>
      <c r="MQF27" s="12"/>
      <c r="MQW27" s="12"/>
      <c r="MQX27" s="12"/>
      <c r="MRO27" s="12"/>
      <c r="MRP27" s="12"/>
      <c r="MSG27" s="12"/>
      <c r="MSH27" s="12"/>
      <c r="MSY27" s="12"/>
      <c r="MSZ27" s="12"/>
      <c r="MTQ27" s="12"/>
      <c r="MTR27" s="12"/>
      <c r="MUI27" s="12"/>
      <c r="MUJ27" s="12"/>
      <c r="MVA27" s="12"/>
      <c r="MVB27" s="12"/>
      <c r="MVS27" s="12"/>
      <c r="MVT27" s="12"/>
      <c r="MWK27" s="12"/>
      <c r="MWL27" s="12"/>
      <c r="MXC27" s="12"/>
      <c r="MXD27" s="12"/>
      <c r="MXU27" s="12"/>
      <c r="MXV27" s="12"/>
      <c r="MYM27" s="12"/>
      <c r="MYN27" s="12"/>
      <c r="MZE27" s="12"/>
      <c r="MZF27" s="12"/>
      <c r="MZW27" s="12"/>
      <c r="MZX27" s="12"/>
      <c r="NAO27" s="12"/>
      <c r="NAP27" s="12"/>
      <c r="NBG27" s="12"/>
      <c r="NBH27" s="12"/>
      <c r="NBY27" s="12"/>
      <c r="NBZ27" s="12"/>
      <c r="NCQ27" s="12"/>
      <c r="NCR27" s="12"/>
      <c r="NDI27" s="12"/>
      <c r="NDJ27" s="12"/>
      <c r="NEA27" s="12"/>
      <c r="NEB27" s="12"/>
      <c r="NES27" s="12"/>
      <c r="NET27" s="12"/>
      <c r="NFK27" s="12"/>
      <c r="NFL27" s="12"/>
      <c r="NGC27" s="12"/>
      <c r="NGD27" s="12"/>
      <c r="NGU27" s="12"/>
      <c r="NGV27" s="12"/>
      <c r="NHM27" s="12"/>
      <c r="NHN27" s="12"/>
      <c r="NIE27" s="12"/>
      <c r="NIF27" s="12"/>
      <c r="NIW27" s="12"/>
      <c r="NIX27" s="12"/>
      <c r="NJO27" s="12"/>
      <c r="NJP27" s="12"/>
      <c r="NKG27" s="12"/>
      <c r="NKH27" s="12"/>
      <c r="NKY27" s="12"/>
      <c r="NKZ27" s="12"/>
      <c r="NLQ27" s="12"/>
      <c r="NLR27" s="12"/>
      <c r="NMI27" s="12"/>
      <c r="NMJ27" s="12"/>
      <c r="NNA27" s="12"/>
      <c r="NNB27" s="12"/>
      <c r="NNS27" s="12"/>
      <c r="NNT27" s="12"/>
      <c r="NOK27" s="12"/>
      <c r="NOL27" s="12"/>
      <c r="NPC27" s="12"/>
      <c r="NPD27" s="12"/>
      <c r="NPU27" s="12"/>
      <c r="NPV27" s="12"/>
      <c r="NQM27" s="12"/>
      <c r="NQN27" s="12"/>
      <c r="NRE27" s="12"/>
      <c r="NRF27" s="12"/>
      <c r="NRW27" s="12"/>
      <c r="NRX27" s="12"/>
      <c r="NSO27" s="12"/>
      <c r="NSP27" s="12"/>
      <c r="NTG27" s="12"/>
      <c r="NTH27" s="12"/>
      <c r="NTY27" s="12"/>
      <c r="NTZ27" s="12"/>
      <c r="NUQ27" s="12"/>
      <c r="NUR27" s="12"/>
      <c r="NVI27" s="12"/>
      <c r="NVJ27" s="12"/>
      <c r="NWA27" s="12"/>
      <c r="NWB27" s="12"/>
      <c r="NWS27" s="12"/>
      <c r="NWT27" s="12"/>
      <c r="NXK27" s="12"/>
      <c r="NXL27" s="12"/>
      <c r="NYC27" s="12"/>
      <c r="NYD27" s="12"/>
      <c r="NYU27" s="12"/>
      <c r="NYV27" s="12"/>
      <c r="NZM27" s="12"/>
      <c r="NZN27" s="12"/>
      <c r="OAE27" s="12"/>
      <c r="OAF27" s="12"/>
      <c r="OAW27" s="12"/>
      <c r="OAX27" s="12"/>
      <c r="OBO27" s="12"/>
      <c r="OBP27" s="12"/>
      <c r="OCG27" s="12"/>
      <c r="OCH27" s="12"/>
      <c r="OCY27" s="12"/>
      <c r="OCZ27" s="12"/>
      <c r="ODQ27" s="12"/>
      <c r="ODR27" s="12"/>
      <c r="OEI27" s="12"/>
      <c r="OEJ27" s="12"/>
      <c r="OFA27" s="12"/>
      <c r="OFB27" s="12"/>
      <c r="OFS27" s="12"/>
      <c r="OFT27" s="12"/>
      <c r="OGK27" s="12"/>
      <c r="OGL27" s="12"/>
      <c r="OHC27" s="12"/>
      <c r="OHD27" s="12"/>
      <c r="OHU27" s="12"/>
      <c r="OHV27" s="12"/>
      <c r="OIM27" s="12"/>
      <c r="OIN27" s="12"/>
      <c r="OJE27" s="12"/>
      <c r="OJF27" s="12"/>
      <c r="OJW27" s="12"/>
      <c r="OJX27" s="12"/>
      <c r="OKO27" s="12"/>
      <c r="OKP27" s="12"/>
      <c r="OLG27" s="12"/>
      <c r="OLH27" s="12"/>
      <c r="OLY27" s="12"/>
      <c r="OLZ27" s="12"/>
      <c r="OMQ27" s="12"/>
      <c r="OMR27" s="12"/>
      <c r="ONI27" s="12"/>
      <c r="ONJ27" s="12"/>
      <c r="OOA27" s="12"/>
      <c r="OOB27" s="12"/>
      <c r="OOS27" s="12"/>
      <c r="OOT27" s="12"/>
      <c r="OPK27" s="12"/>
      <c r="OPL27" s="12"/>
      <c r="OQC27" s="12"/>
      <c r="OQD27" s="12"/>
      <c r="OQU27" s="12"/>
      <c r="OQV27" s="12"/>
      <c r="ORM27" s="12"/>
      <c r="ORN27" s="12"/>
      <c r="OSE27" s="12"/>
      <c r="OSF27" s="12"/>
      <c r="OSW27" s="12"/>
      <c r="OSX27" s="12"/>
      <c r="OTO27" s="12"/>
      <c r="OTP27" s="12"/>
      <c r="OUG27" s="12"/>
      <c r="OUH27" s="12"/>
      <c r="OUY27" s="12"/>
      <c r="OUZ27" s="12"/>
      <c r="OVQ27" s="12"/>
      <c r="OVR27" s="12"/>
      <c r="OWI27" s="12"/>
      <c r="OWJ27" s="12"/>
      <c r="OXA27" s="12"/>
      <c r="OXB27" s="12"/>
      <c r="OXS27" s="12"/>
      <c r="OXT27" s="12"/>
      <c r="OYK27" s="12"/>
      <c r="OYL27" s="12"/>
      <c r="OZC27" s="12"/>
      <c r="OZD27" s="12"/>
      <c r="OZU27" s="12"/>
      <c r="OZV27" s="12"/>
      <c r="PAM27" s="12"/>
      <c r="PAN27" s="12"/>
      <c r="PBE27" s="12"/>
      <c r="PBF27" s="12"/>
      <c r="PBW27" s="12"/>
      <c r="PBX27" s="12"/>
      <c r="PCO27" s="12"/>
      <c r="PCP27" s="12"/>
      <c r="PDG27" s="12"/>
      <c r="PDH27" s="12"/>
      <c r="PDY27" s="12"/>
      <c r="PDZ27" s="12"/>
      <c r="PEQ27" s="12"/>
      <c r="PER27" s="12"/>
      <c r="PFI27" s="12"/>
      <c r="PFJ27" s="12"/>
      <c r="PGA27" s="12"/>
      <c r="PGB27" s="12"/>
      <c r="PGS27" s="12"/>
      <c r="PGT27" s="12"/>
      <c r="PHK27" s="12"/>
      <c r="PHL27" s="12"/>
      <c r="PIC27" s="12"/>
      <c r="PID27" s="12"/>
      <c r="PIU27" s="12"/>
      <c r="PIV27" s="12"/>
      <c r="PJM27" s="12"/>
      <c r="PJN27" s="12"/>
      <c r="PKE27" s="12"/>
      <c r="PKF27" s="12"/>
      <c r="PKW27" s="12"/>
      <c r="PKX27" s="12"/>
      <c r="PLO27" s="12"/>
      <c r="PLP27" s="12"/>
      <c r="PMG27" s="12"/>
      <c r="PMH27" s="12"/>
      <c r="PMY27" s="12"/>
      <c r="PMZ27" s="12"/>
      <c r="PNQ27" s="12"/>
      <c r="PNR27" s="12"/>
      <c r="POI27" s="12"/>
      <c r="POJ27" s="12"/>
      <c r="PPA27" s="12"/>
      <c r="PPB27" s="12"/>
      <c r="PPS27" s="12"/>
      <c r="PPT27" s="12"/>
      <c r="PQK27" s="12"/>
      <c r="PQL27" s="12"/>
      <c r="PRC27" s="12"/>
      <c r="PRD27" s="12"/>
      <c r="PRU27" s="12"/>
      <c r="PRV27" s="12"/>
      <c r="PSM27" s="12"/>
      <c r="PSN27" s="12"/>
      <c r="PTE27" s="12"/>
      <c r="PTF27" s="12"/>
      <c r="PTW27" s="12"/>
      <c r="PTX27" s="12"/>
      <c r="PUO27" s="12"/>
      <c r="PUP27" s="12"/>
      <c r="PVG27" s="12"/>
      <c r="PVH27" s="12"/>
      <c r="PVY27" s="12"/>
      <c r="PVZ27" s="12"/>
      <c r="PWQ27" s="12"/>
      <c r="PWR27" s="12"/>
      <c r="PXI27" s="12"/>
      <c r="PXJ27" s="12"/>
      <c r="PYA27" s="12"/>
      <c r="PYB27" s="12"/>
      <c r="PYS27" s="12"/>
      <c r="PYT27" s="12"/>
      <c r="PZK27" s="12"/>
      <c r="PZL27" s="12"/>
      <c r="QAC27" s="12"/>
      <c r="QAD27" s="12"/>
      <c r="QAU27" s="12"/>
      <c r="QAV27" s="12"/>
      <c r="QBM27" s="12"/>
      <c r="QBN27" s="12"/>
      <c r="QCE27" s="12"/>
      <c r="QCF27" s="12"/>
      <c r="QCW27" s="12"/>
      <c r="QCX27" s="12"/>
      <c r="QDO27" s="12"/>
      <c r="QDP27" s="12"/>
      <c r="QEG27" s="12"/>
      <c r="QEH27" s="12"/>
      <c r="QEY27" s="12"/>
      <c r="QEZ27" s="12"/>
      <c r="QFQ27" s="12"/>
      <c r="QFR27" s="12"/>
      <c r="QGI27" s="12"/>
      <c r="QGJ27" s="12"/>
      <c r="QHA27" s="12"/>
      <c r="QHB27" s="12"/>
      <c r="QHS27" s="12"/>
      <c r="QHT27" s="12"/>
      <c r="QIK27" s="12"/>
      <c r="QIL27" s="12"/>
      <c r="QJC27" s="12"/>
      <c r="QJD27" s="12"/>
      <c r="QJU27" s="12"/>
      <c r="QJV27" s="12"/>
      <c r="QKM27" s="12"/>
      <c r="QKN27" s="12"/>
      <c r="QLE27" s="12"/>
      <c r="QLF27" s="12"/>
      <c r="QLW27" s="12"/>
      <c r="QLX27" s="12"/>
      <c r="QMO27" s="12"/>
      <c r="QMP27" s="12"/>
      <c r="QNG27" s="12"/>
      <c r="QNH27" s="12"/>
      <c r="QNY27" s="12"/>
      <c r="QNZ27" s="12"/>
      <c r="QOQ27" s="12"/>
      <c r="QOR27" s="12"/>
      <c r="QPI27" s="12"/>
      <c r="QPJ27" s="12"/>
      <c r="QQA27" s="12"/>
      <c r="QQB27" s="12"/>
      <c r="QQS27" s="12"/>
      <c r="QQT27" s="12"/>
      <c r="QRK27" s="12"/>
      <c r="QRL27" s="12"/>
      <c r="QSC27" s="12"/>
      <c r="QSD27" s="12"/>
      <c r="QSU27" s="12"/>
      <c r="QSV27" s="12"/>
      <c r="QTM27" s="12"/>
      <c r="QTN27" s="12"/>
      <c r="QUE27" s="12"/>
      <c r="QUF27" s="12"/>
      <c r="QUW27" s="12"/>
      <c r="QUX27" s="12"/>
      <c r="QVO27" s="12"/>
      <c r="QVP27" s="12"/>
      <c r="QWG27" s="12"/>
      <c r="QWH27" s="12"/>
      <c r="QWY27" s="12"/>
      <c r="QWZ27" s="12"/>
      <c r="QXQ27" s="12"/>
      <c r="QXR27" s="12"/>
      <c r="QYI27" s="12"/>
      <c r="QYJ27" s="12"/>
      <c r="QZA27" s="12"/>
      <c r="QZB27" s="12"/>
      <c r="QZS27" s="12"/>
      <c r="QZT27" s="12"/>
      <c r="RAK27" s="12"/>
      <c r="RAL27" s="12"/>
      <c r="RBC27" s="12"/>
      <c r="RBD27" s="12"/>
      <c r="RBU27" s="12"/>
      <c r="RBV27" s="12"/>
      <c r="RCM27" s="12"/>
      <c r="RCN27" s="12"/>
      <c r="RDE27" s="12"/>
      <c r="RDF27" s="12"/>
      <c r="RDW27" s="12"/>
      <c r="RDX27" s="12"/>
      <c r="REO27" s="12"/>
      <c r="REP27" s="12"/>
      <c r="RFG27" s="12"/>
      <c r="RFH27" s="12"/>
      <c r="RFY27" s="12"/>
      <c r="RFZ27" s="12"/>
      <c r="RGQ27" s="12"/>
      <c r="RGR27" s="12"/>
      <c r="RHI27" s="12"/>
      <c r="RHJ27" s="12"/>
      <c r="RIA27" s="12"/>
      <c r="RIB27" s="12"/>
      <c r="RIS27" s="12"/>
      <c r="RIT27" s="12"/>
      <c r="RJK27" s="12"/>
      <c r="RJL27" s="12"/>
      <c r="RKC27" s="12"/>
      <c r="RKD27" s="12"/>
      <c r="RKU27" s="12"/>
      <c r="RKV27" s="12"/>
      <c r="RLM27" s="12"/>
      <c r="RLN27" s="12"/>
      <c r="RME27" s="12"/>
      <c r="RMF27" s="12"/>
      <c r="RMW27" s="12"/>
      <c r="RMX27" s="12"/>
      <c r="RNO27" s="12"/>
      <c r="RNP27" s="12"/>
      <c r="ROG27" s="12"/>
      <c r="ROH27" s="12"/>
      <c r="ROY27" s="12"/>
      <c r="ROZ27" s="12"/>
      <c r="RPQ27" s="12"/>
      <c r="RPR27" s="12"/>
      <c r="RQI27" s="12"/>
      <c r="RQJ27" s="12"/>
      <c r="RRA27" s="12"/>
      <c r="RRB27" s="12"/>
      <c r="RRS27" s="12"/>
      <c r="RRT27" s="12"/>
      <c r="RSK27" s="12"/>
      <c r="RSL27" s="12"/>
      <c r="RTC27" s="12"/>
      <c r="RTD27" s="12"/>
      <c r="RTU27" s="12"/>
      <c r="RTV27" s="12"/>
      <c r="RUM27" s="12"/>
      <c r="RUN27" s="12"/>
      <c r="RVE27" s="12"/>
      <c r="RVF27" s="12"/>
      <c r="RVW27" s="12"/>
      <c r="RVX27" s="12"/>
      <c r="RWO27" s="12"/>
      <c r="RWP27" s="12"/>
      <c r="RXG27" s="12"/>
      <c r="RXH27" s="12"/>
      <c r="RXY27" s="12"/>
      <c r="RXZ27" s="12"/>
      <c r="RYQ27" s="12"/>
      <c r="RYR27" s="12"/>
      <c r="RZI27" s="12"/>
      <c r="RZJ27" s="12"/>
      <c r="SAA27" s="12"/>
      <c r="SAB27" s="12"/>
      <c r="SAS27" s="12"/>
      <c r="SAT27" s="12"/>
      <c r="SBK27" s="12"/>
      <c r="SBL27" s="12"/>
      <c r="SCC27" s="12"/>
      <c r="SCD27" s="12"/>
      <c r="SCU27" s="12"/>
      <c r="SCV27" s="12"/>
      <c r="SDM27" s="12"/>
      <c r="SDN27" s="12"/>
      <c r="SEE27" s="12"/>
      <c r="SEF27" s="12"/>
      <c r="SEW27" s="12"/>
      <c r="SEX27" s="12"/>
      <c r="SFO27" s="12"/>
      <c r="SFP27" s="12"/>
      <c r="SGG27" s="12"/>
      <c r="SGH27" s="12"/>
      <c r="SGY27" s="12"/>
      <c r="SGZ27" s="12"/>
      <c r="SHQ27" s="12"/>
      <c r="SHR27" s="12"/>
      <c r="SII27" s="12"/>
      <c r="SIJ27" s="12"/>
      <c r="SJA27" s="12"/>
      <c r="SJB27" s="12"/>
      <c r="SJS27" s="12"/>
      <c r="SJT27" s="12"/>
      <c r="SKK27" s="12"/>
      <c r="SKL27" s="12"/>
      <c r="SLC27" s="12"/>
      <c r="SLD27" s="12"/>
      <c r="SLU27" s="12"/>
      <c r="SLV27" s="12"/>
      <c r="SMM27" s="12"/>
      <c r="SMN27" s="12"/>
      <c r="SNE27" s="12"/>
      <c r="SNF27" s="12"/>
      <c r="SNW27" s="12"/>
      <c r="SNX27" s="12"/>
      <c r="SOO27" s="12"/>
      <c r="SOP27" s="12"/>
      <c r="SPG27" s="12"/>
      <c r="SPH27" s="12"/>
      <c r="SPY27" s="12"/>
      <c r="SPZ27" s="12"/>
      <c r="SQQ27" s="12"/>
      <c r="SQR27" s="12"/>
      <c r="SRI27" s="12"/>
      <c r="SRJ27" s="12"/>
      <c r="SSA27" s="12"/>
      <c r="SSB27" s="12"/>
      <c r="SSS27" s="12"/>
      <c r="SST27" s="12"/>
      <c r="STK27" s="12"/>
      <c r="STL27" s="12"/>
      <c r="SUC27" s="12"/>
      <c r="SUD27" s="12"/>
      <c r="SUU27" s="12"/>
      <c r="SUV27" s="12"/>
      <c r="SVM27" s="12"/>
      <c r="SVN27" s="12"/>
      <c r="SWE27" s="12"/>
      <c r="SWF27" s="12"/>
      <c r="SWW27" s="12"/>
      <c r="SWX27" s="12"/>
      <c r="SXO27" s="12"/>
      <c r="SXP27" s="12"/>
      <c r="SYG27" s="12"/>
      <c r="SYH27" s="12"/>
      <c r="SYY27" s="12"/>
      <c r="SYZ27" s="12"/>
      <c r="SZQ27" s="12"/>
      <c r="SZR27" s="12"/>
      <c r="TAI27" s="12"/>
      <c r="TAJ27" s="12"/>
      <c r="TBA27" s="12"/>
      <c r="TBB27" s="12"/>
      <c r="TBS27" s="12"/>
      <c r="TBT27" s="12"/>
      <c r="TCK27" s="12"/>
      <c r="TCL27" s="12"/>
      <c r="TDC27" s="12"/>
      <c r="TDD27" s="12"/>
      <c r="TDU27" s="12"/>
      <c r="TDV27" s="12"/>
      <c r="TEM27" s="12"/>
      <c r="TEN27" s="12"/>
      <c r="TFE27" s="12"/>
      <c r="TFF27" s="12"/>
      <c r="TFW27" s="12"/>
      <c r="TFX27" s="12"/>
      <c r="TGO27" s="12"/>
      <c r="TGP27" s="12"/>
      <c r="THG27" s="12"/>
      <c r="THH27" s="12"/>
      <c r="THY27" s="12"/>
      <c r="THZ27" s="12"/>
      <c r="TIQ27" s="12"/>
      <c r="TIR27" s="12"/>
      <c r="TJI27" s="12"/>
      <c r="TJJ27" s="12"/>
      <c r="TKA27" s="12"/>
      <c r="TKB27" s="12"/>
      <c r="TKS27" s="12"/>
      <c r="TKT27" s="12"/>
      <c r="TLK27" s="12"/>
      <c r="TLL27" s="12"/>
      <c r="TMC27" s="12"/>
      <c r="TMD27" s="12"/>
      <c r="TMU27" s="12"/>
      <c r="TMV27" s="12"/>
      <c r="TNM27" s="12"/>
      <c r="TNN27" s="12"/>
      <c r="TOE27" s="12"/>
      <c r="TOF27" s="12"/>
      <c r="TOW27" s="12"/>
      <c r="TOX27" s="12"/>
      <c r="TPO27" s="12"/>
      <c r="TPP27" s="12"/>
      <c r="TQG27" s="12"/>
      <c r="TQH27" s="12"/>
      <c r="TQY27" s="12"/>
      <c r="TQZ27" s="12"/>
      <c r="TRQ27" s="12"/>
      <c r="TRR27" s="12"/>
      <c r="TSI27" s="12"/>
      <c r="TSJ27" s="12"/>
      <c r="TTA27" s="12"/>
      <c r="TTB27" s="12"/>
      <c r="TTS27" s="12"/>
      <c r="TTT27" s="12"/>
      <c r="TUK27" s="12"/>
      <c r="TUL27" s="12"/>
      <c r="TVC27" s="12"/>
      <c r="TVD27" s="12"/>
      <c r="TVU27" s="12"/>
      <c r="TVV27" s="12"/>
      <c r="TWM27" s="12"/>
      <c r="TWN27" s="12"/>
      <c r="TXE27" s="12"/>
      <c r="TXF27" s="12"/>
      <c r="TXW27" s="12"/>
      <c r="TXX27" s="12"/>
      <c r="TYO27" s="12"/>
      <c r="TYP27" s="12"/>
      <c r="TZG27" s="12"/>
      <c r="TZH27" s="12"/>
      <c r="TZY27" s="12"/>
      <c r="TZZ27" s="12"/>
      <c r="UAQ27" s="12"/>
      <c r="UAR27" s="12"/>
      <c r="UBI27" s="12"/>
      <c r="UBJ27" s="12"/>
      <c r="UCA27" s="12"/>
      <c r="UCB27" s="12"/>
      <c r="UCS27" s="12"/>
      <c r="UCT27" s="12"/>
      <c r="UDK27" s="12"/>
      <c r="UDL27" s="12"/>
      <c r="UEC27" s="12"/>
      <c r="UED27" s="12"/>
      <c r="UEU27" s="12"/>
      <c r="UEV27" s="12"/>
      <c r="UFM27" s="12"/>
      <c r="UFN27" s="12"/>
      <c r="UGE27" s="12"/>
      <c r="UGF27" s="12"/>
      <c r="UGW27" s="12"/>
      <c r="UGX27" s="12"/>
      <c r="UHO27" s="12"/>
      <c r="UHP27" s="12"/>
      <c r="UIG27" s="12"/>
      <c r="UIH27" s="12"/>
      <c r="UIY27" s="12"/>
      <c r="UIZ27" s="12"/>
      <c r="UJQ27" s="12"/>
      <c r="UJR27" s="12"/>
      <c r="UKI27" s="12"/>
      <c r="UKJ27" s="12"/>
      <c r="ULA27" s="12"/>
      <c r="ULB27" s="12"/>
      <c r="ULS27" s="12"/>
      <c r="ULT27" s="12"/>
      <c r="UMK27" s="12"/>
      <c r="UML27" s="12"/>
      <c r="UNC27" s="12"/>
      <c r="UND27" s="12"/>
      <c r="UNU27" s="12"/>
      <c r="UNV27" s="12"/>
      <c r="UOM27" s="12"/>
      <c r="UON27" s="12"/>
      <c r="UPE27" s="12"/>
      <c r="UPF27" s="12"/>
      <c r="UPW27" s="12"/>
      <c r="UPX27" s="12"/>
      <c r="UQO27" s="12"/>
      <c r="UQP27" s="12"/>
      <c r="URG27" s="12"/>
      <c r="URH27" s="12"/>
      <c r="URY27" s="12"/>
      <c r="URZ27" s="12"/>
      <c r="USQ27" s="12"/>
      <c r="USR27" s="12"/>
      <c r="UTI27" s="12"/>
      <c r="UTJ27" s="12"/>
      <c r="UUA27" s="12"/>
      <c r="UUB27" s="12"/>
      <c r="UUS27" s="12"/>
      <c r="UUT27" s="12"/>
      <c r="UVK27" s="12"/>
      <c r="UVL27" s="12"/>
      <c r="UWC27" s="12"/>
      <c r="UWD27" s="12"/>
      <c r="UWU27" s="12"/>
      <c r="UWV27" s="12"/>
      <c r="UXM27" s="12"/>
      <c r="UXN27" s="12"/>
      <c r="UYE27" s="12"/>
      <c r="UYF27" s="12"/>
      <c r="UYW27" s="12"/>
      <c r="UYX27" s="12"/>
      <c r="UZO27" s="12"/>
      <c r="UZP27" s="12"/>
      <c r="VAG27" s="12"/>
      <c r="VAH27" s="12"/>
      <c r="VAY27" s="12"/>
      <c r="VAZ27" s="12"/>
      <c r="VBQ27" s="12"/>
      <c r="VBR27" s="12"/>
      <c r="VCI27" s="12"/>
      <c r="VCJ27" s="12"/>
      <c r="VDA27" s="12"/>
      <c r="VDB27" s="12"/>
      <c r="VDS27" s="12"/>
      <c r="VDT27" s="12"/>
      <c r="VEK27" s="12"/>
      <c r="VEL27" s="12"/>
      <c r="VFC27" s="12"/>
      <c r="VFD27" s="12"/>
      <c r="VFU27" s="12"/>
      <c r="VFV27" s="12"/>
      <c r="VGM27" s="12"/>
      <c r="VGN27" s="12"/>
      <c r="VHE27" s="12"/>
      <c r="VHF27" s="12"/>
      <c r="VHW27" s="12"/>
      <c r="VHX27" s="12"/>
      <c r="VIO27" s="12"/>
      <c r="VIP27" s="12"/>
      <c r="VJG27" s="12"/>
      <c r="VJH27" s="12"/>
      <c r="VJY27" s="12"/>
      <c r="VJZ27" s="12"/>
      <c r="VKQ27" s="12"/>
      <c r="VKR27" s="12"/>
      <c r="VLI27" s="12"/>
      <c r="VLJ27" s="12"/>
      <c r="VMA27" s="12"/>
      <c r="VMB27" s="12"/>
      <c r="VMS27" s="12"/>
      <c r="VMT27" s="12"/>
      <c r="VNK27" s="12"/>
      <c r="VNL27" s="12"/>
      <c r="VOC27" s="12"/>
      <c r="VOD27" s="12"/>
      <c r="VOU27" s="12"/>
      <c r="VOV27" s="12"/>
      <c r="VPM27" s="12"/>
      <c r="VPN27" s="12"/>
      <c r="VQE27" s="12"/>
      <c r="VQF27" s="12"/>
      <c r="VQW27" s="12"/>
      <c r="VQX27" s="12"/>
      <c r="VRO27" s="12"/>
      <c r="VRP27" s="12"/>
      <c r="VSG27" s="12"/>
      <c r="VSH27" s="12"/>
      <c r="VSY27" s="12"/>
      <c r="VSZ27" s="12"/>
      <c r="VTQ27" s="12"/>
      <c r="VTR27" s="12"/>
      <c r="VUI27" s="12"/>
      <c r="VUJ27" s="12"/>
      <c r="VVA27" s="12"/>
      <c r="VVB27" s="12"/>
      <c r="VVS27" s="12"/>
      <c r="VVT27" s="12"/>
      <c r="VWK27" s="12"/>
      <c r="VWL27" s="12"/>
      <c r="VXC27" s="12"/>
      <c r="VXD27" s="12"/>
      <c r="VXU27" s="12"/>
      <c r="VXV27" s="12"/>
      <c r="VYM27" s="12"/>
      <c r="VYN27" s="12"/>
      <c r="VZE27" s="12"/>
      <c r="VZF27" s="12"/>
      <c r="VZW27" s="12"/>
      <c r="VZX27" s="12"/>
      <c r="WAO27" s="12"/>
      <c r="WAP27" s="12"/>
      <c r="WBG27" s="12"/>
      <c r="WBH27" s="12"/>
      <c r="WBY27" s="12"/>
      <c r="WBZ27" s="12"/>
      <c r="WCQ27" s="12"/>
      <c r="WCR27" s="12"/>
      <c r="WDI27" s="12"/>
      <c r="WDJ27" s="12"/>
      <c r="WEA27" s="12"/>
      <c r="WEB27" s="12"/>
      <c r="WES27" s="12"/>
      <c r="WET27" s="12"/>
      <c r="WFK27" s="12"/>
      <c r="WFL27" s="12"/>
      <c r="WGC27" s="12"/>
      <c r="WGD27" s="12"/>
      <c r="WGU27" s="12"/>
      <c r="WGV27" s="12"/>
      <c r="WHM27" s="12"/>
      <c r="WHN27" s="12"/>
      <c r="WIE27" s="12"/>
      <c r="WIF27" s="12"/>
      <c r="WIW27" s="12"/>
      <c r="WIX27" s="12"/>
      <c r="WJO27" s="12"/>
      <c r="WJP27" s="12"/>
      <c r="WKG27" s="12"/>
      <c r="WKH27" s="12"/>
      <c r="WKY27" s="12"/>
      <c r="WKZ27" s="12"/>
      <c r="WLQ27" s="12"/>
      <c r="WLR27" s="12"/>
      <c r="WMI27" s="12"/>
      <c r="WMJ27" s="12"/>
      <c r="WNA27" s="12"/>
      <c r="WNB27" s="12"/>
      <c r="WNS27" s="12"/>
      <c r="WNT27" s="12"/>
      <c r="WOK27" s="12"/>
      <c r="WOL27" s="12"/>
      <c r="WPC27" s="12"/>
      <c r="WPD27" s="12"/>
      <c r="WPU27" s="12"/>
      <c r="WPV27" s="12"/>
      <c r="WQM27" s="12"/>
      <c r="WQN27" s="12"/>
      <c r="WRE27" s="12"/>
      <c r="WRF27" s="12"/>
      <c r="WRW27" s="12"/>
      <c r="WRX27" s="12"/>
      <c r="WSO27" s="12"/>
      <c r="WSP27" s="12"/>
      <c r="WTG27" s="12"/>
      <c r="WTH27" s="12"/>
      <c r="WTY27" s="12"/>
      <c r="WTZ27" s="12"/>
      <c r="WUQ27" s="12"/>
      <c r="WUR27" s="12"/>
      <c r="WVI27" s="12"/>
      <c r="WVJ27" s="12"/>
      <c r="WWA27" s="12"/>
      <c r="WWB27" s="12"/>
      <c r="WWS27" s="12"/>
      <c r="WWT27" s="12"/>
      <c r="WXK27" s="12"/>
      <c r="WXL27" s="12"/>
      <c r="WYC27" s="12"/>
      <c r="WYD27" s="12"/>
      <c r="WYU27" s="12"/>
      <c r="WYV27" s="12"/>
      <c r="WZM27" s="12"/>
      <c r="WZN27" s="12"/>
      <c r="XAE27" s="12"/>
      <c r="XAF27" s="12"/>
      <c r="XAW27" s="12"/>
      <c r="XAX27" s="12"/>
      <c r="XBO27" s="12"/>
      <c r="XBP27" s="12"/>
      <c r="XCG27" s="12"/>
      <c r="XCH27" s="12"/>
      <c r="XCY27" s="12"/>
      <c r="XCZ27" s="12"/>
      <c r="XDQ27" s="12"/>
      <c r="XDR27" s="12"/>
      <c r="XEI27" s="12"/>
      <c r="XEJ27" s="12"/>
      <c r="XFA27" s="12"/>
      <c r="XFB27" s="12"/>
    </row>
    <row r="28" spans="1:1010 1027:2036 2053:3062 3079:4088 4105:5114 5131:6140 6157:7166 7183:8192 8209:9200 9217:10226 10243:11252 11269:12278 12295:13304 13321:14330 14347:15356 15373:16382" x14ac:dyDescent="0.35">
      <c r="A28" s="181" t="str">
        <f>'Cash Flow - Standardized'!A28</f>
        <v xml:space="preserve">    + Disp in Fixed &amp; Intang</v>
      </c>
      <c r="B28" s="13" t="str">
        <f>'Cash Flow - Standardized'!B28</f>
        <v>DISP_FXD_&amp;_INTANGIBLES_DETAILED</v>
      </c>
      <c r="C28" s="77">
        <f>IF('Cash Flow - Standardized'!C28="",0,'Cash Flow - Standardized'!C28)/'Cash Flow - Standardized'!C$46</f>
        <v>0</v>
      </c>
      <c r="D28" s="77">
        <f>IF('Cash Flow - Standardized'!D28="",0,'Cash Flow - Standardized'!D28)/'Cash Flow - Standardized'!D$46</f>
        <v>0</v>
      </c>
      <c r="E28" s="77">
        <f>IF('Cash Flow - Standardized'!E28="",0,'Cash Flow - Standardized'!E28)/'Cash Flow - Standardized'!E$46</f>
        <v>0</v>
      </c>
      <c r="F28" s="77">
        <f>IF('Cash Flow - Standardized'!F28="",0,'Cash Flow - Standardized'!F28)/'Cash Flow - Standardized'!F$46</f>
        <v>0</v>
      </c>
      <c r="G28" s="77">
        <f>IF('Cash Flow - Standardized'!G28="",0,'Cash Flow - Standardized'!G28)/'Cash Flow - Standardized'!G$46</f>
        <v>-0.10268993093420574</v>
      </c>
      <c r="H28" s="77">
        <f>IF('Cash Flow - Standardized'!H28="",0,'Cash Flow - Standardized'!H28)/'Cash Flow - Standardized'!H$46</f>
        <v>0</v>
      </c>
      <c r="I28" s="77">
        <f>IF('Cash Flow - Standardized'!I28="",0,'Cash Flow - Standardized'!I28)/'Cash Flow - Standardized'!I$46</f>
        <v>0</v>
      </c>
      <c r="J28" s="77">
        <f>IF('Cash Flow - Standardized'!J28="",0,'Cash Flow - Standardized'!J28)/'Cash Flow - Standardized'!J$46</f>
        <v>0</v>
      </c>
      <c r="K28" s="77">
        <f>IF('Cash Flow - Standardized'!K28="",0,'Cash Flow - Standardized'!K28)/'Cash Flow - Standardized'!K$46</f>
        <v>0</v>
      </c>
      <c r="L28" s="77">
        <f>IF('Cash Flow - Standardized'!L28="",0,'Cash Flow - Standardized'!L28)/'Cash Flow - Standardized'!L$46</f>
        <v>0</v>
      </c>
      <c r="M28" s="108"/>
      <c r="N28" s="108"/>
      <c r="O28" s="108"/>
      <c r="P28" s="108"/>
      <c r="Q28" s="108"/>
      <c r="R28" s="108"/>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row>
    <row r="29" spans="1:1010 1027:2036 2053:3062 3079:4088 4105:5114 5131:6140 6157:7166 7183:8192 8209:9200 9217:10226 10243:11252 11269:12278 12295:13304 13321:14330 14347:15356 15373:16382" x14ac:dyDescent="0.35">
      <c r="A29" s="181" t="str">
        <f>'Cash Flow - Standardized'!A29</f>
        <v xml:space="preserve">        + Disp of Fixed Prod Assets</v>
      </c>
      <c r="B29" s="476" t="str">
        <f>'Cash Flow - Standardized'!B29</f>
        <v>CF_DISPOSAL_OF_FIXED_PROD_ASSETS</v>
      </c>
      <c r="C29" s="77">
        <f>IF('Cash Flow - Standardized'!C29="",0,'Cash Flow - Standardized'!C29)/'Cash Flow - Standardized'!C$46</f>
        <v>0</v>
      </c>
      <c r="D29" s="77">
        <f>IF('Cash Flow - Standardized'!D29="",0,'Cash Flow - Standardized'!D29)/'Cash Flow - Standardized'!D$46</f>
        <v>0</v>
      </c>
      <c r="E29" s="77">
        <f>IF('Cash Flow - Standardized'!E29="",0,'Cash Flow - Standardized'!E29)/'Cash Flow - Standardized'!E$46</f>
        <v>0</v>
      </c>
      <c r="F29" s="77">
        <f>IF('Cash Flow - Standardized'!F29="",0,'Cash Flow - Standardized'!F29)/'Cash Flow - Standardized'!F$46</f>
        <v>0</v>
      </c>
      <c r="G29" s="77">
        <f>IF('Cash Flow - Standardized'!G29="",0,'Cash Flow - Standardized'!G29)/'Cash Flow - Standardized'!G$46</f>
        <v>-0.10268993093420574</v>
      </c>
      <c r="H29" s="77">
        <f>IF('Cash Flow - Standardized'!H29="",0,'Cash Flow - Standardized'!H29)/'Cash Flow - Standardized'!H$46</f>
        <v>0</v>
      </c>
      <c r="I29" s="77">
        <f>IF('Cash Flow - Standardized'!I29="",0,'Cash Flow - Standardized'!I29)/'Cash Flow - Standardized'!I$46</f>
        <v>0</v>
      </c>
      <c r="J29" s="77">
        <f>IF('Cash Flow - Standardized'!J29="",0,'Cash Flow - Standardized'!J29)/'Cash Flow - Standardized'!J$46</f>
        <v>0</v>
      </c>
      <c r="K29" s="77">
        <f>IF('Cash Flow - Standardized'!K29="",0,'Cash Flow - Standardized'!K29)/'Cash Flow - Standardized'!K$46</f>
        <v>0</v>
      </c>
      <c r="L29" s="77">
        <f>IF('Cash Flow - Standardized'!L29="",0,'Cash Flow - Standardized'!L29)/'Cash Flow - Standardized'!L$46</f>
        <v>0</v>
      </c>
      <c r="M29" s="108"/>
      <c r="N29" s="108"/>
      <c r="O29" s="108"/>
      <c r="P29" s="108"/>
      <c r="Q29" s="108"/>
      <c r="R29" s="108"/>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row>
    <row r="30" spans="1:1010 1027:2036 2053:3062 3079:4088 4105:5114 5131:6140 6157:7166 7183:8192 8209:9200 9217:10226 10243:11252 11269:12278 12295:13304 13321:14330 14347:15356 15373:16382" x14ac:dyDescent="0.35">
      <c r="A30" s="181" t="str">
        <f>'Cash Flow - Standardized'!A30</f>
        <v xml:space="preserve">        + Disp of Intangible Assets</v>
      </c>
      <c r="B30" s="476" t="str">
        <f>'Cash Flow - Standardized'!B30</f>
        <v>CF_DISPOSAL_OF_INTANGIBLE_ASSETS</v>
      </c>
      <c r="C30" s="77">
        <f>IF('Cash Flow - Standardized'!C30="",0,'Cash Flow - Standardized'!C30)/'Cash Flow - Standardized'!C$46</f>
        <v>0</v>
      </c>
      <c r="D30" s="77">
        <f>IF('Cash Flow - Standardized'!D30="",0,'Cash Flow - Standardized'!D30)/'Cash Flow - Standardized'!D$46</f>
        <v>0</v>
      </c>
      <c r="E30" s="77">
        <f>IF('Cash Flow - Standardized'!E30="",0,'Cash Flow - Standardized'!E30)/'Cash Flow - Standardized'!E$46</f>
        <v>0</v>
      </c>
      <c r="F30" s="77">
        <f>IF('Cash Flow - Standardized'!F30="",0,'Cash Flow - Standardized'!F30)/'Cash Flow - Standardized'!F$46</f>
        <v>0</v>
      </c>
      <c r="G30" s="77">
        <f>IF('Cash Flow - Standardized'!G30="",0,'Cash Flow - Standardized'!G30)/'Cash Flow - Standardized'!G$46</f>
        <v>0</v>
      </c>
      <c r="H30" s="77">
        <f>IF('Cash Flow - Standardized'!H30="",0,'Cash Flow - Standardized'!H30)/'Cash Flow - Standardized'!H$46</f>
        <v>0</v>
      </c>
      <c r="I30" s="77">
        <f>IF('Cash Flow - Standardized'!I30="",0,'Cash Flow - Standardized'!I30)/'Cash Flow - Standardized'!I$46</f>
        <v>0</v>
      </c>
      <c r="J30" s="77">
        <f>IF('Cash Flow - Standardized'!J30="",0,'Cash Flow - Standardized'!J30)/'Cash Flow - Standardized'!J$46</f>
        <v>0</v>
      </c>
      <c r="K30" s="77">
        <f>IF('Cash Flow - Standardized'!K30="",0,'Cash Flow - Standardized'!K30)/'Cash Flow - Standardized'!K$46</f>
        <v>0</v>
      </c>
      <c r="L30" s="77">
        <f>IF('Cash Flow - Standardized'!L30="",0,'Cash Flow - Standardized'!L30)/'Cash Flow - Standardized'!L$46</f>
        <v>0</v>
      </c>
      <c r="M30" s="108"/>
      <c r="N30" s="108"/>
      <c r="O30" s="108"/>
      <c r="P30" s="108"/>
      <c r="Q30" s="108"/>
      <c r="R30" s="108"/>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row>
    <row r="31" spans="1:1010 1027:2036 2053:3062 3079:4088 4105:5114 5131:6140 6157:7166 7183:8192 8209:9200 9217:10226 10243:11252 11269:12278 12295:13304 13321:14330 14347:15356 15373:16382" s="105" customFormat="1" x14ac:dyDescent="0.35">
      <c r="A31" s="181" t="str">
        <f>'Cash Flow - Standardized'!A31</f>
        <v xml:space="preserve">    + Acq of Fixed &amp; Intang</v>
      </c>
      <c r="B31" s="4" t="str">
        <f>'Cash Flow - Standardized'!B31</f>
        <v>ACQUIS_FXD_&amp;_INTANG_DETAILED</v>
      </c>
      <c r="C31" s="77">
        <f>IF('Cash Flow - Standardized'!C31="",0,'Cash Flow - Standardized'!C31)/'Cash Flow - Standardized'!C$46</f>
        <v>1.1614467569205902</v>
      </c>
      <c r="D31" s="77">
        <f>IF('Cash Flow - Standardized'!D31="",0,'Cash Flow - Standardized'!D31)/'Cash Flow - Standardized'!D$46</f>
        <v>0.8881651468082975</v>
      </c>
      <c r="E31" s="77">
        <f>IF('Cash Flow - Standardized'!E31="",0,'Cash Flow - Standardized'!E31)/'Cash Flow - Standardized'!E$46</f>
        <v>-0.61054957194145265</v>
      </c>
      <c r="F31" s="77">
        <f>IF('Cash Flow - Standardized'!F31="",0,'Cash Flow - Standardized'!F31)/'Cash Flow - Standardized'!F$46</f>
        <v>1.093878128092747</v>
      </c>
      <c r="G31" s="77">
        <f>IF('Cash Flow - Standardized'!G31="",0,'Cash Flow - Standardized'!G31)/'Cash Flow - Standardized'!G$46</f>
        <v>0.55681051046372743</v>
      </c>
      <c r="H31" s="77">
        <f>IF('Cash Flow - Standardized'!H31="",0,'Cash Flow - Standardized'!H31)/'Cash Flow - Standardized'!H$46</f>
        <v>0.95988268945291289</v>
      </c>
      <c r="I31" s="77">
        <f>IF('Cash Flow - Standardized'!I31="",0,'Cash Flow - Standardized'!I31)/'Cash Flow - Standardized'!I$46</f>
        <v>1.7424581005586595</v>
      </c>
      <c r="J31" s="77">
        <f>IF('Cash Flow - Standardized'!J31="",0,'Cash Flow - Standardized'!J31)/'Cash Flow - Standardized'!J$46</f>
        <v>0.3959550372229369</v>
      </c>
      <c r="K31" s="77">
        <f>IF('Cash Flow - Standardized'!K31="",0,'Cash Flow - Standardized'!K31)/'Cash Flow - Standardized'!K$46</f>
        <v>1.1171119077907559</v>
      </c>
      <c r="L31" s="77">
        <f>IF('Cash Flow - Standardized'!L31="",0,'Cash Flow - Standardized'!L31)/'Cash Flow - Standardized'!L$46</f>
        <v>0.87487133034133491</v>
      </c>
      <c r="M31" s="130"/>
      <c r="N31" s="130"/>
      <c r="O31" s="130"/>
      <c r="P31" s="130"/>
      <c r="Q31" s="130"/>
      <c r="R31" s="130"/>
      <c r="S31" s="110"/>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0"/>
      <c r="AX31" s="110"/>
    </row>
    <row r="32" spans="1:1010 1027:2036 2053:3062 3079:4088 4105:5114 5131:6140 6157:7166 7183:8192 8209:9200 9217:10226 10243:11252 11269:12278 12295:13304 13321:14330 14347:15356 15373:16382" x14ac:dyDescent="0.35">
      <c r="A32" s="181" t="str">
        <f>'Cash Flow - Standardized'!A32</f>
        <v xml:space="preserve">        + Acq of Fixed Prod Assets</v>
      </c>
      <c r="B32" s="476" t="str">
        <f>'Cash Flow - Standardized'!B32</f>
        <v>CF_PURCHASE_OF_FIXED_PROD_ASSETS</v>
      </c>
      <c r="C32" s="77">
        <f>IF('Cash Flow - Standardized'!C32="",0,'Cash Flow - Standardized'!C32)/'Cash Flow - Standardized'!C$46</f>
        <v>1.1614467569205902</v>
      </c>
      <c r="D32" s="77">
        <f>IF('Cash Flow - Standardized'!D32="",0,'Cash Flow - Standardized'!D32)/'Cash Flow - Standardized'!D$46</f>
        <v>0.8881651468082975</v>
      </c>
      <c r="E32" s="77">
        <f>IF('Cash Flow - Standardized'!E32="",0,'Cash Flow - Standardized'!E32)/'Cash Flow - Standardized'!E$46</f>
        <v>-0.61054957194145265</v>
      </c>
      <c r="F32" s="77">
        <f>IF('Cash Flow - Standardized'!F32="",0,'Cash Flow - Standardized'!F32)/'Cash Flow - Standardized'!F$46</f>
        <v>1.093878128092747</v>
      </c>
      <c r="G32" s="77">
        <f>IF('Cash Flow - Standardized'!G32="",0,'Cash Flow - Standardized'!G32)/'Cash Flow - Standardized'!G$46</f>
        <v>0.55681051046372743</v>
      </c>
      <c r="H32" s="77">
        <f>IF('Cash Flow - Standardized'!H32="",0,'Cash Flow - Standardized'!H32)/'Cash Flow - Standardized'!H$46</f>
        <v>0.95988268945291289</v>
      </c>
      <c r="I32" s="77">
        <f>IF('Cash Flow - Standardized'!I32="",0,'Cash Flow - Standardized'!I32)/'Cash Flow - Standardized'!I$46</f>
        <v>1.7424581005586595</v>
      </c>
      <c r="J32" s="77">
        <f>IF('Cash Flow - Standardized'!J32="",0,'Cash Flow - Standardized'!J32)/'Cash Flow - Standardized'!J$46</f>
        <v>0.3959550372229369</v>
      </c>
      <c r="K32" s="77">
        <f>IF('Cash Flow - Standardized'!K32="",0,'Cash Flow - Standardized'!K32)/'Cash Flow - Standardized'!K$46</f>
        <v>1.1171119077907559</v>
      </c>
      <c r="L32" s="77">
        <f>IF('Cash Flow - Standardized'!L32="",0,'Cash Flow - Standardized'!L32)/'Cash Flow - Standardized'!L$46</f>
        <v>0.87487133034133491</v>
      </c>
      <c r="M32" s="108"/>
      <c r="N32" s="108"/>
      <c r="O32" s="108"/>
      <c r="P32" s="108"/>
      <c r="Q32" s="108"/>
      <c r="R32" s="108"/>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row>
    <row r="33" spans="1:1010 1027:2036 2053:3062 3079:4088 4105:5114 5131:6140 6157:7166 7183:8192 8209:9200 9217:10226 10243:11252 11269:12278 12295:13304 13321:14330 14347:15356 15373:16382" x14ac:dyDescent="0.35">
      <c r="A33" s="181" t="str">
        <f>'Cash Flow - Standardized'!A33</f>
        <v xml:space="preserve">        + Acq of Intangible Assets</v>
      </c>
      <c r="B33" s="476" t="str">
        <f>'Cash Flow - Standardized'!B33</f>
        <v>CF_ACQUISITION_OF_INTANG_ASSETS</v>
      </c>
      <c r="C33" s="77">
        <f>IF('Cash Flow - Standardized'!C33="",0,'Cash Flow - Standardized'!C33)/'Cash Flow - Standardized'!C$46</f>
        <v>0</v>
      </c>
      <c r="D33" s="77">
        <f>IF('Cash Flow - Standardized'!D33="",0,'Cash Flow - Standardized'!D33)/'Cash Flow - Standardized'!D$46</f>
        <v>0</v>
      </c>
      <c r="E33" s="77">
        <f>IF('Cash Flow - Standardized'!E33="",0,'Cash Flow - Standardized'!E33)/'Cash Flow - Standardized'!E$46</f>
        <v>0</v>
      </c>
      <c r="F33" s="77">
        <f>IF('Cash Flow - Standardized'!F33="",0,'Cash Flow - Standardized'!F33)/'Cash Flow - Standardized'!F$46</f>
        <v>0</v>
      </c>
      <c r="G33" s="77">
        <f>IF('Cash Flow - Standardized'!G33="",0,'Cash Flow - Standardized'!G33)/'Cash Flow - Standardized'!G$46</f>
        <v>0</v>
      </c>
      <c r="H33" s="77">
        <f>IF('Cash Flow - Standardized'!H33="",0,'Cash Flow - Standardized'!H33)/'Cash Flow - Standardized'!H$46</f>
        <v>0</v>
      </c>
      <c r="I33" s="77">
        <f>IF('Cash Flow - Standardized'!I33="",0,'Cash Flow - Standardized'!I33)/'Cash Flow - Standardized'!I$46</f>
        <v>0</v>
      </c>
      <c r="J33" s="77">
        <f>IF('Cash Flow - Standardized'!J33="",0,'Cash Flow - Standardized'!J33)/'Cash Flow - Standardized'!J$46</f>
        <v>0</v>
      </c>
      <c r="K33" s="77">
        <f>IF('Cash Flow - Standardized'!K33="",0,'Cash Flow - Standardized'!K33)/'Cash Flow - Standardized'!K$46</f>
        <v>0</v>
      </c>
      <c r="L33" s="77">
        <f>IF('Cash Flow - Standardized'!L33="",0,'Cash Flow - Standardized'!L33)/'Cash Flow - Standardized'!L$46</f>
        <v>0</v>
      </c>
      <c r="M33" s="108"/>
      <c r="N33" s="108"/>
      <c r="O33" s="108"/>
      <c r="P33" s="108"/>
      <c r="Q33" s="108"/>
      <c r="R33" s="108"/>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row>
    <row r="34" spans="1:1010 1027:2036 2053:3062 3079:4088 4105:5114 5131:6140 6157:7166 7183:8192 8209:9200 9217:10226 10243:11252 11269:12278 12295:13304 13321:14330 14347:15356 15373:16382" x14ac:dyDescent="0.35">
      <c r="A34" s="26" t="str">
        <f>'Cash Flow - Standardized'!A34</f>
        <v>check</v>
      </c>
      <c r="B34" s="26"/>
      <c r="C34" s="79"/>
      <c r="D34" s="79"/>
      <c r="E34" s="79"/>
      <c r="F34" s="79"/>
      <c r="G34" s="79"/>
      <c r="H34" s="79"/>
      <c r="I34" s="79"/>
      <c r="J34" s="79"/>
      <c r="K34" s="79"/>
      <c r="L34" s="79"/>
      <c r="M34" s="127"/>
      <c r="N34" s="127"/>
      <c r="O34" s="127"/>
      <c r="P34" s="127"/>
      <c r="Q34" s="127"/>
      <c r="R34" s="12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row>
    <row r="35" spans="1:1010 1027:2036 2053:3062 3079:4088 4105:5114 5131:6140 6157:7166 7183:8192 8209:9200 9217:10226 10243:11252 11269:12278 12295:13304 13321:14330 14347:15356 15373:16382" s="11" customFormat="1" x14ac:dyDescent="0.35">
      <c r="A35" s="183" t="str">
        <f>'Cash Flow - Standardized'!A35</f>
        <v xml:space="preserve">  + Net Change in LT Investment</v>
      </c>
      <c r="B35" s="75" t="str">
        <f>'Cash Flow - Standardized'!B35</f>
        <v>NET_CHG_IN_LT_INVEST_DETAILED</v>
      </c>
      <c r="C35" s="76">
        <f>IF('Cash Flow - Standardized'!C35="",0,'Cash Flow - Standardized'!C35)/'Cash Flow - Standardized'!C$46</f>
        <v>0</v>
      </c>
      <c r="D35" s="76">
        <f>IF('Cash Flow - Standardized'!D35="",0,'Cash Flow - Standardized'!D35)/'Cash Flow - Standardized'!D$46</f>
        <v>0</v>
      </c>
      <c r="E35" s="76">
        <f>IF('Cash Flow - Standardized'!E35="",0,'Cash Flow - Standardized'!E35)/'Cash Flow - Standardized'!E$46</f>
        <v>0</v>
      </c>
      <c r="F35" s="76">
        <f>IF('Cash Flow - Standardized'!F35="",0,'Cash Flow - Standardized'!F35)/'Cash Flow - Standardized'!F$46</f>
        <v>0</v>
      </c>
      <c r="G35" s="76">
        <f>IF('Cash Flow - Standardized'!G35="",0,'Cash Flow - Standardized'!G35)/'Cash Flow - Standardized'!G$46</f>
        <v>0</v>
      </c>
      <c r="H35" s="76">
        <f>IF('Cash Flow - Standardized'!H35="",0,'Cash Flow - Standardized'!H35)/'Cash Flow - Standardized'!H$46</f>
        <v>0</v>
      </c>
      <c r="I35" s="76">
        <f>IF('Cash Flow - Standardized'!I35="",0,'Cash Flow - Standardized'!I35)/'Cash Flow - Standardized'!I$46</f>
        <v>0</v>
      </c>
      <c r="J35" s="76">
        <f>IF('Cash Flow - Standardized'!J35="",0,'Cash Flow - Standardized'!J35)/'Cash Flow - Standardized'!J$46</f>
        <v>0</v>
      </c>
      <c r="K35" s="76">
        <f>IF('Cash Flow - Standardized'!K35="",0,'Cash Flow - Standardized'!K35)/'Cash Flow - Standardized'!K$46</f>
        <v>0</v>
      </c>
      <c r="L35" s="76">
        <f>IF('Cash Flow - Standardized'!L35="",0,'Cash Flow - Standardized'!L35)/'Cash Flow - Standardized'!L$46</f>
        <v>-1.517272614979207E-2</v>
      </c>
      <c r="M35" s="108"/>
      <c r="N35" s="108"/>
      <c r="O35" s="108"/>
      <c r="P35" s="108"/>
      <c r="Q35" s="108"/>
      <c r="R35" s="108"/>
      <c r="S35" s="109"/>
      <c r="T35" s="109"/>
      <c r="U35" s="108"/>
      <c r="V35" s="108"/>
      <c r="W35" s="108"/>
      <c r="X35" s="108"/>
      <c r="Y35" s="108"/>
      <c r="Z35" s="108"/>
      <c r="AA35" s="108"/>
      <c r="AB35" s="108"/>
      <c r="AC35" s="108"/>
      <c r="AD35" s="108"/>
      <c r="AE35" s="108"/>
      <c r="AF35" s="108"/>
      <c r="AG35" s="108"/>
      <c r="AH35" s="108"/>
      <c r="AI35" s="108"/>
      <c r="AJ35" s="108"/>
      <c r="AK35" s="109"/>
      <c r="AL35" s="109"/>
      <c r="AM35" s="108"/>
      <c r="AN35" s="108"/>
      <c r="AO35" s="108"/>
      <c r="AP35" s="108"/>
      <c r="AQ35" s="108"/>
      <c r="AR35" s="108"/>
      <c r="AS35" s="108"/>
      <c r="AT35" s="108"/>
      <c r="AU35" s="108"/>
      <c r="AV35" s="108"/>
      <c r="AW35" s="108"/>
      <c r="AX35" s="108"/>
      <c r="BC35" s="12"/>
      <c r="BD35" s="12"/>
      <c r="BU35" s="12"/>
      <c r="BV35" s="12"/>
      <c r="CM35" s="12"/>
      <c r="CN35" s="12"/>
      <c r="DE35" s="12"/>
      <c r="DF35" s="12"/>
      <c r="DW35" s="12"/>
      <c r="DX35" s="12"/>
      <c r="EO35" s="12"/>
      <c r="EP35" s="12"/>
      <c r="FG35" s="12"/>
      <c r="FH35" s="12"/>
      <c r="FY35" s="12"/>
      <c r="FZ35" s="12"/>
      <c r="GQ35" s="12"/>
      <c r="GR35" s="12"/>
      <c r="HI35" s="12"/>
      <c r="HJ35" s="12"/>
      <c r="IA35" s="12"/>
      <c r="IB35" s="12"/>
      <c r="IS35" s="12"/>
      <c r="IT35" s="12"/>
      <c r="JK35" s="12"/>
      <c r="JL35" s="12"/>
      <c r="KC35" s="12"/>
      <c r="KD35" s="12"/>
      <c r="KU35" s="12"/>
      <c r="KV35" s="12"/>
      <c r="LM35" s="12"/>
      <c r="LN35" s="12"/>
      <c r="ME35" s="12"/>
      <c r="MF35" s="12"/>
      <c r="MW35" s="12"/>
      <c r="MX35" s="12"/>
      <c r="NO35" s="12"/>
      <c r="NP35" s="12"/>
      <c r="OG35" s="12"/>
      <c r="OH35" s="12"/>
      <c r="OY35" s="12"/>
      <c r="OZ35" s="12"/>
      <c r="PQ35" s="12"/>
      <c r="PR35" s="12"/>
      <c r="QI35" s="12"/>
      <c r="QJ35" s="12"/>
      <c r="RA35" s="12"/>
      <c r="RB35" s="12"/>
      <c r="RS35" s="12"/>
      <c r="RT35" s="12"/>
      <c r="SK35" s="12"/>
      <c r="SL35" s="12"/>
      <c r="TC35" s="12"/>
      <c r="TD35" s="12"/>
      <c r="TU35" s="12"/>
      <c r="TV35" s="12"/>
      <c r="UM35" s="12"/>
      <c r="UN35" s="12"/>
      <c r="VE35" s="12"/>
      <c r="VF35" s="12"/>
      <c r="VW35" s="12"/>
      <c r="VX35" s="12"/>
      <c r="WO35" s="12"/>
      <c r="WP35" s="12"/>
      <c r="XG35" s="12"/>
      <c r="XH35" s="12"/>
      <c r="XY35" s="12"/>
      <c r="XZ35" s="12"/>
      <c r="YQ35" s="12"/>
      <c r="YR35" s="12"/>
      <c r="ZI35" s="12"/>
      <c r="ZJ35" s="12"/>
      <c r="AAA35" s="12"/>
      <c r="AAB35" s="12"/>
      <c r="AAS35" s="12"/>
      <c r="AAT35" s="12"/>
      <c r="ABK35" s="12"/>
      <c r="ABL35" s="12"/>
      <c r="ACC35" s="12"/>
      <c r="ACD35" s="12"/>
      <c r="ACU35" s="12"/>
      <c r="ACV35" s="12"/>
      <c r="ADM35" s="12"/>
      <c r="ADN35" s="12"/>
      <c r="AEE35" s="12"/>
      <c r="AEF35" s="12"/>
      <c r="AEW35" s="12"/>
      <c r="AEX35" s="12"/>
      <c r="AFO35" s="12"/>
      <c r="AFP35" s="12"/>
      <c r="AGG35" s="12"/>
      <c r="AGH35" s="12"/>
      <c r="AGY35" s="12"/>
      <c r="AGZ35" s="12"/>
      <c r="AHQ35" s="12"/>
      <c r="AHR35" s="12"/>
      <c r="AII35" s="12"/>
      <c r="AIJ35" s="12"/>
      <c r="AJA35" s="12"/>
      <c r="AJB35" s="12"/>
      <c r="AJS35" s="12"/>
      <c r="AJT35" s="12"/>
      <c r="AKK35" s="12"/>
      <c r="AKL35" s="12"/>
      <c r="ALC35" s="12"/>
      <c r="ALD35" s="12"/>
      <c r="ALU35" s="12"/>
      <c r="ALV35" s="12"/>
      <c r="AMM35" s="12"/>
      <c r="AMN35" s="12"/>
      <c r="ANE35" s="12"/>
      <c r="ANF35" s="12"/>
      <c r="ANW35" s="12"/>
      <c r="ANX35" s="12"/>
      <c r="AOO35" s="12"/>
      <c r="AOP35" s="12"/>
      <c r="APG35" s="12"/>
      <c r="APH35" s="12"/>
      <c r="APY35" s="12"/>
      <c r="APZ35" s="12"/>
      <c r="AQQ35" s="12"/>
      <c r="AQR35" s="12"/>
      <c r="ARI35" s="12"/>
      <c r="ARJ35" s="12"/>
      <c r="ASA35" s="12"/>
      <c r="ASB35" s="12"/>
      <c r="ASS35" s="12"/>
      <c r="AST35" s="12"/>
      <c r="ATK35" s="12"/>
      <c r="ATL35" s="12"/>
      <c r="AUC35" s="12"/>
      <c r="AUD35" s="12"/>
      <c r="AUU35" s="12"/>
      <c r="AUV35" s="12"/>
      <c r="AVM35" s="12"/>
      <c r="AVN35" s="12"/>
      <c r="AWE35" s="12"/>
      <c r="AWF35" s="12"/>
      <c r="AWW35" s="12"/>
      <c r="AWX35" s="12"/>
      <c r="AXO35" s="12"/>
      <c r="AXP35" s="12"/>
      <c r="AYG35" s="12"/>
      <c r="AYH35" s="12"/>
      <c r="AYY35" s="12"/>
      <c r="AYZ35" s="12"/>
      <c r="AZQ35" s="12"/>
      <c r="AZR35" s="12"/>
      <c r="BAI35" s="12"/>
      <c r="BAJ35" s="12"/>
      <c r="BBA35" s="12"/>
      <c r="BBB35" s="12"/>
      <c r="BBS35" s="12"/>
      <c r="BBT35" s="12"/>
      <c r="BCK35" s="12"/>
      <c r="BCL35" s="12"/>
      <c r="BDC35" s="12"/>
      <c r="BDD35" s="12"/>
      <c r="BDU35" s="12"/>
      <c r="BDV35" s="12"/>
      <c r="BEM35" s="12"/>
      <c r="BEN35" s="12"/>
      <c r="BFE35" s="12"/>
      <c r="BFF35" s="12"/>
      <c r="BFW35" s="12"/>
      <c r="BFX35" s="12"/>
      <c r="BGO35" s="12"/>
      <c r="BGP35" s="12"/>
      <c r="BHG35" s="12"/>
      <c r="BHH35" s="12"/>
      <c r="BHY35" s="12"/>
      <c r="BHZ35" s="12"/>
      <c r="BIQ35" s="12"/>
      <c r="BIR35" s="12"/>
      <c r="BJI35" s="12"/>
      <c r="BJJ35" s="12"/>
      <c r="BKA35" s="12"/>
      <c r="BKB35" s="12"/>
      <c r="BKS35" s="12"/>
      <c r="BKT35" s="12"/>
      <c r="BLK35" s="12"/>
      <c r="BLL35" s="12"/>
      <c r="BMC35" s="12"/>
      <c r="BMD35" s="12"/>
      <c r="BMU35" s="12"/>
      <c r="BMV35" s="12"/>
      <c r="BNM35" s="12"/>
      <c r="BNN35" s="12"/>
      <c r="BOE35" s="12"/>
      <c r="BOF35" s="12"/>
      <c r="BOW35" s="12"/>
      <c r="BOX35" s="12"/>
      <c r="BPO35" s="12"/>
      <c r="BPP35" s="12"/>
      <c r="BQG35" s="12"/>
      <c r="BQH35" s="12"/>
      <c r="BQY35" s="12"/>
      <c r="BQZ35" s="12"/>
      <c r="BRQ35" s="12"/>
      <c r="BRR35" s="12"/>
      <c r="BSI35" s="12"/>
      <c r="BSJ35" s="12"/>
      <c r="BTA35" s="12"/>
      <c r="BTB35" s="12"/>
      <c r="BTS35" s="12"/>
      <c r="BTT35" s="12"/>
      <c r="BUK35" s="12"/>
      <c r="BUL35" s="12"/>
      <c r="BVC35" s="12"/>
      <c r="BVD35" s="12"/>
      <c r="BVU35" s="12"/>
      <c r="BVV35" s="12"/>
      <c r="BWM35" s="12"/>
      <c r="BWN35" s="12"/>
      <c r="BXE35" s="12"/>
      <c r="BXF35" s="12"/>
      <c r="BXW35" s="12"/>
      <c r="BXX35" s="12"/>
      <c r="BYO35" s="12"/>
      <c r="BYP35" s="12"/>
      <c r="BZG35" s="12"/>
      <c r="BZH35" s="12"/>
      <c r="BZY35" s="12"/>
      <c r="BZZ35" s="12"/>
      <c r="CAQ35" s="12"/>
      <c r="CAR35" s="12"/>
      <c r="CBI35" s="12"/>
      <c r="CBJ35" s="12"/>
      <c r="CCA35" s="12"/>
      <c r="CCB35" s="12"/>
      <c r="CCS35" s="12"/>
      <c r="CCT35" s="12"/>
      <c r="CDK35" s="12"/>
      <c r="CDL35" s="12"/>
      <c r="CEC35" s="12"/>
      <c r="CED35" s="12"/>
      <c r="CEU35" s="12"/>
      <c r="CEV35" s="12"/>
      <c r="CFM35" s="12"/>
      <c r="CFN35" s="12"/>
      <c r="CGE35" s="12"/>
      <c r="CGF35" s="12"/>
      <c r="CGW35" s="12"/>
      <c r="CGX35" s="12"/>
      <c r="CHO35" s="12"/>
      <c r="CHP35" s="12"/>
      <c r="CIG35" s="12"/>
      <c r="CIH35" s="12"/>
      <c r="CIY35" s="12"/>
      <c r="CIZ35" s="12"/>
      <c r="CJQ35" s="12"/>
      <c r="CJR35" s="12"/>
      <c r="CKI35" s="12"/>
      <c r="CKJ35" s="12"/>
      <c r="CLA35" s="12"/>
      <c r="CLB35" s="12"/>
      <c r="CLS35" s="12"/>
      <c r="CLT35" s="12"/>
      <c r="CMK35" s="12"/>
      <c r="CML35" s="12"/>
      <c r="CNC35" s="12"/>
      <c r="CND35" s="12"/>
      <c r="CNU35" s="12"/>
      <c r="CNV35" s="12"/>
      <c r="COM35" s="12"/>
      <c r="CON35" s="12"/>
      <c r="CPE35" s="12"/>
      <c r="CPF35" s="12"/>
      <c r="CPW35" s="12"/>
      <c r="CPX35" s="12"/>
      <c r="CQO35" s="12"/>
      <c r="CQP35" s="12"/>
      <c r="CRG35" s="12"/>
      <c r="CRH35" s="12"/>
      <c r="CRY35" s="12"/>
      <c r="CRZ35" s="12"/>
      <c r="CSQ35" s="12"/>
      <c r="CSR35" s="12"/>
      <c r="CTI35" s="12"/>
      <c r="CTJ35" s="12"/>
      <c r="CUA35" s="12"/>
      <c r="CUB35" s="12"/>
      <c r="CUS35" s="12"/>
      <c r="CUT35" s="12"/>
      <c r="CVK35" s="12"/>
      <c r="CVL35" s="12"/>
      <c r="CWC35" s="12"/>
      <c r="CWD35" s="12"/>
      <c r="CWU35" s="12"/>
      <c r="CWV35" s="12"/>
      <c r="CXM35" s="12"/>
      <c r="CXN35" s="12"/>
      <c r="CYE35" s="12"/>
      <c r="CYF35" s="12"/>
      <c r="CYW35" s="12"/>
      <c r="CYX35" s="12"/>
      <c r="CZO35" s="12"/>
      <c r="CZP35" s="12"/>
      <c r="DAG35" s="12"/>
      <c r="DAH35" s="12"/>
      <c r="DAY35" s="12"/>
      <c r="DAZ35" s="12"/>
      <c r="DBQ35" s="12"/>
      <c r="DBR35" s="12"/>
      <c r="DCI35" s="12"/>
      <c r="DCJ35" s="12"/>
      <c r="DDA35" s="12"/>
      <c r="DDB35" s="12"/>
      <c r="DDS35" s="12"/>
      <c r="DDT35" s="12"/>
      <c r="DEK35" s="12"/>
      <c r="DEL35" s="12"/>
      <c r="DFC35" s="12"/>
      <c r="DFD35" s="12"/>
      <c r="DFU35" s="12"/>
      <c r="DFV35" s="12"/>
      <c r="DGM35" s="12"/>
      <c r="DGN35" s="12"/>
      <c r="DHE35" s="12"/>
      <c r="DHF35" s="12"/>
      <c r="DHW35" s="12"/>
      <c r="DHX35" s="12"/>
      <c r="DIO35" s="12"/>
      <c r="DIP35" s="12"/>
      <c r="DJG35" s="12"/>
      <c r="DJH35" s="12"/>
      <c r="DJY35" s="12"/>
      <c r="DJZ35" s="12"/>
      <c r="DKQ35" s="12"/>
      <c r="DKR35" s="12"/>
      <c r="DLI35" s="12"/>
      <c r="DLJ35" s="12"/>
      <c r="DMA35" s="12"/>
      <c r="DMB35" s="12"/>
      <c r="DMS35" s="12"/>
      <c r="DMT35" s="12"/>
      <c r="DNK35" s="12"/>
      <c r="DNL35" s="12"/>
      <c r="DOC35" s="12"/>
      <c r="DOD35" s="12"/>
      <c r="DOU35" s="12"/>
      <c r="DOV35" s="12"/>
      <c r="DPM35" s="12"/>
      <c r="DPN35" s="12"/>
      <c r="DQE35" s="12"/>
      <c r="DQF35" s="12"/>
      <c r="DQW35" s="12"/>
      <c r="DQX35" s="12"/>
      <c r="DRO35" s="12"/>
      <c r="DRP35" s="12"/>
      <c r="DSG35" s="12"/>
      <c r="DSH35" s="12"/>
      <c r="DSY35" s="12"/>
      <c r="DSZ35" s="12"/>
      <c r="DTQ35" s="12"/>
      <c r="DTR35" s="12"/>
      <c r="DUI35" s="12"/>
      <c r="DUJ35" s="12"/>
      <c r="DVA35" s="12"/>
      <c r="DVB35" s="12"/>
      <c r="DVS35" s="12"/>
      <c r="DVT35" s="12"/>
      <c r="DWK35" s="12"/>
      <c r="DWL35" s="12"/>
      <c r="DXC35" s="12"/>
      <c r="DXD35" s="12"/>
      <c r="DXU35" s="12"/>
      <c r="DXV35" s="12"/>
      <c r="DYM35" s="12"/>
      <c r="DYN35" s="12"/>
      <c r="DZE35" s="12"/>
      <c r="DZF35" s="12"/>
      <c r="DZW35" s="12"/>
      <c r="DZX35" s="12"/>
      <c r="EAO35" s="12"/>
      <c r="EAP35" s="12"/>
      <c r="EBG35" s="12"/>
      <c r="EBH35" s="12"/>
      <c r="EBY35" s="12"/>
      <c r="EBZ35" s="12"/>
      <c r="ECQ35" s="12"/>
      <c r="ECR35" s="12"/>
      <c r="EDI35" s="12"/>
      <c r="EDJ35" s="12"/>
      <c r="EEA35" s="12"/>
      <c r="EEB35" s="12"/>
      <c r="EES35" s="12"/>
      <c r="EET35" s="12"/>
      <c r="EFK35" s="12"/>
      <c r="EFL35" s="12"/>
      <c r="EGC35" s="12"/>
      <c r="EGD35" s="12"/>
      <c r="EGU35" s="12"/>
      <c r="EGV35" s="12"/>
      <c r="EHM35" s="12"/>
      <c r="EHN35" s="12"/>
      <c r="EIE35" s="12"/>
      <c r="EIF35" s="12"/>
      <c r="EIW35" s="12"/>
      <c r="EIX35" s="12"/>
      <c r="EJO35" s="12"/>
      <c r="EJP35" s="12"/>
      <c r="EKG35" s="12"/>
      <c r="EKH35" s="12"/>
      <c r="EKY35" s="12"/>
      <c r="EKZ35" s="12"/>
      <c r="ELQ35" s="12"/>
      <c r="ELR35" s="12"/>
      <c r="EMI35" s="12"/>
      <c r="EMJ35" s="12"/>
      <c r="ENA35" s="12"/>
      <c r="ENB35" s="12"/>
      <c r="ENS35" s="12"/>
      <c r="ENT35" s="12"/>
      <c r="EOK35" s="12"/>
      <c r="EOL35" s="12"/>
      <c r="EPC35" s="12"/>
      <c r="EPD35" s="12"/>
      <c r="EPU35" s="12"/>
      <c r="EPV35" s="12"/>
      <c r="EQM35" s="12"/>
      <c r="EQN35" s="12"/>
      <c r="ERE35" s="12"/>
      <c r="ERF35" s="12"/>
      <c r="ERW35" s="12"/>
      <c r="ERX35" s="12"/>
      <c r="ESO35" s="12"/>
      <c r="ESP35" s="12"/>
      <c r="ETG35" s="12"/>
      <c r="ETH35" s="12"/>
      <c r="ETY35" s="12"/>
      <c r="ETZ35" s="12"/>
      <c r="EUQ35" s="12"/>
      <c r="EUR35" s="12"/>
      <c r="EVI35" s="12"/>
      <c r="EVJ35" s="12"/>
      <c r="EWA35" s="12"/>
      <c r="EWB35" s="12"/>
      <c r="EWS35" s="12"/>
      <c r="EWT35" s="12"/>
      <c r="EXK35" s="12"/>
      <c r="EXL35" s="12"/>
      <c r="EYC35" s="12"/>
      <c r="EYD35" s="12"/>
      <c r="EYU35" s="12"/>
      <c r="EYV35" s="12"/>
      <c r="EZM35" s="12"/>
      <c r="EZN35" s="12"/>
      <c r="FAE35" s="12"/>
      <c r="FAF35" s="12"/>
      <c r="FAW35" s="12"/>
      <c r="FAX35" s="12"/>
      <c r="FBO35" s="12"/>
      <c r="FBP35" s="12"/>
      <c r="FCG35" s="12"/>
      <c r="FCH35" s="12"/>
      <c r="FCY35" s="12"/>
      <c r="FCZ35" s="12"/>
      <c r="FDQ35" s="12"/>
      <c r="FDR35" s="12"/>
      <c r="FEI35" s="12"/>
      <c r="FEJ35" s="12"/>
      <c r="FFA35" s="12"/>
      <c r="FFB35" s="12"/>
      <c r="FFS35" s="12"/>
      <c r="FFT35" s="12"/>
      <c r="FGK35" s="12"/>
      <c r="FGL35" s="12"/>
      <c r="FHC35" s="12"/>
      <c r="FHD35" s="12"/>
      <c r="FHU35" s="12"/>
      <c r="FHV35" s="12"/>
      <c r="FIM35" s="12"/>
      <c r="FIN35" s="12"/>
      <c r="FJE35" s="12"/>
      <c r="FJF35" s="12"/>
      <c r="FJW35" s="12"/>
      <c r="FJX35" s="12"/>
      <c r="FKO35" s="12"/>
      <c r="FKP35" s="12"/>
      <c r="FLG35" s="12"/>
      <c r="FLH35" s="12"/>
      <c r="FLY35" s="12"/>
      <c r="FLZ35" s="12"/>
      <c r="FMQ35" s="12"/>
      <c r="FMR35" s="12"/>
      <c r="FNI35" s="12"/>
      <c r="FNJ35" s="12"/>
      <c r="FOA35" s="12"/>
      <c r="FOB35" s="12"/>
      <c r="FOS35" s="12"/>
      <c r="FOT35" s="12"/>
      <c r="FPK35" s="12"/>
      <c r="FPL35" s="12"/>
      <c r="FQC35" s="12"/>
      <c r="FQD35" s="12"/>
      <c r="FQU35" s="12"/>
      <c r="FQV35" s="12"/>
      <c r="FRM35" s="12"/>
      <c r="FRN35" s="12"/>
      <c r="FSE35" s="12"/>
      <c r="FSF35" s="12"/>
      <c r="FSW35" s="12"/>
      <c r="FSX35" s="12"/>
      <c r="FTO35" s="12"/>
      <c r="FTP35" s="12"/>
      <c r="FUG35" s="12"/>
      <c r="FUH35" s="12"/>
      <c r="FUY35" s="12"/>
      <c r="FUZ35" s="12"/>
      <c r="FVQ35" s="12"/>
      <c r="FVR35" s="12"/>
      <c r="FWI35" s="12"/>
      <c r="FWJ35" s="12"/>
      <c r="FXA35" s="12"/>
      <c r="FXB35" s="12"/>
      <c r="FXS35" s="12"/>
      <c r="FXT35" s="12"/>
      <c r="FYK35" s="12"/>
      <c r="FYL35" s="12"/>
      <c r="FZC35" s="12"/>
      <c r="FZD35" s="12"/>
      <c r="FZU35" s="12"/>
      <c r="FZV35" s="12"/>
      <c r="GAM35" s="12"/>
      <c r="GAN35" s="12"/>
      <c r="GBE35" s="12"/>
      <c r="GBF35" s="12"/>
      <c r="GBW35" s="12"/>
      <c r="GBX35" s="12"/>
      <c r="GCO35" s="12"/>
      <c r="GCP35" s="12"/>
      <c r="GDG35" s="12"/>
      <c r="GDH35" s="12"/>
      <c r="GDY35" s="12"/>
      <c r="GDZ35" s="12"/>
      <c r="GEQ35" s="12"/>
      <c r="GER35" s="12"/>
      <c r="GFI35" s="12"/>
      <c r="GFJ35" s="12"/>
      <c r="GGA35" s="12"/>
      <c r="GGB35" s="12"/>
      <c r="GGS35" s="12"/>
      <c r="GGT35" s="12"/>
      <c r="GHK35" s="12"/>
      <c r="GHL35" s="12"/>
      <c r="GIC35" s="12"/>
      <c r="GID35" s="12"/>
      <c r="GIU35" s="12"/>
      <c r="GIV35" s="12"/>
      <c r="GJM35" s="12"/>
      <c r="GJN35" s="12"/>
      <c r="GKE35" s="12"/>
      <c r="GKF35" s="12"/>
      <c r="GKW35" s="12"/>
      <c r="GKX35" s="12"/>
      <c r="GLO35" s="12"/>
      <c r="GLP35" s="12"/>
      <c r="GMG35" s="12"/>
      <c r="GMH35" s="12"/>
      <c r="GMY35" s="12"/>
      <c r="GMZ35" s="12"/>
      <c r="GNQ35" s="12"/>
      <c r="GNR35" s="12"/>
      <c r="GOI35" s="12"/>
      <c r="GOJ35" s="12"/>
      <c r="GPA35" s="12"/>
      <c r="GPB35" s="12"/>
      <c r="GPS35" s="12"/>
      <c r="GPT35" s="12"/>
      <c r="GQK35" s="12"/>
      <c r="GQL35" s="12"/>
      <c r="GRC35" s="12"/>
      <c r="GRD35" s="12"/>
      <c r="GRU35" s="12"/>
      <c r="GRV35" s="12"/>
      <c r="GSM35" s="12"/>
      <c r="GSN35" s="12"/>
      <c r="GTE35" s="12"/>
      <c r="GTF35" s="12"/>
      <c r="GTW35" s="12"/>
      <c r="GTX35" s="12"/>
      <c r="GUO35" s="12"/>
      <c r="GUP35" s="12"/>
      <c r="GVG35" s="12"/>
      <c r="GVH35" s="12"/>
      <c r="GVY35" s="12"/>
      <c r="GVZ35" s="12"/>
      <c r="GWQ35" s="12"/>
      <c r="GWR35" s="12"/>
      <c r="GXI35" s="12"/>
      <c r="GXJ35" s="12"/>
      <c r="GYA35" s="12"/>
      <c r="GYB35" s="12"/>
      <c r="GYS35" s="12"/>
      <c r="GYT35" s="12"/>
      <c r="GZK35" s="12"/>
      <c r="GZL35" s="12"/>
      <c r="HAC35" s="12"/>
      <c r="HAD35" s="12"/>
      <c r="HAU35" s="12"/>
      <c r="HAV35" s="12"/>
      <c r="HBM35" s="12"/>
      <c r="HBN35" s="12"/>
      <c r="HCE35" s="12"/>
      <c r="HCF35" s="12"/>
      <c r="HCW35" s="12"/>
      <c r="HCX35" s="12"/>
      <c r="HDO35" s="12"/>
      <c r="HDP35" s="12"/>
      <c r="HEG35" s="12"/>
      <c r="HEH35" s="12"/>
      <c r="HEY35" s="12"/>
      <c r="HEZ35" s="12"/>
      <c r="HFQ35" s="12"/>
      <c r="HFR35" s="12"/>
      <c r="HGI35" s="12"/>
      <c r="HGJ35" s="12"/>
      <c r="HHA35" s="12"/>
      <c r="HHB35" s="12"/>
      <c r="HHS35" s="12"/>
      <c r="HHT35" s="12"/>
      <c r="HIK35" s="12"/>
      <c r="HIL35" s="12"/>
      <c r="HJC35" s="12"/>
      <c r="HJD35" s="12"/>
      <c r="HJU35" s="12"/>
      <c r="HJV35" s="12"/>
      <c r="HKM35" s="12"/>
      <c r="HKN35" s="12"/>
      <c r="HLE35" s="12"/>
      <c r="HLF35" s="12"/>
      <c r="HLW35" s="12"/>
      <c r="HLX35" s="12"/>
      <c r="HMO35" s="12"/>
      <c r="HMP35" s="12"/>
      <c r="HNG35" s="12"/>
      <c r="HNH35" s="12"/>
      <c r="HNY35" s="12"/>
      <c r="HNZ35" s="12"/>
      <c r="HOQ35" s="12"/>
      <c r="HOR35" s="12"/>
      <c r="HPI35" s="12"/>
      <c r="HPJ35" s="12"/>
      <c r="HQA35" s="12"/>
      <c r="HQB35" s="12"/>
      <c r="HQS35" s="12"/>
      <c r="HQT35" s="12"/>
      <c r="HRK35" s="12"/>
      <c r="HRL35" s="12"/>
      <c r="HSC35" s="12"/>
      <c r="HSD35" s="12"/>
      <c r="HSU35" s="12"/>
      <c r="HSV35" s="12"/>
      <c r="HTM35" s="12"/>
      <c r="HTN35" s="12"/>
      <c r="HUE35" s="12"/>
      <c r="HUF35" s="12"/>
      <c r="HUW35" s="12"/>
      <c r="HUX35" s="12"/>
      <c r="HVO35" s="12"/>
      <c r="HVP35" s="12"/>
      <c r="HWG35" s="12"/>
      <c r="HWH35" s="12"/>
      <c r="HWY35" s="12"/>
      <c r="HWZ35" s="12"/>
      <c r="HXQ35" s="12"/>
      <c r="HXR35" s="12"/>
      <c r="HYI35" s="12"/>
      <c r="HYJ35" s="12"/>
      <c r="HZA35" s="12"/>
      <c r="HZB35" s="12"/>
      <c r="HZS35" s="12"/>
      <c r="HZT35" s="12"/>
      <c r="IAK35" s="12"/>
      <c r="IAL35" s="12"/>
      <c r="IBC35" s="12"/>
      <c r="IBD35" s="12"/>
      <c r="IBU35" s="12"/>
      <c r="IBV35" s="12"/>
      <c r="ICM35" s="12"/>
      <c r="ICN35" s="12"/>
      <c r="IDE35" s="12"/>
      <c r="IDF35" s="12"/>
      <c r="IDW35" s="12"/>
      <c r="IDX35" s="12"/>
      <c r="IEO35" s="12"/>
      <c r="IEP35" s="12"/>
      <c r="IFG35" s="12"/>
      <c r="IFH35" s="12"/>
      <c r="IFY35" s="12"/>
      <c r="IFZ35" s="12"/>
      <c r="IGQ35" s="12"/>
      <c r="IGR35" s="12"/>
      <c r="IHI35" s="12"/>
      <c r="IHJ35" s="12"/>
      <c r="IIA35" s="12"/>
      <c r="IIB35" s="12"/>
      <c r="IIS35" s="12"/>
      <c r="IIT35" s="12"/>
      <c r="IJK35" s="12"/>
      <c r="IJL35" s="12"/>
      <c r="IKC35" s="12"/>
      <c r="IKD35" s="12"/>
      <c r="IKU35" s="12"/>
      <c r="IKV35" s="12"/>
      <c r="ILM35" s="12"/>
      <c r="ILN35" s="12"/>
      <c r="IME35" s="12"/>
      <c r="IMF35" s="12"/>
      <c r="IMW35" s="12"/>
      <c r="IMX35" s="12"/>
      <c r="INO35" s="12"/>
      <c r="INP35" s="12"/>
      <c r="IOG35" s="12"/>
      <c r="IOH35" s="12"/>
      <c r="IOY35" s="12"/>
      <c r="IOZ35" s="12"/>
      <c r="IPQ35" s="12"/>
      <c r="IPR35" s="12"/>
      <c r="IQI35" s="12"/>
      <c r="IQJ35" s="12"/>
      <c r="IRA35" s="12"/>
      <c r="IRB35" s="12"/>
      <c r="IRS35" s="12"/>
      <c r="IRT35" s="12"/>
      <c r="ISK35" s="12"/>
      <c r="ISL35" s="12"/>
      <c r="ITC35" s="12"/>
      <c r="ITD35" s="12"/>
      <c r="ITU35" s="12"/>
      <c r="ITV35" s="12"/>
      <c r="IUM35" s="12"/>
      <c r="IUN35" s="12"/>
      <c r="IVE35" s="12"/>
      <c r="IVF35" s="12"/>
      <c r="IVW35" s="12"/>
      <c r="IVX35" s="12"/>
      <c r="IWO35" s="12"/>
      <c r="IWP35" s="12"/>
      <c r="IXG35" s="12"/>
      <c r="IXH35" s="12"/>
      <c r="IXY35" s="12"/>
      <c r="IXZ35" s="12"/>
      <c r="IYQ35" s="12"/>
      <c r="IYR35" s="12"/>
      <c r="IZI35" s="12"/>
      <c r="IZJ35" s="12"/>
      <c r="JAA35" s="12"/>
      <c r="JAB35" s="12"/>
      <c r="JAS35" s="12"/>
      <c r="JAT35" s="12"/>
      <c r="JBK35" s="12"/>
      <c r="JBL35" s="12"/>
      <c r="JCC35" s="12"/>
      <c r="JCD35" s="12"/>
      <c r="JCU35" s="12"/>
      <c r="JCV35" s="12"/>
      <c r="JDM35" s="12"/>
      <c r="JDN35" s="12"/>
      <c r="JEE35" s="12"/>
      <c r="JEF35" s="12"/>
      <c r="JEW35" s="12"/>
      <c r="JEX35" s="12"/>
      <c r="JFO35" s="12"/>
      <c r="JFP35" s="12"/>
      <c r="JGG35" s="12"/>
      <c r="JGH35" s="12"/>
      <c r="JGY35" s="12"/>
      <c r="JGZ35" s="12"/>
      <c r="JHQ35" s="12"/>
      <c r="JHR35" s="12"/>
      <c r="JII35" s="12"/>
      <c r="JIJ35" s="12"/>
      <c r="JJA35" s="12"/>
      <c r="JJB35" s="12"/>
      <c r="JJS35" s="12"/>
      <c r="JJT35" s="12"/>
      <c r="JKK35" s="12"/>
      <c r="JKL35" s="12"/>
      <c r="JLC35" s="12"/>
      <c r="JLD35" s="12"/>
      <c r="JLU35" s="12"/>
      <c r="JLV35" s="12"/>
      <c r="JMM35" s="12"/>
      <c r="JMN35" s="12"/>
      <c r="JNE35" s="12"/>
      <c r="JNF35" s="12"/>
      <c r="JNW35" s="12"/>
      <c r="JNX35" s="12"/>
      <c r="JOO35" s="12"/>
      <c r="JOP35" s="12"/>
      <c r="JPG35" s="12"/>
      <c r="JPH35" s="12"/>
      <c r="JPY35" s="12"/>
      <c r="JPZ35" s="12"/>
      <c r="JQQ35" s="12"/>
      <c r="JQR35" s="12"/>
      <c r="JRI35" s="12"/>
      <c r="JRJ35" s="12"/>
      <c r="JSA35" s="12"/>
      <c r="JSB35" s="12"/>
      <c r="JSS35" s="12"/>
      <c r="JST35" s="12"/>
      <c r="JTK35" s="12"/>
      <c r="JTL35" s="12"/>
      <c r="JUC35" s="12"/>
      <c r="JUD35" s="12"/>
      <c r="JUU35" s="12"/>
      <c r="JUV35" s="12"/>
      <c r="JVM35" s="12"/>
      <c r="JVN35" s="12"/>
      <c r="JWE35" s="12"/>
      <c r="JWF35" s="12"/>
      <c r="JWW35" s="12"/>
      <c r="JWX35" s="12"/>
      <c r="JXO35" s="12"/>
      <c r="JXP35" s="12"/>
      <c r="JYG35" s="12"/>
      <c r="JYH35" s="12"/>
      <c r="JYY35" s="12"/>
      <c r="JYZ35" s="12"/>
      <c r="JZQ35" s="12"/>
      <c r="JZR35" s="12"/>
      <c r="KAI35" s="12"/>
      <c r="KAJ35" s="12"/>
      <c r="KBA35" s="12"/>
      <c r="KBB35" s="12"/>
      <c r="KBS35" s="12"/>
      <c r="KBT35" s="12"/>
      <c r="KCK35" s="12"/>
      <c r="KCL35" s="12"/>
      <c r="KDC35" s="12"/>
      <c r="KDD35" s="12"/>
      <c r="KDU35" s="12"/>
      <c r="KDV35" s="12"/>
      <c r="KEM35" s="12"/>
      <c r="KEN35" s="12"/>
      <c r="KFE35" s="12"/>
      <c r="KFF35" s="12"/>
      <c r="KFW35" s="12"/>
      <c r="KFX35" s="12"/>
      <c r="KGO35" s="12"/>
      <c r="KGP35" s="12"/>
      <c r="KHG35" s="12"/>
      <c r="KHH35" s="12"/>
      <c r="KHY35" s="12"/>
      <c r="KHZ35" s="12"/>
      <c r="KIQ35" s="12"/>
      <c r="KIR35" s="12"/>
      <c r="KJI35" s="12"/>
      <c r="KJJ35" s="12"/>
      <c r="KKA35" s="12"/>
      <c r="KKB35" s="12"/>
      <c r="KKS35" s="12"/>
      <c r="KKT35" s="12"/>
      <c r="KLK35" s="12"/>
      <c r="KLL35" s="12"/>
      <c r="KMC35" s="12"/>
      <c r="KMD35" s="12"/>
      <c r="KMU35" s="12"/>
      <c r="KMV35" s="12"/>
      <c r="KNM35" s="12"/>
      <c r="KNN35" s="12"/>
      <c r="KOE35" s="12"/>
      <c r="KOF35" s="12"/>
      <c r="KOW35" s="12"/>
      <c r="KOX35" s="12"/>
      <c r="KPO35" s="12"/>
      <c r="KPP35" s="12"/>
      <c r="KQG35" s="12"/>
      <c r="KQH35" s="12"/>
      <c r="KQY35" s="12"/>
      <c r="KQZ35" s="12"/>
      <c r="KRQ35" s="12"/>
      <c r="KRR35" s="12"/>
      <c r="KSI35" s="12"/>
      <c r="KSJ35" s="12"/>
      <c r="KTA35" s="12"/>
      <c r="KTB35" s="12"/>
      <c r="KTS35" s="12"/>
      <c r="KTT35" s="12"/>
      <c r="KUK35" s="12"/>
      <c r="KUL35" s="12"/>
      <c r="KVC35" s="12"/>
      <c r="KVD35" s="12"/>
      <c r="KVU35" s="12"/>
      <c r="KVV35" s="12"/>
      <c r="KWM35" s="12"/>
      <c r="KWN35" s="12"/>
      <c r="KXE35" s="12"/>
      <c r="KXF35" s="12"/>
      <c r="KXW35" s="12"/>
      <c r="KXX35" s="12"/>
      <c r="KYO35" s="12"/>
      <c r="KYP35" s="12"/>
      <c r="KZG35" s="12"/>
      <c r="KZH35" s="12"/>
      <c r="KZY35" s="12"/>
      <c r="KZZ35" s="12"/>
      <c r="LAQ35" s="12"/>
      <c r="LAR35" s="12"/>
      <c r="LBI35" s="12"/>
      <c r="LBJ35" s="12"/>
      <c r="LCA35" s="12"/>
      <c r="LCB35" s="12"/>
      <c r="LCS35" s="12"/>
      <c r="LCT35" s="12"/>
      <c r="LDK35" s="12"/>
      <c r="LDL35" s="12"/>
      <c r="LEC35" s="12"/>
      <c r="LED35" s="12"/>
      <c r="LEU35" s="12"/>
      <c r="LEV35" s="12"/>
      <c r="LFM35" s="12"/>
      <c r="LFN35" s="12"/>
      <c r="LGE35" s="12"/>
      <c r="LGF35" s="12"/>
      <c r="LGW35" s="12"/>
      <c r="LGX35" s="12"/>
      <c r="LHO35" s="12"/>
      <c r="LHP35" s="12"/>
      <c r="LIG35" s="12"/>
      <c r="LIH35" s="12"/>
      <c r="LIY35" s="12"/>
      <c r="LIZ35" s="12"/>
      <c r="LJQ35" s="12"/>
      <c r="LJR35" s="12"/>
      <c r="LKI35" s="12"/>
      <c r="LKJ35" s="12"/>
      <c r="LLA35" s="12"/>
      <c r="LLB35" s="12"/>
      <c r="LLS35" s="12"/>
      <c r="LLT35" s="12"/>
      <c r="LMK35" s="12"/>
      <c r="LML35" s="12"/>
      <c r="LNC35" s="12"/>
      <c r="LND35" s="12"/>
      <c r="LNU35" s="12"/>
      <c r="LNV35" s="12"/>
      <c r="LOM35" s="12"/>
      <c r="LON35" s="12"/>
      <c r="LPE35" s="12"/>
      <c r="LPF35" s="12"/>
      <c r="LPW35" s="12"/>
      <c r="LPX35" s="12"/>
      <c r="LQO35" s="12"/>
      <c r="LQP35" s="12"/>
      <c r="LRG35" s="12"/>
      <c r="LRH35" s="12"/>
      <c r="LRY35" s="12"/>
      <c r="LRZ35" s="12"/>
      <c r="LSQ35" s="12"/>
      <c r="LSR35" s="12"/>
      <c r="LTI35" s="12"/>
      <c r="LTJ35" s="12"/>
      <c r="LUA35" s="12"/>
      <c r="LUB35" s="12"/>
      <c r="LUS35" s="12"/>
      <c r="LUT35" s="12"/>
      <c r="LVK35" s="12"/>
      <c r="LVL35" s="12"/>
      <c r="LWC35" s="12"/>
      <c r="LWD35" s="12"/>
      <c r="LWU35" s="12"/>
      <c r="LWV35" s="12"/>
      <c r="LXM35" s="12"/>
      <c r="LXN35" s="12"/>
      <c r="LYE35" s="12"/>
      <c r="LYF35" s="12"/>
      <c r="LYW35" s="12"/>
      <c r="LYX35" s="12"/>
      <c r="LZO35" s="12"/>
      <c r="LZP35" s="12"/>
      <c r="MAG35" s="12"/>
      <c r="MAH35" s="12"/>
      <c r="MAY35" s="12"/>
      <c r="MAZ35" s="12"/>
      <c r="MBQ35" s="12"/>
      <c r="MBR35" s="12"/>
      <c r="MCI35" s="12"/>
      <c r="MCJ35" s="12"/>
      <c r="MDA35" s="12"/>
      <c r="MDB35" s="12"/>
      <c r="MDS35" s="12"/>
      <c r="MDT35" s="12"/>
      <c r="MEK35" s="12"/>
      <c r="MEL35" s="12"/>
      <c r="MFC35" s="12"/>
      <c r="MFD35" s="12"/>
      <c r="MFU35" s="12"/>
      <c r="MFV35" s="12"/>
      <c r="MGM35" s="12"/>
      <c r="MGN35" s="12"/>
      <c r="MHE35" s="12"/>
      <c r="MHF35" s="12"/>
      <c r="MHW35" s="12"/>
      <c r="MHX35" s="12"/>
      <c r="MIO35" s="12"/>
      <c r="MIP35" s="12"/>
      <c r="MJG35" s="12"/>
      <c r="MJH35" s="12"/>
      <c r="MJY35" s="12"/>
      <c r="MJZ35" s="12"/>
      <c r="MKQ35" s="12"/>
      <c r="MKR35" s="12"/>
      <c r="MLI35" s="12"/>
      <c r="MLJ35" s="12"/>
      <c r="MMA35" s="12"/>
      <c r="MMB35" s="12"/>
      <c r="MMS35" s="12"/>
      <c r="MMT35" s="12"/>
      <c r="MNK35" s="12"/>
      <c r="MNL35" s="12"/>
      <c r="MOC35" s="12"/>
      <c r="MOD35" s="12"/>
      <c r="MOU35" s="12"/>
      <c r="MOV35" s="12"/>
      <c r="MPM35" s="12"/>
      <c r="MPN35" s="12"/>
      <c r="MQE35" s="12"/>
      <c r="MQF35" s="12"/>
      <c r="MQW35" s="12"/>
      <c r="MQX35" s="12"/>
      <c r="MRO35" s="12"/>
      <c r="MRP35" s="12"/>
      <c r="MSG35" s="12"/>
      <c r="MSH35" s="12"/>
      <c r="MSY35" s="12"/>
      <c r="MSZ35" s="12"/>
      <c r="MTQ35" s="12"/>
      <c r="MTR35" s="12"/>
      <c r="MUI35" s="12"/>
      <c r="MUJ35" s="12"/>
      <c r="MVA35" s="12"/>
      <c r="MVB35" s="12"/>
      <c r="MVS35" s="12"/>
      <c r="MVT35" s="12"/>
      <c r="MWK35" s="12"/>
      <c r="MWL35" s="12"/>
      <c r="MXC35" s="12"/>
      <c r="MXD35" s="12"/>
      <c r="MXU35" s="12"/>
      <c r="MXV35" s="12"/>
      <c r="MYM35" s="12"/>
      <c r="MYN35" s="12"/>
      <c r="MZE35" s="12"/>
      <c r="MZF35" s="12"/>
      <c r="MZW35" s="12"/>
      <c r="MZX35" s="12"/>
      <c r="NAO35" s="12"/>
      <c r="NAP35" s="12"/>
      <c r="NBG35" s="12"/>
      <c r="NBH35" s="12"/>
      <c r="NBY35" s="12"/>
      <c r="NBZ35" s="12"/>
      <c r="NCQ35" s="12"/>
      <c r="NCR35" s="12"/>
      <c r="NDI35" s="12"/>
      <c r="NDJ35" s="12"/>
      <c r="NEA35" s="12"/>
      <c r="NEB35" s="12"/>
      <c r="NES35" s="12"/>
      <c r="NET35" s="12"/>
      <c r="NFK35" s="12"/>
      <c r="NFL35" s="12"/>
      <c r="NGC35" s="12"/>
      <c r="NGD35" s="12"/>
      <c r="NGU35" s="12"/>
      <c r="NGV35" s="12"/>
      <c r="NHM35" s="12"/>
      <c r="NHN35" s="12"/>
      <c r="NIE35" s="12"/>
      <c r="NIF35" s="12"/>
      <c r="NIW35" s="12"/>
      <c r="NIX35" s="12"/>
      <c r="NJO35" s="12"/>
      <c r="NJP35" s="12"/>
      <c r="NKG35" s="12"/>
      <c r="NKH35" s="12"/>
      <c r="NKY35" s="12"/>
      <c r="NKZ35" s="12"/>
      <c r="NLQ35" s="12"/>
      <c r="NLR35" s="12"/>
      <c r="NMI35" s="12"/>
      <c r="NMJ35" s="12"/>
      <c r="NNA35" s="12"/>
      <c r="NNB35" s="12"/>
      <c r="NNS35" s="12"/>
      <c r="NNT35" s="12"/>
      <c r="NOK35" s="12"/>
      <c r="NOL35" s="12"/>
      <c r="NPC35" s="12"/>
      <c r="NPD35" s="12"/>
      <c r="NPU35" s="12"/>
      <c r="NPV35" s="12"/>
      <c r="NQM35" s="12"/>
      <c r="NQN35" s="12"/>
      <c r="NRE35" s="12"/>
      <c r="NRF35" s="12"/>
      <c r="NRW35" s="12"/>
      <c r="NRX35" s="12"/>
      <c r="NSO35" s="12"/>
      <c r="NSP35" s="12"/>
      <c r="NTG35" s="12"/>
      <c r="NTH35" s="12"/>
      <c r="NTY35" s="12"/>
      <c r="NTZ35" s="12"/>
      <c r="NUQ35" s="12"/>
      <c r="NUR35" s="12"/>
      <c r="NVI35" s="12"/>
      <c r="NVJ35" s="12"/>
      <c r="NWA35" s="12"/>
      <c r="NWB35" s="12"/>
      <c r="NWS35" s="12"/>
      <c r="NWT35" s="12"/>
      <c r="NXK35" s="12"/>
      <c r="NXL35" s="12"/>
      <c r="NYC35" s="12"/>
      <c r="NYD35" s="12"/>
      <c r="NYU35" s="12"/>
      <c r="NYV35" s="12"/>
      <c r="NZM35" s="12"/>
      <c r="NZN35" s="12"/>
      <c r="OAE35" s="12"/>
      <c r="OAF35" s="12"/>
      <c r="OAW35" s="12"/>
      <c r="OAX35" s="12"/>
      <c r="OBO35" s="12"/>
      <c r="OBP35" s="12"/>
      <c r="OCG35" s="12"/>
      <c r="OCH35" s="12"/>
      <c r="OCY35" s="12"/>
      <c r="OCZ35" s="12"/>
      <c r="ODQ35" s="12"/>
      <c r="ODR35" s="12"/>
      <c r="OEI35" s="12"/>
      <c r="OEJ35" s="12"/>
      <c r="OFA35" s="12"/>
      <c r="OFB35" s="12"/>
      <c r="OFS35" s="12"/>
      <c r="OFT35" s="12"/>
      <c r="OGK35" s="12"/>
      <c r="OGL35" s="12"/>
      <c r="OHC35" s="12"/>
      <c r="OHD35" s="12"/>
      <c r="OHU35" s="12"/>
      <c r="OHV35" s="12"/>
      <c r="OIM35" s="12"/>
      <c r="OIN35" s="12"/>
      <c r="OJE35" s="12"/>
      <c r="OJF35" s="12"/>
      <c r="OJW35" s="12"/>
      <c r="OJX35" s="12"/>
      <c r="OKO35" s="12"/>
      <c r="OKP35" s="12"/>
      <c r="OLG35" s="12"/>
      <c r="OLH35" s="12"/>
      <c r="OLY35" s="12"/>
      <c r="OLZ35" s="12"/>
      <c r="OMQ35" s="12"/>
      <c r="OMR35" s="12"/>
      <c r="ONI35" s="12"/>
      <c r="ONJ35" s="12"/>
      <c r="OOA35" s="12"/>
      <c r="OOB35" s="12"/>
      <c r="OOS35" s="12"/>
      <c r="OOT35" s="12"/>
      <c r="OPK35" s="12"/>
      <c r="OPL35" s="12"/>
      <c r="OQC35" s="12"/>
      <c r="OQD35" s="12"/>
      <c r="OQU35" s="12"/>
      <c r="OQV35" s="12"/>
      <c r="ORM35" s="12"/>
      <c r="ORN35" s="12"/>
      <c r="OSE35" s="12"/>
      <c r="OSF35" s="12"/>
      <c r="OSW35" s="12"/>
      <c r="OSX35" s="12"/>
      <c r="OTO35" s="12"/>
      <c r="OTP35" s="12"/>
      <c r="OUG35" s="12"/>
      <c r="OUH35" s="12"/>
      <c r="OUY35" s="12"/>
      <c r="OUZ35" s="12"/>
      <c r="OVQ35" s="12"/>
      <c r="OVR35" s="12"/>
      <c r="OWI35" s="12"/>
      <c r="OWJ35" s="12"/>
      <c r="OXA35" s="12"/>
      <c r="OXB35" s="12"/>
      <c r="OXS35" s="12"/>
      <c r="OXT35" s="12"/>
      <c r="OYK35" s="12"/>
      <c r="OYL35" s="12"/>
      <c r="OZC35" s="12"/>
      <c r="OZD35" s="12"/>
      <c r="OZU35" s="12"/>
      <c r="OZV35" s="12"/>
      <c r="PAM35" s="12"/>
      <c r="PAN35" s="12"/>
      <c r="PBE35" s="12"/>
      <c r="PBF35" s="12"/>
      <c r="PBW35" s="12"/>
      <c r="PBX35" s="12"/>
      <c r="PCO35" s="12"/>
      <c r="PCP35" s="12"/>
      <c r="PDG35" s="12"/>
      <c r="PDH35" s="12"/>
      <c r="PDY35" s="12"/>
      <c r="PDZ35" s="12"/>
      <c r="PEQ35" s="12"/>
      <c r="PER35" s="12"/>
      <c r="PFI35" s="12"/>
      <c r="PFJ35" s="12"/>
      <c r="PGA35" s="12"/>
      <c r="PGB35" s="12"/>
      <c r="PGS35" s="12"/>
      <c r="PGT35" s="12"/>
      <c r="PHK35" s="12"/>
      <c r="PHL35" s="12"/>
      <c r="PIC35" s="12"/>
      <c r="PID35" s="12"/>
      <c r="PIU35" s="12"/>
      <c r="PIV35" s="12"/>
      <c r="PJM35" s="12"/>
      <c r="PJN35" s="12"/>
      <c r="PKE35" s="12"/>
      <c r="PKF35" s="12"/>
      <c r="PKW35" s="12"/>
      <c r="PKX35" s="12"/>
      <c r="PLO35" s="12"/>
      <c r="PLP35" s="12"/>
      <c r="PMG35" s="12"/>
      <c r="PMH35" s="12"/>
      <c r="PMY35" s="12"/>
      <c r="PMZ35" s="12"/>
      <c r="PNQ35" s="12"/>
      <c r="PNR35" s="12"/>
      <c r="POI35" s="12"/>
      <c r="POJ35" s="12"/>
      <c r="PPA35" s="12"/>
      <c r="PPB35" s="12"/>
      <c r="PPS35" s="12"/>
      <c r="PPT35" s="12"/>
      <c r="PQK35" s="12"/>
      <c r="PQL35" s="12"/>
      <c r="PRC35" s="12"/>
      <c r="PRD35" s="12"/>
      <c r="PRU35" s="12"/>
      <c r="PRV35" s="12"/>
      <c r="PSM35" s="12"/>
      <c r="PSN35" s="12"/>
      <c r="PTE35" s="12"/>
      <c r="PTF35" s="12"/>
      <c r="PTW35" s="12"/>
      <c r="PTX35" s="12"/>
      <c r="PUO35" s="12"/>
      <c r="PUP35" s="12"/>
      <c r="PVG35" s="12"/>
      <c r="PVH35" s="12"/>
      <c r="PVY35" s="12"/>
      <c r="PVZ35" s="12"/>
      <c r="PWQ35" s="12"/>
      <c r="PWR35" s="12"/>
      <c r="PXI35" s="12"/>
      <c r="PXJ35" s="12"/>
      <c r="PYA35" s="12"/>
      <c r="PYB35" s="12"/>
      <c r="PYS35" s="12"/>
      <c r="PYT35" s="12"/>
      <c r="PZK35" s="12"/>
      <c r="PZL35" s="12"/>
      <c r="QAC35" s="12"/>
      <c r="QAD35" s="12"/>
      <c r="QAU35" s="12"/>
      <c r="QAV35" s="12"/>
      <c r="QBM35" s="12"/>
      <c r="QBN35" s="12"/>
      <c r="QCE35" s="12"/>
      <c r="QCF35" s="12"/>
      <c r="QCW35" s="12"/>
      <c r="QCX35" s="12"/>
      <c r="QDO35" s="12"/>
      <c r="QDP35" s="12"/>
      <c r="QEG35" s="12"/>
      <c r="QEH35" s="12"/>
      <c r="QEY35" s="12"/>
      <c r="QEZ35" s="12"/>
      <c r="QFQ35" s="12"/>
      <c r="QFR35" s="12"/>
      <c r="QGI35" s="12"/>
      <c r="QGJ35" s="12"/>
      <c r="QHA35" s="12"/>
      <c r="QHB35" s="12"/>
      <c r="QHS35" s="12"/>
      <c r="QHT35" s="12"/>
      <c r="QIK35" s="12"/>
      <c r="QIL35" s="12"/>
      <c r="QJC35" s="12"/>
      <c r="QJD35" s="12"/>
      <c r="QJU35" s="12"/>
      <c r="QJV35" s="12"/>
      <c r="QKM35" s="12"/>
      <c r="QKN35" s="12"/>
      <c r="QLE35" s="12"/>
      <c r="QLF35" s="12"/>
      <c r="QLW35" s="12"/>
      <c r="QLX35" s="12"/>
      <c r="QMO35" s="12"/>
      <c r="QMP35" s="12"/>
      <c r="QNG35" s="12"/>
      <c r="QNH35" s="12"/>
      <c r="QNY35" s="12"/>
      <c r="QNZ35" s="12"/>
      <c r="QOQ35" s="12"/>
      <c r="QOR35" s="12"/>
      <c r="QPI35" s="12"/>
      <c r="QPJ35" s="12"/>
      <c r="QQA35" s="12"/>
      <c r="QQB35" s="12"/>
      <c r="QQS35" s="12"/>
      <c r="QQT35" s="12"/>
      <c r="QRK35" s="12"/>
      <c r="QRL35" s="12"/>
      <c r="QSC35" s="12"/>
      <c r="QSD35" s="12"/>
      <c r="QSU35" s="12"/>
      <c r="QSV35" s="12"/>
      <c r="QTM35" s="12"/>
      <c r="QTN35" s="12"/>
      <c r="QUE35" s="12"/>
      <c r="QUF35" s="12"/>
      <c r="QUW35" s="12"/>
      <c r="QUX35" s="12"/>
      <c r="QVO35" s="12"/>
      <c r="QVP35" s="12"/>
      <c r="QWG35" s="12"/>
      <c r="QWH35" s="12"/>
      <c r="QWY35" s="12"/>
      <c r="QWZ35" s="12"/>
      <c r="QXQ35" s="12"/>
      <c r="QXR35" s="12"/>
      <c r="QYI35" s="12"/>
      <c r="QYJ35" s="12"/>
      <c r="QZA35" s="12"/>
      <c r="QZB35" s="12"/>
      <c r="QZS35" s="12"/>
      <c r="QZT35" s="12"/>
      <c r="RAK35" s="12"/>
      <c r="RAL35" s="12"/>
      <c r="RBC35" s="12"/>
      <c r="RBD35" s="12"/>
      <c r="RBU35" s="12"/>
      <c r="RBV35" s="12"/>
      <c r="RCM35" s="12"/>
      <c r="RCN35" s="12"/>
      <c r="RDE35" s="12"/>
      <c r="RDF35" s="12"/>
      <c r="RDW35" s="12"/>
      <c r="RDX35" s="12"/>
      <c r="REO35" s="12"/>
      <c r="REP35" s="12"/>
      <c r="RFG35" s="12"/>
      <c r="RFH35" s="12"/>
      <c r="RFY35" s="12"/>
      <c r="RFZ35" s="12"/>
      <c r="RGQ35" s="12"/>
      <c r="RGR35" s="12"/>
      <c r="RHI35" s="12"/>
      <c r="RHJ35" s="12"/>
      <c r="RIA35" s="12"/>
      <c r="RIB35" s="12"/>
      <c r="RIS35" s="12"/>
      <c r="RIT35" s="12"/>
      <c r="RJK35" s="12"/>
      <c r="RJL35" s="12"/>
      <c r="RKC35" s="12"/>
      <c r="RKD35" s="12"/>
      <c r="RKU35" s="12"/>
      <c r="RKV35" s="12"/>
      <c r="RLM35" s="12"/>
      <c r="RLN35" s="12"/>
      <c r="RME35" s="12"/>
      <c r="RMF35" s="12"/>
      <c r="RMW35" s="12"/>
      <c r="RMX35" s="12"/>
      <c r="RNO35" s="12"/>
      <c r="RNP35" s="12"/>
      <c r="ROG35" s="12"/>
      <c r="ROH35" s="12"/>
      <c r="ROY35" s="12"/>
      <c r="ROZ35" s="12"/>
      <c r="RPQ35" s="12"/>
      <c r="RPR35" s="12"/>
      <c r="RQI35" s="12"/>
      <c r="RQJ35" s="12"/>
      <c r="RRA35" s="12"/>
      <c r="RRB35" s="12"/>
      <c r="RRS35" s="12"/>
      <c r="RRT35" s="12"/>
      <c r="RSK35" s="12"/>
      <c r="RSL35" s="12"/>
      <c r="RTC35" s="12"/>
      <c r="RTD35" s="12"/>
      <c r="RTU35" s="12"/>
      <c r="RTV35" s="12"/>
      <c r="RUM35" s="12"/>
      <c r="RUN35" s="12"/>
      <c r="RVE35" s="12"/>
      <c r="RVF35" s="12"/>
      <c r="RVW35" s="12"/>
      <c r="RVX35" s="12"/>
      <c r="RWO35" s="12"/>
      <c r="RWP35" s="12"/>
      <c r="RXG35" s="12"/>
      <c r="RXH35" s="12"/>
      <c r="RXY35" s="12"/>
      <c r="RXZ35" s="12"/>
      <c r="RYQ35" s="12"/>
      <c r="RYR35" s="12"/>
      <c r="RZI35" s="12"/>
      <c r="RZJ35" s="12"/>
      <c r="SAA35" s="12"/>
      <c r="SAB35" s="12"/>
      <c r="SAS35" s="12"/>
      <c r="SAT35" s="12"/>
      <c r="SBK35" s="12"/>
      <c r="SBL35" s="12"/>
      <c r="SCC35" s="12"/>
      <c r="SCD35" s="12"/>
      <c r="SCU35" s="12"/>
      <c r="SCV35" s="12"/>
      <c r="SDM35" s="12"/>
      <c r="SDN35" s="12"/>
      <c r="SEE35" s="12"/>
      <c r="SEF35" s="12"/>
      <c r="SEW35" s="12"/>
      <c r="SEX35" s="12"/>
      <c r="SFO35" s="12"/>
      <c r="SFP35" s="12"/>
      <c r="SGG35" s="12"/>
      <c r="SGH35" s="12"/>
      <c r="SGY35" s="12"/>
      <c r="SGZ35" s="12"/>
      <c r="SHQ35" s="12"/>
      <c r="SHR35" s="12"/>
      <c r="SII35" s="12"/>
      <c r="SIJ35" s="12"/>
      <c r="SJA35" s="12"/>
      <c r="SJB35" s="12"/>
      <c r="SJS35" s="12"/>
      <c r="SJT35" s="12"/>
      <c r="SKK35" s="12"/>
      <c r="SKL35" s="12"/>
      <c r="SLC35" s="12"/>
      <c r="SLD35" s="12"/>
      <c r="SLU35" s="12"/>
      <c r="SLV35" s="12"/>
      <c r="SMM35" s="12"/>
      <c r="SMN35" s="12"/>
      <c r="SNE35" s="12"/>
      <c r="SNF35" s="12"/>
      <c r="SNW35" s="12"/>
      <c r="SNX35" s="12"/>
      <c r="SOO35" s="12"/>
      <c r="SOP35" s="12"/>
      <c r="SPG35" s="12"/>
      <c r="SPH35" s="12"/>
      <c r="SPY35" s="12"/>
      <c r="SPZ35" s="12"/>
      <c r="SQQ35" s="12"/>
      <c r="SQR35" s="12"/>
      <c r="SRI35" s="12"/>
      <c r="SRJ35" s="12"/>
      <c r="SSA35" s="12"/>
      <c r="SSB35" s="12"/>
      <c r="SSS35" s="12"/>
      <c r="SST35" s="12"/>
      <c r="STK35" s="12"/>
      <c r="STL35" s="12"/>
      <c r="SUC35" s="12"/>
      <c r="SUD35" s="12"/>
      <c r="SUU35" s="12"/>
      <c r="SUV35" s="12"/>
      <c r="SVM35" s="12"/>
      <c r="SVN35" s="12"/>
      <c r="SWE35" s="12"/>
      <c r="SWF35" s="12"/>
      <c r="SWW35" s="12"/>
      <c r="SWX35" s="12"/>
      <c r="SXO35" s="12"/>
      <c r="SXP35" s="12"/>
      <c r="SYG35" s="12"/>
      <c r="SYH35" s="12"/>
      <c r="SYY35" s="12"/>
      <c r="SYZ35" s="12"/>
      <c r="SZQ35" s="12"/>
      <c r="SZR35" s="12"/>
      <c r="TAI35" s="12"/>
      <c r="TAJ35" s="12"/>
      <c r="TBA35" s="12"/>
      <c r="TBB35" s="12"/>
      <c r="TBS35" s="12"/>
      <c r="TBT35" s="12"/>
      <c r="TCK35" s="12"/>
      <c r="TCL35" s="12"/>
      <c r="TDC35" s="12"/>
      <c r="TDD35" s="12"/>
      <c r="TDU35" s="12"/>
      <c r="TDV35" s="12"/>
      <c r="TEM35" s="12"/>
      <c r="TEN35" s="12"/>
      <c r="TFE35" s="12"/>
      <c r="TFF35" s="12"/>
      <c r="TFW35" s="12"/>
      <c r="TFX35" s="12"/>
      <c r="TGO35" s="12"/>
      <c r="TGP35" s="12"/>
      <c r="THG35" s="12"/>
      <c r="THH35" s="12"/>
      <c r="THY35" s="12"/>
      <c r="THZ35" s="12"/>
      <c r="TIQ35" s="12"/>
      <c r="TIR35" s="12"/>
      <c r="TJI35" s="12"/>
      <c r="TJJ35" s="12"/>
      <c r="TKA35" s="12"/>
      <c r="TKB35" s="12"/>
      <c r="TKS35" s="12"/>
      <c r="TKT35" s="12"/>
      <c r="TLK35" s="12"/>
      <c r="TLL35" s="12"/>
      <c r="TMC35" s="12"/>
      <c r="TMD35" s="12"/>
      <c r="TMU35" s="12"/>
      <c r="TMV35" s="12"/>
      <c r="TNM35" s="12"/>
      <c r="TNN35" s="12"/>
      <c r="TOE35" s="12"/>
      <c r="TOF35" s="12"/>
      <c r="TOW35" s="12"/>
      <c r="TOX35" s="12"/>
      <c r="TPO35" s="12"/>
      <c r="TPP35" s="12"/>
      <c r="TQG35" s="12"/>
      <c r="TQH35" s="12"/>
      <c r="TQY35" s="12"/>
      <c r="TQZ35" s="12"/>
      <c r="TRQ35" s="12"/>
      <c r="TRR35" s="12"/>
      <c r="TSI35" s="12"/>
      <c r="TSJ35" s="12"/>
      <c r="TTA35" s="12"/>
      <c r="TTB35" s="12"/>
      <c r="TTS35" s="12"/>
      <c r="TTT35" s="12"/>
      <c r="TUK35" s="12"/>
      <c r="TUL35" s="12"/>
      <c r="TVC35" s="12"/>
      <c r="TVD35" s="12"/>
      <c r="TVU35" s="12"/>
      <c r="TVV35" s="12"/>
      <c r="TWM35" s="12"/>
      <c r="TWN35" s="12"/>
      <c r="TXE35" s="12"/>
      <c r="TXF35" s="12"/>
      <c r="TXW35" s="12"/>
      <c r="TXX35" s="12"/>
      <c r="TYO35" s="12"/>
      <c r="TYP35" s="12"/>
      <c r="TZG35" s="12"/>
      <c r="TZH35" s="12"/>
      <c r="TZY35" s="12"/>
      <c r="TZZ35" s="12"/>
      <c r="UAQ35" s="12"/>
      <c r="UAR35" s="12"/>
      <c r="UBI35" s="12"/>
      <c r="UBJ35" s="12"/>
      <c r="UCA35" s="12"/>
      <c r="UCB35" s="12"/>
      <c r="UCS35" s="12"/>
      <c r="UCT35" s="12"/>
      <c r="UDK35" s="12"/>
      <c r="UDL35" s="12"/>
      <c r="UEC35" s="12"/>
      <c r="UED35" s="12"/>
      <c r="UEU35" s="12"/>
      <c r="UEV35" s="12"/>
      <c r="UFM35" s="12"/>
      <c r="UFN35" s="12"/>
      <c r="UGE35" s="12"/>
      <c r="UGF35" s="12"/>
      <c r="UGW35" s="12"/>
      <c r="UGX35" s="12"/>
      <c r="UHO35" s="12"/>
      <c r="UHP35" s="12"/>
      <c r="UIG35" s="12"/>
      <c r="UIH35" s="12"/>
      <c r="UIY35" s="12"/>
      <c r="UIZ35" s="12"/>
      <c r="UJQ35" s="12"/>
      <c r="UJR35" s="12"/>
      <c r="UKI35" s="12"/>
      <c r="UKJ35" s="12"/>
      <c r="ULA35" s="12"/>
      <c r="ULB35" s="12"/>
      <c r="ULS35" s="12"/>
      <c r="ULT35" s="12"/>
      <c r="UMK35" s="12"/>
      <c r="UML35" s="12"/>
      <c r="UNC35" s="12"/>
      <c r="UND35" s="12"/>
      <c r="UNU35" s="12"/>
      <c r="UNV35" s="12"/>
      <c r="UOM35" s="12"/>
      <c r="UON35" s="12"/>
      <c r="UPE35" s="12"/>
      <c r="UPF35" s="12"/>
      <c r="UPW35" s="12"/>
      <c r="UPX35" s="12"/>
      <c r="UQO35" s="12"/>
      <c r="UQP35" s="12"/>
      <c r="URG35" s="12"/>
      <c r="URH35" s="12"/>
      <c r="URY35" s="12"/>
      <c r="URZ35" s="12"/>
      <c r="USQ35" s="12"/>
      <c r="USR35" s="12"/>
      <c r="UTI35" s="12"/>
      <c r="UTJ35" s="12"/>
      <c r="UUA35" s="12"/>
      <c r="UUB35" s="12"/>
      <c r="UUS35" s="12"/>
      <c r="UUT35" s="12"/>
      <c r="UVK35" s="12"/>
      <c r="UVL35" s="12"/>
      <c r="UWC35" s="12"/>
      <c r="UWD35" s="12"/>
      <c r="UWU35" s="12"/>
      <c r="UWV35" s="12"/>
      <c r="UXM35" s="12"/>
      <c r="UXN35" s="12"/>
      <c r="UYE35" s="12"/>
      <c r="UYF35" s="12"/>
      <c r="UYW35" s="12"/>
      <c r="UYX35" s="12"/>
      <c r="UZO35" s="12"/>
      <c r="UZP35" s="12"/>
      <c r="VAG35" s="12"/>
      <c r="VAH35" s="12"/>
      <c r="VAY35" s="12"/>
      <c r="VAZ35" s="12"/>
      <c r="VBQ35" s="12"/>
      <c r="VBR35" s="12"/>
      <c r="VCI35" s="12"/>
      <c r="VCJ35" s="12"/>
      <c r="VDA35" s="12"/>
      <c r="VDB35" s="12"/>
      <c r="VDS35" s="12"/>
      <c r="VDT35" s="12"/>
      <c r="VEK35" s="12"/>
      <c r="VEL35" s="12"/>
      <c r="VFC35" s="12"/>
      <c r="VFD35" s="12"/>
      <c r="VFU35" s="12"/>
      <c r="VFV35" s="12"/>
      <c r="VGM35" s="12"/>
      <c r="VGN35" s="12"/>
      <c r="VHE35" s="12"/>
      <c r="VHF35" s="12"/>
      <c r="VHW35" s="12"/>
      <c r="VHX35" s="12"/>
      <c r="VIO35" s="12"/>
      <c r="VIP35" s="12"/>
      <c r="VJG35" s="12"/>
      <c r="VJH35" s="12"/>
      <c r="VJY35" s="12"/>
      <c r="VJZ35" s="12"/>
      <c r="VKQ35" s="12"/>
      <c r="VKR35" s="12"/>
      <c r="VLI35" s="12"/>
      <c r="VLJ35" s="12"/>
      <c r="VMA35" s="12"/>
      <c r="VMB35" s="12"/>
      <c r="VMS35" s="12"/>
      <c r="VMT35" s="12"/>
      <c r="VNK35" s="12"/>
      <c r="VNL35" s="12"/>
      <c r="VOC35" s="12"/>
      <c r="VOD35" s="12"/>
      <c r="VOU35" s="12"/>
      <c r="VOV35" s="12"/>
      <c r="VPM35" s="12"/>
      <c r="VPN35" s="12"/>
      <c r="VQE35" s="12"/>
      <c r="VQF35" s="12"/>
      <c r="VQW35" s="12"/>
      <c r="VQX35" s="12"/>
      <c r="VRO35" s="12"/>
      <c r="VRP35" s="12"/>
      <c r="VSG35" s="12"/>
      <c r="VSH35" s="12"/>
      <c r="VSY35" s="12"/>
      <c r="VSZ35" s="12"/>
      <c r="VTQ35" s="12"/>
      <c r="VTR35" s="12"/>
      <c r="VUI35" s="12"/>
      <c r="VUJ35" s="12"/>
      <c r="VVA35" s="12"/>
      <c r="VVB35" s="12"/>
      <c r="VVS35" s="12"/>
      <c r="VVT35" s="12"/>
      <c r="VWK35" s="12"/>
      <c r="VWL35" s="12"/>
      <c r="VXC35" s="12"/>
      <c r="VXD35" s="12"/>
      <c r="VXU35" s="12"/>
      <c r="VXV35" s="12"/>
      <c r="VYM35" s="12"/>
      <c r="VYN35" s="12"/>
      <c r="VZE35" s="12"/>
      <c r="VZF35" s="12"/>
      <c r="VZW35" s="12"/>
      <c r="VZX35" s="12"/>
      <c r="WAO35" s="12"/>
      <c r="WAP35" s="12"/>
      <c r="WBG35" s="12"/>
      <c r="WBH35" s="12"/>
      <c r="WBY35" s="12"/>
      <c r="WBZ35" s="12"/>
      <c r="WCQ35" s="12"/>
      <c r="WCR35" s="12"/>
      <c r="WDI35" s="12"/>
      <c r="WDJ35" s="12"/>
      <c r="WEA35" s="12"/>
      <c r="WEB35" s="12"/>
      <c r="WES35" s="12"/>
      <c r="WET35" s="12"/>
      <c r="WFK35" s="12"/>
      <c r="WFL35" s="12"/>
      <c r="WGC35" s="12"/>
      <c r="WGD35" s="12"/>
      <c r="WGU35" s="12"/>
      <c r="WGV35" s="12"/>
      <c r="WHM35" s="12"/>
      <c r="WHN35" s="12"/>
      <c r="WIE35" s="12"/>
      <c r="WIF35" s="12"/>
      <c r="WIW35" s="12"/>
      <c r="WIX35" s="12"/>
      <c r="WJO35" s="12"/>
      <c r="WJP35" s="12"/>
      <c r="WKG35" s="12"/>
      <c r="WKH35" s="12"/>
      <c r="WKY35" s="12"/>
      <c r="WKZ35" s="12"/>
      <c r="WLQ35" s="12"/>
      <c r="WLR35" s="12"/>
      <c r="WMI35" s="12"/>
      <c r="WMJ35" s="12"/>
      <c r="WNA35" s="12"/>
      <c r="WNB35" s="12"/>
      <c r="WNS35" s="12"/>
      <c r="WNT35" s="12"/>
      <c r="WOK35" s="12"/>
      <c r="WOL35" s="12"/>
      <c r="WPC35" s="12"/>
      <c r="WPD35" s="12"/>
      <c r="WPU35" s="12"/>
      <c r="WPV35" s="12"/>
      <c r="WQM35" s="12"/>
      <c r="WQN35" s="12"/>
      <c r="WRE35" s="12"/>
      <c r="WRF35" s="12"/>
      <c r="WRW35" s="12"/>
      <c r="WRX35" s="12"/>
      <c r="WSO35" s="12"/>
      <c r="WSP35" s="12"/>
      <c r="WTG35" s="12"/>
      <c r="WTH35" s="12"/>
      <c r="WTY35" s="12"/>
      <c r="WTZ35" s="12"/>
      <c r="WUQ35" s="12"/>
      <c r="WUR35" s="12"/>
      <c r="WVI35" s="12"/>
      <c r="WVJ35" s="12"/>
      <c r="WWA35" s="12"/>
      <c r="WWB35" s="12"/>
      <c r="WWS35" s="12"/>
      <c r="WWT35" s="12"/>
      <c r="WXK35" s="12"/>
      <c r="WXL35" s="12"/>
      <c r="WYC35" s="12"/>
      <c r="WYD35" s="12"/>
      <c r="WYU35" s="12"/>
      <c r="WYV35" s="12"/>
      <c r="WZM35" s="12"/>
      <c r="WZN35" s="12"/>
      <c r="XAE35" s="12"/>
      <c r="XAF35" s="12"/>
      <c r="XAW35" s="12"/>
      <c r="XAX35" s="12"/>
      <c r="XBO35" s="12"/>
      <c r="XBP35" s="12"/>
      <c r="XCG35" s="12"/>
      <c r="XCH35" s="12"/>
      <c r="XCY35" s="12"/>
      <c r="XCZ35" s="12"/>
      <c r="XDQ35" s="12"/>
      <c r="XDR35" s="12"/>
      <c r="XEI35" s="12"/>
      <c r="XEJ35" s="12"/>
      <c r="XFA35" s="12"/>
      <c r="XFB35" s="12"/>
    </row>
    <row r="36" spans="1:1010 1027:2036 2053:3062 3079:4088 4105:5114 5131:6140 6157:7166 7183:8192 8209:9200 9217:10226 10243:11252 11269:12278 12295:13304 13321:14330 14347:15356 15373:16382" x14ac:dyDescent="0.35">
      <c r="A36" s="181" t="str">
        <f>'Cash Flow - Standardized'!A36</f>
        <v xml:space="preserve">    + Dec in LT Investment</v>
      </c>
      <c r="B36" s="13" t="str">
        <f>'Cash Flow - Standardized'!B36</f>
        <v>CF_DECR_INVEST</v>
      </c>
      <c r="C36" s="77">
        <f>IF('Cash Flow - Standardized'!C36="",0,'Cash Flow - Standardized'!C36)/'Cash Flow - Standardized'!C$46</f>
        <v>0</v>
      </c>
      <c r="D36" s="77">
        <f>IF('Cash Flow - Standardized'!D36="",0,'Cash Flow - Standardized'!D36)/'Cash Flow - Standardized'!D$46</f>
        <v>0</v>
      </c>
      <c r="E36" s="77">
        <f>IF('Cash Flow - Standardized'!E36="",0,'Cash Flow - Standardized'!E36)/'Cash Flow - Standardized'!E$46</f>
        <v>0</v>
      </c>
      <c r="F36" s="77">
        <f>IF('Cash Flow - Standardized'!F36="",0,'Cash Flow - Standardized'!F36)/'Cash Flow - Standardized'!F$46</f>
        <v>0</v>
      </c>
      <c r="G36" s="77">
        <f>IF('Cash Flow - Standardized'!G36="",0,'Cash Flow - Standardized'!G36)/'Cash Flow - Standardized'!G$46</f>
        <v>0</v>
      </c>
      <c r="H36" s="77">
        <f>IF('Cash Flow - Standardized'!H36="",0,'Cash Flow - Standardized'!H36)/'Cash Flow - Standardized'!H$46</f>
        <v>0</v>
      </c>
      <c r="I36" s="77">
        <f>IF('Cash Flow - Standardized'!I36="",0,'Cash Flow - Standardized'!I36)/'Cash Flow - Standardized'!I$46</f>
        <v>0</v>
      </c>
      <c r="J36" s="77">
        <f>IF('Cash Flow - Standardized'!J36="",0,'Cash Flow - Standardized'!J36)/'Cash Flow - Standardized'!J$46</f>
        <v>0</v>
      </c>
      <c r="K36" s="77">
        <f>IF('Cash Flow - Standardized'!K36="",0,'Cash Flow - Standardized'!K36)/'Cash Flow - Standardized'!K$46</f>
        <v>0</v>
      </c>
      <c r="L36" s="77">
        <f>IF('Cash Flow - Standardized'!L36="",0,'Cash Flow - Standardized'!L36)/'Cash Flow - Standardized'!L$46</f>
        <v>-1.7190266397661299E-2</v>
      </c>
      <c r="M36" s="108"/>
      <c r="N36" s="108"/>
      <c r="O36" s="108"/>
      <c r="P36" s="108"/>
      <c r="Q36" s="108"/>
      <c r="R36" s="108"/>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row>
    <row r="37" spans="1:1010 1027:2036 2053:3062 3079:4088 4105:5114 5131:6140 6157:7166 7183:8192 8209:9200 9217:10226 10243:11252 11269:12278 12295:13304 13321:14330 14347:15356 15373:16382" x14ac:dyDescent="0.35">
      <c r="A37" s="181" t="str">
        <f>'Cash Flow - Standardized'!A37</f>
        <v xml:space="preserve">    + Inc in LT Investment</v>
      </c>
      <c r="B37" s="13" t="str">
        <f>'Cash Flow - Standardized'!B37</f>
        <v>CF_INCR_INVEST</v>
      </c>
      <c r="C37" s="77">
        <f>IF('Cash Flow - Standardized'!C37="",0,'Cash Flow - Standardized'!C37)/'Cash Flow - Standardized'!C$46</f>
        <v>0</v>
      </c>
      <c r="D37" s="77">
        <f>IF('Cash Flow - Standardized'!D37="",0,'Cash Flow - Standardized'!D37)/'Cash Flow - Standardized'!D$46</f>
        <v>0</v>
      </c>
      <c r="E37" s="77">
        <f>IF('Cash Flow - Standardized'!E37="",0,'Cash Flow - Standardized'!E37)/'Cash Flow - Standardized'!E$46</f>
        <v>0</v>
      </c>
      <c r="F37" s="77">
        <f>IF('Cash Flow - Standardized'!F37="",0,'Cash Flow - Standardized'!F37)/'Cash Flow - Standardized'!F$46</f>
        <v>0</v>
      </c>
      <c r="G37" s="77">
        <f>IF('Cash Flow - Standardized'!G37="",0,'Cash Flow - Standardized'!G37)/'Cash Flow - Standardized'!G$46</f>
        <v>0</v>
      </c>
      <c r="H37" s="77">
        <f>IF('Cash Flow - Standardized'!H37="",0,'Cash Flow - Standardized'!H37)/'Cash Flow - Standardized'!H$46</f>
        <v>0</v>
      </c>
      <c r="I37" s="77">
        <f>IF('Cash Flow - Standardized'!I37="",0,'Cash Flow - Standardized'!I37)/'Cash Flow - Standardized'!I$46</f>
        <v>0</v>
      </c>
      <c r="J37" s="77">
        <f>IF('Cash Flow - Standardized'!J37="",0,'Cash Flow - Standardized'!J37)/'Cash Flow - Standardized'!J$46</f>
        <v>0</v>
      </c>
      <c r="K37" s="77">
        <f>IF('Cash Flow - Standardized'!K37="",0,'Cash Flow - Standardized'!K37)/'Cash Flow - Standardized'!K$46</f>
        <v>0</v>
      </c>
      <c r="L37" s="77">
        <f>IF('Cash Flow - Standardized'!L37="",0,'Cash Flow - Standardized'!L37)/'Cash Flow - Standardized'!L$46</f>
        <v>2.0175402478692307E-3</v>
      </c>
      <c r="M37" s="108"/>
      <c r="N37" s="108"/>
      <c r="O37" s="108"/>
      <c r="P37" s="108"/>
      <c r="Q37" s="108"/>
      <c r="R37" s="108"/>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row>
    <row r="38" spans="1:1010 1027:2036 2053:3062 3079:4088 4105:5114 5131:6140 6157:7166 7183:8192 8209:9200 9217:10226 10243:11252 11269:12278 12295:13304 13321:14330 14347:15356 15373:16382" x14ac:dyDescent="0.35">
      <c r="A38" s="23" t="str">
        <f>'Cash Flow - Standardized'!A38</f>
        <v>check</v>
      </c>
      <c r="B38" s="23"/>
      <c r="C38" s="79"/>
      <c r="D38" s="79"/>
      <c r="E38" s="79"/>
      <c r="F38" s="79"/>
      <c r="G38" s="79"/>
      <c r="H38" s="79"/>
      <c r="I38" s="79"/>
      <c r="J38" s="79"/>
      <c r="K38" s="79"/>
      <c r="L38" s="79"/>
      <c r="M38" s="127"/>
      <c r="N38" s="127"/>
      <c r="O38" s="127"/>
      <c r="P38" s="127"/>
      <c r="Q38" s="127"/>
      <c r="R38" s="12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row>
    <row r="39" spans="1:1010 1027:2036 2053:3062 3079:4088 4105:5114 5131:6140 6157:7166 7183:8192 8209:9200 9217:10226 10243:11252 11269:12278 12295:13304 13321:14330 14347:15356 15373:16382" s="11" customFormat="1" x14ac:dyDescent="0.35">
      <c r="A39" s="183" t="str">
        <f>'Cash Flow - Standardized'!A39</f>
        <v xml:space="preserve">  + Net Cash From Acq &amp; Div</v>
      </c>
      <c r="B39" s="75" t="str">
        <f>'Cash Flow - Standardized'!B39</f>
        <v>CF_NT_CSH_RCVD_PD_FOR_ACQUIS_DIV</v>
      </c>
      <c r="C39" s="76">
        <f>IF('Cash Flow - Standardized'!C39="",0,'Cash Flow - Standardized'!C39)/'Cash Flow - Standardized'!C$46</f>
        <v>0</v>
      </c>
      <c r="D39" s="76">
        <f>IF('Cash Flow - Standardized'!D39="",0,'Cash Flow - Standardized'!D39)/'Cash Flow - Standardized'!D$46</f>
        <v>0</v>
      </c>
      <c r="E39" s="76">
        <f>IF('Cash Flow - Standardized'!E39="",0,'Cash Flow - Standardized'!E39)/'Cash Flow - Standardized'!E$46</f>
        <v>1.6508146920740128</v>
      </c>
      <c r="F39" s="76">
        <f>IF('Cash Flow - Standardized'!F39="",0,'Cash Flow - Standardized'!F39)/'Cash Flow - Standardized'!F$46</f>
        <v>0</v>
      </c>
      <c r="G39" s="76">
        <f>IF('Cash Flow - Standardized'!G39="",0,'Cash Flow - Standardized'!G39)/'Cash Flow - Standardized'!G$46</f>
        <v>7.8776548787453896E-2</v>
      </c>
      <c r="H39" s="76">
        <f>IF('Cash Flow - Standardized'!H39="",0,'Cash Flow - Standardized'!H39)/'Cash Flow - Standardized'!H$46</f>
        <v>0</v>
      </c>
      <c r="I39" s="76">
        <f>IF('Cash Flow - Standardized'!I39="",0,'Cash Flow - Standardized'!I39)/'Cash Flow - Standardized'!I$46</f>
        <v>0</v>
      </c>
      <c r="J39" s="76">
        <f>IF('Cash Flow - Standardized'!J39="",0,'Cash Flow - Standardized'!J39)/'Cash Flow - Standardized'!J$46</f>
        <v>0.65044182466204103</v>
      </c>
      <c r="K39" s="76">
        <f>IF('Cash Flow - Standardized'!K39="",0,'Cash Flow - Standardized'!K39)/'Cash Flow - Standardized'!K$46</f>
        <v>0</v>
      </c>
      <c r="L39" s="76">
        <f>IF('Cash Flow - Standardized'!L39="",0,'Cash Flow - Standardized'!L39)/'Cash Flow - Standardized'!L$46</f>
        <v>0</v>
      </c>
      <c r="M39" s="108"/>
      <c r="N39" s="108"/>
      <c r="O39" s="108"/>
      <c r="P39" s="108"/>
      <c r="Q39" s="108"/>
      <c r="R39" s="108"/>
      <c r="S39" s="109"/>
      <c r="T39" s="109"/>
      <c r="U39" s="108"/>
      <c r="V39" s="108"/>
      <c r="W39" s="108"/>
      <c r="X39" s="108"/>
      <c r="Y39" s="108"/>
      <c r="Z39" s="108"/>
      <c r="AA39" s="108"/>
      <c r="AB39" s="108"/>
      <c r="AC39" s="108"/>
      <c r="AD39" s="108"/>
      <c r="AE39" s="108"/>
      <c r="AF39" s="108"/>
      <c r="AG39" s="108"/>
      <c r="AH39" s="108"/>
      <c r="AI39" s="108"/>
      <c r="AJ39" s="108"/>
      <c r="AK39" s="109"/>
      <c r="AL39" s="109"/>
      <c r="AM39" s="108"/>
      <c r="AN39" s="108"/>
      <c r="AO39" s="108"/>
      <c r="AP39" s="108"/>
      <c r="AQ39" s="108"/>
      <c r="AR39" s="108"/>
      <c r="AS39" s="108"/>
      <c r="AT39" s="108"/>
      <c r="AU39" s="108"/>
      <c r="AV39" s="108"/>
      <c r="AW39" s="108"/>
      <c r="AX39" s="108"/>
      <c r="BC39" s="12"/>
      <c r="BD39" s="12"/>
      <c r="BU39" s="12"/>
      <c r="BV39" s="12"/>
      <c r="CM39" s="12"/>
      <c r="CN39" s="12"/>
      <c r="DE39" s="12"/>
      <c r="DF39" s="12"/>
      <c r="DW39" s="12"/>
      <c r="DX39" s="12"/>
      <c r="EO39" s="12"/>
      <c r="EP39" s="12"/>
      <c r="FG39" s="12"/>
      <c r="FH39" s="12"/>
      <c r="FY39" s="12"/>
      <c r="FZ39" s="12"/>
      <c r="GQ39" s="12"/>
      <c r="GR39" s="12"/>
      <c r="HI39" s="12"/>
      <c r="HJ39" s="12"/>
      <c r="IA39" s="12"/>
      <c r="IB39" s="12"/>
      <c r="IS39" s="12"/>
      <c r="IT39" s="12"/>
      <c r="JK39" s="12"/>
      <c r="JL39" s="12"/>
      <c r="KC39" s="12"/>
      <c r="KD39" s="12"/>
      <c r="KU39" s="12"/>
      <c r="KV39" s="12"/>
      <c r="LM39" s="12"/>
      <c r="LN39" s="12"/>
      <c r="ME39" s="12"/>
      <c r="MF39" s="12"/>
      <c r="MW39" s="12"/>
      <c r="MX39" s="12"/>
      <c r="NO39" s="12"/>
      <c r="NP39" s="12"/>
      <c r="OG39" s="12"/>
      <c r="OH39" s="12"/>
      <c r="OY39" s="12"/>
      <c r="OZ39" s="12"/>
      <c r="PQ39" s="12"/>
      <c r="PR39" s="12"/>
      <c r="QI39" s="12"/>
      <c r="QJ39" s="12"/>
      <c r="RA39" s="12"/>
      <c r="RB39" s="12"/>
      <c r="RS39" s="12"/>
      <c r="RT39" s="12"/>
      <c r="SK39" s="12"/>
      <c r="SL39" s="12"/>
      <c r="TC39" s="12"/>
      <c r="TD39" s="12"/>
      <c r="TU39" s="12"/>
      <c r="TV39" s="12"/>
      <c r="UM39" s="12"/>
      <c r="UN39" s="12"/>
      <c r="VE39" s="12"/>
      <c r="VF39" s="12"/>
      <c r="VW39" s="12"/>
      <c r="VX39" s="12"/>
      <c r="WO39" s="12"/>
      <c r="WP39" s="12"/>
      <c r="XG39" s="12"/>
      <c r="XH39" s="12"/>
      <c r="XY39" s="12"/>
      <c r="XZ39" s="12"/>
      <c r="YQ39" s="12"/>
      <c r="YR39" s="12"/>
      <c r="ZI39" s="12"/>
      <c r="ZJ39" s="12"/>
      <c r="AAA39" s="12"/>
      <c r="AAB39" s="12"/>
      <c r="AAS39" s="12"/>
      <c r="AAT39" s="12"/>
      <c r="ABK39" s="12"/>
      <c r="ABL39" s="12"/>
      <c r="ACC39" s="12"/>
      <c r="ACD39" s="12"/>
      <c r="ACU39" s="12"/>
      <c r="ACV39" s="12"/>
      <c r="ADM39" s="12"/>
      <c r="ADN39" s="12"/>
      <c r="AEE39" s="12"/>
      <c r="AEF39" s="12"/>
      <c r="AEW39" s="12"/>
      <c r="AEX39" s="12"/>
      <c r="AFO39" s="12"/>
      <c r="AFP39" s="12"/>
      <c r="AGG39" s="12"/>
      <c r="AGH39" s="12"/>
      <c r="AGY39" s="12"/>
      <c r="AGZ39" s="12"/>
      <c r="AHQ39" s="12"/>
      <c r="AHR39" s="12"/>
      <c r="AII39" s="12"/>
      <c r="AIJ39" s="12"/>
      <c r="AJA39" s="12"/>
      <c r="AJB39" s="12"/>
      <c r="AJS39" s="12"/>
      <c r="AJT39" s="12"/>
      <c r="AKK39" s="12"/>
      <c r="AKL39" s="12"/>
      <c r="ALC39" s="12"/>
      <c r="ALD39" s="12"/>
      <c r="ALU39" s="12"/>
      <c r="ALV39" s="12"/>
      <c r="AMM39" s="12"/>
      <c r="AMN39" s="12"/>
      <c r="ANE39" s="12"/>
      <c r="ANF39" s="12"/>
      <c r="ANW39" s="12"/>
      <c r="ANX39" s="12"/>
      <c r="AOO39" s="12"/>
      <c r="AOP39" s="12"/>
      <c r="APG39" s="12"/>
      <c r="APH39" s="12"/>
      <c r="APY39" s="12"/>
      <c r="APZ39" s="12"/>
      <c r="AQQ39" s="12"/>
      <c r="AQR39" s="12"/>
      <c r="ARI39" s="12"/>
      <c r="ARJ39" s="12"/>
      <c r="ASA39" s="12"/>
      <c r="ASB39" s="12"/>
      <c r="ASS39" s="12"/>
      <c r="AST39" s="12"/>
      <c r="ATK39" s="12"/>
      <c r="ATL39" s="12"/>
      <c r="AUC39" s="12"/>
      <c r="AUD39" s="12"/>
      <c r="AUU39" s="12"/>
      <c r="AUV39" s="12"/>
      <c r="AVM39" s="12"/>
      <c r="AVN39" s="12"/>
      <c r="AWE39" s="12"/>
      <c r="AWF39" s="12"/>
      <c r="AWW39" s="12"/>
      <c r="AWX39" s="12"/>
      <c r="AXO39" s="12"/>
      <c r="AXP39" s="12"/>
      <c r="AYG39" s="12"/>
      <c r="AYH39" s="12"/>
      <c r="AYY39" s="12"/>
      <c r="AYZ39" s="12"/>
      <c r="AZQ39" s="12"/>
      <c r="AZR39" s="12"/>
      <c r="BAI39" s="12"/>
      <c r="BAJ39" s="12"/>
      <c r="BBA39" s="12"/>
      <c r="BBB39" s="12"/>
      <c r="BBS39" s="12"/>
      <c r="BBT39" s="12"/>
      <c r="BCK39" s="12"/>
      <c r="BCL39" s="12"/>
      <c r="BDC39" s="12"/>
      <c r="BDD39" s="12"/>
      <c r="BDU39" s="12"/>
      <c r="BDV39" s="12"/>
      <c r="BEM39" s="12"/>
      <c r="BEN39" s="12"/>
      <c r="BFE39" s="12"/>
      <c r="BFF39" s="12"/>
      <c r="BFW39" s="12"/>
      <c r="BFX39" s="12"/>
      <c r="BGO39" s="12"/>
      <c r="BGP39" s="12"/>
      <c r="BHG39" s="12"/>
      <c r="BHH39" s="12"/>
      <c r="BHY39" s="12"/>
      <c r="BHZ39" s="12"/>
      <c r="BIQ39" s="12"/>
      <c r="BIR39" s="12"/>
      <c r="BJI39" s="12"/>
      <c r="BJJ39" s="12"/>
      <c r="BKA39" s="12"/>
      <c r="BKB39" s="12"/>
      <c r="BKS39" s="12"/>
      <c r="BKT39" s="12"/>
      <c r="BLK39" s="12"/>
      <c r="BLL39" s="12"/>
      <c r="BMC39" s="12"/>
      <c r="BMD39" s="12"/>
      <c r="BMU39" s="12"/>
      <c r="BMV39" s="12"/>
      <c r="BNM39" s="12"/>
      <c r="BNN39" s="12"/>
      <c r="BOE39" s="12"/>
      <c r="BOF39" s="12"/>
      <c r="BOW39" s="12"/>
      <c r="BOX39" s="12"/>
      <c r="BPO39" s="12"/>
      <c r="BPP39" s="12"/>
      <c r="BQG39" s="12"/>
      <c r="BQH39" s="12"/>
      <c r="BQY39" s="12"/>
      <c r="BQZ39" s="12"/>
      <c r="BRQ39" s="12"/>
      <c r="BRR39" s="12"/>
      <c r="BSI39" s="12"/>
      <c r="BSJ39" s="12"/>
      <c r="BTA39" s="12"/>
      <c r="BTB39" s="12"/>
      <c r="BTS39" s="12"/>
      <c r="BTT39" s="12"/>
      <c r="BUK39" s="12"/>
      <c r="BUL39" s="12"/>
      <c r="BVC39" s="12"/>
      <c r="BVD39" s="12"/>
      <c r="BVU39" s="12"/>
      <c r="BVV39" s="12"/>
      <c r="BWM39" s="12"/>
      <c r="BWN39" s="12"/>
      <c r="BXE39" s="12"/>
      <c r="BXF39" s="12"/>
      <c r="BXW39" s="12"/>
      <c r="BXX39" s="12"/>
      <c r="BYO39" s="12"/>
      <c r="BYP39" s="12"/>
      <c r="BZG39" s="12"/>
      <c r="BZH39" s="12"/>
      <c r="BZY39" s="12"/>
      <c r="BZZ39" s="12"/>
      <c r="CAQ39" s="12"/>
      <c r="CAR39" s="12"/>
      <c r="CBI39" s="12"/>
      <c r="CBJ39" s="12"/>
      <c r="CCA39" s="12"/>
      <c r="CCB39" s="12"/>
      <c r="CCS39" s="12"/>
      <c r="CCT39" s="12"/>
      <c r="CDK39" s="12"/>
      <c r="CDL39" s="12"/>
      <c r="CEC39" s="12"/>
      <c r="CED39" s="12"/>
      <c r="CEU39" s="12"/>
      <c r="CEV39" s="12"/>
      <c r="CFM39" s="12"/>
      <c r="CFN39" s="12"/>
      <c r="CGE39" s="12"/>
      <c r="CGF39" s="12"/>
      <c r="CGW39" s="12"/>
      <c r="CGX39" s="12"/>
      <c r="CHO39" s="12"/>
      <c r="CHP39" s="12"/>
      <c r="CIG39" s="12"/>
      <c r="CIH39" s="12"/>
      <c r="CIY39" s="12"/>
      <c r="CIZ39" s="12"/>
      <c r="CJQ39" s="12"/>
      <c r="CJR39" s="12"/>
      <c r="CKI39" s="12"/>
      <c r="CKJ39" s="12"/>
      <c r="CLA39" s="12"/>
      <c r="CLB39" s="12"/>
      <c r="CLS39" s="12"/>
      <c r="CLT39" s="12"/>
      <c r="CMK39" s="12"/>
      <c r="CML39" s="12"/>
      <c r="CNC39" s="12"/>
      <c r="CND39" s="12"/>
      <c r="CNU39" s="12"/>
      <c r="CNV39" s="12"/>
      <c r="COM39" s="12"/>
      <c r="CON39" s="12"/>
      <c r="CPE39" s="12"/>
      <c r="CPF39" s="12"/>
      <c r="CPW39" s="12"/>
      <c r="CPX39" s="12"/>
      <c r="CQO39" s="12"/>
      <c r="CQP39" s="12"/>
      <c r="CRG39" s="12"/>
      <c r="CRH39" s="12"/>
      <c r="CRY39" s="12"/>
      <c r="CRZ39" s="12"/>
      <c r="CSQ39" s="12"/>
      <c r="CSR39" s="12"/>
      <c r="CTI39" s="12"/>
      <c r="CTJ39" s="12"/>
      <c r="CUA39" s="12"/>
      <c r="CUB39" s="12"/>
      <c r="CUS39" s="12"/>
      <c r="CUT39" s="12"/>
      <c r="CVK39" s="12"/>
      <c r="CVL39" s="12"/>
      <c r="CWC39" s="12"/>
      <c r="CWD39" s="12"/>
      <c r="CWU39" s="12"/>
      <c r="CWV39" s="12"/>
      <c r="CXM39" s="12"/>
      <c r="CXN39" s="12"/>
      <c r="CYE39" s="12"/>
      <c r="CYF39" s="12"/>
      <c r="CYW39" s="12"/>
      <c r="CYX39" s="12"/>
      <c r="CZO39" s="12"/>
      <c r="CZP39" s="12"/>
      <c r="DAG39" s="12"/>
      <c r="DAH39" s="12"/>
      <c r="DAY39" s="12"/>
      <c r="DAZ39" s="12"/>
      <c r="DBQ39" s="12"/>
      <c r="DBR39" s="12"/>
      <c r="DCI39" s="12"/>
      <c r="DCJ39" s="12"/>
      <c r="DDA39" s="12"/>
      <c r="DDB39" s="12"/>
      <c r="DDS39" s="12"/>
      <c r="DDT39" s="12"/>
      <c r="DEK39" s="12"/>
      <c r="DEL39" s="12"/>
      <c r="DFC39" s="12"/>
      <c r="DFD39" s="12"/>
      <c r="DFU39" s="12"/>
      <c r="DFV39" s="12"/>
      <c r="DGM39" s="12"/>
      <c r="DGN39" s="12"/>
      <c r="DHE39" s="12"/>
      <c r="DHF39" s="12"/>
      <c r="DHW39" s="12"/>
      <c r="DHX39" s="12"/>
      <c r="DIO39" s="12"/>
      <c r="DIP39" s="12"/>
      <c r="DJG39" s="12"/>
      <c r="DJH39" s="12"/>
      <c r="DJY39" s="12"/>
      <c r="DJZ39" s="12"/>
      <c r="DKQ39" s="12"/>
      <c r="DKR39" s="12"/>
      <c r="DLI39" s="12"/>
      <c r="DLJ39" s="12"/>
      <c r="DMA39" s="12"/>
      <c r="DMB39" s="12"/>
      <c r="DMS39" s="12"/>
      <c r="DMT39" s="12"/>
      <c r="DNK39" s="12"/>
      <c r="DNL39" s="12"/>
      <c r="DOC39" s="12"/>
      <c r="DOD39" s="12"/>
      <c r="DOU39" s="12"/>
      <c r="DOV39" s="12"/>
      <c r="DPM39" s="12"/>
      <c r="DPN39" s="12"/>
      <c r="DQE39" s="12"/>
      <c r="DQF39" s="12"/>
      <c r="DQW39" s="12"/>
      <c r="DQX39" s="12"/>
      <c r="DRO39" s="12"/>
      <c r="DRP39" s="12"/>
      <c r="DSG39" s="12"/>
      <c r="DSH39" s="12"/>
      <c r="DSY39" s="12"/>
      <c r="DSZ39" s="12"/>
      <c r="DTQ39" s="12"/>
      <c r="DTR39" s="12"/>
      <c r="DUI39" s="12"/>
      <c r="DUJ39" s="12"/>
      <c r="DVA39" s="12"/>
      <c r="DVB39" s="12"/>
      <c r="DVS39" s="12"/>
      <c r="DVT39" s="12"/>
      <c r="DWK39" s="12"/>
      <c r="DWL39" s="12"/>
      <c r="DXC39" s="12"/>
      <c r="DXD39" s="12"/>
      <c r="DXU39" s="12"/>
      <c r="DXV39" s="12"/>
      <c r="DYM39" s="12"/>
      <c r="DYN39" s="12"/>
      <c r="DZE39" s="12"/>
      <c r="DZF39" s="12"/>
      <c r="DZW39" s="12"/>
      <c r="DZX39" s="12"/>
      <c r="EAO39" s="12"/>
      <c r="EAP39" s="12"/>
      <c r="EBG39" s="12"/>
      <c r="EBH39" s="12"/>
      <c r="EBY39" s="12"/>
      <c r="EBZ39" s="12"/>
      <c r="ECQ39" s="12"/>
      <c r="ECR39" s="12"/>
      <c r="EDI39" s="12"/>
      <c r="EDJ39" s="12"/>
      <c r="EEA39" s="12"/>
      <c r="EEB39" s="12"/>
      <c r="EES39" s="12"/>
      <c r="EET39" s="12"/>
      <c r="EFK39" s="12"/>
      <c r="EFL39" s="12"/>
      <c r="EGC39" s="12"/>
      <c r="EGD39" s="12"/>
      <c r="EGU39" s="12"/>
      <c r="EGV39" s="12"/>
      <c r="EHM39" s="12"/>
      <c r="EHN39" s="12"/>
      <c r="EIE39" s="12"/>
      <c r="EIF39" s="12"/>
      <c r="EIW39" s="12"/>
      <c r="EIX39" s="12"/>
      <c r="EJO39" s="12"/>
      <c r="EJP39" s="12"/>
      <c r="EKG39" s="12"/>
      <c r="EKH39" s="12"/>
      <c r="EKY39" s="12"/>
      <c r="EKZ39" s="12"/>
      <c r="ELQ39" s="12"/>
      <c r="ELR39" s="12"/>
      <c r="EMI39" s="12"/>
      <c r="EMJ39" s="12"/>
      <c r="ENA39" s="12"/>
      <c r="ENB39" s="12"/>
      <c r="ENS39" s="12"/>
      <c r="ENT39" s="12"/>
      <c r="EOK39" s="12"/>
      <c r="EOL39" s="12"/>
      <c r="EPC39" s="12"/>
      <c r="EPD39" s="12"/>
      <c r="EPU39" s="12"/>
      <c r="EPV39" s="12"/>
      <c r="EQM39" s="12"/>
      <c r="EQN39" s="12"/>
      <c r="ERE39" s="12"/>
      <c r="ERF39" s="12"/>
      <c r="ERW39" s="12"/>
      <c r="ERX39" s="12"/>
      <c r="ESO39" s="12"/>
      <c r="ESP39" s="12"/>
      <c r="ETG39" s="12"/>
      <c r="ETH39" s="12"/>
      <c r="ETY39" s="12"/>
      <c r="ETZ39" s="12"/>
      <c r="EUQ39" s="12"/>
      <c r="EUR39" s="12"/>
      <c r="EVI39" s="12"/>
      <c r="EVJ39" s="12"/>
      <c r="EWA39" s="12"/>
      <c r="EWB39" s="12"/>
      <c r="EWS39" s="12"/>
      <c r="EWT39" s="12"/>
      <c r="EXK39" s="12"/>
      <c r="EXL39" s="12"/>
      <c r="EYC39" s="12"/>
      <c r="EYD39" s="12"/>
      <c r="EYU39" s="12"/>
      <c r="EYV39" s="12"/>
      <c r="EZM39" s="12"/>
      <c r="EZN39" s="12"/>
      <c r="FAE39" s="12"/>
      <c r="FAF39" s="12"/>
      <c r="FAW39" s="12"/>
      <c r="FAX39" s="12"/>
      <c r="FBO39" s="12"/>
      <c r="FBP39" s="12"/>
      <c r="FCG39" s="12"/>
      <c r="FCH39" s="12"/>
      <c r="FCY39" s="12"/>
      <c r="FCZ39" s="12"/>
      <c r="FDQ39" s="12"/>
      <c r="FDR39" s="12"/>
      <c r="FEI39" s="12"/>
      <c r="FEJ39" s="12"/>
      <c r="FFA39" s="12"/>
      <c r="FFB39" s="12"/>
      <c r="FFS39" s="12"/>
      <c r="FFT39" s="12"/>
      <c r="FGK39" s="12"/>
      <c r="FGL39" s="12"/>
      <c r="FHC39" s="12"/>
      <c r="FHD39" s="12"/>
      <c r="FHU39" s="12"/>
      <c r="FHV39" s="12"/>
      <c r="FIM39" s="12"/>
      <c r="FIN39" s="12"/>
      <c r="FJE39" s="12"/>
      <c r="FJF39" s="12"/>
      <c r="FJW39" s="12"/>
      <c r="FJX39" s="12"/>
      <c r="FKO39" s="12"/>
      <c r="FKP39" s="12"/>
      <c r="FLG39" s="12"/>
      <c r="FLH39" s="12"/>
      <c r="FLY39" s="12"/>
      <c r="FLZ39" s="12"/>
      <c r="FMQ39" s="12"/>
      <c r="FMR39" s="12"/>
      <c r="FNI39" s="12"/>
      <c r="FNJ39" s="12"/>
      <c r="FOA39" s="12"/>
      <c r="FOB39" s="12"/>
      <c r="FOS39" s="12"/>
      <c r="FOT39" s="12"/>
      <c r="FPK39" s="12"/>
      <c r="FPL39" s="12"/>
      <c r="FQC39" s="12"/>
      <c r="FQD39" s="12"/>
      <c r="FQU39" s="12"/>
      <c r="FQV39" s="12"/>
      <c r="FRM39" s="12"/>
      <c r="FRN39" s="12"/>
      <c r="FSE39" s="12"/>
      <c r="FSF39" s="12"/>
      <c r="FSW39" s="12"/>
      <c r="FSX39" s="12"/>
      <c r="FTO39" s="12"/>
      <c r="FTP39" s="12"/>
      <c r="FUG39" s="12"/>
      <c r="FUH39" s="12"/>
      <c r="FUY39" s="12"/>
      <c r="FUZ39" s="12"/>
      <c r="FVQ39" s="12"/>
      <c r="FVR39" s="12"/>
      <c r="FWI39" s="12"/>
      <c r="FWJ39" s="12"/>
      <c r="FXA39" s="12"/>
      <c r="FXB39" s="12"/>
      <c r="FXS39" s="12"/>
      <c r="FXT39" s="12"/>
      <c r="FYK39" s="12"/>
      <c r="FYL39" s="12"/>
      <c r="FZC39" s="12"/>
      <c r="FZD39" s="12"/>
      <c r="FZU39" s="12"/>
      <c r="FZV39" s="12"/>
      <c r="GAM39" s="12"/>
      <c r="GAN39" s="12"/>
      <c r="GBE39" s="12"/>
      <c r="GBF39" s="12"/>
      <c r="GBW39" s="12"/>
      <c r="GBX39" s="12"/>
      <c r="GCO39" s="12"/>
      <c r="GCP39" s="12"/>
      <c r="GDG39" s="12"/>
      <c r="GDH39" s="12"/>
      <c r="GDY39" s="12"/>
      <c r="GDZ39" s="12"/>
      <c r="GEQ39" s="12"/>
      <c r="GER39" s="12"/>
      <c r="GFI39" s="12"/>
      <c r="GFJ39" s="12"/>
      <c r="GGA39" s="12"/>
      <c r="GGB39" s="12"/>
      <c r="GGS39" s="12"/>
      <c r="GGT39" s="12"/>
      <c r="GHK39" s="12"/>
      <c r="GHL39" s="12"/>
      <c r="GIC39" s="12"/>
      <c r="GID39" s="12"/>
      <c r="GIU39" s="12"/>
      <c r="GIV39" s="12"/>
      <c r="GJM39" s="12"/>
      <c r="GJN39" s="12"/>
      <c r="GKE39" s="12"/>
      <c r="GKF39" s="12"/>
      <c r="GKW39" s="12"/>
      <c r="GKX39" s="12"/>
      <c r="GLO39" s="12"/>
      <c r="GLP39" s="12"/>
      <c r="GMG39" s="12"/>
      <c r="GMH39" s="12"/>
      <c r="GMY39" s="12"/>
      <c r="GMZ39" s="12"/>
      <c r="GNQ39" s="12"/>
      <c r="GNR39" s="12"/>
      <c r="GOI39" s="12"/>
      <c r="GOJ39" s="12"/>
      <c r="GPA39" s="12"/>
      <c r="GPB39" s="12"/>
      <c r="GPS39" s="12"/>
      <c r="GPT39" s="12"/>
      <c r="GQK39" s="12"/>
      <c r="GQL39" s="12"/>
      <c r="GRC39" s="12"/>
      <c r="GRD39" s="12"/>
      <c r="GRU39" s="12"/>
      <c r="GRV39" s="12"/>
      <c r="GSM39" s="12"/>
      <c r="GSN39" s="12"/>
      <c r="GTE39" s="12"/>
      <c r="GTF39" s="12"/>
      <c r="GTW39" s="12"/>
      <c r="GTX39" s="12"/>
      <c r="GUO39" s="12"/>
      <c r="GUP39" s="12"/>
      <c r="GVG39" s="12"/>
      <c r="GVH39" s="12"/>
      <c r="GVY39" s="12"/>
      <c r="GVZ39" s="12"/>
      <c r="GWQ39" s="12"/>
      <c r="GWR39" s="12"/>
      <c r="GXI39" s="12"/>
      <c r="GXJ39" s="12"/>
      <c r="GYA39" s="12"/>
      <c r="GYB39" s="12"/>
      <c r="GYS39" s="12"/>
      <c r="GYT39" s="12"/>
      <c r="GZK39" s="12"/>
      <c r="GZL39" s="12"/>
      <c r="HAC39" s="12"/>
      <c r="HAD39" s="12"/>
      <c r="HAU39" s="12"/>
      <c r="HAV39" s="12"/>
      <c r="HBM39" s="12"/>
      <c r="HBN39" s="12"/>
      <c r="HCE39" s="12"/>
      <c r="HCF39" s="12"/>
      <c r="HCW39" s="12"/>
      <c r="HCX39" s="12"/>
      <c r="HDO39" s="12"/>
      <c r="HDP39" s="12"/>
      <c r="HEG39" s="12"/>
      <c r="HEH39" s="12"/>
      <c r="HEY39" s="12"/>
      <c r="HEZ39" s="12"/>
      <c r="HFQ39" s="12"/>
      <c r="HFR39" s="12"/>
      <c r="HGI39" s="12"/>
      <c r="HGJ39" s="12"/>
      <c r="HHA39" s="12"/>
      <c r="HHB39" s="12"/>
      <c r="HHS39" s="12"/>
      <c r="HHT39" s="12"/>
      <c r="HIK39" s="12"/>
      <c r="HIL39" s="12"/>
      <c r="HJC39" s="12"/>
      <c r="HJD39" s="12"/>
      <c r="HJU39" s="12"/>
      <c r="HJV39" s="12"/>
      <c r="HKM39" s="12"/>
      <c r="HKN39" s="12"/>
      <c r="HLE39" s="12"/>
      <c r="HLF39" s="12"/>
      <c r="HLW39" s="12"/>
      <c r="HLX39" s="12"/>
      <c r="HMO39" s="12"/>
      <c r="HMP39" s="12"/>
      <c r="HNG39" s="12"/>
      <c r="HNH39" s="12"/>
      <c r="HNY39" s="12"/>
      <c r="HNZ39" s="12"/>
      <c r="HOQ39" s="12"/>
      <c r="HOR39" s="12"/>
      <c r="HPI39" s="12"/>
      <c r="HPJ39" s="12"/>
      <c r="HQA39" s="12"/>
      <c r="HQB39" s="12"/>
      <c r="HQS39" s="12"/>
      <c r="HQT39" s="12"/>
      <c r="HRK39" s="12"/>
      <c r="HRL39" s="12"/>
      <c r="HSC39" s="12"/>
      <c r="HSD39" s="12"/>
      <c r="HSU39" s="12"/>
      <c r="HSV39" s="12"/>
      <c r="HTM39" s="12"/>
      <c r="HTN39" s="12"/>
      <c r="HUE39" s="12"/>
      <c r="HUF39" s="12"/>
      <c r="HUW39" s="12"/>
      <c r="HUX39" s="12"/>
      <c r="HVO39" s="12"/>
      <c r="HVP39" s="12"/>
      <c r="HWG39" s="12"/>
      <c r="HWH39" s="12"/>
      <c r="HWY39" s="12"/>
      <c r="HWZ39" s="12"/>
      <c r="HXQ39" s="12"/>
      <c r="HXR39" s="12"/>
      <c r="HYI39" s="12"/>
      <c r="HYJ39" s="12"/>
      <c r="HZA39" s="12"/>
      <c r="HZB39" s="12"/>
      <c r="HZS39" s="12"/>
      <c r="HZT39" s="12"/>
      <c r="IAK39" s="12"/>
      <c r="IAL39" s="12"/>
      <c r="IBC39" s="12"/>
      <c r="IBD39" s="12"/>
      <c r="IBU39" s="12"/>
      <c r="IBV39" s="12"/>
      <c r="ICM39" s="12"/>
      <c r="ICN39" s="12"/>
      <c r="IDE39" s="12"/>
      <c r="IDF39" s="12"/>
      <c r="IDW39" s="12"/>
      <c r="IDX39" s="12"/>
      <c r="IEO39" s="12"/>
      <c r="IEP39" s="12"/>
      <c r="IFG39" s="12"/>
      <c r="IFH39" s="12"/>
      <c r="IFY39" s="12"/>
      <c r="IFZ39" s="12"/>
      <c r="IGQ39" s="12"/>
      <c r="IGR39" s="12"/>
      <c r="IHI39" s="12"/>
      <c r="IHJ39" s="12"/>
      <c r="IIA39" s="12"/>
      <c r="IIB39" s="12"/>
      <c r="IIS39" s="12"/>
      <c r="IIT39" s="12"/>
      <c r="IJK39" s="12"/>
      <c r="IJL39" s="12"/>
      <c r="IKC39" s="12"/>
      <c r="IKD39" s="12"/>
      <c r="IKU39" s="12"/>
      <c r="IKV39" s="12"/>
      <c r="ILM39" s="12"/>
      <c r="ILN39" s="12"/>
      <c r="IME39" s="12"/>
      <c r="IMF39" s="12"/>
      <c r="IMW39" s="12"/>
      <c r="IMX39" s="12"/>
      <c r="INO39" s="12"/>
      <c r="INP39" s="12"/>
      <c r="IOG39" s="12"/>
      <c r="IOH39" s="12"/>
      <c r="IOY39" s="12"/>
      <c r="IOZ39" s="12"/>
      <c r="IPQ39" s="12"/>
      <c r="IPR39" s="12"/>
      <c r="IQI39" s="12"/>
      <c r="IQJ39" s="12"/>
      <c r="IRA39" s="12"/>
      <c r="IRB39" s="12"/>
      <c r="IRS39" s="12"/>
      <c r="IRT39" s="12"/>
      <c r="ISK39" s="12"/>
      <c r="ISL39" s="12"/>
      <c r="ITC39" s="12"/>
      <c r="ITD39" s="12"/>
      <c r="ITU39" s="12"/>
      <c r="ITV39" s="12"/>
      <c r="IUM39" s="12"/>
      <c r="IUN39" s="12"/>
      <c r="IVE39" s="12"/>
      <c r="IVF39" s="12"/>
      <c r="IVW39" s="12"/>
      <c r="IVX39" s="12"/>
      <c r="IWO39" s="12"/>
      <c r="IWP39" s="12"/>
      <c r="IXG39" s="12"/>
      <c r="IXH39" s="12"/>
      <c r="IXY39" s="12"/>
      <c r="IXZ39" s="12"/>
      <c r="IYQ39" s="12"/>
      <c r="IYR39" s="12"/>
      <c r="IZI39" s="12"/>
      <c r="IZJ39" s="12"/>
      <c r="JAA39" s="12"/>
      <c r="JAB39" s="12"/>
      <c r="JAS39" s="12"/>
      <c r="JAT39" s="12"/>
      <c r="JBK39" s="12"/>
      <c r="JBL39" s="12"/>
      <c r="JCC39" s="12"/>
      <c r="JCD39" s="12"/>
      <c r="JCU39" s="12"/>
      <c r="JCV39" s="12"/>
      <c r="JDM39" s="12"/>
      <c r="JDN39" s="12"/>
      <c r="JEE39" s="12"/>
      <c r="JEF39" s="12"/>
      <c r="JEW39" s="12"/>
      <c r="JEX39" s="12"/>
      <c r="JFO39" s="12"/>
      <c r="JFP39" s="12"/>
      <c r="JGG39" s="12"/>
      <c r="JGH39" s="12"/>
      <c r="JGY39" s="12"/>
      <c r="JGZ39" s="12"/>
      <c r="JHQ39" s="12"/>
      <c r="JHR39" s="12"/>
      <c r="JII39" s="12"/>
      <c r="JIJ39" s="12"/>
      <c r="JJA39" s="12"/>
      <c r="JJB39" s="12"/>
      <c r="JJS39" s="12"/>
      <c r="JJT39" s="12"/>
      <c r="JKK39" s="12"/>
      <c r="JKL39" s="12"/>
      <c r="JLC39" s="12"/>
      <c r="JLD39" s="12"/>
      <c r="JLU39" s="12"/>
      <c r="JLV39" s="12"/>
      <c r="JMM39" s="12"/>
      <c r="JMN39" s="12"/>
      <c r="JNE39" s="12"/>
      <c r="JNF39" s="12"/>
      <c r="JNW39" s="12"/>
      <c r="JNX39" s="12"/>
      <c r="JOO39" s="12"/>
      <c r="JOP39" s="12"/>
      <c r="JPG39" s="12"/>
      <c r="JPH39" s="12"/>
      <c r="JPY39" s="12"/>
      <c r="JPZ39" s="12"/>
      <c r="JQQ39" s="12"/>
      <c r="JQR39" s="12"/>
      <c r="JRI39" s="12"/>
      <c r="JRJ39" s="12"/>
      <c r="JSA39" s="12"/>
      <c r="JSB39" s="12"/>
      <c r="JSS39" s="12"/>
      <c r="JST39" s="12"/>
      <c r="JTK39" s="12"/>
      <c r="JTL39" s="12"/>
      <c r="JUC39" s="12"/>
      <c r="JUD39" s="12"/>
      <c r="JUU39" s="12"/>
      <c r="JUV39" s="12"/>
      <c r="JVM39" s="12"/>
      <c r="JVN39" s="12"/>
      <c r="JWE39" s="12"/>
      <c r="JWF39" s="12"/>
      <c r="JWW39" s="12"/>
      <c r="JWX39" s="12"/>
      <c r="JXO39" s="12"/>
      <c r="JXP39" s="12"/>
      <c r="JYG39" s="12"/>
      <c r="JYH39" s="12"/>
      <c r="JYY39" s="12"/>
      <c r="JYZ39" s="12"/>
      <c r="JZQ39" s="12"/>
      <c r="JZR39" s="12"/>
      <c r="KAI39" s="12"/>
      <c r="KAJ39" s="12"/>
      <c r="KBA39" s="12"/>
      <c r="KBB39" s="12"/>
      <c r="KBS39" s="12"/>
      <c r="KBT39" s="12"/>
      <c r="KCK39" s="12"/>
      <c r="KCL39" s="12"/>
      <c r="KDC39" s="12"/>
      <c r="KDD39" s="12"/>
      <c r="KDU39" s="12"/>
      <c r="KDV39" s="12"/>
      <c r="KEM39" s="12"/>
      <c r="KEN39" s="12"/>
      <c r="KFE39" s="12"/>
      <c r="KFF39" s="12"/>
      <c r="KFW39" s="12"/>
      <c r="KFX39" s="12"/>
      <c r="KGO39" s="12"/>
      <c r="KGP39" s="12"/>
      <c r="KHG39" s="12"/>
      <c r="KHH39" s="12"/>
      <c r="KHY39" s="12"/>
      <c r="KHZ39" s="12"/>
      <c r="KIQ39" s="12"/>
      <c r="KIR39" s="12"/>
      <c r="KJI39" s="12"/>
      <c r="KJJ39" s="12"/>
      <c r="KKA39" s="12"/>
      <c r="KKB39" s="12"/>
      <c r="KKS39" s="12"/>
      <c r="KKT39" s="12"/>
      <c r="KLK39" s="12"/>
      <c r="KLL39" s="12"/>
      <c r="KMC39" s="12"/>
      <c r="KMD39" s="12"/>
      <c r="KMU39" s="12"/>
      <c r="KMV39" s="12"/>
      <c r="KNM39" s="12"/>
      <c r="KNN39" s="12"/>
      <c r="KOE39" s="12"/>
      <c r="KOF39" s="12"/>
      <c r="KOW39" s="12"/>
      <c r="KOX39" s="12"/>
      <c r="KPO39" s="12"/>
      <c r="KPP39" s="12"/>
      <c r="KQG39" s="12"/>
      <c r="KQH39" s="12"/>
      <c r="KQY39" s="12"/>
      <c r="KQZ39" s="12"/>
      <c r="KRQ39" s="12"/>
      <c r="KRR39" s="12"/>
      <c r="KSI39" s="12"/>
      <c r="KSJ39" s="12"/>
      <c r="KTA39" s="12"/>
      <c r="KTB39" s="12"/>
      <c r="KTS39" s="12"/>
      <c r="KTT39" s="12"/>
      <c r="KUK39" s="12"/>
      <c r="KUL39" s="12"/>
      <c r="KVC39" s="12"/>
      <c r="KVD39" s="12"/>
      <c r="KVU39" s="12"/>
      <c r="KVV39" s="12"/>
      <c r="KWM39" s="12"/>
      <c r="KWN39" s="12"/>
      <c r="KXE39" s="12"/>
      <c r="KXF39" s="12"/>
      <c r="KXW39" s="12"/>
      <c r="KXX39" s="12"/>
      <c r="KYO39" s="12"/>
      <c r="KYP39" s="12"/>
      <c r="KZG39" s="12"/>
      <c r="KZH39" s="12"/>
      <c r="KZY39" s="12"/>
      <c r="KZZ39" s="12"/>
      <c r="LAQ39" s="12"/>
      <c r="LAR39" s="12"/>
      <c r="LBI39" s="12"/>
      <c r="LBJ39" s="12"/>
      <c r="LCA39" s="12"/>
      <c r="LCB39" s="12"/>
      <c r="LCS39" s="12"/>
      <c r="LCT39" s="12"/>
      <c r="LDK39" s="12"/>
      <c r="LDL39" s="12"/>
      <c r="LEC39" s="12"/>
      <c r="LED39" s="12"/>
      <c r="LEU39" s="12"/>
      <c r="LEV39" s="12"/>
      <c r="LFM39" s="12"/>
      <c r="LFN39" s="12"/>
      <c r="LGE39" s="12"/>
      <c r="LGF39" s="12"/>
      <c r="LGW39" s="12"/>
      <c r="LGX39" s="12"/>
      <c r="LHO39" s="12"/>
      <c r="LHP39" s="12"/>
      <c r="LIG39" s="12"/>
      <c r="LIH39" s="12"/>
      <c r="LIY39" s="12"/>
      <c r="LIZ39" s="12"/>
      <c r="LJQ39" s="12"/>
      <c r="LJR39" s="12"/>
      <c r="LKI39" s="12"/>
      <c r="LKJ39" s="12"/>
      <c r="LLA39" s="12"/>
      <c r="LLB39" s="12"/>
      <c r="LLS39" s="12"/>
      <c r="LLT39" s="12"/>
      <c r="LMK39" s="12"/>
      <c r="LML39" s="12"/>
      <c r="LNC39" s="12"/>
      <c r="LND39" s="12"/>
      <c r="LNU39" s="12"/>
      <c r="LNV39" s="12"/>
      <c r="LOM39" s="12"/>
      <c r="LON39" s="12"/>
      <c r="LPE39" s="12"/>
      <c r="LPF39" s="12"/>
      <c r="LPW39" s="12"/>
      <c r="LPX39" s="12"/>
      <c r="LQO39" s="12"/>
      <c r="LQP39" s="12"/>
      <c r="LRG39" s="12"/>
      <c r="LRH39" s="12"/>
      <c r="LRY39" s="12"/>
      <c r="LRZ39" s="12"/>
      <c r="LSQ39" s="12"/>
      <c r="LSR39" s="12"/>
      <c r="LTI39" s="12"/>
      <c r="LTJ39" s="12"/>
      <c r="LUA39" s="12"/>
      <c r="LUB39" s="12"/>
      <c r="LUS39" s="12"/>
      <c r="LUT39" s="12"/>
      <c r="LVK39" s="12"/>
      <c r="LVL39" s="12"/>
      <c r="LWC39" s="12"/>
      <c r="LWD39" s="12"/>
      <c r="LWU39" s="12"/>
      <c r="LWV39" s="12"/>
      <c r="LXM39" s="12"/>
      <c r="LXN39" s="12"/>
      <c r="LYE39" s="12"/>
      <c r="LYF39" s="12"/>
      <c r="LYW39" s="12"/>
      <c r="LYX39" s="12"/>
      <c r="LZO39" s="12"/>
      <c r="LZP39" s="12"/>
      <c r="MAG39" s="12"/>
      <c r="MAH39" s="12"/>
      <c r="MAY39" s="12"/>
      <c r="MAZ39" s="12"/>
      <c r="MBQ39" s="12"/>
      <c r="MBR39" s="12"/>
      <c r="MCI39" s="12"/>
      <c r="MCJ39" s="12"/>
      <c r="MDA39" s="12"/>
      <c r="MDB39" s="12"/>
      <c r="MDS39" s="12"/>
      <c r="MDT39" s="12"/>
      <c r="MEK39" s="12"/>
      <c r="MEL39" s="12"/>
      <c r="MFC39" s="12"/>
      <c r="MFD39" s="12"/>
      <c r="MFU39" s="12"/>
      <c r="MFV39" s="12"/>
      <c r="MGM39" s="12"/>
      <c r="MGN39" s="12"/>
      <c r="MHE39" s="12"/>
      <c r="MHF39" s="12"/>
      <c r="MHW39" s="12"/>
      <c r="MHX39" s="12"/>
      <c r="MIO39" s="12"/>
      <c r="MIP39" s="12"/>
      <c r="MJG39" s="12"/>
      <c r="MJH39" s="12"/>
      <c r="MJY39" s="12"/>
      <c r="MJZ39" s="12"/>
      <c r="MKQ39" s="12"/>
      <c r="MKR39" s="12"/>
      <c r="MLI39" s="12"/>
      <c r="MLJ39" s="12"/>
      <c r="MMA39" s="12"/>
      <c r="MMB39" s="12"/>
      <c r="MMS39" s="12"/>
      <c r="MMT39" s="12"/>
      <c r="MNK39" s="12"/>
      <c r="MNL39" s="12"/>
      <c r="MOC39" s="12"/>
      <c r="MOD39" s="12"/>
      <c r="MOU39" s="12"/>
      <c r="MOV39" s="12"/>
      <c r="MPM39" s="12"/>
      <c r="MPN39" s="12"/>
      <c r="MQE39" s="12"/>
      <c r="MQF39" s="12"/>
      <c r="MQW39" s="12"/>
      <c r="MQX39" s="12"/>
      <c r="MRO39" s="12"/>
      <c r="MRP39" s="12"/>
      <c r="MSG39" s="12"/>
      <c r="MSH39" s="12"/>
      <c r="MSY39" s="12"/>
      <c r="MSZ39" s="12"/>
      <c r="MTQ39" s="12"/>
      <c r="MTR39" s="12"/>
      <c r="MUI39" s="12"/>
      <c r="MUJ39" s="12"/>
      <c r="MVA39" s="12"/>
      <c r="MVB39" s="12"/>
      <c r="MVS39" s="12"/>
      <c r="MVT39" s="12"/>
      <c r="MWK39" s="12"/>
      <c r="MWL39" s="12"/>
      <c r="MXC39" s="12"/>
      <c r="MXD39" s="12"/>
      <c r="MXU39" s="12"/>
      <c r="MXV39" s="12"/>
      <c r="MYM39" s="12"/>
      <c r="MYN39" s="12"/>
      <c r="MZE39" s="12"/>
      <c r="MZF39" s="12"/>
      <c r="MZW39" s="12"/>
      <c r="MZX39" s="12"/>
      <c r="NAO39" s="12"/>
      <c r="NAP39" s="12"/>
      <c r="NBG39" s="12"/>
      <c r="NBH39" s="12"/>
      <c r="NBY39" s="12"/>
      <c r="NBZ39" s="12"/>
      <c r="NCQ39" s="12"/>
      <c r="NCR39" s="12"/>
      <c r="NDI39" s="12"/>
      <c r="NDJ39" s="12"/>
      <c r="NEA39" s="12"/>
      <c r="NEB39" s="12"/>
      <c r="NES39" s="12"/>
      <c r="NET39" s="12"/>
      <c r="NFK39" s="12"/>
      <c r="NFL39" s="12"/>
      <c r="NGC39" s="12"/>
      <c r="NGD39" s="12"/>
      <c r="NGU39" s="12"/>
      <c r="NGV39" s="12"/>
      <c r="NHM39" s="12"/>
      <c r="NHN39" s="12"/>
      <c r="NIE39" s="12"/>
      <c r="NIF39" s="12"/>
      <c r="NIW39" s="12"/>
      <c r="NIX39" s="12"/>
      <c r="NJO39" s="12"/>
      <c r="NJP39" s="12"/>
      <c r="NKG39" s="12"/>
      <c r="NKH39" s="12"/>
      <c r="NKY39" s="12"/>
      <c r="NKZ39" s="12"/>
      <c r="NLQ39" s="12"/>
      <c r="NLR39" s="12"/>
      <c r="NMI39" s="12"/>
      <c r="NMJ39" s="12"/>
      <c r="NNA39" s="12"/>
      <c r="NNB39" s="12"/>
      <c r="NNS39" s="12"/>
      <c r="NNT39" s="12"/>
      <c r="NOK39" s="12"/>
      <c r="NOL39" s="12"/>
      <c r="NPC39" s="12"/>
      <c r="NPD39" s="12"/>
      <c r="NPU39" s="12"/>
      <c r="NPV39" s="12"/>
      <c r="NQM39" s="12"/>
      <c r="NQN39" s="12"/>
      <c r="NRE39" s="12"/>
      <c r="NRF39" s="12"/>
      <c r="NRW39" s="12"/>
      <c r="NRX39" s="12"/>
      <c r="NSO39" s="12"/>
      <c r="NSP39" s="12"/>
      <c r="NTG39" s="12"/>
      <c r="NTH39" s="12"/>
      <c r="NTY39" s="12"/>
      <c r="NTZ39" s="12"/>
      <c r="NUQ39" s="12"/>
      <c r="NUR39" s="12"/>
      <c r="NVI39" s="12"/>
      <c r="NVJ39" s="12"/>
      <c r="NWA39" s="12"/>
      <c r="NWB39" s="12"/>
      <c r="NWS39" s="12"/>
      <c r="NWT39" s="12"/>
      <c r="NXK39" s="12"/>
      <c r="NXL39" s="12"/>
      <c r="NYC39" s="12"/>
      <c r="NYD39" s="12"/>
      <c r="NYU39" s="12"/>
      <c r="NYV39" s="12"/>
      <c r="NZM39" s="12"/>
      <c r="NZN39" s="12"/>
      <c r="OAE39" s="12"/>
      <c r="OAF39" s="12"/>
      <c r="OAW39" s="12"/>
      <c r="OAX39" s="12"/>
      <c r="OBO39" s="12"/>
      <c r="OBP39" s="12"/>
      <c r="OCG39" s="12"/>
      <c r="OCH39" s="12"/>
      <c r="OCY39" s="12"/>
      <c r="OCZ39" s="12"/>
      <c r="ODQ39" s="12"/>
      <c r="ODR39" s="12"/>
      <c r="OEI39" s="12"/>
      <c r="OEJ39" s="12"/>
      <c r="OFA39" s="12"/>
      <c r="OFB39" s="12"/>
      <c r="OFS39" s="12"/>
      <c r="OFT39" s="12"/>
      <c r="OGK39" s="12"/>
      <c r="OGL39" s="12"/>
      <c r="OHC39" s="12"/>
      <c r="OHD39" s="12"/>
      <c r="OHU39" s="12"/>
      <c r="OHV39" s="12"/>
      <c r="OIM39" s="12"/>
      <c r="OIN39" s="12"/>
      <c r="OJE39" s="12"/>
      <c r="OJF39" s="12"/>
      <c r="OJW39" s="12"/>
      <c r="OJX39" s="12"/>
      <c r="OKO39" s="12"/>
      <c r="OKP39" s="12"/>
      <c r="OLG39" s="12"/>
      <c r="OLH39" s="12"/>
      <c r="OLY39" s="12"/>
      <c r="OLZ39" s="12"/>
      <c r="OMQ39" s="12"/>
      <c r="OMR39" s="12"/>
      <c r="ONI39" s="12"/>
      <c r="ONJ39" s="12"/>
      <c r="OOA39" s="12"/>
      <c r="OOB39" s="12"/>
      <c r="OOS39" s="12"/>
      <c r="OOT39" s="12"/>
      <c r="OPK39" s="12"/>
      <c r="OPL39" s="12"/>
      <c r="OQC39" s="12"/>
      <c r="OQD39" s="12"/>
      <c r="OQU39" s="12"/>
      <c r="OQV39" s="12"/>
      <c r="ORM39" s="12"/>
      <c r="ORN39" s="12"/>
      <c r="OSE39" s="12"/>
      <c r="OSF39" s="12"/>
      <c r="OSW39" s="12"/>
      <c r="OSX39" s="12"/>
      <c r="OTO39" s="12"/>
      <c r="OTP39" s="12"/>
      <c r="OUG39" s="12"/>
      <c r="OUH39" s="12"/>
      <c r="OUY39" s="12"/>
      <c r="OUZ39" s="12"/>
      <c r="OVQ39" s="12"/>
      <c r="OVR39" s="12"/>
      <c r="OWI39" s="12"/>
      <c r="OWJ39" s="12"/>
      <c r="OXA39" s="12"/>
      <c r="OXB39" s="12"/>
      <c r="OXS39" s="12"/>
      <c r="OXT39" s="12"/>
      <c r="OYK39" s="12"/>
      <c r="OYL39" s="12"/>
      <c r="OZC39" s="12"/>
      <c r="OZD39" s="12"/>
      <c r="OZU39" s="12"/>
      <c r="OZV39" s="12"/>
      <c r="PAM39" s="12"/>
      <c r="PAN39" s="12"/>
      <c r="PBE39" s="12"/>
      <c r="PBF39" s="12"/>
      <c r="PBW39" s="12"/>
      <c r="PBX39" s="12"/>
      <c r="PCO39" s="12"/>
      <c r="PCP39" s="12"/>
      <c r="PDG39" s="12"/>
      <c r="PDH39" s="12"/>
      <c r="PDY39" s="12"/>
      <c r="PDZ39" s="12"/>
      <c r="PEQ39" s="12"/>
      <c r="PER39" s="12"/>
      <c r="PFI39" s="12"/>
      <c r="PFJ39" s="12"/>
      <c r="PGA39" s="12"/>
      <c r="PGB39" s="12"/>
      <c r="PGS39" s="12"/>
      <c r="PGT39" s="12"/>
      <c r="PHK39" s="12"/>
      <c r="PHL39" s="12"/>
      <c r="PIC39" s="12"/>
      <c r="PID39" s="12"/>
      <c r="PIU39" s="12"/>
      <c r="PIV39" s="12"/>
      <c r="PJM39" s="12"/>
      <c r="PJN39" s="12"/>
      <c r="PKE39" s="12"/>
      <c r="PKF39" s="12"/>
      <c r="PKW39" s="12"/>
      <c r="PKX39" s="12"/>
      <c r="PLO39" s="12"/>
      <c r="PLP39" s="12"/>
      <c r="PMG39" s="12"/>
      <c r="PMH39" s="12"/>
      <c r="PMY39" s="12"/>
      <c r="PMZ39" s="12"/>
      <c r="PNQ39" s="12"/>
      <c r="PNR39" s="12"/>
      <c r="POI39" s="12"/>
      <c r="POJ39" s="12"/>
      <c r="PPA39" s="12"/>
      <c r="PPB39" s="12"/>
      <c r="PPS39" s="12"/>
      <c r="PPT39" s="12"/>
      <c r="PQK39" s="12"/>
      <c r="PQL39" s="12"/>
      <c r="PRC39" s="12"/>
      <c r="PRD39" s="12"/>
      <c r="PRU39" s="12"/>
      <c r="PRV39" s="12"/>
      <c r="PSM39" s="12"/>
      <c r="PSN39" s="12"/>
      <c r="PTE39" s="12"/>
      <c r="PTF39" s="12"/>
      <c r="PTW39" s="12"/>
      <c r="PTX39" s="12"/>
      <c r="PUO39" s="12"/>
      <c r="PUP39" s="12"/>
      <c r="PVG39" s="12"/>
      <c r="PVH39" s="12"/>
      <c r="PVY39" s="12"/>
      <c r="PVZ39" s="12"/>
      <c r="PWQ39" s="12"/>
      <c r="PWR39" s="12"/>
      <c r="PXI39" s="12"/>
      <c r="PXJ39" s="12"/>
      <c r="PYA39" s="12"/>
      <c r="PYB39" s="12"/>
      <c r="PYS39" s="12"/>
      <c r="PYT39" s="12"/>
      <c r="PZK39" s="12"/>
      <c r="PZL39" s="12"/>
      <c r="QAC39" s="12"/>
      <c r="QAD39" s="12"/>
      <c r="QAU39" s="12"/>
      <c r="QAV39" s="12"/>
      <c r="QBM39" s="12"/>
      <c r="QBN39" s="12"/>
      <c r="QCE39" s="12"/>
      <c r="QCF39" s="12"/>
      <c r="QCW39" s="12"/>
      <c r="QCX39" s="12"/>
      <c r="QDO39" s="12"/>
      <c r="QDP39" s="12"/>
      <c r="QEG39" s="12"/>
      <c r="QEH39" s="12"/>
      <c r="QEY39" s="12"/>
      <c r="QEZ39" s="12"/>
      <c r="QFQ39" s="12"/>
      <c r="QFR39" s="12"/>
      <c r="QGI39" s="12"/>
      <c r="QGJ39" s="12"/>
      <c r="QHA39" s="12"/>
      <c r="QHB39" s="12"/>
      <c r="QHS39" s="12"/>
      <c r="QHT39" s="12"/>
      <c r="QIK39" s="12"/>
      <c r="QIL39" s="12"/>
      <c r="QJC39" s="12"/>
      <c r="QJD39" s="12"/>
      <c r="QJU39" s="12"/>
      <c r="QJV39" s="12"/>
      <c r="QKM39" s="12"/>
      <c r="QKN39" s="12"/>
      <c r="QLE39" s="12"/>
      <c r="QLF39" s="12"/>
      <c r="QLW39" s="12"/>
      <c r="QLX39" s="12"/>
      <c r="QMO39" s="12"/>
      <c r="QMP39" s="12"/>
      <c r="QNG39" s="12"/>
      <c r="QNH39" s="12"/>
      <c r="QNY39" s="12"/>
      <c r="QNZ39" s="12"/>
      <c r="QOQ39" s="12"/>
      <c r="QOR39" s="12"/>
      <c r="QPI39" s="12"/>
      <c r="QPJ39" s="12"/>
      <c r="QQA39" s="12"/>
      <c r="QQB39" s="12"/>
      <c r="QQS39" s="12"/>
      <c r="QQT39" s="12"/>
      <c r="QRK39" s="12"/>
      <c r="QRL39" s="12"/>
      <c r="QSC39" s="12"/>
      <c r="QSD39" s="12"/>
      <c r="QSU39" s="12"/>
      <c r="QSV39" s="12"/>
      <c r="QTM39" s="12"/>
      <c r="QTN39" s="12"/>
      <c r="QUE39" s="12"/>
      <c r="QUF39" s="12"/>
      <c r="QUW39" s="12"/>
      <c r="QUX39" s="12"/>
      <c r="QVO39" s="12"/>
      <c r="QVP39" s="12"/>
      <c r="QWG39" s="12"/>
      <c r="QWH39" s="12"/>
      <c r="QWY39" s="12"/>
      <c r="QWZ39" s="12"/>
      <c r="QXQ39" s="12"/>
      <c r="QXR39" s="12"/>
      <c r="QYI39" s="12"/>
      <c r="QYJ39" s="12"/>
      <c r="QZA39" s="12"/>
      <c r="QZB39" s="12"/>
      <c r="QZS39" s="12"/>
      <c r="QZT39" s="12"/>
      <c r="RAK39" s="12"/>
      <c r="RAL39" s="12"/>
      <c r="RBC39" s="12"/>
      <c r="RBD39" s="12"/>
      <c r="RBU39" s="12"/>
      <c r="RBV39" s="12"/>
      <c r="RCM39" s="12"/>
      <c r="RCN39" s="12"/>
      <c r="RDE39" s="12"/>
      <c r="RDF39" s="12"/>
      <c r="RDW39" s="12"/>
      <c r="RDX39" s="12"/>
      <c r="REO39" s="12"/>
      <c r="REP39" s="12"/>
      <c r="RFG39" s="12"/>
      <c r="RFH39" s="12"/>
      <c r="RFY39" s="12"/>
      <c r="RFZ39" s="12"/>
      <c r="RGQ39" s="12"/>
      <c r="RGR39" s="12"/>
      <c r="RHI39" s="12"/>
      <c r="RHJ39" s="12"/>
      <c r="RIA39" s="12"/>
      <c r="RIB39" s="12"/>
      <c r="RIS39" s="12"/>
      <c r="RIT39" s="12"/>
      <c r="RJK39" s="12"/>
      <c r="RJL39" s="12"/>
      <c r="RKC39" s="12"/>
      <c r="RKD39" s="12"/>
      <c r="RKU39" s="12"/>
      <c r="RKV39" s="12"/>
      <c r="RLM39" s="12"/>
      <c r="RLN39" s="12"/>
      <c r="RME39" s="12"/>
      <c r="RMF39" s="12"/>
      <c r="RMW39" s="12"/>
      <c r="RMX39" s="12"/>
      <c r="RNO39" s="12"/>
      <c r="RNP39" s="12"/>
      <c r="ROG39" s="12"/>
      <c r="ROH39" s="12"/>
      <c r="ROY39" s="12"/>
      <c r="ROZ39" s="12"/>
      <c r="RPQ39" s="12"/>
      <c r="RPR39" s="12"/>
      <c r="RQI39" s="12"/>
      <c r="RQJ39" s="12"/>
      <c r="RRA39" s="12"/>
      <c r="RRB39" s="12"/>
      <c r="RRS39" s="12"/>
      <c r="RRT39" s="12"/>
      <c r="RSK39" s="12"/>
      <c r="RSL39" s="12"/>
      <c r="RTC39" s="12"/>
      <c r="RTD39" s="12"/>
      <c r="RTU39" s="12"/>
      <c r="RTV39" s="12"/>
      <c r="RUM39" s="12"/>
      <c r="RUN39" s="12"/>
      <c r="RVE39" s="12"/>
      <c r="RVF39" s="12"/>
      <c r="RVW39" s="12"/>
      <c r="RVX39" s="12"/>
      <c r="RWO39" s="12"/>
      <c r="RWP39" s="12"/>
      <c r="RXG39" s="12"/>
      <c r="RXH39" s="12"/>
      <c r="RXY39" s="12"/>
      <c r="RXZ39" s="12"/>
      <c r="RYQ39" s="12"/>
      <c r="RYR39" s="12"/>
      <c r="RZI39" s="12"/>
      <c r="RZJ39" s="12"/>
      <c r="SAA39" s="12"/>
      <c r="SAB39" s="12"/>
      <c r="SAS39" s="12"/>
      <c r="SAT39" s="12"/>
      <c r="SBK39" s="12"/>
      <c r="SBL39" s="12"/>
      <c r="SCC39" s="12"/>
      <c r="SCD39" s="12"/>
      <c r="SCU39" s="12"/>
      <c r="SCV39" s="12"/>
      <c r="SDM39" s="12"/>
      <c r="SDN39" s="12"/>
      <c r="SEE39" s="12"/>
      <c r="SEF39" s="12"/>
      <c r="SEW39" s="12"/>
      <c r="SEX39" s="12"/>
      <c r="SFO39" s="12"/>
      <c r="SFP39" s="12"/>
      <c r="SGG39" s="12"/>
      <c r="SGH39" s="12"/>
      <c r="SGY39" s="12"/>
      <c r="SGZ39" s="12"/>
      <c r="SHQ39" s="12"/>
      <c r="SHR39" s="12"/>
      <c r="SII39" s="12"/>
      <c r="SIJ39" s="12"/>
      <c r="SJA39" s="12"/>
      <c r="SJB39" s="12"/>
      <c r="SJS39" s="12"/>
      <c r="SJT39" s="12"/>
      <c r="SKK39" s="12"/>
      <c r="SKL39" s="12"/>
      <c r="SLC39" s="12"/>
      <c r="SLD39" s="12"/>
      <c r="SLU39" s="12"/>
      <c r="SLV39" s="12"/>
      <c r="SMM39" s="12"/>
      <c r="SMN39" s="12"/>
      <c r="SNE39" s="12"/>
      <c r="SNF39" s="12"/>
      <c r="SNW39" s="12"/>
      <c r="SNX39" s="12"/>
      <c r="SOO39" s="12"/>
      <c r="SOP39" s="12"/>
      <c r="SPG39" s="12"/>
      <c r="SPH39" s="12"/>
      <c r="SPY39" s="12"/>
      <c r="SPZ39" s="12"/>
      <c r="SQQ39" s="12"/>
      <c r="SQR39" s="12"/>
      <c r="SRI39" s="12"/>
      <c r="SRJ39" s="12"/>
      <c r="SSA39" s="12"/>
      <c r="SSB39" s="12"/>
      <c r="SSS39" s="12"/>
      <c r="SST39" s="12"/>
      <c r="STK39" s="12"/>
      <c r="STL39" s="12"/>
      <c r="SUC39" s="12"/>
      <c r="SUD39" s="12"/>
      <c r="SUU39" s="12"/>
      <c r="SUV39" s="12"/>
      <c r="SVM39" s="12"/>
      <c r="SVN39" s="12"/>
      <c r="SWE39" s="12"/>
      <c r="SWF39" s="12"/>
      <c r="SWW39" s="12"/>
      <c r="SWX39" s="12"/>
      <c r="SXO39" s="12"/>
      <c r="SXP39" s="12"/>
      <c r="SYG39" s="12"/>
      <c r="SYH39" s="12"/>
      <c r="SYY39" s="12"/>
      <c r="SYZ39" s="12"/>
      <c r="SZQ39" s="12"/>
      <c r="SZR39" s="12"/>
      <c r="TAI39" s="12"/>
      <c r="TAJ39" s="12"/>
      <c r="TBA39" s="12"/>
      <c r="TBB39" s="12"/>
      <c r="TBS39" s="12"/>
      <c r="TBT39" s="12"/>
      <c r="TCK39" s="12"/>
      <c r="TCL39" s="12"/>
      <c r="TDC39" s="12"/>
      <c r="TDD39" s="12"/>
      <c r="TDU39" s="12"/>
      <c r="TDV39" s="12"/>
      <c r="TEM39" s="12"/>
      <c r="TEN39" s="12"/>
      <c r="TFE39" s="12"/>
      <c r="TFF39" s="12"/>
      <c r="TFW39" s="12"/>
      <c r="TFX39" s="12"/>
      <c r="TGO39" s="12"/>
      <c r="TGP39" s="12"/>
      <c r="THG39" s="12"/>
      <c r="THH39" s="12"/>
      <c r="THY39" s="12"/>
      <c r="THZ39" s="12"/>
      <c r="TIQ39" s="12"/>
      <c r="TIR39" s="12"/>
      <c r="TJI39" s="12"/>
      <c r="TJJ39" s="12"/>
      <c r="TKA39" s="12"/>
      <c r="TKB39" s="12"/>
      <c r="TKS39" s="12"/>
      <c r="TKT39" s="12"/>
      <c r="TLK39" s="12"/>
      <c r="TLL39" s="12"/>
      <c r="TMC39" s="12"/>
      <c r="TMD39" s="12"/>
      <c r="TMU39" s="12"/>
      <c r="TMV39" s="12"/>
      <c r="TNM39" s="12"/>
      <c r="TNN39" s="12"/>
      <c r="TOE39" s="12"/>
      <c r="TOF39" s="12"/>
      <c r="TOW39" s="12"/>
      <c r="TOX39" s="12"/>
      <c r="TPO39" s="12"/>
      <c r="TPP39" s="12"/>
      <c r="TQG39" s="12"/>
      <c r="TQH39" s="12"/>
      <c r="TQY39" s="12"/>
      <c r="TQZ39" s="12"/>
      <c r="TRQ39" s="12"/>
      <c r="TRR39" s="12"/>
      <c r="TSI39" s="12"/>
      <c r="TSJ39" s="12"/>
      <c r="TTA39" s="12"/>
      <c r="TTB39" s="12"/>
      <c r="TTS39" s="12"/>
      <c r="TTT39" s="12"/>
      <c r="TUK39" s="12"/>
      <c r="TUL39" s="12"/>
      <c r="TVC39" s="12"/>
      <c r="TVD39" s="12"/>
      <c r="TVU39" s="12"/>
      <c r="TVV39" s="12"/>
      <c r="TWM39" s="12"/>
      <c r="TWN39" s="12"/>
      <c r="TXE39" s="12"/>
      <c r="TXF39" s="12"/>
      <c r="TXW39" s="12"/>
      <c r="TXX39" s="12"/>
      <c r="TYO39" s="12"/>
      <c r="TYP39" s="12"/>
      <c r="TZG39" s="12"/>
      <c r="TZH39" s="12"/>
      <c r="TZY39" s="12"/>
      <c r="TZZ39" s="12"/>
      <c r="UAQ39" s="12"/>
      <c r="UAR39" s="12"/>
      <c r="UBI39" s="12"/>
      <c r="UBJ39" s="12"/>
      <c r="UCA39" s="12"/>
      <c r="UCB39" s="12"/>
      <c r="UCS39" s="12"/>
      <c r="UCT39" s="12"/>
      <c r="UDK39" s="12"/>
      <c r="UDL39" s="12"/>
      <c r="UEC39" s="12"/>
      <c r="UED39" s="12"/>
      <c r="UEU39" s="12"/>
      <c r="UEV39" s="12"/>
      <c r="UFM39" s="12"/>
      <c r="UFN39" s="12"/>
      <c r="UGE39" s="12"/>
      <c r="UGF39" s="12"/>
      <c r="UGW39" s="12"/>
      <c r="UGX39" s="12"/>
      <c r="UHO39" s="12"/>
      <c r="UHP39" s="12"/>
      <c r="UIG39" s="12"/>
      <c r="UIH39" s="12"/>
      <c r="UIY39" s="12"/>
      <c r="UIZ39" s="12"/>
      <c r="UJQ39" s="12"/>
      <c r="UJR39" s="12"/>
      <c r="UKI39" s="12"/>
      <c r="UKJ39" s="12"/>
      <c r="ULA39" s="12"/>
      <c r="ULB39" s="12"/>
      <c r="ULS39" s="12"/>
      <c r="ULT39" s="12"/>
      <c r="UMK39" s="12"/>
      <c r="UML39" s="12"/>
      <c r="UNC39" s="12"/>
      <c r="UND39" s="12"/>
      <c r="UNU39" s="12"/>
      <c r="UNV39" s="12"/>
      <c r="UOM39" s="12"/>
      <c r="UON39" s="12"/>
      <c r="UPE39" s="12"/>
      <c r="UPF39" s="12"/>
      <c r="UPW39" s="12"/>
      <c r="UPX39" s="12"/>
      <c r="UQO39" s="12"/>
      <c r="UQP39" s="12"/>
      <c r="URG39" s="12"/>
      <c r="URH39" s="12"/>
      <c r="URY39" s="12"/>
      <c r="URZ39" s="12"/>
      <c r="USQ39" s="12"/>
      <c r="USR39" s="12"/>
      <c r="UTI39" s="12"/>
      <c r="UTJ39" s="12"/>
      <c r="UUA39" s="12"/>
      <c r="UUB39" s="12"/>
      <c r="UUS39" s="12"/>
      <c r="UUT39" s="12"/>
      <c r="UVK39" s="12"/>
      <c r="UVL39" s="12"/>
      <c r="UWC39" s="12"/>
      <c r="UWD39" s="12"/>
      <c r="UWU39" s="12"/>
      <c r="UWV39" s="12"/>
      <c r="UXM39" s="12"/>
      <c r="UXN39" s="12"/>
      <c r="UYE39" s="12"/>
      <c r="UYF39" s="12"/>
      <c r="UYW39" s="12"/>
      <c r="UYX39" s="12"/>
      <c r="UZO39" s="12"/>
      <c r="UZP39" s="12"/>
      <c r="VAG39" s="12"/>
      <c r="VAH39" s="12"/>
      <c r="VAY39" s="12"/>
      <c r="VAZ39" s="12"/>
      <c r="VBQ39" s="12"/>
      <c r="VBR39" s="12"/>
      <c r="VCI39" s="12"/>
      <c r="VCJ39" s="12"/>
      <c r="VDA39" s="12"/>
      <c r="VDB39" s="12"/>
      <c r="VDS39" s="12"/>
      <c r="VDT39" s="12"/>
      <c r="VEK39" s="12"/>
      <c r="VEL39" s="12"/>
      <c r="VFC39" s="12"/>
      <c r="VFD39" s="12"/>
      <c r="VFU39" s="12"/>
      <c r="VFV39" s="12"/>
      <c r="VGM39" s="12"/>
      <c r="VGN39" s="12"/>
      <c r="VHE39" s="12"/>
      <c r="VHF39" s="12"/>
      <c r="VHW39" s="12"/>
      <c r="VHX39" s="12"/>
      <c r="VIO39" s="12"/>
      <c r="VIP39" s="12"/>
      <c r="VJG39" s="12"/>
      <c r="VJH39" s="12"/>
      <c r="VJY39" s="12"/>
      <c r="VJZ39" s="12"/>
      <c r="VKQ39" s="12"/>
      <c r="VKR39" s="12"/>
      <c r="VLI39" s="12"/>
      <c r="VLJ39" s="12"/>
      <c r="VMA39" s="12"/>
      <c r="VMB39" s="12"/>
      <c r="VMS39" s="12"/>
      <c r="VMT39" s="12"/>
      <c r="VNK39" s="12"/>
      <c r="VNL39" s="12"/>
      <c r="VOC39" s="12"/>
      <c r="VOD39" s="12"/>
      <c r="VOU39" s="12"/>
      <c r="VOV39" s="12"/>
      <c r="VPM39" s="12"/>
      <c r="VPN39" s="12"/>
      <c r="VQE39" s="12"/>
      <c r="VQF39" s="12"/>
      <c r="VQW39" s="12"/>
      <c r="VQX39" s="12"/>
      <c r="VRO39" s="12"/>
      <c r="VRP39" s="12"/>
      <c r="VSG39" s="12"/>
      <c r="VSH39" s="12"/>
      <c r="VSY39" s="12"/>
      <c r="VSZ39" s="12"/>
      <c r="VTQ39" s="12"/>
      <c r="VTR39" s="12"/>
      <c r="VUI39" s="12"/>
      <c r="VUJ39" s="12"/>
      <c r="VVA39" s="12"/>
      <c r="VVB39" s="12"/>
      <c r="VVS39" s="12"/>
      <c r="VVT39" s="12"/>
      <c r="VWK39" s="12"/>
      <c r="VWL39" s="12"/>
      <c r="VXC39" s="12"/>
      <c r="VXD39" s="12"/>
      <c r="VXU39" s="12"/>
      <c r="VXV39" s="12"/>
      <c r="VYM39" s="12"/>
      <c r="VYN39" s="12"/>
      <c r="VZE39" s="12"/>
      <c r="VZF39" s="12"/>
      <c r="VZW39" s="12"/>
      <c r="VZX39" s="12"/>
      <c r="WAO39" s="12"/>
      <c r="WAP39" s="12"/>
      <c r="WBG39" s="12"/>
      <c r="WBH39" s="12"/>
      <c r="WBY39" s="12"/>
      <c r="WBZ39" s="12"/>
      <c r="WCQ39" s="12"/>
      <c r="WCR39" s="12"/>
      <c r="WDI39" s="12"/>
      <c r="WDJ39" s="12"/>
      <c r="WEA39" s="12"/>
      <c r="WEB39" s="12"/>
      <c r="WES39" s="12"/>
      <c r="WET39" s="12"/>
      <c r="WFK39" s="12"/>
      <c r="WFL39" s="12"/>
      <c r="WGC39" s="12"/>
      <c r="WGD39" s="12"/>
      <c r="WGU39" s="12"/>
      <c r="WGV39" s="12"/>
      <c r="WHM39" s="12"/>
      <c r="WHN39" s="12"/>
      <c r="WIE39" s="12"/>
      <c r="WIF39" s="12"/>
      <c r="WIW39" s="12"/>
      <c r="WIX39" s="12"/>
      <c r="WJO39" s="12"/>
      <c r="WJP39" s="12"/>
      <c r="WKG39" s="12"/>
      <c r="WKH39" s="12"/>
      <c r="WKY39" s="12"/>
      <c r="WKZ39" s="12"/>
      <c r="WLQ39" s="12"/>
      <c r="WLR39" s="12"/>
      <c r="WMI39" s="12"/>
      <c r="WMJ39" s="12"/>
      <c r="WNA39" s="12"/>
      <c r="WNB39" s="12"/>
      <c r="WNS39" s="12"/>
      <c r="WNT39" s="12"/>
      <c r="WOK39" s="12"/>
      <c r="WOL39" s="12"/>
      <c r="WPC39" s="12"/>
      <c r="WPD39" s="12"/>
      <c r="WPU39" s="12"/>
      <c r="WPV39" s="12"/>
      <c r="WQM39" s="12"/>
      <c r="WQN39" s="12"/>
      <c r="WRE39" s="12"/>
      <c r="WRF39" s="12"/>
      <c r="WRW39" s="12"/>
      <c r="WRX39" s="12"/>
      <c r="WSO39" s="12"/>
      <c r="WSP39" s="12"/>
      <c r="WTG39" s="12"/>
      <c r="WTH39" s="12"/>
      <c r="WTY39" s="12"/>
      <c r="WTZ39" s="12"/>
      <c r="WUQ39" s="12"/>
      <c r="WUR39" s="12"/>
      <c r="WVI39" s="12"/>
      <c r="WVJ39" s="12"/>
      <c r="WWA39" s="12"/>
      <c r="WWB39" s="12"/>
      <c r="WWS39" s="12"/>
      <c r="WWT39" s="12"/>
      <c r="WXK39" s="12"/>
      <c r="WXL39" s="12"/>
      <c r="WYC39" s="12"/>
      <c r="WYD39" s="12"/>
      <c r="WYU39" s="12"/>
      <c r="WYV39" s="12"/>
      <c r="WZM39" s="12"/>
      <c r="WZN39" s="12"/>
      <c r="XAE39" s="12"/>
      <c r="XAF39" s="12"/>
      <c r="XAW39" s="12"/>
      <c r="XAX39" s="12"/>
      <c r="XBO39" s="12"/>
      <c r="XBP39" s="12"/>
      <c r="XCG39" s="12"/>
      <c r="XCH39" s="12"/>
      <c r="XCY39" s="12"/>
      <c r="XCZ39" s="12"/>
      <c r="XDQ39" s="12"/>
      <c r="XDR39" s="12"/>
      <c r="XEI39" s="12"/>
      <c r="XEJ39" s="12"/>
      <c r="XFA39" s="12"/>
      <c r="XFB39" s="12"/>
    </row>
    <row r="40" spans="1:1010 1027:2036 2053:3062 3079:4088 4105:5114 5131:6140 6157:7166 7183:8192 8209:9200 9217:10226 10243:11252 11269:12278 12295:13304 13321:14330 14347:15356 15373:16382" x14ac:dyDescent="0.35">
      <c r="A40" s="181" t="str">
        <f>'Cash Flow - Standardized'!A40</f>
        <v xml:space="preserve">    + Cash from Divestitures</v>
      </c>
      <c r="B40" s="13" t="str">
        <f>'Cash Flow - Standardized'!B40</f>
        <v>CF_CASH_FOR_DIVESTITURES</v>
      </c>
      <c r="C40" s="77">
        <f>IF('Cash Flow - Standardized'!C40="",0,'Cash Flow - Standardized'!C40)/'Cash Flow - Standardized'!C$46</f>
        <v>0</v>
      </c>
      <c r="D40" s="77">
        <f>IF('Cash Flow - Standardized'!D40="",0,'Cash Flow - Standardized'!D40)/'Cash Flow - Standardized'!D$46</f>
        <v>0</v>
      </c>
      <c r="E40" s="77">
        <f>IF('Cash Flow - Standardized'!E40="",0,'Cash Flow - Standardized'!E40)/'Cash Flow - Standardized'!E$46</f>
        <v>1.6508146920740128</v>
      </c>
      <c r="F40" s="77">
        <f>IF('Cash Flow - Standardized'!F40="",0,'Cash Flow - Standardized'!F40)/'Cash Flow - Standardized'!F$46</f>
        <v>0</v>
      </c>
      <c r="G40" s="77">
        <f>IF('Cash Flow - Standardized'!G40="",0,'Cash Flow - Standardized'!G40)/'Cash Flow - Standardized'!G$46</f>
        <v>0</v>
      </c>
      <c r="H40" s="77">
        <f>IF('Cash Flow - Standardized'!H40="",0,'Cash Flow - Standardized'!H40)/'Cash Flow - Standardized'!H$46</f>
        <v>0</v>
      </c>
      <c r="I40" s="77">
        <f>IF('Cash Flow - Standardized'!I40="",0,'Cash Flow - Standardized'!I40)/'Cash Flow - Standardized'!I$46</f>
        <v>0</v>
      </c>
      <c r="J40" s="77">
        <f>IF('Cash Flow - Standardized'!J40="",0,'Cash Flow - Standardized'!J40)/'Cash Flow - Standardized'!J$46</f>
        <v>0</v>
      </c>
      <c r="K40" s="77">
        <f>IF('Cash Flow - Standardized'!K40="",0,'Cash Flow - Standardized'!K40)/'Cash Flow - Standardized'!K$46</f>
        <v>0</v>
      </c>
      <c r="L40" s="77">
        <f>IF('Cash Flow - Standardized'!L40="",0,'Cash Flow - Standardized'!L40)/'Cash Flow - Standardized'!L$46</f>
        <v>0</v>
      </c>
      <c r="M40" s="108"/>
      <c r="N40" s="108"/>
      <c r="O40" s="108"/>
      <c r="P40" s="108"/>
      <c r="Q40" s="108"/>
      <c r="R40" s="108"/>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row>
    <row r="41" spans="1:1010 1027:2036 2053:3062 3079:4088 4105:5114 5131:6140 6157:7166 7183:8192 8209:9200 9217:10226 10243:11252 11269:12278 12295:13304 13321:14330 14347:15356 15373:16382" x14ac:dyDescent="0.35">
      <c r="A41" s="181" t="str">
        <f>'Cash Flow - Standardized'!A41</f>
        <v xml:space="preserve">    + Cash for Acq of Subs</v>
      </c>
      <c r="B41" s="13" t="str">
        <f>'Cash Flow - Standardized'!B41</f>
        <v>CF_CASH_FOR_ACQUIS_SUBSIDIARIES</v>
      </c>
      <c r="C41" s="77">
        <f>IF('Cash Flow - Standardized'!C41="",0,'Cash Flow - Standardized'!C41)/'Cash Flow - Standardized'!C$46</f>
        <v>0</v>
      </c>
      <c r="D41" s="77">
        <f>IF('Cash Flow - Standardized'!D41="",0,'Cash Flow - Standardized'!D41)/'Cash Flow - Standardized'!D$46</f>
        <v>0</v>
      </c>
      <c r="E41" s="77">
        <f>IF('Cash Flow - Standardized'!E41="",0,'Cash Flow - Standardized'!E41)/'Cash Flow - Standardized'!E$46</f>
        <v>0</v>
      </c>
      <c r="F41" s="77">
        <f>IF('Cash Flow - Standardized'!F41="",0,'Cash Flow - Standardized'!F41)/'Cash Flow - Standardized'!F$46</f>
        <v>0</v>
      </c>
      <c r="G41" s="77">
        <f>IF('Cash Flow - Standardized'!G41="",0,'Cash Flow - Standardized'!G41)/'Cash Flow - Standardized'!G$46</f>
        <v>7.8776548787453896E-2</v>
      </c>
      <c r="H41" s="77">
        <f>IF('Cash Flow - Standardized'!H41="",0,'Cash Flow - Standardized'!H41)/'Cash Flow - Standardized'!H$46</f>
        <v>0</v>
      </c>
      <c r="I41" s="77">
        <f>IF('Cash Flow - Standardized'!I41="",0,'Cash Flow - Standardized'!I41)/'Cash Flow - Standardized'!I$46</f>
        <v>0</v>
      </c>
      <c r="J41" s="77">
        <f>IF('Cash Flow - Standardized'!J41="",0,'Cash Flow - Standardized'!J41)/'Cash Flow - Standardized'!J$46</f>
        <v>0.65044182466204103</v>
      </c>
      <c r="K41" s="77">
        <f>IF('Cash Flow - Standardized'!K41="",0,'Cash Flow - Standardized'!K41)/'Cash Flow - Standardized'!K$46</f>
        <v>0</v>
      </c>
      <c r="L41" s="77">
        <f>IF('Cash Flow - Standardized'!L41="",0,'Cash Flow - Standardized'!L41)/'Cash Flow - Standardized'!L$46</f>
        <v>0</v>
      </c>
      <c r="M41" s="108"/>
      <c r="N41" s="108"/>
      <c r="O41" s="108"/>
      <c r="P41" s="108"/>
      <c r="Q41" s="108"/>
      <c r="R41" s="108"/>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row>
    <row r="42" spans="1:1010 1027:2036 2053:3062 3079:4088 4105:5114 5131:6140 6157:7166 7183:8192 8209:9200 9217:10226 10243:11252 11269:12278 12295:13304 13321:14330 14347:15356 15373:16382" x14ac:dyDescent="0.35">
      <c r="A42" s="181" t="str">
        <f>'Cash Flow - Standardized'!A42</f>
        <v xml:space="preserve">    + Cash for JVs</v>
      </c>
      <c r="B42" s="13" t="str">
        <f>'Cash Flow - Standardized'!B42</f>
        <v>CF_CASH_FOR_JOINT_VENTURES_ASSOC</v>
      </c>
      <c r="C42" s="77">
        <f>IF('Cash Flow - Standardized'!C42="",0,'Cash Flow - Standardized'!C42)/'Cash Flow - Standardized'!C$46</f>
        <v>0</v>
      </c>
      <c r="D42" s="77">
        <f>IF('Cash Flow - Standardized'!D42="",0,'Cash Flow - Standardized'!D42)/'Cash Flow - Standardized'!D$46</f>
        <v>0</v>
      </c>
      <c r="E42" s="77">
        <f>IF('Cash Flow - Standardized'!E42="",0,'Cash Flow - Standardized'!E42)/'Cash Flow - Standardized'!E$46</f>
        <v>0</v>
      </c>
      <c r="F42" s="77">
        <f>IF('Cash Flow - Standardized'!F42="",0,'Cash Flow - Standardized'!F42)/'Cash Flow - Standardized'!F$46</f>
        <v>0</v>
      </c>
      <c r="G42" s="77">
        <f>IF('Cash Flow - Standardized'!G42="",0,'Cash Flow - Standardized'!G42)/'Cash Flow - Standardized'!G$46</f>
        <v>0</v>
      </c>
      <c r="H42" s="77">
        <f>IF('Cash Flow - Standardized'!H42="",0,'Cash Flow - Standardized'!H42)/'Cash Flow - Standardized'!H$46</f>
        <v>0</v>
      </c>
      <c r="I42" s="77">
        <f>IF('Cash Flow - Standardized'!I42="",0,'Cash Flow - Standardized'!I42)/'Cash Flow - Standardized'!I$46</f>
        <v>0</v>
      </c>
      <c r="J42" s="77">
        <f>IF('Cash Flow - Standardized'!J42="",0,'Cash Flow - Standardized'!J42)/'Cash Flow - Standardized'!J$46</f>
        <v>0</v>
      </c>
      <c r="K42" s="77">
        <f>IF('Cash Flow - Standardized'!K42="",0,'Cash Flow - Standardized'!K42)/'Cash Flow - Standardized'!K$46</f>
        <v>0</v>
      </c>
      <c r="L42" s="77">
        <f>IF('Cash Flow - Standardized'!L42="",0,'Cash Flow - Standardized'!L42)/'Cash Flow - Standardized'!L$46</f>
        <v>0</v>
      </c>
      <c r="M42" s="108"/>
      <c r="N42" s="108"/>
      <c r="O42" s="108"/>
      <c r="P42" s="108"/>
      <c r="Q42" s="108"/>
      <c r="R42" s="108"/>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row>
    <row r="43" spans="1:1010 1027:2036 2053:3062 3079:4088 4105:5114 5131:6140 6157:7166 7183:8192 8209:9200 9217:10226 10243:11252 11269:12278 12295:13304 13321:14330 14347:15356 15373:16382" x14ac:dyDescent="0.35">
      <c r="A43" s="23" t="str">
        <f>'Cash Flow - Standardized'!A43</f>
        <v>check</v>
      </c>
      <c r="B43" s="23"/>
      <c r="C43" s="79"/>
      <c r="D43" s="79"/>
      <c r="E43" s="79"/>
      <c r="F43" s="79"/>
      <c r="G43" s="79"/>
      <c r="H43" s="79"/>
      <c r="I43" s="79"/>
      <c r="J43" s="79"/>
      <c r="K43" s="79"/>
      <c r="L43" s="79"/>
      <c r="M43" s="127"/>
      <c r="N43" s="127"/>
      <c r="O43" s="127"/>
      <c r="P43" s="127"/>
      <c r="Q43" s="127"/>
      <c r="R43" s="12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row>
    <row r="44" spans="1:1010 1027:2036 2053:3062 3079:4088 4105:5114 5131:6140 6157:7166 7183:8192 8209:9200 9217:10226 10243:11252 11269:12278 12295:13304 13321:14330 14347:15356 15373:16382" s="11" customFormat="1" x14ac:dyDescent="0.35">
      <c r="A44" s="183" t="str">
        <f>'Cash Flow - Standardized'!A44</f>
        <v xml:space="preserve">  + Other Investing Activities</v>
      </c>
      <c r="B44" s="75" t="str">
        <f>'Cash Flow - Standardized'!B44</f>
        <v>OTHER_INVESTING_ACT_DETAILED</v>
      </c>
      <c r="C44" s="76">
        <f>IF('Cash Flow - Standardized'!C44="",0,'Cash Flow - Standardized'!C44)/'Cash Flow - Standardized'!C$46</f>
        <v>-0.16144675692059005</v>
      </c>
      <c r="D44" s="76">
        <f>IF('Cash Flow - Standardized'!D44="",0,'Cash Flow - Standardized'!D44)/'Cash Flow - Standardized'!D$46</f>
        <v>0.1118348531917026</v>
      </c>
      <c r="E44" s="76">
        <f>IF('Cash Flow - Standardized'!E44="",0,'Cash Flow - Standardized'!E44)/'Cash Flow - Standardized'!E$46</f>
        <v>-4.0265120132560062E-2</v>
      </c>
      <c r="F44" s="76">
        <f>IF('Cash Flow - Standardized'!F44="",0,'Cash Flow - Standardized'!F44)/'Cash Flow - Standardized'!F$46</f>
        <v>-9.3878128092747065E-2</v>
      </c>
      <c r="G44" s="76">
        <f>IF('Cash Flow - Standardized'!G44="",0,'Cash Flow - Standardized'!G44)/'Cash Flow - Standardized'!G$46</f>
        <v>0.46710287168302428</v>
      </c>
      <c r="H44" s="76">
        <f>IF('Cash Flow - Standardized'!H44="",0,'Cash Flow - Standardized'!H44)/'Cash Flow - Standardized'!H$46</f>
        <v>4.0117310547087157E-2</v>
      </c>
      <c r="I44" s="76">
        <f>IF('Cash Flow - Standardized'!I44="",0,'Cash Flow - Standardized'!I44)/'Cash Flow - Standardized'!I$46</f>
        <v>-0.74245810055865924</v>
      </c>
      <c r="J44" s="76">
        <f>IF('Cash Flow - Standardized'!J44="",0,'Cash Flow - Standardized'!J44)/'Cash Flow - Standardized'!J$46</f>
        <v>-4.6396861884977963E-2</v>
      </c>
      <c r="K44" s="76">
        <f>IF('Cash Flow - Standardized'!K44="",0,'Cash Flow - Standardized'!K44)/'Cash Flow - Standardized'!K$46</f>
        <v>-0.11711190779075595</v>
      </c>
      <c r="L44" s="76">
        <f>IF('Cash Flow - Standardized'!L44="",0,'Cash Flow - Standardized'!L44)/'Cash Flow - Standardized'!L$46</f>
        <v>0.14030139580845721</v>
      </c>
      <c r="M44" s="108"/>
      <c r="N44" s="108"/>
      <c r="O44" s="108"/>
      <c r="P44" s="108"/>
      <c r="Q44" s="108"/>
      <c r="R44" s="108"/>
      <c r="S44" s="109"/>
      <c r="T44" s="109"/>
      <c r="U44" s="108"/>
      <c r="V44" s="108"/>
      <c r="W44" s="108"/>
      <c r="X44" s="108"/>
      <c r="Y44" s="108"/>
      <c r="Z44" s="108"/>
      <c r="AA44" s="108"/>
      <c r="AB44" s="108"/>
      <c r="AC44" s="108"/>
      <c r="AD44" s="108"/>
      <c r="AE44" s="108"/>
      <c r="AF44" s="108"/>
      <c r="AG44" s="108"/>
      <c r="AH44" s="108"/>
      <c r="AI44" s="108"/>
      <c r="AJ44" s="108"/>
      <c r="AK44" s="109"/>
      <c r="AL44" s="109"/>
      <c r="AM44" s="108"/>
      <c r="AN44" s="108"/>
      <c r="AO44" s="108"/>
      <c r="AP44" s="108"/>
      <c r="AQ44" s="108"/>
      <c r="AR44" s="108"/>
      <c r="AS44" s="108"/>
      <c r="AT44" s="108"/>
      <c r="AU44" s="108"/>
      <c r="AV44" s="108"/>
      <c r="AW44" s="108"/>
      <c r="AX44" s="108"/>
      <c r="BC44" s="12"/>
      <c r="BD44" s="12"/>
      <c r="BU44" s="12"/>
      <c r="BV44" s="12"/>
      <c r="CM44" s="12"/>
      <c r="CN44" s="12"/>
      <c r="DE44" s="12"/>
      <c r="DF44" s="12"/>
      <c r="DW44" s="12"/>
      <c r="DX44" s="12"/>
      <c r="EO44" s="12"/>
      <c r="EP44" s="12"/>
      <c r="FG44" s="12"/>
      <c r="FH44" s="12"/>
      <c r="FY44" s="12"/>
      <c r="FZ44" s="12"/>
      <c r="GQ44" s="12"/>
      <c r="GR44" s="12"/>
      <c r="HI44" s="12"/>
      <c r="HJ44" s="12"/>
      <c r="IA44" s="12"/>
      <c r="IB44" s="12"/>
      <c r="IS44" s="12"/>
      <c r="IT44" s="12"/>
      <c r="JK44" s="12"/>
      <c r="JL44" s="12"/>
      <c r="KC44" s="12"/>
      <c r="KD44" s="12"/>
      <c r="KU44" s="12"/>
      <c r="KV44" s="12"/>
      <c r="LM44" s="12"/>
      <c r="LN44" s="12"/>
      <c r="ME44" s="12"/>
      <c r="MF44" s="12"/>
      <c r="MW44" s="12"/>
      <c r="MX44" s="12"/>
      <c r="NO44" s="12"/>
      <c r="NP44" s="12"/>
      <c r="OG44" s="12"/>
      <c r="OH44" s="12"/>
      <c r="OY44" s="12"/>
      <c r="OZ44" s="12"/>
      <c r="PQ44" s="12"/>
      <c r="PR44" s="12"/>
      <c r="QI44" s="12"/>
      <c r="QJ44" s="12"/>
      <c r="RA44" s="12"/>
      <c r="RB44" s="12"/>
      <c r="RS44" s="12"/>
      <c r="RT44" s="12"/>
      <c r="SK44" s="12"/>
      <c r="SL44" s="12"/>
      <c r="TC44" s="12"/>
      <c r="TD44" s="12"/>
      <c r="TU44" s="12"/>
      <c r="TV44" s="12"/>
      <c r="UM44" s="12"/>
      <c r="UN44" s="12"/>
      <c r="VE44" s="12"/>
      <c r="VF44" s="12"/>
      <c r="VW44" s="12"/>
      <c r="VX44" s="12"/>
      <c r="WO44" s="12"/>
      <c r="WP44" s="12"/>
      <c r="XG44" s="12"/>
      <c r="XH44" s="12"/>
      <c r="XY44" s="12"/>
      <c r="XZ44" s="12"/>
      <c r="YQ44" s="12"/>
      <c r="YR44" s="12"/>
      <c r="ZI44" s="12"/>
      <c r="ZJ44" s="12"/>
      <c r="AAA44" s="12"/>
      <c r="AAB44" s="12"/>
      <c r="AAS44" s="12"/>
      <c r="AAT44" s="12"/>
      <c r="ABK44" s="12"/>
      <c r="ABL44" s="12"/>
      <c r="ACC44" s="12"/>
      <c r="ACD44" s="12"/>
      <c r="ACU44" s="12"/>
      <c r="ACV44" s="12"/>
      <c r="ADM44" s="12"/>
      <c r="ADN44" s="12"/>
      <c r="AEE44" s="12"/>
      <c r="AEF44" s="12"/>
      <c r="AEW44" s="12"/>
      <c r="AEX44" s="12"/>
      <c r="AFO44" s="12"/>
      <c r="AFP44" s="12"/>
      <c r="AGG44" s="12"/>
      <c r="AGH44" s="12"/>
      <c r="AGY44" s="12"/>
      <c r="AGZ44" s="12"/>
      <c r="AHQ44" s="12"/>
      <c r="AHR44" s="12"/>
      <c r="AII44" s="12"/>
      <c r="AIJ44" s="12"/>
      <c r="AJA44" s="12"/>
      <c r="AJB44" s="12"/>
      <c r="AJS44" s="12"/>
      <c r="AJT44" s="12"/>
      <c r="AKK44" s="12"/>
      <c r="AKL44" s="12"/>
      <c r="ALC44" s="12"/>
      <c r="ALD44" s="12"/>
      <c r="ALU44" s="12"/>
      <c r="ALV44" s="12"/>
      <c r="AMM44" s="12"/>
      <c r="AMN44" s="12"/>
      <c r="ANE44" s="12"/>
      <c r="ANF44" s="12"/>
      <c r="ANW44" s="12"/>
      <c r="ANX44" s="12"/>
      <c r="AOO44" s="12"/>
      <c r="AOP44" s="12"/>
      <c r="APG44" s="12"/>
      <c r="APH44" s="12"/>
      <c r="APY44" s="12"/>
      <c r="APZ44" s="12"/>
      <c r="AQQ44" s="12"/>
      <c r="AQR44" s="12"/>
      <c r="ARI44" s="12"/>
      <c r="ARJ44" s="12"/>
      <c r="ASA44" s="12"/>
      <c r="ASB44" s="12"/>
      <c r="ASS44" s="12"/>
      <c r="AST44" s="12"/>
      <c r="ATK44" s="12"/>
      <c r="ATL44" s="12"/>
      <c r="AUC44" s="12"/>
      <c r="AUD44" s="12"/>
      <c r="AUU44" s="12"/>
      <c r="AUV44" s="12"/>
      <c r="AVM44" s="12"/>
      <c r="AVN44" s="12"/>
      <c r="AWE44" s="12"/>
      <c r="AWF44" s="12"/>
      <c r="AWW44" s="12"/>
      <c r="AWX44" s="12"/>
      <c r="AXO44" s="12"/>
      <c r="AXP44" s="12"/>
      <c r="AYG44" s="12"/>
      <c r="AYH44" s="12"/>
      <c r="AYY44" s="12"/>
      <c r="AYZ44" s="12"/>
      <c r="AZQ44" s="12"/>
      <c r="AZR44" s="12"/>
      <c r="BAI44" s="12"/>
      <c r="BAJ44" s="12"/>
      <c r="BBA44" s="12"/>
      <c r="BBB44" s="12"/>
      <c r="BBS44" s="12"/>
      <c r="BBT44" s="12"/>
      <c r="BCK44" s="12"/>
      <c r="BCL44" s="12"/>
      <c r="BDC44" s="12"/>
      <c r="BDD44" s="12"/>
      <c r="BDU44" s="12"/>
      <c r="BDV44" s="12"/>
      <c r="BEM44" s="12"/>
      <c r="BEN44" s="12"/>
      <c r="BFE44" s="12"/>
      <c r="BFF44" s="12"/>
      <c r="BFW44" s="12"/>
      <c r="BFX44" s="12"/>
      <c r="BGO44" s="12"/>
      <c r="BGP44" s="12"/>
      <c r="BHG44" s="12"/>
      <c r="BHH44" s="12"/>
      <c r="BHY44" s="12"/>
      <c r="BHZ44" s="12"/>
      <c r="BIQ44" s="12"/>
      <c r="BIR44" s="12"/>
      <c r="BJI44" s="12"/>
      <c r="BJJ44" s="12"/>
      <c r="BKA44" s="12"/>
      <c r="BKB44" s="12"/>
      <c r="BKS44" s="12"/>
      <c r="BKT44" s="12"/>
      <c r="BLK44" s="12"/>
      <c r="BLL44" s="12"/>
      <c r="BMC44" s="12"/>
      <c r="BMD44" s="12"/>
      <c r="BMU44" s="12"/>
      <c r="BMV44" s="12"/>
      <c r="BNM44" s="12"/>
      <c r="BNN44" s="12"/>
      <c r="BOE44" s="12"/>
      <c r="BOF44" s="12"/>
      <c r="BOW44" s="12"/>
      <c r="BOX44" s="12"/>
      <c r="BPO44" s="12"/>
      <c r="BPP44" s="12"/>
      <c r="BQG44" s="12"/>
      <c r="BQH44" s="12"/>
      <c r="BQY44" s="12"/>
      <c r="BQZ44" s="12"/>
      <c r="BRQ44" s="12"/>
      <c r="BRR44" s="12"/>
      <c r="BSI44" s="12"/>
      <c r="BSJ44" s="12"/>
      <c r="BTA44" s="12"/>
      <c r="BTB44" s="12"/>
      <c r="BTS44" s="12"/>
      <c r="BTT44" s="12"/>
      <c r="BUK44" s="12"/>
      <c r="BUL44" s="12"/>
      <c r="BVC44" s="12"/>
      <c r="BVD44" s="12"/>
      <c r="BVU44" s="12"/>
      <c r="BVV44" s="12"/>
      <c r="BWM44" s="12"/>
      <c r="BWN44" s="12"/>
      <c r="BXE44" s="12"/>
      <c r="BXF44" s="12"/>
      <c r="BXW44" s="12"/>
      <c r="BXX44" s="12"/>
      <c r="BYO44" s="12"/>
      <c r="BYP44" s="12"/>
      <c r="BZG44" s="12"/>
      <c r="BZH44" s="12"/>
      <c r="BZY44" s="12"/>
      <c r="BZZ44" s="12"/>
      <c r="CAQ44" s="12"/>
      <c r="CAR44" s="12"/>
      <c r="CBI44" s="12"/>
      <c r="CBJ44" s="12"/>
      <c r="CCA44" s="12"/>
      <c r="CCB44" s="12"/>
      <c r="CCS44" s="12"/>
      <c r="CCT44" s="12"/>
      <c r="CDK44" s="12"/>
      <c r="CDL44" s="12"/>
      <c r="CEC44" s="12"/>
      <c r="CED44" s="12"/>
      <c r="CEU44" s="12"/>
      <c r="CEV44" s="12"/>
      <c r="CFM44" s="12"/>
      <c r="CFN44" s="12"/>
      <c r="CGE44" s="12"/>
      <c r="CGF44" s="12"/>
      <c r="CGW44" s="12"/>
      <c r="CGX44" s="12"/>
      <c r="CHO44" s="12"/>
      <c r="CHP44" s="12"/>
      <c r="CIG44" s="12"/>
      <c r="CIH44" s="12"/>
      <c r="CIY44" s="12"/>
      <c r="CIZ44" s="12"/>
      <c r="CJQ44" s="12"/>
      <c r="CJR44" s="12"/>
      <c r="CKI44" s="12"/>
      <c r="CKJ44" s="12"/>
      <c r="CLA44" s="12"/>
      <c r="CLB44" s="12"/>
      <c r="CLS44" s="12"/>
      <c r="CLT44" s="12"/>
      <c r="CMK44" s="12"/>
      <c r="CML44" s="12"/>
      <c r="CNC44" s="12"/>
      <c r="CND44" s="12"/>
      <c r="CNU44" s="12"/>
      <c r="CNV44" s="12"/>
      <c r="COM44" s="12"/>
      <c r="CON44" s="12"/>
      <c r="CPE44" s="12"/>
      <c r="CPF44" s="12"/>
      <c r="CPW44" s="12"/>
      <c r="CPX44" s="12"/>
      <c r="CQO44" s="12"/>
      <c r="CQP44" s="12"/>
      <c r="CRG44" s="12"/>
      <c r="CRH44" s="12"/>
      <c r="CRY44" s="12"/>
      <c r="CRZ44" s="12"/>
      <c r="CSQ44" s="12"/>
      <c r="CSR44" s="12"/>
      <c r="CTI44" s="12"/>
      <c r="CTJ44" s="12"/>
      <c r="CUA44" s="12"/>
      <c r="CUB44" s="12"/>
      <c r="CUS44" s="12"/>
      <c r="CUT44" s="12"/>
      <c r="CVK44" s="12"/>
      <c r="CVL44" s="12"/>
      <c r="CWC44" s="12"/>
      <c r="CWD44" s="12"/>
      <c r="CWU44" s="12"/>
      <c r="CWV44" s="12"/>
      <c r="CXM44" s="12"/>
      <c r="CXN44" s="12"/>
      <c r="CYE44" s="12"/>
      <c r="CYF44" s="12"/>
      <c r="CYW44" s="12"/>
      <c r="CYX44" s="12"/>
      <c r="CZO44" s="12"/>
      <c r="CZP44" s="12"/>
      <c r="DAG44" s="12"/>
      <c r="DAH44" s="12"/>
      <c r="DAY44" s="12"/>
      <c r="DAZ44" s="12"/>
      <c r="DBQ44" s="12"/>
      <c r="DBR44" s="12"/>
      <c r="DCI44" s="12"/>
      <c r="DCJ44" s="12"/>
      <c r="DDA44" s="12"/>
      <c r="DDB44" s="12"/>
      <c r="DDS44" s="12"/>
      <c r="DDT44" s="12"/>
      <c r="DEK44" s="12"/>
      <c r="DEL44" s="12"/>
      <c r="DFC44" s="12"/>
      <c r="DFD44" s="12"/>
      <c r="DFU44" s="12"/>
      <c r="DFV44" s="12"/>
      <c r="DGM44" s="12"/>
      <c r="DGN44" s="12"/>
      <c r="DHE44" s="12"/>
      <c r="DHF44" s="12"/>
      <c r="DHW44" s="12"/>
      <c r="DHX44" s="12"/>
      <c r="DIO44" s="12"/>
      <c r="DIP44" s="12"/>
      <c r="DJG44" s="12"/>
      <c r="DJH44" s="12"/>
      <c r="DJY44" s="12"/>
      <c r="DJZ44" s="12"/>
      <c r="DKQ44" s="12"/>
      <c r="DKR44" s="12"/>
      <c r="DLI44" s="12"/>
      <c r="DLJ44" s="12"/>
      <c r="DMA44" s="12"/>
      <c r="DMB44" s="12"/>
      <c r="DMS44" s="12"/>
      <c r="DMT44" s="12"/>
      <c r="DNK44" s="12"/>
      <c r="DNL44" s="12"/>
      <c r="DOC44" s="12"/>
      <c r="DOD44" s="12"/>
      <c r="DOU44" s="12"/>
      <c r="DOV44" s="12"/>
      <c r="DPM44" s="12"/>
      <c r="DPN44" s="12"/>
      <c r="DQE44" s="12"/>
      <c r="DQF44" s="12"/>
      <c r="DQW44" s="12"/>
      <c r="DQX44" s="12"/>
      <c r="DRO44" s="12"/>
      <c r="DRP44" s="12"/>
      <c r="DSG44" s="12"/>
      <c r="DSH44" s="12"/>
      <c r="DSY44" s="12"/>
      <c r="DSZ44" s="12"/>
      <c r="DTQ44" s="12"/>
      <c r="DTR44" s="12"/>
      <c r="DUI44" s="12"/>
      <c r="DUJ44" s="12"/>
      <c r="DVA44" s="12"/>
      <c r="DVB44" s="12"/>
      <c r="DVS44" s="12"/>
      <c r="DVT44" s="12"/>
      <c r="DWK44" s="12"/>
      <c r="DWL44" s="12"/>
      <c r="DXC44" s="12"/>
      <c r="DXD44" s="12"/>
      <c r="DXU44" s="12"/>
      <c r="DXV44" s="12"/>
      <c r="DYM44" s="12"/>
      <c r="DYN44" s="12"/>
      <c r="DZE44" s="12"/>
      <c r="DZF44" s="12"/>
      <c r="DZW44" s="12"/>
      <c r="DZX44" s="12"/>
      <c r="EAO44" s="12"/>
      <c r="EAP44" s="12"/>
      <c r="EBG44" s="12"/>
      <c r="EBH44" s="12"/>
      <c r="EBY44" s="12"/>
      <c r="EBZ44" s="12"/>
      <c r="ECQ44" s="12"/>
      <c r="ECR44" s="12"/>
      <c r="EDI44" s="12"/>
      <c r="EDJ44" s="12"/>
      <c r="EEA44" s="12"/>
      <c r="EEB44" s="12"/>
      <c r="EES44" s="12"/>
      <c r="EET44" s="12"/>
      <c r="EFK44" s="12"/>
      <c r="EFL44" s="12"/>
      <c r="EGC44" s="12"/>
      <c r="EGD44" s="12"/>
      <c r="EGU44" s="12"/>
      <c r="EGV44" s="12"/>
      <c r="EHM44" s="12"/>
      <c r="EHN44" s="12"/>
      <c r="EIE44" s="12"/>
      <c r="EIF44" s="12"/>
      <c r="EIW44" s="12"/>
      <c r="EIX44" s="12"/>
      <c r="EJO44" s="12"/>
      <c r="EJP44" s="12"/>
      <c r="EKG44" s="12"/>
      <c r="EKH44" s="12"/>
      <c r="EKY44" s="12"/>
      <c r="EKZ44" s="12"/>
      <c r="ELQ44" s="12"/>
      <c r="ELR44" s="12"/>
      <c r="EMI44" s="12"/>
      <c r="EMJ44" s="12"/>
      <c r="ENA44" s="12"/>
      <c r="ENB44" s="12"/>
      <c r="ENS44" s="12"/>
      <c r="ENT44" s="12"/>
      <c r="EOK44" s="12"/>
      <c r="EOL44" s="12"/>
      <c r="EPC44" s="12"/>
      <c r="EPD44" s="12"/>
      <c r="EPU44" s="12"/>
      <c r="EPV44" s="12"/>
      <c r="EQM44" s="12"/>
      <c r="EQN44" s="12"/>
      <c r="ERE44" s="12"/>
      <c r="ERF44" s="12"/>
      <c r="ERW44" s="12"/>
      <c r="ERX44" s="12"/>
      <c r="ESO44" s="12"/>
      <c r="ESP44" s="12"/>
      <c r="ETG44" s="12"/>
      <c r="ETH44" s="12"/>
      <c r="ETY44" s="12"/>
      <c r="ETZ44" s="12"/>
      <c r="EUQ44" s="12"/>
      <c r="EUR44" s="12"/>
      <c r="EVI44" s="12"/>
      <c r="EVJ44" s="12"/>
      <c r="EWA44" s="12"/>
      <c r="EWB44" s="12"/>
      <c r="EWS44" s="12"/>
      <c r="EWT44" s="12"/>
      <c r="EXK44" s="12"/>
      <c r="EXL44" s="12"/>
      <c r="EYC44" s="12"/>
      <c r="EYD44" s="12"/>
      <c r="EYU44" s="12"/>
      <c r="EYV44" s="12"/>
      <c r="EZM44" s="12"/>
      <c r="EZN44" s="12"/>
      <c r="FAE44" s="12"/>
      <c r="FAF44" s="12"/>
      <c r="FAW44" s="12"/>
      <c r="FAX44" s="12"/>
      <c r="FBO44" s="12"/>
      <c r="FBP44" s="12"/>
      <c r="FCG44" s="12"/>
      <c r="FCH44" s="12"/>
      <c r="FCY44" s="12"/>
      <c r="FCZ44" s="12"/>
      <c r="FDQ44" s="12"/>
      <c r="FDR44" s="12"/>
      <c r="FEI44" s="12"/>
      <c r="FEJ44" s="12"/>
      <c r="FFA44" s="12"/>
      <c r="FFB44" s="12"/>
      <c r="FFS44" s="12"/>
      <c r="FFT44" s="12"/>
      <c r="FGK44" s="12"/>
      <c r="FGL44" s="12"/>
      <c r="FHC44" s="12"/>
      <c r="FHD44" s="12"/>
      <c r="FHU44" s="12"/>
      <c r="FHV44" s="12"/>
      <c r="FIM44" s="12"/>
      <c r="FIN44" s="12"/>
      <c r="FJE44" s="12"/>
      <c r="FJF44" s="12"/>
      <c r="FJW44" s="12"/>
      <c r="FJX44" s="12"/>
      <c r="FKO44" s="12"/>
      <c r="FKP44" s="12"/>
      <c r="FLG44" s="12"/>
      <c r="FLH44" s="12"/>
      <c r="FLY44" s="12"/>
      <c r="FLZ44" s="12"/>
      <c r="FMQ44" s="12"/>
      <c r="FMR44" s="12"/>
      <c r="FNI44" s="12"/>
      <c r="FNJ44" s="12"/>
      <c r="FOA44" s="12"/>
      <c r="FOB44" s="12"/>
      <c r="FOS44" s="12"/>
      <c r="FOT44" s="12"/>
      <c r="FPK44" s="12"/>
      <c r="FPL44" s="12"/>
      <c r="FQC44" s="12"/>
      <c r="FQD44" s="12"/>
      <c r="FQU44" s="12"/>
      <c r="FQV44" s="12"/>
      <c r="FRM44" s="12"/>
      <c r="FRN44" s="12"/>
      <c r="FSE44" s="12"/>
      <c r="FSF44" s="12"/>
      <c r="FSW44" s="12"/>
      <c r="FSX44" s="12"/>
      <c r="FTO44" s="12"/>
      <c r="FTP44" s="12"/>
      <c r="FUG44" s="12"/>
      <c r="FUH44" s="12"/>
      <c r="FUY44" s="12"/>
      <c r="FUZ44" s="12"/>
      <c r="FVQ44" s="12"/>
      <c r="FVR44" s="12"/>
      <c r="FWI44" s="12"/>
      <c r="FWJ44" s="12"/>
      <c r="FXA44" s="12"/>
      <c r="FXB44" s="12"/>
      <c r="FXS44" s="12"/>
      <c r="FXT44" s="12"/>
      <c r="FYK44" s="12"/>
      <c r="FYL44" s="12"/>
      <c r="FZC44" s="12"/>
      <c r="FZD44" s="12"/>
      <c r="FZU44" s="12"/>
      <c r="FZV44" s="12"/>
      <c r="GAM44" s="12"/>
      <c r="GAN44" s="12"/>
      <c r="GBE44" s="12"/>
      <c r="GBF44" s="12"/>
      <c r="GBW44" s="12"/>
      <c r="GBX44" s="12"/>
      <c r="GCO44" s="12"/>
      <c r="GCP44" s="12"/>
      <c r="GDG44" s="12"/>
      <c r="GDH44" s="12"/>
      <c r="GDY44" s="12"/>
      <c r="GDZ44" s="12"/>
      <c r="GEQ44" s="12"/>
      <c r="GER44" s="12"/>
      <c r="GFI44" s="12"/>
      <c r="GFJ44" s="12"/>
      <c r="GGA44" s="12"/>
      <c r="GGB44" s="12"/>
      <c r="GGS44" s="12"/>
      <c r="GGT44" s="12"/>
      <c r="GHK44" s="12"/>
      <c r="GHL44" s="12"/>
      <c r="GIC44" s="12"/>
      <c r="GID44" s="12"/>
      <c r="GIU44" s="12"/>
      <c r="GIV44" s="12"/>
      <c r="GJM44" s="12"/>
      <c r="GJN44" s="12"/>
      <c r="GKE44" s="12"/>
      <c r="GKF44" s="12"/>
      <c r="GKW44" s="12"/>
      <c r="GKX44" s="12"/>
      <c r="GLO44" s="12"/>
      <c r="GLP44" s="12"/>
      <c r="GMG44" s="12"/>
      <c r="GMH44" s="12"/>
      <c r="GMY44" s="12"/>
      <c r="GMZ44" s="12"/>
      <c r="GNQ44" s="12"/>
      <c r="GNR44" s="12"/>
      <c r="GOI44" s="12"/>
      <c r="GOJ44" s="12"/>
      <c r="GPA44" s="12"/>
      <c r="GPB44" s="12"/>
      <c r="GPS44" s="12"/>
      <c r="GPT44" s="12"/>
      <c r="GQK44" s="12"/>
      <c r="GQL44" s="12"/>
      <c r="GRC44" s="12"/>
      <c r="GRD44" s="12"/>
      <c r="GRU44" s="12"/>
      <c r="GRV44" s="12"/>
      <c r="GSM44" s="12"/>
      <c r="GSN44" s="12"/>
      <c r="GTE44" s="12"/>
      <c r="GTF44" s="12"/>
      <c r="GTW44" s="12"/>
      <c r="GTX44" s="12"/>
      <c r="GUO44" s="12"/>
      <c r="GUP44" s="12"/>
      <c r="GVG44" s="12"/>
      <c r="GVH44" s="12"/>
      <c r="GVY44" s="12"/>
      <c r="GVZ44" s="12"/>
      <c r="GWQ44" s="12"/>
      <c r="GWR44" s="12"/>
      <c r="GXI44" s="12"/>
      <c r="GXJ44" s="12"/>
      <c r="GYA44" s="12"/>
      <c r="GYB44" s="12"/>
      <c r="GYS44" s="12"/>
      <c r="GYT44" s="12"/>
      <c r="GZK44" s="12"/>
      <c r="GZL44" s="12"/>
      <c r="HAC44" s="12"/>
      <c r="HAD44" s="12"/>
      <c r="HAU44" s="12"/>
      <c r="HAV44" s="12"/>
      <c r="HBM44" s="12"/>
      <c r="HBN44" s="12"/>
      <c r="HCE44" s="12"/>
      <c r="HCF44" s="12"/>
      <c r="HCW44" s="12"/>
      <c r="HCX44" s="12"/>
      <c r="HDO44" s="12"/>
      <c r="HDP44" s="12"/>
      <c r="HEG44" s="12"/>
      <c r="HEH44" s="12"/>
      <c r="HEY44" s="12"/>
      <c r="HEZ44" s="12"/>
      <c r="HFQ44" s="12"/>
      <c r="HFR44" s="12"/>
      <c r="HGI44" s="12"/>
      <c r="HGJ44" s="12"/>
      <c r="HHA44" s="12"/>
      <c r="HHB44" s="12"/>
      <c r="HHS44" s="12"/>
      <c r="HHT44" s="12"/>
      <c r="HIK44" s="12"/>
      <c r="HIL44" s="12"/>
      <c r="HJC44" s="12"/>
      <c r="HJD44" s="12"/>
      <c r="HJU44" s="12"/>
      <c r="HJV44" s="12"/>
      <c r="HKM44" s="12"/>
      <c r="HKN44" s="12"/>
      <c r="HLE44" s="12"/>
      <c r="HLF44" s="12"/>
      <c r="HLW44" s="12"/>
      <c r="HLX44" s="12"/>
      <c r="HMO44" s="12"/>
      <c r="HMP44" s="12"/>
      <c r="HNG44" s="12"/>
      <c r="HNH44" s="12"/>
      <c r="HNY44" s="12"/>
      <c r="HNZ44" s="12"/>
      <c r="HOQ44" s="12"/>
      <c r="HOR44" s="12"/>
      <c r="HPI44" s="12"/>
      <c r="HPJ44" s="12"/>
      <c r="HQA44" s="12"/>
      <c r="HQB44" s="12"/>
      <c r="HQS44" s="12"/>
      <c r="HQT44" s="12"/>
      <c r="HRK44" s="12"/>
      <c r="HRL44" s="12"/>
      <c r="HSC44" s="12"/>
      <c r="HSD44" s="12"/>
      <c r="HSU44" s="12"/>
      <c r="HSV44" s="12"/>
      <c r="HTM44" s="12"/>
      <c r="HTN44" s="12"/>
      <c r="HUE44" s="12"/>
      <c r="HUF44" s="12"/>
      <c r="HUW44" s="12"/>
      <c r="HUX44" s="12"/>
      <c r="HVO44" s="12"/>
      <c r="HVP44" s="12"/>
      <c r="HWG44" s="12"/>
      <c r="HWH44" s="12"/>
      <c r="HWY44" s="12"/>
      <c r="HWZ44" s="12"/>
      <c r="HXQ44" s="12"/>
      <c r="HXR44" s="12"/>
      <c r="HYI44" s="12"/>
      <c r="HYJ44" s="12"/>
      <c r="HZA44" s="12"/>
      <c r="HZB44" s="12"/>
      <c r="HZS44" s="12"/>
      <c r="HZT44" s="12"/>
      <c r="IAK44" s="12"/>
      <c r="IAL44" s="12"/>
      <c r="IBC44" s="12"/>
      <c r="IBD44" s="12"/>
      <c r="IBU44" s="12"/>
      <c r="IBV44" s="12"/>
      <c r="ICM44" s="12"/>
      <c r="ICN44" s="12"/>
      <c r="IDE44" s="12"/>
      <c r="IDF44" s="12"/>
      <c r="IDW44" s="12"/>
      <c r="IDX44" s="12"/>
      <c r="IEO44" s="12"/>
      <c r="IEP44" s="12"/>
      <c r="IFG44" s="12"/>
      <c r="IFH44" s="12"/>
      <c r="IFY44" s="12"/>
      <c r="IFZ44" s="12"/>
      <c r="IGQ44" s="12"/>
      <c r="IGR44" s="12"/>
      <c r="IHI44" s="12"/>
      <c r="IHJ44" s="12"/>
      <c r="IIA44" s="12"/>
      <c r="IIB44" s="12"/>
      <c r="IIS44" s="12"/>
      <c r="IIT44" s="12"/>
      <c r="IJK44" s="12"/>
      <c r="IJL44" s="12"/>
      <c r="IKC44" s="12"/>
      <c r="IKD44" s="12"/>
      <c r="IKU44" s="12"/>
      <c r="IKV44" s="12"/>
      <c r="ILM44" s="12"/>
      <c r="ILN44" s="12"/>
      <c r="IME44" s="12"/>
      <c r="IMF44" s="12"/>
      <c r="IMW44" s="12"/>
      <c r="IMX44" s="12"/>
      <c r="INO44" s="12"/>
      <c r="INP44" s="12"/>
      <c r="IOG44" s="12"/>
      <c r="IOH44" s="12"/>
      <c r="IOY44" s="12"/>
      <c r="IOZ44" s="12"/>
      <c r="IPQ44" s="12"/>
      <c r="IPR44" s="12"/>
      <c r="IQI44" s="12"/>
      <c r="IQJ44" s="12"/>
      <c r="IRA44" s="12"/>
      <c r="IRB44" s="12"/>
      <c r="IRS44" s="12"/>
      <c r="IRT44" s="12"/>
      <c r="ISK44" s="12"/>
      <c r="ISL44" s="12"/>
      <c r="ITC44" s="12"/>
      <c r="ITD44" s="12"/>
      <c r="ITU44" s="12"/>
      <c r="ITV44" s="12"/>
      <c r="IUM44" s="12"/>
      <c r="IUN44" s="12"/>
      <c r="IVE44" s="12"/>
      <c r="IVF44" s="12"/>
      <c r="IVW44" s="12"/>
      <c r="IVX44" s="12"/>
      <c r="IWO44" s="12"/>
      <c r="IWP44" s="12"/>
      <c r="IXG44" s="12"/>
      <c r="IXH44" s="12"/>
      <c r="IXY44" s="12"/>
      <c r="IXZ44" s="12"/>
      <c r="IYQ44" s="12"/>
      <c r="IYR44" s="12"/>
      <c r="IZI44" s="12"/>
      <c r="IZJ44" s="12"/>
      <c r="JAA44" s="12"/>
      <c r="JAB44" s="12"/>
      <c r="JAS44" s="12"/>
      <c r="JAT44" s="12"/>
      <c r="JBK44" s="12"/>
      <c r="JBL44" s="12"/>
      <c r="JCC44" s="12"/>
      <c r="JCD44" s="12"/>
      <c r="JCU44" s="12"/>
      <c r="JCV44" s="12"/>
      <c r="JDM44" s="12"/>
      <c r="JDN44" s="12"/>
      <c r="JEE44" s="12"/>
      <c r="JEF44" s="12"/>
      <c r="JEW44" s="12"/>
      <c r="JEX44" s="12"/>
      <c r="JFO44" s="12"/>
      <c r="JFP44" s="12"/>
      <c r="JGG44" s="12"/>
      <c r="JGH44" s="12"/>
      <c r="JGY44" s="12"/>
      <c r="JGZ44" s="12"/>
      <c r="JHQ44" s="12"/>
      <c r="JHR44" s="12"/>
      <c r="JII44" s="12"/>
      <c r="JIJ44" s="12"/>
      <c r="JJA44" s="12"/>
      <c r="JJB44" s="12"/>
      <c r="JJS44" s="12"/>
      <c r="JJT44" s="12"/>
      <c r="JKK44" s="12"/>
      <c r="JKL44" s="12"/>
      <c r="JLC44" s="12"/>
      <c r="JLD44" s="12"/>
      <c r="JLU44" s="12"/>
      <c r="JLV44" s="12"/>
      <c r="JMM44" s="12"/>
      <c r="JMN44" s="12"/>
      <c r="JNE44" s="12"/>
      <c r="JNF44" s="12"/>
      <c r="JNW44" s="12"/>
      <c r="JNX44" s="12"/>
      <c r="JOO44" s="12"/>
      <c r="JOP44" s="12"/>
      <c r="JPG44" s="12"/>
      <c r="JPH44" s="12"/>
      <c r="JPY44" s="12"/>
      <c r="JPZ44" s="12"/>
      <c r="JQQ44" s="12"/>
      <c r="JQR44" s="12"/>
      <c r="JRI44" s="12"/>
      <c r="JRJ44" s="12"/>
      <c r="JSA44" s="12"/>
      <c r="JSB44" s="12"/>
      <c r="JSS44" s="12"/>
      <c r="JST44" s="12"/>
      <c r="JTK44" s="12"/>
      <c r="JTL44" s="12"/>
      <c r="JUC44" s="12"/>
      <c r="JUD44" s="12"/>
      <c r="JUU44" s="12"/>
      <c r="JUV44" s="12"/>
      <c r="JVM44" s="12"/>
      <c r="JVN44" s="12"/>
      <c r="JWE44" s="12"/>
      <c r="JWF44" s="12"/>
      <c r="JWW44" s="12"/>
      <c r="JWX44" s="12"/>
      <c r="JXO44" s="12"/>
      <c r="JXP44" s="12"/>
      <c r="JYG44" s="12"/>
      <c r="JYH44" s="12"/>
      <c r="JYY44" s="12"/>
      <c r="JYZ44" s="12"/>
      <c r="JZQ44" s="12"/>
      <c r="JZR44" s="12"/>
      <c r="KAI44" s="12"/>
      <c r="KAJ44" s="12"/>
      <c r="KBA44" s="12"/>
      <c r="KBB44" s="12"/>
      <c r="KBS44" s="12"/>
      <c r="KBT44" s="12"/>
      <c r="KCK44" s="12"/>
      <c r="KCL44" s="12"/>
      <c r="KDC44" s="12"/>
      <c r="KDD44" s="12"/>
      <c r="KDU44" s="12"/>
      <c r="KDV44" s="12"/>
      <c r="KEM44" s="12"/>
      <c r="KEN44" s="12"/>
      <c r="KFE44" s="12"/>
      <c r="KFF44" s="12"/>
      <c r="KFW44" s="12"/>
      <c r="KFX44" s="12"/>
      <c r="KGO44" s="12"/>
      <c r="KGP44" s="12"/>
      <c r="KHG44" s="12"/>
      <c r="KHH44" s="12"/>
      <c r="KHY44" s="12"/>
      <c r="KHZ44" s="12"/>
      <c r="KIQ44" s="12"/>
      <c r="KIR44" s="12"/>
      <c r="KJI44" s="12"/>
      <c r="KJJ44" s="12"/>
      <c r="KKA44" s="12"/>
      <c r="KKB44" s="12"/>
      <c r="KKS44" s="12"/>
      <c r="KKT44" s="12"/>
      <c r="KLK44" s="12"/>
      <c r="KLL44" s="12"/>
      <c r="KMC44" s="12"/>
      <c r="KMD44" s="12"/>
      <c r="KMU44" s="12"/>
      <c r="KMV44" s="12"/>
      <c r="KNM44" s="12"/>
      <c r="KNN44" s="12"/>
      <c r="KOE44" s="12"/>
      <c r="KOF44" s="12"/>
      <c r="KOW44" s="12"/>
      <c r="KOX44" s="12"/>
      <c r="KPO44" s="12"/>
      <c r="KPP44" s="12"/>
      <c r="KQG44" s="12"/>
      <c r="KQH44" s="12"/>
      <c r="KQY44" s="12"/>
      <c r="KQZ44" s="12"/>
      <c r="KRQ44" s="12"/>
      <c r="KRR44" s="12"/>
      <c r="KSI44" s="12"/>
      <c r="KSJ44" s="12"/>
      <c r="KTA44" s="12"/>
      <c r="KTB44" s="12"/>
      <c r="KTS44" s="12"/>
      <c r="KTT44" s="12"/>
      <c r="KUK44" s="12"/>
      <c r="KUL44" s="12"/>
      <c r="KVC44" s="12"/>
      <c r="KVD44" s="12"/>
      <c r="KVU44" s="12"/>
      <c r="KVV44" s="12"/>
      <c r="KWM44" s="12"/>
      <c r="KWN44" s="12"/>
      <c r="KXE44" s="12"/>
      <c r="KXF44" s="12"/>
      <c r="KXW44" s="12"/>
      <c r="KXX44" s="12"/>
      <c r="KYO44" s="12"/>
      <c r="KYP44" s="12"/>
      <c r="KZG44" s="12"/>
      <c r="KZH44" s="12"/>
      <c r="KZY44" s="12"/>
      <c r="KZZ44" s="12"/>
      <c r="LAQ44" s="12"/>
      <c r="LAR44" s="12"/>
      <c r="LBI44" s="12"/>
      <c r="LBJ44" s="12"/>
      <c r="LCA44" s="12"/>
      <c r="LCB44" s="12"/>
      <c r="LCS44" s="12"/>
      <c r="LCT44" s="12"/>
      <c r="LDK44" s="12"/>
      <c r="LDL44" s="12"/>
      <c r="LEC44" s="12"/>
      <c r="LED44" s="12"/>
      <c r="LEU44" s="12"/>
      <c r="LEV44" s="12"/>
      <c r="LFM44" s="12"/>
      <c r="LFN44" s="12"/>
      <c r="LGE44" s="12"/>
      <c r="LGF44" s="12"/>
      <c r="LGW44" s="12"/>
      <c r="LGX44" s="12"/>
      <c r="LHO44" s="12"/>
      <c r="LHP44" s="12"/>
      <c r="LIG44" s="12"/>
      <c r="LIH44" s="12"/>
      <c r="LIY44" s="12"/>
      <c r="LIZ44" s="12"/>
      <c r="LJQ44" s="12"/>
      <c r="LJR44" s="12"/>
      <c r="LKI44" s="12"/>
      <c r="LKJ44" s="12"/>
      <c r="LLA44" s="12"/>
      <c r="LLB44" s="12"/>
      <c r="LLS44" s="12"/>
      <c r="LLT44" s="12"/>
      <c r="LMK44" s="12"/>
      <c r="LML44" s="12"/>
      <c r="LNC44" s="12"/>
      <c r="LND44" s="12"/>
      <c r="LNU44" s="12"/>
      <c r="LNV44" s="12"/>
      <c r="LOM44" s="12"/>
      <c r="LON44" s="12"/>
      <c r="LPE44" s="12"/>
      <c r="LPF44" s="12"/>
      <c r="LPW44" s="12"/>
      <c r="LPX44" s="12"/>
      <c r="LQO44" s="12"/>
      <c r="LQP44" s="12"/>
      <c r="LRG44" s="12"/>
      <c r="LRH44" s="12"/>
      <c r="LRY44" s="12"/>
      <c r="LRZ44" s="12"/>
      <c r="LSQ44" s="12"/>
      <c r="LSR44" s="12"/>
      <c r="LTI44" s="12"/>
      <c r="LTJ44" s="12"/>
      <c r="LUA44" s="12"/>
      <c r="LUB44" s="12"/>
      <c r="LUS44" s="12"/>
      <c r="LUT44" s="12"/>
      <c r="LVK44" s="12"/>
      <c r="LVL44" s="12"/>
      <c r="LWC44" s="12"/>
      <c r="LWD44" s="12"/>
      <c r="LWU44" s="12"/>
      <c r="LWV44" s="12"/>
      <c r="LXM44" s="12"/>
      <c r="LXN44" s="12"/>
      <c r="LYE44" s="12"/>
      <c r="LYF44" s="12"/>
      <c r="LYW44" s="12"/>
      <c r="LYX44" s="12"/>
      <c r="LZO44" s="12"/>
      <c r="LZP44" s="12"/>
      <c r="MAG44" s="12"/>
      <c r="MAH44" s="12"/>
      <c r="MAY44" s="12"/>
      <c r="MAZ44" s="12"/>
      <c r="MBQ44" s="12"/>
      <c r="MBR44" s="12"/>
      <c r="MCI44" s="12"/>
      <c r="MCJ44" s="12"/>
      <c r="MDA44" s="12"/>
      <c r="MDB44" s="12"/>
      <c r="MDS44" s="12"/>
      <c r="MDT44" s="12"/>
      <c r="MEK44" s="12"/>
      <c r="MEL44" s="12"/>
      <c r="MFC44" s="12"/>
      <c r="MFD44" s="12"/>
      <c r="MFU44" s="12"/>
      <c r="MFV44" s="12"/>
      <c r="MGM44" s="12"/>
      <c r="MGN44" s="12"/>
      <c r="MHE44" s="12"/>
      <c r="MHF44" s="12"/>
      <c r="MHW44" s="12"/>
      <c r="MHX44" s="12"/>
      <c r="MIO44" s="12"/>
      <c r="MIP44" s="12"/>
      <c r="MJG44" s="12"/>
      <c r="MJH44" s="12"/>
      <c r="MJY44" s="12"/>
      <c r="MJZ44" s="12"/>
      <c r="MKQ44" s="12"/>
      <c r="MKR44" s="12"/>
      <c r="MLI44" s="12"/>
      <c r="MLJ44" s="12"/>
      <c r="MMA44" s="12"/>
      <c r="MMB44" s="12"/>
      <c r="MMS44" s="12"/>
      <c r="MMT44" s="12"/>
      <c r="MNK44" s="12"/>
      <c r="MNL44" s="12"/>
      <c r="MOC44" s="12"/>
      <c r="MOD44" s="12"/>
      <c r="MOU44" s="12"/>
      <c r="MOV44" s="12"/>
      <c r="MPM44" s="12"/>
      <c r="MPN44" s="12"/>
      <c r="MQE44" s="12"/>
      <c r="MQF44" s="12"/>
      <c r="MQW44" s="12"/>
      <c r="MQX44" s="12"/>
      <c r="MRO44" s="12"/>
      <c r="MRP44" s="12"/>
      <c r="MSG44" s="12"/>
      <c r="MSH44" s="12"/>
      <c r="MSY44" s="12"/>
      <c r="MSZ44" s="12"/>
      <c r="MTQ44" s="12"/>
      <c r="MTR44" s="12"/>
      <c r="MUI44" s="12"/>
      <c r="MUJ44" s="12"/>
      <c r="MVA44" s="12"/>
      <c r="MVB44" s="12"/>
      <c r="MVS44" s="12"/>
      <c r="MVT44" s="12"/>
      <c r="MWK44" s="12"/>
      <c r="MWL44" s="12"/>
      <c r="MXC44" s="12"/>
      <c r="MXD44" s="12"/>
      <c r="MXU44" s="12"/>
      <c r="MXV44" s="12"/>
      <c r="MYM44" s="12"/>
      <c r="MYN44" s="12"/>
      <c r="MZE44" s="12"/>
      <c r="MZF44" s="12"/>
      <c r="MZW44" s="12"/>
      <c r="MZX44" s="12"/>
      <c r="NAO44" s="12"/>
      <c r="NAP44" s="12"/>
      <c r="NBG44" s="12"/>
      <c r="NBH44" s="12"/>
      <c r="NBY44" s="12"/>
      <c r="NBZ44" s="12"/>
      <c r="NCQ44" s="12"/>
      <c r="NCR44" s="12"/>
      <c r="NDI44" s="12"/>
      <c r="NDJ44" s="12"/>
      <c r="NEA44" s="12"/>
      <c r="NEB44" s="12"/>
      <c r="NES44" s="12"/>
      <c r="NET44" s="12"/>
      <c r="NFK44" s="12"/>
      <c r="NFL44" s="12"/>
      <c r="NGC44" s="12"/>
      <c r="NGD44" s="12"/>
      <c r="NGU44" s="12"/>
      <c r="NGV44" s="12"/>
      <c r="NHM44" s="12"/>
      <c r="NHN44" s="12"/>
      <c r="NIE44" s="12"/>
      <c r="NIF44" s="12"/>
      <c r="NIW44" s="12"/>
      <c r="NIX44" s="12"/>
      <c r="NJO44" s="12"/>
      <c r="NJP44" s="12"/>
      <c r="NKG44" s="12"/>
      <c r="NKH44" s="12"/>
      <c r="NKY44" s="12"/>
      <c r="NKZ44" s="12"/>
      <c r="NLQ44" s="12"/>
      <c r="NLR44" s="12"/>
      <c r="NMI44" s="12"/>
      <c r="NMJ44" s="12"/>
      <c r="NNA44" s="12"/>
      <c r="NNB44" s="12"/>
      <c r="NNS44" s="12"/>
      <c r="NNT44" s="12"/>
      <c r="NOK44" s="12"/>
      <c r="NOL44" s="12"/>
      <c r="NPC44" s="12"/>
      <c r="NPD44" s="12"/>
      <c r="NPU44" s="12"/>
      <c r="NPV44" s="12"/>
      <c r="NQM44" s="12"/>
      <c r="NQN44" s="12"/>
      <c r="NRE44" s="12"/>
      <c r="NRF44" s="12"/>
      <c r="NRW44" s="12"/>
      <c r="NRX44" s="12"/>
      <c r="NSO44" s="12"/>
      <c r="NSP44" s="12"/>
      <c r="NTG44" s="12"/>
      <c r="NTH44" s="12"/>
      <c r="NTY44" s="12"/>
      <c r="NTZ44" s="12"/>
      <c r="NUQ44" s="12"/>
      <c r="NUR44" s="12"/>
      <c r="NVI44" s="12"/>
      <c r="NVJ44" s="12"/>
      <c r="NWA44" s="12"/>
      <c r="NWB44" s="12"/>
      <c r="NWS44" s="12"/>
      <c r="NWT44" s="12"/>
      <c r="NXK44" s="12"/>
      <c r="NXL44" s="12"/>
      <c r="NYC44" s="12"/>
      <c r="NYD44" s="12"/>
      <c r="NYU44" s="12"/>
      <c r="NYV44" s="12"/>
      <c r="NZM44" s="12"/>
      <c r="NZN44" s="12"/>
      <c r="OAE44" s="12"/>
      <c r="OAF44" s="12"/>
      <c r="OAW44" s="12"/>
      <c r="OAX44" s="12"/>
      <c r="OBO44" s="12"/>
      <c r="OBP44" s="12"/>
      <c r="OCG44" s="12"/>
      <c r="OCH44" s="12"/>
      <c r="OCY44" s="12"/>
      <c r="OCZ44" s="12"/>
      <c r="ODQ44" s="12"/>
      <c r="ODR44" s="12"/>
      <c r="OEI44" s="12"/>
      <c r="OEJ44" s="12"/>
      <c r="OFA44" s="12"/>
      <c r="OFB44" s="12"/>
      <c r="OFS44" s="12"/>
      <c r="OFT44" s="12"/>
      <c r="OGK44" s="12"/>
      <c r="OGL44" s="12"/>
      <c r="OHC44" s="12"/>
      <c r="OHD44" s="12"/>
      <c r="OHU44" s="12"/>
      <c r="OHV44" s="12"/>
      <c r="OIM44" s="12"/>
      <c r="OIN44" s="12"/>
      <c r="OJE44" s="12"/>
      <c r="OJF44" s="12"/>
      <c r="OJW44" s="12"/>
      <c r="OJX44" s="12"/>
      <c r="OKO44" s="12"/>
      <c r="OKP44" s="12"/>
      <c r="OLG44" s="12"/>
      <c r="OLH44" s="12"/>
      <c r="OLY44" s="12"/>
      <c r="OLZ44" s="12"/>
      <c r="OMQ44" s="12"/>
      <c r="OMR44" s="12"/>
      <c r="ONI44" s="12"/>
      <c r="ONJ44" s="12"/>
      <c r="OOA44" s="12"/>
      <c r="OOB44" s="12"/>
      <c r="OOS44" s="12"/>
      <c r="OOT44" s="12"/>
      <c r="OPK44" s="12"/>
      <c r="OPL44" s="12"/>
      <c r="OQC44" s="12"/>
      <c r="OQD44" s="12"/>
      <c r="OQU44" s="12"/>
      <c r="OQV44" s="12"/>
      <c r="ORM44" s="12"/>
      <c r="ORN44" s="12"/>
      <c r="OSE44" s="12"/>
      <c r="OSF44" s="12"/>
      <c r="OSW44" s="12"/>
      <c r="OSX44" s="12"/>
      <c r="OTO44" s="12"/>
      <c r="OTP44" s="12"/>
      <c r="OUG44" s="12"/>
      <c r="OUH44" s="12"/>
      <c r="OUY44" s="12"/>
      <c r="OUZ44" s="12"/>
      <c r="OVQ44" s="12"/>
      <c r="OVR44" s="12"/>
      <c r="OWI44" s="12"/>
      <c r="OWJ44" s="12"/>
      <c r="OXA44" s="12"/>
      <c r="OXB44" s="12"/>
      <c r="OXS44" s="12"/>
      <c r="OXT44" s="12"/>
      <c r="OYK44" s="12"/>
      <c r="OYL44" s="12"/>
      <c r="OZC44" s="12"/>
      <c r="OZD44" s="12"/>
      <c r="OZU44" s="12"/>
      <c r="OZV44" s="12"/>
      <c r="PAM44" s="12"/>
      <c r="PAN44" s="12"/>
      <c r="PBE44" s="12"/>
      <c r="PBF44" s="12"/>
      <c r="PBW44" s="12"/>
      <c r="PBX44" s="12"/>
      <c r="PCO44" s="12"/>
      <c r="PCP44" s="12"/>
      <c r="PDG44" s="12"/>
      <c r="PDH44" s="12"/>
      <c r="PDY44" s="12"/>
      <c r="PDZ44" s="12"/>
      <c r="PEQ44" s="12"/>
      <c r="PER44" s="12"/>
      <c r="PFI44" s="12"/>
      <c r="PFJ44" s="12"/>
      <c r="PGA44" s="12"/>
      <c r="PGB44" s="12"/>
      <c r="PGS44" s="12"/>
      <c r="PGT44" s="12"/>
      <c r="PHK44" s="12"/>
      <c r="PHL44" s="12"/>
      <c r="PIC44" s="12"/>
      <c r="PID44" s="12"/>
      <c r="PIU44" s="12"/>
      <c r="PIV44" s="12"/>
      <c r="PJM44" s="12"/>
      <c r="PJN44" s="12"/>
      <c r="PKE44" s="12"/>
      <c r="PKF44" s="12"/>
      <c r="PKW44" s="12"/>
      <c r="PKX44" s="12"/>
      <c r="PLO44" s="12"/>
      <c r="PLP44" s="12"/>
      <c r="PMG44" s="12"/>
      <c r="PMH44" s="12"/>
      <c r="PMY44" s="12"/>
      <c r="PMZ44" s="12"/>
      <c r="PNQ44" s="12"/>
      <c r="PNR44" s="12"/>
      <c r="POI44" s="12"/>
      <c r="POJ44" s="12"/>
      <c r="PPA44" s="12"/>
      <c r="PPB44" s="12"/>
      <c r="PPS44" s="12"/>
      <c r="PPT44" s="12"/>
      <c r="PQK44" s="12"/>
      <c r="PQL44" s="12"/>
      <c r="PRC44" s="12"/>
      <c r="PRD44" s="12"/>
      <c r="PRU44" s="12"/>
      <c r="PRV44" s="12"/>
      <c r="PSM44" s="12"/>
      <c r="PSN44" s="12"/>
      <c r="PTE44" s="12"/>
      <c r="PTF44" s="12"/>
      <c r="PTW44" s="12"/>
      <c r="PTX44" s="12"/>
      <c r="PUO44" s="12"/>
      <c r="PUP44" s="12"/>
      <c r="PVG44" s="12"/>
      <c r="PVH44" s="12"/>
      <c r="PVY44" s="12"/>
      <c r="PVZ44" s="12"/>
      <c r="PWQ44" s="12"/>
      <c r="PWR44" s="12"/>
      <c r="PXI44" s="12"/>
      <c r="PXJ44" s="12"/>
      <c r="PYA44" s="12"/>
      <c r="PYB44" s="12"/>
      <c r="PYS44" s="12"/>
      <c r="PYT44" s="12"/>
      <c r="PZK44" s="12"/>
      <c r="PZL44" s="12"/>
      <c r="QAC44" s="12"/>
      <c r="QAD44" s="12"/>
      <c r="QAU44" s="12"/>
      <c r="QAV44" s="12"/>
      <c r="QBM44" s="12"/>
      <c r="QBN44" s="12"/>
      <c r="QCE44" s="12"/>
      <c r="QCF44" s="12"/>
      <c r="QCW44" s="12"/>
      <c r="QCX44" s="12"/>
      <c r="QDO44" s="12"/>
      <c r="QDP44" s="12"/>
      <c r="QEG44" s="12"/>
      <c r="QEH44" s="12"/>
      <c r="QEY44" s="12"/>
      <c r="QEZ44" s="12"/>
      <c r="QFQ44" s="12"/>
      <c r="QFR44" s="12"/>
      <c r="QGI44" s="12"/>
      <c r="QGJ44" s="12"/>
      <c r="QHA44" s="12"/>
      <c r="QHB44" s="12"/>
      <c r="QHS44" s="12"/>
      <c r="QHT44" s="12"/>
      <c r="QIK44" s="12"/>
      <c r="QIL44" s="12"/>
      <c r="QJC44" s="12"/>
      <c r="QJD44" s="12"/>
      <c r="QJU44" s="12"/>
      <c r="QJV44" s="12"/>
      <c r="QKM44" s="12"/>
      <c r="QKN44" s="12"/>
      <c r="QLE44" s="12"/>
      <c r="QLF44" s="12"/>
      <c r="QLW44" s="12"/>
      <c r="QLX44" s="12"/>
      <c r="QMO44" s="12"/>
      <c r="QMP44" s="12"/>
      <c r="QNG44" s="12"/>
      <c r="QNH44" s="12"/>
      <c r="QNY44" s="12"/>
      <c r="QNZ44" s="12"/>
      <c r="QOQ44" s="12"/>
      <c r="QOR44" s="12"/>
      <c r="QPI44" s="12"/>
      <c r="QPJ44" s="12"/>
      <c r="QQA44" s="12"/>
      <c r="QQB44" s="12"/>
      <c r="QQS44" s="12"/>
      <c r="QQT44" s="12"/>
      <c r="QRK44" s="12"/>
      <c r="QRL44" s="12"/>
      <c r="QSC44" s="12"/>
      <c r="QSD44" s="12"/>
      <c r="QSU44" s="12"/>
      <c r="QSV44" s="12"/>
      <c r="QTM44" s="12"/>
      <c r="QTN44" s="12"/>
      <c r="QUE44" s="12"/>
      <c r="QUF44" s="12"/>
      <c r="QUW44" s="12"/>
      <c r="QUX44" s="12"/>
      <c r="QVO44" s="12"/>
      <c r="QVP44" s="12"/>
      <c r="QWG44" s="12"/>
      <c r="QWH44" s="12"/>
      <c r="QWY44" s="12"/>
      <c r="QWZ44" s="12"/>
      <c r="QXQ44" s="12"/>
      <c r="QXR44" s="12"/>
      <c r="QYI44" s="12"/>
      <c r="QYJ44" s="12"/>
      <c r="QZA44" s="12"/>
      <c r="QZB44" s="12"/>
      <c r="QZS44" s="12"/>
      <c r="QZT44" s="12"/>
      <c r="RAK44" s="12"/>
      <c r="RAL44" s="12"/>
      <c r="RBC44" s="12"/>
      <c r="RBD44" s="12"/>
      <c r="RBU44" s="12"/>
      <c r="RBV44" s="12"/>
      <c r="RCM44" s="12"/>
      <c r="RCN44" s="12"/>
      <c r="RDE44" s="12"/>
      <c r="RDF44" s="12"/>
      <c r="RDW44" s="12"/>
      <c r="RDX44" s="12"/>
      <c r="REO44" s="12"/>
      <c r="REP44" s="12"/>
      <c r="RFG44" s="12"/>
      <c r="RFH44" s="12"/>
      <c r="RFY44" s="12"/>
      <c r="RFZ44" s="12"/>
      <c r="RGQ44" s="12"/>
      <c r="RGR44" s="12"/>
      <c r="RHI44" s="12"/>
      <c r="RHJ44" s="12"/>
      <c r="RIA44" s="12"/>
      <c r="RIB44" s="12"/>
      <c r="RIS44" s="12"/>
      <c r="RIT44" s="12"/>
      <c r="RJK44" s="12"/>
      <c r="RJL44" s="12"/>
      <c r="RKC44" s="12"/>
      <c r="RKD44" s="12"/>
      <c r="RKU44" s="12"/>
      <c r="RKV44" s="12"/>
      <c r="RLM44" s="12"/>
      <c r="RLN44" s="12"/>
      <c r="RME44" s="12"/>
      <c r="RMF44" s="12"/>
      <c r="RMW44" s="12"/>
      <c r="RMX44" s="12"/>
      <c r="RNO44" s="12"/>
      <c r="RNP44" s="12"/>
      <c r="ROG44" s="12"/>
      <c r="ROH44" s="12"/>
      <c r="ROY44" s="12"/>
      <c r="ROZ44" s="12"/>
      <c r="RPQ44" s="12"/>
      <c r="RPR44" s="12"/>
      <c r="RQI44" s="12"/>
      <c r="RQJ44" s="12"/>
      <c r="RRA44" s="12"/>
      <c r="RRB44" s="12"/>
      <c r="RRS44" s="12"/>
      <c r="RRT44" s="12"/>
      <c r="RSK44" s="12"/>
      <c r="RSL44" s="12"/>
      <c r="RTC44" s="12"/>
      <c r="RTD44" s="12"/>
      <c r="RTU44" s="12"/>
      <c r="RTV44" s="12"/>
      <c r="RUM44" s="12"/>
      <c r="RUN44" s="12"/>
      <c r="RVE44" s="12"/>
      <c r="RVF44" s="12"/>
      <c r="RVW44" s="12"/>
      <c r="RVX44" s="12"/>
      <c r="RWO44" s="12"/>
      <c r="RWP44" s="12"/>
      <c r="RXG44" s="12"/>
      <c r="RXH44" s="12"/>
      <c r="RXY44" s="12"/>
      <c r="RXZ44" s="12"/>
      <c r="RYQ44" s="12"/>
      <c r="RYR44" s="12"/>
      <c r="RZI44" s="12"/>
      <c r="RZJ44" s="12"/>
      <c r="SAA44" s="12"/>
      <c r="SAB44" s="12"/>
      <c r="SAS44" s="12"/>
      <c r="SAT44" s="12"/>
      <c r="SBK44" s="12"/>
      <c r="SBL44" s="12"/>
      <c r="SCC44" s="12"/>
      <c r="SCD44" s="12"/>
      <c r="SCU44" s="12"/>
      <c r="SCV44" s="12"/>
      <c r="SDM44" s="12"/>
      <c r="SDN44" s="12"/>
      <c r="SEE44" s="12"/>
      <c r="SEF44" s="12"/>
      <c r="SEW44" s="12"/>
      <c r="SEX44" s="12"/>
      <c r="SFO44" s="12"/>
      <c r="SFP44" s="12"/>
      <c r="SGG44" s="12"/>
      <c r="SGH44" s="12"/>
      <c r="SGY44" s="12"/>
      <c r="SGZ44" s="12"/>
      <c r="SHQ44" s="12"/>
      <c r="SHR44" s="12"/>
      <c r="SII44" s="12"/>
      <c r="SIJ44" s="12"/>
      <c r="SJA44" s="12"/>
      <c r="SJB44" s="12"/>
      <c r="SJS44" s="12"/>
      <c r="SJT44" s="12"/>
      <c r="SKK44" s="12"/>
      <c r="SKL44" s="12"/>
      <c r="SLC44" s="12"/>
      <c r="SLD44" s="12"/>
      <c r="SLU44" s="12"/>
      <c r="SLV44" s="12"/>
      <c r="SMM44" s="12"/>
      <c r="SMN44" s="12"/>
      <c r="SNE44" s="12"/>
      <c r="SNF44" s="12"/>
      <c r="SNW44" s="12"/>
      <c r="SNX44" s="12"/>
      <c r="SOO44" s="12"/>
      <c r="SOP44" s="12"/>
      <c r="SPG44" s="12"/>
      <c r="SPH44" s="12"/>
      <c r="SPY44" s="12"/>
      <c r="SPZ44" s="12"/>
      <c r="SQQ44" s="12"/>
      <c r="SQR44" s="12"/>
      <c r="SRI44" s="12"/>
      <c r="SRJ44" s="12"/>
      <c r="SSA44" s="12"/>
      <c r="SSB44" s="12"/>
      <c r="SSS44" s="12"/>
      <c r="SST44" s="12"/>
      <c r="STK44" s="12"/>
      <c r="STL44" s="12"/>
      <c r="SUC44" s="12"/>
      <c r="SUD44" s="12"/>
      <c r="SUU44" s="12"/>
      <c r="SUV44" s="12"/>
      <c r="SVM44" s="12"/>
      <c r="SVN44" s="12"/>
      <c r="SWE44" s="12"/>
      <c r="SWF44" s="12"/>
      <c r="SWW44" s="12"/>
      <c r="SWX44" s="12"/>
      <c r="SXO44" s="12"/>
      <c r="SXP44" s="12"/>
      <c r="SYG44" s="12"/>
      <c r="SYH44" s="12"/>
      <c r="SYY44" s="12"/>
      <c r="SYZ44" s="12"/>
      <c r="SZQ44" s="12"/>
      <c r="SZR44" s="12"/>
      <c r="TAI44" s="12"/>
      <c r="TAJ44" s="12"/>
      <c r="TBA44" s="12"/>
      <c r="TBB44" s="12"/>
      <c r="TBS44" s="12"/>
      <c r="TBT44" s="12"/>
      <c r="TCK44" s="12"/>
      <c r="TCL44" s="12"/>
      <c r="TDC44" s="12"/>
      <c r="TDD44" s="12"/>
      <c r="TDU44" s="12"/>
      <c r="TDV44" s="12"/>
      <c r="TEM44" s="12"/>
      <c r="TEN44" s="12"/>
      <c r="TFE44" s="12"/>
      <c r="TFF44" s="12"/>
      <c r="TFW44" s="12"/>
      <c r="TFX44" s="12"/>
      <c r="TGO44" s="12"/>
      <c r="TGP44" s="12"/>
      <c r="THG44" s="12"/>
      <c r="THH44" s="12"/>
      <c r="THY44" s="12"/>
      <c r="THZ44" s="12"/>
      <c r="TIQ44" s="12"/>
      <c r="TIR44" s="12"/>
      <c r="TJI44" s="12"/>
      <c r="TJJ44" s="12"/>
      <c r="TKA44" s="12"/>
      <c r="TKB44" s="12"/>
      <c r="TKS44" s="12"/>
      <c r="TKT44" s="12"/>
      <c r="TLK44" s="12"/>
      <c r="TLL44" s="12"/>
      <c r="TMC44" s="12"/>
      <c r="TMD44" s="12"/>
      <c r="TMU44" s="12"/>
      <c r="TMV44" s="12"/>
      <c r="TNM44" s="12"/>
      <c r="TNN44" s="12"/>
      <c r="TOE44" s="12"/>
      <c r="TOF44" s="12"/>
      <c r="TOW44" s="12"/>
      <c r="TOX44" s="12"/>
      <c r="TPO44" s="12"/>
      <c r="TPP44" s="12"/>
      <c r="TQG44" s="12"/>
      <c r="TQH44" s="12"/>
      <c r="TQY44" s="12"/>
      <c r="TQZ44" s="12"/>
      <c r="TRQ44" s="12"/>
      <c r="TRR44" s="12"/>
      <c r="TSI44" s="12"/>
      <c r="TSJ44" s="12"/>
      <c r="TTA44" s="12"/>
      <c r="TTB44" s="12"/>
      <c r="TTS44" s="12"/>
      <c r="TTT44" s="12"/>
      <c r="TUK44" s="12"/>
      <c r="TUL44" s="12"/>
      <c r="TVC44" s="12"/>
      <c r="TVD44" s="12"/>
      <c r="TVU44" s="12"/>
      <c r="TVV44" s="12"/>
      <c r="TWM44" s="12"/>
      <c r="TWN44" s="12"/>
      <c r="TXE44" s="12"/>
      <c r="TXF44" s="12"/>
      <c r="TXW44" s="12"/>
      <c r="TXX44" s="12"/>
      <c r="TYO44" s="12"/>
      <c r="TYP44" s="12"/>
      <c r="TZG44" s="12"/>
      <c r="TZH44" s="12"/>
      <c r="TZY44" s="12"/>
      <c r="TZZ44" s="12"/>
      <c r="UAQ44" s="12"/>
      <c r="UAR44" s="12"/>
      <c r="UBI44" s="12"/>
      <c r="UBJ44" s="12"/>
      <c r="UCA44" s="12"/>
      <c r="UCB44" s="12"/>
      <c r="UCS44" s="12"/>
      <c r="UCT44" s="12"/>
      <c r="UDK44" s="12"/>
      <c r="UDL44" s="12"/>
      <c r="UEC44" s="12"/>
      <c r="UED44" s="12"/>
      <c r="UEU44" s="12"/>
      <c r="UEV44" s="12"/>
      <c r="UFM44" s="12"/>
      <c r="UFN44" s="12"/>
      <c r="UGE44" s="12"/>
      <c r="UGF44" s="12"/>
      <c r="UGW44" s="12"/>
      <c r="UGX44" s="12"/>
      <c r="UHO44" s="12"/>
      <c r="UHP44" s="12"/>
      <c r="UIG44" s="12"/>
      <c r="UIH44" s="12"/>
      <c r="UIY44" s="12"/>
      <c r="UIZ44" s="12"/>
      <c r="UJQ44" s="12"/>
      <c r="UJR44" s="12"/>
      <c r="UKI44" s="12"/>
      <c r="UKJ44" s="12"/>
      <c r="ULA44" s="12"/>
      <c r="ULB44" s="12"/>
      <c r="ULS44" s="12"/>
      <c r="ULT44" s="12"/>
      <c r="UMK44" s="12"/>
      <c r="UML44" s="12"/>
      <c r="UNC44" s="12"/>
      <c r="UND44" s="12"/>
      <c r="UNU44" s="12"/>
      <c r="UNV44" s="12"/>
      <c r="UOM44" s="12"/>
      <c r="UON44" s="12"/>
      <c r="UPE44" s="12"/>
      <c r="UPF44" s="12"/>
      <c r="UPW44" s="12"/>
      <c r="UPX44" s="12"/>
      <c r="UQO44" s="12"/>
      <c r="UQP44" s="12"/>
      <c r="URG44" s="12"/>
      <c r="URH44" s="12"/>
      <c r="URY44" s="12"/>
      <c r="URZ44" s="12"/>
      <c r="USQ44" s="12"/>
      <c r="USR44" s="12"/>
      <c r="UTI44" s="12"/>
      <c r="UTJ44" s="12"/>
      <c r="UUA44" s="12"/>
      <c r="UUB44" s="12"/>
      <c r="UUS44" s="12"/>
      <c r="UUT44" s="12"/>
      <c r="UVK44" s="12"/>
      <c r="UVL44" s="12"/>
      <c r="UWC44" s="12"/>
      <c r="UWD44" s="12"/>
      <c r="UWU44" s="12"/>
      <c r="UWV44" s="12"/>
      <c r="UXM44" s="12"/>
      <c r="UXN44" s="12"/>
      <c r="UYE44" s="12"/>
      <c r="UYF44" s="12"/>
      <c r="UYW44" s="12"/>
      <c r="UYX44" s="12"/>
      <c r="UZO44" s="12"/>
      <c r="UZP44" s="12"/>
      <c r="VAG44" s="12"/>
      <c r="VAH44" s="12"/>
      <c r="VAY44" s="12"/>
      <c r="VAZ44" s="12"/>
      <c r="VBQ44" s="12"/>
      <c r="VBR44" s="12"/>
      <c r="VCI44" s="12"/>
      <c r="VCJ44" s="12"/>
      <c r="VDA44" s="12"/>
      <c r="VDB44" s="12"/>
      <c r="VDS44" s="12"/>
      <c r="VDT44" s="12"/>
      <c r="VEK44" s="12"/>
      <c r="VEL44" s="12"/>
      <c r="VFC44" s="12"/>
      <c r="VFD44" s="12"/>
      <c r="VFU44" s="12"/>
      <c r="VFV44" s="12"/>
      <c r="VGM44" s="12"/>
      <c r="VGN44" s="12"/>
      <c r="VHE44" s="12"/>
      <c r="VHF44" s="12"/>
      <c r="VHW44" s="12"/>
      <c r="VHX44" s="12"/>
      <c r="VIO44" s="12"/>
      <c r="VIP44" s="12"/>
      <c r="VJG44" s="12"/>
      <c r="VJH44" s="12"/>
      <c r="VJY44" s="12"/>
      <c r="VJZ44" s="12"/>
      <c r="VKQ44" s="12"/>
      <c r="VKR44" s="12"/>
      <c r="VLI44" s="12"/>
      <c r="VLJ44" s="12"/>
      <c r="VMA44" s="12"/>
      <c r="VMB44" s="12"/>
      <c r="VMS44" s="12"/>
      <c r="VMT44" s="12"/>
      <c r="VNK44" s="12"/>
      <c r="VNL44" s="12"/>
      <c r="VOC44" s="12"/>
      <c r="VOD44" s="12"/>
      <c r="VOU44" s="12"/>
      <c r="VOV44" s="12"/>
      <c r="VPM44" s="12"/>
      <c r="VPN44" s="12"/>
      <c r="VQE44" s="12"/>
      <c r="VQF44" s="12"/>
      <c r="VQW44" s="12"/>
      <c r="VQX44" s="12"/>
      <c r="VRO44" s="12"/>
      <c r="VRP44" s="12"/>
      <c r="VSG44" s="12"/>
      <c r="VSH44" s="12"/>
      <c r="VSY44" s="12"/>
      <c r="VSZ44" s="12"/>
      <c r="VTQ44" s="12"/>
      <c r="VTR44" s="12"/>
      <c r="VUI44" s="12"/>
      <c r="VUJ44" s="12"/>
      <c r="VVA44" s="12"/>
      <c r="VVB44" s="12"/>
      <c r="VVS44" s="12"/>
      <c r="VVT44" s="12"/>
      <c r="VWK44" s="12"/>
      <c r="VWL44" s="12"/>
      <c r="VXC44" s="12"/>
      <c r="VXD44" s="12"/>
      <c r="VXU44" s="12"/>
      <c r="VXV44" s="12"/>
      <c r="VYM44" s="12"/>
      <c r="VYN44" s="12"/>
      <c r="VZE44" s="12"/>
      <c r="VZF44" s="12"/>
      <c r="VZW44" s="12"/>
      <c r="VZX44" s="12"/>
      <c r="WAO44" s="12"/>
      <c r="WAP44" s="12"/>
      <c r="WBG44" s="12"/>
      <c r="WBH44" s="12"/>
      <c r="WBY44" s="12"/>
      <c r="WBZ44" s="12"/>
      <c r="WCQ44" s="12"/>
      <c r="WCR44" s="12"/>
      <c r="WDI44" s="12"/>
      <c r="WDJ44" s="12"/>
      <c r="WEA44" s="12"/>
      <c r="WEB44" s="12"/>
      <c r="WES44" s="12"/>
      <c r="WET44" s="12"/>
      <c r="WFK44" s="12"/>
      <c r="WFL44" s="12"/>
      <c r="WGC44" s="12"/>
      <c r="WGD44" s="12"/>
      <c r="WGU44" s="12"/>
      <c r="WGV44" s="12"/>
      <c r="WHM44" s="12"/>
      <c r="WHN44" s="12"/>
      <c r="WIE44" s="12"/>
      <c r="WIF44" s="12"/>
      <c r="WIW44" s="12"/>
      <c r="WIX44" s="12"/>
      <c r="WJO44" s="12"/>
      <c r="WJP44" s="12"/>
      <c r="WKG44" s="12"/>
      <c r="WKH44" s="12"/>
      <c r="WKY44" s="12"/>
      <c r="WKZ44" s="12"/>
      <c r="WLQ44" s="12"/>
      <c r="WLR44" s="12"/>
      <c r="WMI44" s="12"/>
      <c r="WMJ44" s="12"/>
      <c r="WNA44" s="12"/>
      <c r="WNB44" s="12"/>
      <c r="WNS44" s="12"/>
      <c r="WNT44" s="12"/>
      <c r="WOK44" s="12"/>
      <c r="WOL44" s="12"/>
      <c r="WPC44" s="12"/>
      <c r="WPD44" s="12"/>
      <c r="WPU44" s="12"/>
      <c r="WPV44" s="12"/>
      <c r="WQM44" s="12"/>
      <c r="WQN44" s="12"/>
      <c r="WRE44" s="12"/>
      <c r="WRF44" s="12"/>
      <c r="WRW44" s="12"/>
      <c r="WRX44" s="12"/>
      <c r="WSO44" s="12"/>
      <c r="WSP44" s="12"/>
      <c r="WTG44" s="12"/>
      <c r="WTH44" s="12"/>
      <c r="WTY44" s="12"/>
      <c r="WTZ44" s="12"/>
      <c r="WUQ44" s="12"/>
      <c r="WUR44" s="12"/>
      <c r="WVI44" s="12"/>
      <c r="WVJ44" s="12"/>
      <c r="WWA44" s="12"/>
      <c r="WWB44" s="12"/>
      <c r="WWS44" s="12"/>
      <c r="WWT44" s="12"/>
      <c r="WXK44" s="12"/>
      <c r="WXL44" s="12"/>
      <c r="WYC44" s="12"/>
      <c r="WYD44" s="12"/>
      <c r="WYU44" s="12"/>
      <c r="WYV44" s="12"/>
      <c r="WZM44" s="12"/>
      <c r="WZN44" s="12"/>
      <c r="XAE44" s="12"/>
      <c r="XAF44" s="12"/>
      <c r="XAW44" s="12"/>
      <c r="XAX44" s="12"/>
      <c r="XBO44" s="12"/>
      <c r="XBP44" s="12"/>
      <c r="XCG44" s="12"/>
      <c r="XCH44" s="12"/>
      <c r="XCY44" s="12"/>
      <c r="XCZ44" s="12"/>
      <c r="XDQ44" s="12"/>
      <c r="XDR44" s="12"/>
      <c r="XEI44" s="12"/>
      <c r="XEJ44" s="12"/>
      <c r="XFA44" s="12"/>
      <c r="XFB44" s="12"/>
    </row>
    <row r="45" spans="1:1010 1027:2036 2053:3062 3079:4088 4105:5114 5131:6140 6157:7166 7183:8192 8209:9200 9217:10226 10243:11252 11269:12278 12295:13304 13321:14330 14347:15356 15373:16382" s="11" customFormat="1" x14ac:dyDescent="0.35">
      <c r="A45" s="183" t="str">
        <f>'Cash Flow - Standardized'!A45</f>
        <v xml:space="preserve">  + Net Investing Cash From Disc Ops</v>
      </c>
      <c r="B45" s="75" t="str">
        <f>'Cash Flow - Standardized'!B45</f>
        <v>CF_NET_CASH_DISCONTINUED_OPS_INV</v>
      </c>
      <c r="C45" s="76">
        <f>IF('Cash Flow - Standardized'!C45="",0,'Cash Flow - Standardized'!C45)/'Cash Flow - Standardized'!C$46</f>
        <v>0</v>
      </c>
      <c r="D45" s="76">
        <f>IF('Cash Flow - Standardized'!D45="",0,'Cash Flow - Standardized'!D45)/'Cash Flow - Standardized'!D$46</f>
        <v>0</v>
      </c>
      <c r="E45" s="76">
        <f>IF('Cash Flow - Standardized'!E45="",0,'Cash Flow - Standardized'!E45)/'Cash Flow - Standardized'!E$46</f>
        <v>0</v>
      </c>
      <c r="F45" s="76">
        <f>IF('Cash Flow - Standardized'!F45="",0,'Cash Flow - Standardized'!F45)/'Cash Flow - Standardized'!F$46</f>
        <v>0</v>
      </c>
      <c r="G45" s="76">
        <f>IF('Cash Flow - Standardized'!G45="",0,'Cash Flow - Standardized'!G45)/'Cash Flow - Standardized'!G$46</f>
        <v>0</v>
      </c>
      <c r="H45" s="76">
        <f>IF('Cash Flow - Standardized'!H45="",0,'Cash Flow - Standardized'!H45)/'Cash Flow - Standardized'!H$46</f>
        <v>0</v>
      </c>
      <c r="I45" s="76">
        <f>IF('Cash Flow - Standardized'!I45="",0,'Cash Flow - Standardized'!I45)/'Cash Flow - Standardized'!I$46</f>
        <v>0</v>
      </c>
      <c r="J45" s="76">
        <f>IF('Cash Flow - Standardized'!J45="",0,'Cash Flow - Standardized'!J45)/'Cash Flow - Standardized'!J$46</f>
        <v>0</v>
      </c>
      <c r="K45" s="76">
        <f>IF('Cash Flow - Standardized'!K45="",0,'Cash Flow - Standardized'!K45)/'Cash Flow - Standardized'!K$46</f>
        <v>0</v>
      </c>
      <c r="L45" s="76">
        <f>IF('Cash Flow - Standardized'!L45="",0,'Cash Flow - Standardized'!L45)/'Cash Flow - Standardized'!L$46</f>
        <v>0</v>
      </c>
      <c r="M45" s="108"/>
      <c r="N45" s="108"/>
      <c r="O45" s="108"/>
      <c r="P45" s="108"/>
      <c r="Q45" s="108"/>
      <c r="R45" s="108"/>
      <c r="S45" s="109"/>
      <c r="T45" s="109"/>
      <c r="U45" s="108"/>
      <c r="V45" s="108"/>
      <c r="W45" s="108"/>
      <c r="X45" s="108"/>
      <c r="Y45" s="108"/>
      <c r="Z45" s="108"/>
      <c r="AA45" s="108"/>
      <c r="AB45" s="108"/>
      <c r="AC45" s="108"/>
      <c r="AD45" s="108"/>
      <c r="AE45" s="108"/>
      <c r="AF45" s="108"/>
      <c r="AG45" s="108"/>
      <c r="AH45" s="108"/>
      <c r="AI45" s="108"/>
      <c r="AJ45" s="108"/>
      <c r="AK45" s="109"/>
      <c r="AL45" s="109"/>
      <c r="AM45" s="108"/>
      <c r="AN45" s="108"/>
      <c r="AO45" s="108"/>
      <c r="AP45" s="108"/>
      <c r="AQ45" s="108"/>
      <c r="AR45" s="108"/>
      <c r="AS45" s="108"/>
      <c r="AT45" s="108"/>
      <c r="AU45" s="108"/>
      <c r="AV45" s="108"/>
      <c r="AW45" s="108"/>
      <c r="AX45" s="108"/>
      <c r="BC45" s="12"/>
      <c r="BD45" s="12"/>
      <c r="BU45" s="12"/>
      <c r="BV45" s="12"/>
      <c r="CM45" s="12"/>
      <c r="CN45" s="12"/>
      <c r="DE45" s="12"/>
      <c r="DF45" s="12"/>
      <c r="DW45" s="12"/>
      <c r="DX45" s="12"/>
      <c r="EO45" s="12"/>
      <c r="EP45" s="12"/>
      <c r="FG45" s="12"/>
      <c r="FH45" s="12"/>
      <c r="FY45" s="12"/>
      <c r="FZ45" s="12"/>
      <c r="GQ45" s="12"/>
      <c r="GR45" s="12"/>
      <c r="HI45" s="12"/>
      <c r="HJ45" s="12"/>
      <c r="IA45" s="12"/>
      <c r="IB45" s="12"/>
      <c r="IS45" s="12"/>
      <c r="IT45" s="12"/>
      <c r="JK45" s="12"/>
      <c r="JL45" s="12"/>
      <c r="KC45" s="12"/>
      <c r="KD45" s="12"/>
      <c r="KU45" s="12"/>
      <c r="KV45" s="12"/>
      <c r="LM45" s="12"/>
      <c r="LN45" s="12"/>
      <c r="ME45" s="12"/>
      <c r="MF45" s="12"/>
      <c r="MW45" s="12"/>
      <c r="MX45" s="12"/>
      <c r="NO45" s="12"/>
      <c r="NP45" s="12"/>
      <c r="OG45" s="12"/>
      <c r="OH45" s="12"/>
      <c r="OY45" s="12"/>
      <c r="OZ45" s="12"/>
      <c r="PQ45" s="12"/>
      <c r="PR45" s="12"/>
      <c r="QI45" s="12"/>
      <c r="QJ45" s="12"/>
      <c r="RA45" s="12"/>
      <c r="RB45" s="12"/>
      <c r="RS45" s="12"/>
      <c r="RT45" s="12"/>
      <c r="SK45" s="12"/>
      <c r="SL45" s="12"/>
      <c r="TC45" s="12"/>
      <c r="TD45" s="12"/>
      <c r="TU45" s="12"/>
      <c r="TV45" s="12"/>
      <c r="UM45" s="12"/>
      <c r="UN45" s="12"/>
      <c r="VE45" s="12"/>
      <c r="VF45" s="12"/>
      <c r="VW45" s="12"/>
      <c r="VX45" s="12"/>
      <c r="WO45" s="12"/>
      <c r="WP45" s="12"/>
      <c r="XG45" s="12"/>
      <c r="XH45" s="12"/>
      <c r="XY45" s="12"/>
      <c r="XZ45" s="12"/>
      <c r="YQ45" s="12"/>
      <c r="YR45" s="12"/>
      <c r="ZI45" s="12"/>
      <c r="ZJ45" s="12"/>
      <c r="AAA45" s="12"/>
      <c r="AAB45" s="12"/>
      <c r="AAS45" s="12"/>
      <c r="AAT45" s="12"/>
      <c r="ABK45" s="12"/>
      <c r="ABL45" s="12"/>
      <c r="ACC45" s="12"/>
      <c r="ACD45" s="12"/>
      <c r="ACU45" s="12"/>
      <c r="ACV45" s="12"/>
      <c r="ADM45" s="12"/>
      <c r="ADN45" s="12"/>
      <c r="AEE45" s="12"/>
      <c r="AEF45" s="12"/>
      <c r="AEW45" s="12"/>
      <c r="AEX45" s="12"/>
      <c r="AFO45" s="12"/>
      <c r="AFP45" s="12"/>
      <c r="AGG45" s="12"/>
      <c r="AGH45" s="12"/>
      <c r="AGY45" s="12"/>
      <c r="AGZ45" s="12"/>
      <c r="AHQ45" s="12"/>
      <c r="AHR45" s="12"/>
      <c r="AII45" s="12"/>
      <c r="AIJ45" s="12"/>
      <c r="AJA45" s="12"/>
      <c r="AJB45" s="12"/>
      <c r="AJS45" s="12"/>
      <c r="AJT45" s="12"/>
      <c r="AKK45" s="12"/>
      <c r="AKL45" s="12"/>
      <c r="ALC45" s="12"/>
      <c r="ALD45" s="12"/>
      <c r="ALU45" s="12"/>
      <c r="ALV45" s="12"/>
      <c r="AMM45" s="12"/>
      <c r="AMN45" s="12"/>
      <c r="ANE45" s="12"/>
      <c r="ANF45" s="12"/>
      <c r="ANW45" s="12"/>
      <c r="ANX45" s="12"/>
      <c r="AOO45" s="12"/>
      <c r="AOP45" s="12"/>
      <c r="APG45" s="12"/>
      <c r="APH45" s="12"/>
      <c r="APY45" s="12"/>
      <c r="APZ45" s="12"/>
      <c r="AQQ45" s="12"/>
      <c r="AQR45" s="12"/>
      <c r="ARI45" s="12"/>
      <c r="ARJ45" s="12"/>
      <c r="ASA45" s="12"/>
      <c r="ASB45" s="12"/>
      <c r="ASS45" s="12"/>
      <c r="AST45" s="12"/>
      <c r="ATK45" s="12"/>
      <c r="ATL45" s="12"/>
      <c r="AUC45" s="12"/>
      <c r="AUD45" s="12"/>
      <c r="AUU45" s="12"/>
      <c r="AUV45" s="12"/>
      <c r="AVM45" s="12"/>
      <c r="AVN45" s="12"/>
      <c r="AWE45" s="12"/>
      <c r="AWF45" s="12"/>
      <c r="AWW45" s="12"/>
      <c r="AWX45" s="12"/>
      <c r="AXO45" s="12"/>
      <c r="AXP45" s="12"/>
      <c r="AYG45" s="12"/>
      <c r="AYH45" s="12"/>
      <c r="AYY45" s="12"/>
      <c r="AYZ45" s="12"/>
      <c r="AZQ45" s="12"/>
      <c r="AZR45" s="12"/>
      <c r="BAI45" s="12"/>
      <c r="BAJ45" s="12"/>
      <c r="BBA45" s="12"/>
      <c r="BBB45" s="12"/>
      <c r="BBS45" s="12"/>
      <c r="BBT45" s="12"/>
      <c r="BCK45" s="12"/>
      <c r="BCL45" s="12"/>
      <c r="BDC45" s="12"/>
      <c r="BDD45" s="12"/>
      <c r="BDU45" s="12"/>
      <c r="BDV45" s="12"/>
      <c r="BEM45" s="12"/>
      <c r="BEN45" s="12"/>
      <c r="BFE45" s="12"/>
      <c r="BFF45" s="12"/>
      <c r="BFW45" s="12"/>
      <c r="BFX45" s="12"/>
      <c r="BGO45" s="12"/>
      <c r="BGP45" s="12"/>
      <c r="BHG45" s="12"/>
      <c r="BHH45" s="12"/>
      <c r="BHY45" s="12"/>
      <c r="BHZ45" s="12"/>
      <c r="BIQ45" s="12"/>
      <c r="BIR45" s="12"/>
      <c r="BJI45" s="12"/>
      <c r="BJJ45" s="12"/>
      <c r="BKA45" s="12"/>
      <c r="BKB45" s="12"/>
      <c r="BKS45" s="12"/>
      <c r="BKT45" s="12"/>
      <c r="BLK45" s="12"/>
      <c r="BLL45" s="12"/>
      <c r="BMC45" s="12"/>
      <c r="BMD45" s="12"/>
      <c r="BMU45" s="12"/>
      <c r="BMV45" s="12"/>
      <c r="BNM45" s="12"/>
      <c r="BNN45" s="12"/>
      <c r="BOE45" s="12"/>
      <c r="BOF45" s="12"/>
      <c r="BOW45" s="12"/>
      <c r="BOX45" s="12"/>
      <c r="BPO45" s="12"/>
      <c r="BPP45" s="12"/>
      <c r="BQG45" s="12"/>
      <c r="BQH45" s="12"/>
      <c r="BQY45" s="12"/>
      <c r="BQZ45" s="12"/>
      <c r="BRQ45" s="12"/>
      <c r="BRR45" s="12"/>
      <c r="BSI45" s="12"/>
      <c r="BSJ45" s="12"/>
      <c r="BTA45" s="12"/>
      <c r="BTB45" s="12"/>
      <c r="BTS45" s="12"/>
      <c r="BTT45" s="12"/>
      <c r="BUK45" s="12"/>
      <c r="BUL45" s="12"/>
      <c r="BVC45" s="12"/>
      <c r="BVD45" s="12"/>
      <c r="BVU45" s="12"/>
      <c r="BVV45" s="12"/>
      <c r="BWM45" s="12"/>
      <c r="BWN45" s="12"/>
      <c r="BXE45" s="12"/>
      <c r="BXF45" s="12"/>
      <c r="BXW45" s="12"/>
      <c r="BXX45" s="12"/>
      <c r="BYO45" s="12"/>
      <c r="BYP45" s="12"/>
      <c r="BZG45" s="12"/>
      <c r="BZH45" s="12"/>
      <c r="BZY45" s="12"/>
      <c r="BZZ45" s="12"/>
      <c r="CAQ45" s="12"/>
      <c r="CAR45" s="12"/>
      <c r="CBI45" s="12"/>
      <c r="CBJ45" s="12"/>
      <c r="CCA45" s="12"/>
      <c r="CCB45" s="12"/>
      <c r="CCS45" s="12"/>
      <c r="CCT45" s="12"/>
      <c r="CDK45" s="12"/>
      <c r="CDL45" s="12"/>
      <c r="CEC45" s="12"/>
      <c r="CED45" s="12"/>
      <c r="CEU45" s="12"/>
      <c r="CEV45" s="12"/>
      <c r="CFM45" s="12"/>
      <c r="CFN45" s="12"/>
      <c r="CGE45" s="12"/>
      <c r="CGF45" s="12"/>
      <c r="CGW45" s="12"/>
      <c r="CGX45" s="12"/>
      <c r="CHO45" s="12"/>
      <c r="CHP45" s="12"/>
      <c r="CIG45" s="12"/>
      <c r="CIH45" s="12"/>
      <c r="CIY45" s="12"/>
      <c r="CIZ45" s="12"/>
      <c r="CJQ45" s="12"/>
      <c r="CJR45" s="12"/>
      <c r="CKI45" s="12"/>
      <c r="CKJ45" s="12"/>
      <c r="CLA45" s="12"/>
      <c r="CLB45" s="12"/>
      <c r="CLS45" s="12"/>
      <c r="CLT45" s="12"/>
      <c r="CMK45" s="12"/>
      <c r="CML45" s="12"/>
      <c r="CNC45" s="12"/>
      <c r="CND45" s="12"/>
      <c r="CNU45" s="12"/>
      <c r="CNV45" s="12"/>
      <c r="COM45" s="12"/>
      <c r="CON45" s="12"/>
      <c r="CPE45" s="12"/>
      <c r="CPF45" s="12"/>
      <c r="CPW45" s="12"/>
      <c r="CPX45" s="12"/>
      <c r="CQO45" s="12"/>
      <c r="CQP45" s="12"/>
      <c r="CRG45" s="12"/>
      <c r="CRH45" s="12"/>
      <c r="CRY45" s="12"/>
      <c r="CRZ45" s="12"/>
      <c r="CSQ45" s="12"/>
      <c r="CSR45" s="12"/>
      <c r="CTI45" s="12"/>
      <c r="CTJ45" s="12"/>
      <c r="CUA45" s="12"/>
      <c r="CUB45" s="12"/>
      <c r="CUS45" s="12"/>
      <c r="CUT45" s="12"/>
      <c r="CVK45" s="12"/>
      <c r="CVL45" s="12"/>
      <c r="CWC45" s="12"/>
      <c r="CWD45" s="12"/>
      <c r="CWU45" s="12"/>
      <c r="CWV45" s="12"/>
      <c r="CXM45" s="12"/>
      <c r="CXN45" s="12"/>
      <c r="CYE45" s="12"/>
      <c r="CYF45" s="12"/>
      <c r="CYW45" s="12"/>
      <c r="CYX45" s="12"/>
      <c r="CZO45" s="12"/>
      <c r="CZP45" s="12"/>
      <c r="DAG45" s="12"/>
      <c r="DAH45" s="12"/>
      <c r="DAY45" s="12"/>
      <c r="DAZ45" s="12"/>
      <c r="DBQ45" s="12"/>
      <c r="DBR45" s="12"/>
      <c r="DCI45" s="12"/>
      <c r="DCJ45" s="12"/>
      <c r="DDA45" s="12"/>
      <c r="DDB45" s="12"/>
      <c r="DDS45" s="12"/>
      <c r="DDT45" s="12"/>
      <c r="DEK45" s="12"/>
      <c r="DEL45" s="12"/>
      <c r="DFC45" s="12"/>
      <c r="DFD45" s="12"/>
      <c r="DFU45" s="12"/>
      <c r="DFV45" s="12"/>
      <c r="DGM45" s="12"/>
      <c r="DGN45" s="12"/>
      <c r="DHE45" s="12"/>
      <c r="DHF45" s="12"/>
      <c r="DHW45" s="12"/>
      <c r="DHX45" s="12"/>
      <c r="DIO45" s="12"/>
      <c r="DIP45" s="12"/>
      <c r="DJG45" s="12"/>
      <c r="DJH45" s="12"/>
      <c r="DJY45" s="12"/>
      <c r="DJZ45" s="12"/>
      <c r="DKQ45" s="12"/>
      <c r="DKR45" s="12"/>
      <c r="DLI45" s="12"/>
      <c r="DLJ45" s="12"/>
      <c r="DMA45" s="12"/>
      <c r="DMB45" s="12"/>
      <c r="DMS45" s="12"/>
      <c r="DMT45" s="12"/>
      <c r="DNK45" s="12"/>
      <c r="DNL45" s="12"/>
      <c r="DOC45" s="12"/>
      <c r="DOD45" s="12"/>
      <c r="DOU45" s="12"/>
      <c r="DOV45" s="12"/>
      <c r="DPM45" s="12"/>
      <c r="DPN45" s="12"/>
      <c r="DQE45" s="12"/>
      <c r="DQF45" s="12"/>
      <c r="DQW45" s="12"/>
      <c r="DQX45" s="12"/>
      <c r="DRO45" s="12"/>
      <c r="DRP45" s="12"/>
      <c r="DSG45" s="12"/>
      <c r="DSH45" s="12"/>
      <c r="DSY45" s="12"/>
      <c r="DSZ45" s="12"/>
      <c r="DTQ45" s="12"/>
      <c r="DTR45" s="12"/>
      <c r="DUI45" s="12"/>
      <c r="DUJ45" s="12"/>
      <c r="DVA45" s="12"/>
      <c r="DVB45" s="12"/>
      <c r="DVS45" s="12"/>
      <c r="DVT45" s="12"/>
      <c r="DWK45" s="12"/>
      <c r="DWL45" s="12"/>
      <c r="DXC45" s="12"/>
      <c r="DXD45" s="12"/>
      <c r="DXU45" s="12"/>
      <c r="DXV45" s="12"/>
      <c r="DYM45" s="12"/>
      <c r="DYN45" s="12"/>
      <c r="DZE45" s="12"/>
      <c r="DZF45" s="12"/>
      <c r="DZW45" s="12"/>
      <c r="DZX45" s="12"/>
      <c r="EAO45" s="12"/>
      <c r="EAP45" s="12"/>
      <c r="EBG45" s="12"/>
      <c r="EBH45" s="12"/>
      <c r="EBY45" s="12"/>
      <c r="EBZ45" s="12"/>
      <c r="ECQ45" s="12"/>
      <c r="ECR45" s="12"/>
      <c r="EDI45" s="12"/>
      <c r="EDJ45" s="12"/>
      <c r="EEA45" s="12"/>
      <c r="EEB45" s="12"/>
      <c r="EES45" s="12"/>
      <c r="EET45" s="12"/>
      <c r="EFK45" s="12"/>
      <c r="EFL45" s="12"/>
      <c r="EGC45" s="12"/>
      <c r="EGD45" s="12"/>
      <c r="EGU45" s="12"/>
      <c r="EGV45" s="12"/>
      <c r="EHM45" s="12"/>
      <c r="EHN45" s="12"/>
      <c r="EIE45" s="12"/>
      <c r="EIF45" s="12"/>
      <c r="EIW45" s="12"/>
      <c r="EIX45" s="12"/>
      <c r="EJO45" s="12"/>
      <c r="EJP45" s="12"/>
      <c r="EKG45" s="12"/>
      <c r="EKH45" s="12"/>
      <c r="EKY45" s="12"/>
      <c r="EKZ45" s="12"/>
      <c r="ELQ45" s="12"/>
      <c r="ELR45" s="12"/>
      <c r="EMI45" s="12"/>
      <c r="EMJ45" s="12"/>
      <c r="ENA45" s="12"/>
      <c r="ENB45" s="12"/>
      <c r="ENS45" s="12"/>
      <c r="ENT45" s="12"/>
      <c r="EOK45" s="12"/>
      <c r="EOL45" s="12"/>
      <c r="EPC45" s="12"/>
      <c r="EPD45" s="12"/>
      <c r="EPU45" s="12"/>
      <c r="EPV45" s="12"/>
      <c r="EQM45" s="12"/>
      <c r="EQN45" s="12"/>
      <c r="ERE45" s="12"/>
      <c r="ERF45" s="12"/>
      <c r="ERW45" s="12"/>
      <c r="ERX45" s="12"/>
      <c r="ESO45" s="12"/>
      <c r="ESP45" s="12"/>
      <c r="ETG45" s="12"/>
      <c r="ETH45" s="12"/>
      <c r="ETY45" s="12"/>
      <c r="ETZ45" s="12"/>
      <c r="EUQ45" s="12"/>
      <c r="EUR45" s="12"/>
      <c r="EVI45" s="12"/>
      <c r="EVJ45" s="12"/>
      <c r="EWA45" s="12"/>
      <c r="EWB45" s="12"/>
      <c r="EWS45" s="12"/>
      <c r="EWT45" s="12"/>
      <c r="EXK45" s="12"/>
      <c r="EXL45" s="12"/>
      <c r="EYC45" s="12"/>
      <c r="EYD45" s="12"/>
      <c r="EYU45" s="12"/>
      <c r="EYV45" s="12"/>
      <c r="EZM45" s="12"/>
      <c r="EZN45" s="12"/>
      <c r="FAE45" s="12"/>
      <c r="FAF45" s="12"/>
      <c r="FAW45" s="12"/>
      <c r="FAX45" s="12"/>
      <c r="FBO45" s="12"/>
      <c r="FBP45" s="12"/>
      <c r="FCG45" s="12"/>
      <c r="FCH45" s="12"/>
      <c r="FCY45" s="12"/>
      <c r="FCZ45" s="12"/>
      <c r="FDQ45" s="12"/>
      <c r="FDR45" s="12"/>
      <c r="FEI45" s="12"/>
      <c r="FEJ45" s="12"/>
      <c r="FFA45" s="12"/>
      <c r="FFB45" s="12"/>
      <c r="FFS45" s="12"/>
      <c r="FFT45" s="12"/>
      <c r="FGK45" s="12"/>
      <c r="FGL45" s="12"/>
      <c r="FHC45" s="12"/>
      <c r="FHD45" s="12"/>
      <c r="FHU45" s="12"/>
      <c r="FHV45" s="12"/>
      <c r="FIM45" s="12"/>
      <c r="FIN45" s="12"/>
      <c r="FJE45" s="12"/>
      <c r="FJF45" s="12"/>
      <c r="FJW45" s="12"/>
      <c r="FJX45" s="12"/>
      <c r="FKO45" s="12"/>
      <c r="FKP45" s="12"/>
      <c r="FLG45" s="12"/>
      <c r="FLH45" s="12"/>
      <c r="FLY45" s="12"/>
      <c r="FLZ45" s="12"/>
      <c r="FMQ45" s="12"/>
      <c r="FMR45" s="12"/>
      <c r="FNI45" s="12"/>
      <c r="FNJ45" s="12"/>
      <c r="FOA45" s="12"/>
      <c r="FOB45" s="12"/>
      <c r="FOS45" s="12"/>
      <c r="FOT45" s="12"/>
      <c r="FPK45" s="12"/>
      <c r="FPL45" s="12"/>
      <c r="FQC45" s="12"/>
      <c r="FQD45" s="12"/>
      <c r="FQU45" s="12"/>
      <c r="FQV45" s="12"/>
      <c r="FRM45" s="12"/>
      <c r="FRN45" s="12"/>
      <c r="FSE45" s="12"/>
      <c r="FSF45" s="12"/>
      <c r="FSW45" s="12"/>
      <c r="FSX45" s="12"/>
      <c r="FTO45" s="12"/>
      <c r="FTP45" s="12"/>
      <c r="FUG45" s="12"/>
      <c r="FUH45" s="12"/>
      <c r="FUY45" s="12"/>
      <c r="FUZ45" s="12"/>
      <c r="FVQ45" s="12"/>
      <c r="FVR45" s="12"/>
      <c r="FWI45" s="12"/>
      <c r="FWJ45" s="12"/>
      <c r="FXA45" s="12"/>
      <c r="FXB45" s="12"/>
      <c r="FXS45" s="12"/>
      <c r="FXT45" s="12"/>
      <c r="FYK45" s="12"/>
      <c r="FYL45" s="12"/>
      <c r="FZC45" s="12"/>
      <c r="FZD45" s="12"/>
      <c r="FZU45" s="12"/>
      <c r="FZV45" s="12"/>
      <c r="GAM45" s="12"/>
      <c r="GAN45" s="12"/>
      <c r="GBE45" s="12"/>
      <c r="GBF45" s="12"/>
      <c r="GBW45" s="12"/>
      <c r="GBX45" s="12"/>
      <c r="GCO45" s="12"/>
      <c r="GCP45" s="12"/>
      <c r="GDG45" s="12"/>
      <c r="GDH45" s="12"/>
      <c r="GDY45" s="12"/>
      <c r="GDZ45" s="12"/>
      <c r="GEQ45" s="12"/>
      <c r="GER45" s="12"/>
      <c r="GFI45" s="12"/>
      <c r="GFJ45" s="12"/>
      <c r="GGA45" s="12"/>
      <c r="GGB45" s="12"/>
      <c r="GGS45" s="12"/>
      <c r="GGT45" s="12"/>
      <c r="GHK45" s="12"/>
      <c r="GHL45" s="12"/>
      <c r="GIC45" s="12"/>
      <c r="GID45" s="12"/>
      <c r="GIU45" s="12"/>
      <c r="GIV45" s="12"/>
      <c r="GJM45" s="12"/>
      <c r="GJN45" s="12"/>
      <c r="GKE45" s="12"/>
      <c r="GKF45" s="12"/>
      <c r="GKW45" s="12"/>
      <c r="GKX45" s="12"/>
      <c r="GLO45" s="12"/>
      <c r="GLP45" s="12"/>
      <c r="GMG45" s="12"/>
      <c r="GMH45" s="12"/>
      <c r="GMY45" s="12"/>
      <c r="GMZ45" s="12"/>
      <c r="GNQ45" s="12"/>
      <c r="GNR45" s="12"/>
      <c r="GOI45" s="12"/>
      <c r="GOJ45" s="12"/>
      <c r="GPA45" s="12"/>
      <c r="GPB45" s="12"/>
      <c r="GPS45" s="12"/>
      <c r="GPT45" s="12"/>
      <c r="GQK45" s="12"/>
      <c r="GQL45" s="12"/>
      <c r="GRC45" s="12"/>
      <c r="GRD45" s="12"/>
      <c r="GRU45" s="12"/>
      <c r="GRV45" s="12"/>
      <c r="GSM45" s="12"/>
      <c r="GSN45" s="12"/>
      <c r="GTE45" s="12"/>
      <c r="GTF45" s="12"/>
      <c r="GTW45" s="12"/>
      <c r="GTX45" s="12"/>
      <c r="GUO45" s="12"/>
      <c r="GUP45" s="12"/>
      <c r="GVG45" s="12"/>
      <c r="GVH45" s="12"/>
      <c r="GVY45" s="12"/>
      <c r="GVZ45" s="12"/>
      <c r="GWQ45" s="12"/>
      <c r="GWR45" s="12"/>
      <c r="GXI45" s="12"/>
      <c r="GXJ45" s="12"/>
      <c r="GYA45" s="12"/>
      <c r="GYB45" s="12"/>
      <c r="GYS45" s="12"/>
      <c r="GYT45" s="12"/>
      <c r="GZK45" s="12"/>
      <c r="GZL45" s="12"/>
      <c r="HAC45" s="12"/>
      <c r="HAD45" s="12"/>
      <c r="HAU45" s="12"/>
      <c r="HAV45" s="12"/>
      <c r="HBM45" s="12"/>
      <c r="HBN45" s="12"/>
      <c r="HCE45" s="12"/>
      <c r="HCF45" s="12"/>
      <c r="HCW45" s="12"/>
      <c r="HCX45" s="12"/>
      <c r="HDO45" s="12"/>
      <c r="HDP45" s="12"/>
      <c r="HEG45" s="12"/>
      <c r="HEH45" s="12"/>
      <c r="HEY45" s="12"/>
      <c r="HEZ45" s="12"/>
      <c r="HFQ45" s="12"/>
      <c r="HFR45" s="12"/>
      <c r="HGI45" s="12"/>
      <c r="HGJ45" s="12"/>
      <c r="HHA45" s="12"/>
      <c r="HHB45" s="12"/>
      <c r="HHS45" s="12"/>
      <c r="HHT45" s="12"/>
      <c r="HIK45" s="12"/>
      <c r="HIL45" s="12"/>
      <c r="HJC45" s="12"/>
      <c r="HJD45" s="12"/>
      <c r="HJU45" s="12"/>
      <c r="HJV45" s="12"/>
      <c r="HKM45" s="12"/>
      <c r="HKN45" s="12"/>
      <c r="HLE45" s="12"/>
      <c r="HLF45" s="12"/>
      <c r="HLW45" s="12"/>
      <c r="HLX45" s="12"/>
      <c r="HMO45" s="12"/>
      <c r="HMP45" s="12"/>
      <c r="HNG45" s="12"/>
      <c r="HNH45" s="12"/>
      <c r="HNY45" s="12"/>
      <c r="HNZ45" s="12"/>
      <c r="HOQ45" s="12"/>
      <c r="HOR45" s="12"/>
      <c r="HPI45" s="12"/>
      <c r="HPJ45" s="12"/>
      <c r="HQA45" s="12"/>
      <c r="HQB45" s="12"/>
      <c r="HQS45" s="12"/>
      <c r="HQT45" s="12"/>
      <c r="HRK45" s="12"/>
      <c r="HRL45" s="12"/>
      <c r="HSC45" s="12"/>
      <c r="HSD45" s="12"/>
      <c r="HSU45" s="12"/>
      <c r="HSV45" s="12"/>
      <c r="HTM45" s="12"/>
      <c r="HTN45" s="12"/>
      <c r="HUE45" s="12"/>
      <c r="HUF45" s="12"/>
      <c r="HUW45" s="12"/>
      <c r="HUX45" s="12"/>
      <c r="HVO45" s="12"/>
      <c r="HVP45" s="12"/>
      <c r="HWG45" s="12"/>
      <c r="HWH45" s="12"/>
      <c r="HWY45" s="12"/>
      <c r="HWZ45" s="12"/>
      <c r="HXQ45" s="12"/>
      <c r="HXR45" s="12"/>
      <c r="HYI45" s="12"/>
      <c r="HYJ45" s="12"/>
      <c r="HZA45" s="12"/>
      <c r="HZB45" s="12"/>
      <c r="HZS45" s="12"/>
      <c r="HZT45" s="12"/>
      <c r="IAK45" s="12"/>
      <c r="IAL45" s="12"/>
      <c r="IBC45" s="12"/>
      <c r="IBD45" s="12"/>
      <c r="IBU45" s="12"/>
      <c r="IBV45" s="12"/>
      <c r="ICM45" s="12"/>
      <c r="ICN45" s="12"/>
      <c r="IDE45" s="12"/>
      <c r="IDF45" s="12"/>
      <c r="IDW45" s="12"/>
      <c r="IDX45" s="12"/>
      <c r="IEO45" s="12"/>
      <c r="IEP45" s="12"/>
      <c r="IFG45" s="12"/>
      <c r="IFH45" s="12"/>
      <c r="IFY45" s="12"/>
      <c r="IFZ45" s="12"/>
      <c r="IGQ45" s="12"/>
      <c r="IGR45" s="12"/>
      <c r="IHI45" s="12"/>
      <c r="IHJ45" s="12"/>
      <c r="IIA45" s="12"/>
      <c r="IIB45" s="12"/>
      <c r="IIS45" s="12"/>
      <c r="IIT45" s="12"/>
      <c r="IJK45" s="12"/>
      <c r="IJL45" s="12"/>
      <c r="IKC45" s="12"/>
      <c r="IKD45" s="12"/>
      <c r="IKU45" s="12"/>
      <c r="IKV45" s="12"/>
      <c r="ILM45" s="12"/>
      <c r="ILN45" s="12"/>
      <c r="IME45" s="12"/>
      <c r="IMF45" s="12"/>
      <c r="IMW45" s="12"/>
      <c r="IMX45" s="12"/>
      <c r="INO45" s="12"/>
      <c r="INP45" s="12"/>
      <c r="IOG45" s="12"/>
      <c r="IOH45" s="12"/>
      <c r="IOY45" s="12"/>
      <c r="IOZ45" s="12"/>
      <c r="IPQ45" s="12"/>
      <c r="IPR45" s="12"/>
      <c r="IQI45" s="12"/>
      <c r="IQJ45" s="12"/>
      <c r="IRA45" s="12"/>
      <c r="IRB45" s="12"/>
      <c r="IRS45" s="12"/>
      <c r="IRT45" s="12"/>
      <c r="ISK45" s="12"/>
      <c r="ISL45" s="12"/>
      <c r="ITC45" s="12"/>
      <c r="ITD45" s="12"/>
      <c r="ITU45" s="12"/>
      <c r="ITV45" s="12"/>
      <c r="IUM45" s="12"/>
      <c r="IUN45" s="12"/>
      <c r="IVE45" s="12"/>
      <c r="IVF45" s="12"/>
      <c r="IVW45" s="12"/>
      <c r="IVX45" s="12"/>
      <c r="IWO45" s="12"/>
      <c r="IWP45" s="12"/>
      <c r="IXG45" s="12"/>
      <c r="IXH45" s="12"/>
      <c r="IXY45" s="12"/>
      <c r="IXZ45" s="12"/>
      <c r="IYQ45" s="12"/>
      <c r="IYR45" s="12"/>
      <c r="IZI45" s="12"/>
      <c r="IZJ45" s="12"/>
      <c r="JAA45" s="12"/>
      <c r="JAB45" s="12"/>
      <c r="JAS45" s="12"/>
      <c r="JAT45" s="12"/>
      <c r="JBK45" s="12"/>
      <c r="JBL45" s="12"/>
      <c r="JCC45" s="12"/>
      <c r="JCD45" s="12"/>
      <c r="JCU45" s="12"/>
      <c r="JCV45" s="12"/>
      <c r="JDM45" s="12"/>
      <c r="JDN45" s="12"/>
      <c r="JEE45" s="12"/>
      <c r="JEF45" s="12"/>
      <c r="JEW45" s="12"/>
      <c r="JEX45" s="12"/>
      <c r="JFO45" s="12"/>
      <c r="JFP45" s="12"/>
      <c r="JGG45" s="12"/>
      <c r="JGH45" s="12"/>
      <c r="JGY45" s="12"/>
      <c r="JGZ45" s="12"/>
      <c r="JHQ45" s="12"/>
      <c r="JHR45" s="12"/>
      <c r="JII45" s="12"/>
      <c r="JIJ45" s="12"/>
      <c r="JJA45" s="12"/>
      <c r="JJB45" s="12"/>
      <c r="JJS45" s="12"/>
      <c r="JJT45" s="12"/>
      <c r="JKK45" s="12"/>
      <c r="JKL45" s="12"/>
      <c r="JLC45" s="12"/>
      <c r="JLD45" s="12"/>
      <c r="JLU45" s="12"/>
      <c r="JLV45" s="12"/>
      <c r="JMM45" s="12"/>
      <c r="JMN45" s="12"/>
      <c r="JNE45" s="12"/>
      <c r="JNF45" s="12"/>
      <c r="JNW45" s="12"/>
      <c r="JNX45" s="12"/>
      <c r="JOO45" s="12"/>
      <c r="JOP45" s="12"/>
      <c r="JPG45" s="12"/>
      <c r="JPH45" s="12"/>
      <c r="JPY45" s="12"/>
      <c r="JPZ45" s="12"/>
      <c r="JQQ45" s="12"/>
      <c r="JQR45" s="12"/>
      <c r="JRI45" s="12"/>
      <c r="JRJ45" s="12"/>
      <c r="JSA45" s="12"/>
      <c r="JSB45" s="12"/>
      <c r="JSS45" s="12"/>
      <c r="JST45" s="12"/>
      <c r="JTK45" s="12"/>
      <c r="JTL45" s="12"/>
      <c r="JUC45" s="12"/>
      <c r="JUD45" s="12"/>
      <c r="JUU45" s="12"/>
      <c r="JUV45" s="12"/>
      <c r="JVM45" s="12"/>
      <c r="JVN45" s="12"/>
      <c r="JWE45" s="12"/>
      <c r="JWF45" s="12"/>
      <c r="JWW45" s="12"/>
      <c r="JWX45" s="12"/>
      <c r="JXO45" s="12"/>
      <c r="JXP45" s="12"/>
      <c r="JYG45" s="12"/>
      <c r="JYH45" s="12"/>
      <c r="JYY45" s="12"/>
      <c r="JYZ45" s="12"/>
      <c r="JZQ45" s="12"/>
      <c r="JZR45" s="12"/>
      <c r="KAI45" s="12"/>
      <c r="KAJ45" s="12"/>
      <c r="KBA45" s="12"/>
      <c r="KBB45" s="12"/>
      <c r="KBS45" s="12"/>
      <c r="KBT45" s="12"/>
      <c r="KCK45" s="12"/>
      <c r="KCL45" s="12"/>
      <c r="KDC45" s="12"/>
      <c r="KDD45" s="12"/>
      <c r="KDU45" s="12"/>
      <c r="KDV45" s="12"/>
      <c r="KEM45" s="12"/>
      <c r="KEN45" s="12"/>
      <c r="KFE45" s="12"/>
      <c r="KFF45" s="12"/>
      <c r="KFW45" s="12"/>
      <c r="KFX45" s="12"/>
      <c r="KGO45" s="12"/>
      <c r="KGP45" s="12"/>
      <c r="KHG45" s="12"/>
      <c r="KHH45" s="12"/>
      <c r="KHY45" s="12"/>
      <c r="KHZ45" s="12"/>
      <c r="KIQ45" s="12"/>
      <c r="KIR45" s="12"/>
      <c r="KJI45" s="12"/>
      <c r="KJJ45" s="12"/>
      <c r="KKA45" s="12"/>
      <c r="KKB45" s="12"/>
      <c r="KKS45" s="12"/>
      <c r="KKT45" s="12"/>
      <c r="KLK45" s="12"/>
      <c r="KLL45" s="12"/>
      <c r="KMC45" s="12"/>
      <c r="KMD45" s="12"/>
      <c r="KMU45" s="12"/>
      <c r="KMV45" s="12"/>
      <c r="KNM45" s="12"/>
      <c r="KNN45" s="12"/>
      <c r="KOE45" s="12"/>
      <c r="KOF45" s="12"/>
      <c r="KOW45" s="12"/>
      <c r="KOX45" s="12"/>
      <c r="KPO45" s="12"/>
      <c r="KPP45" s="12"/>
      <c r="KQG45" s="12"/>
      <c r="KQH45" s="12"/>
      <c r="KQY45" s="12"/>
      <c r="KQZ45" s="12"/>
      <c r="KRQ45" s="12"/>
      <c r="KRR45" s="12"/>
      <c r="KSI45" s="12"/>
      <c r="KSJ45" s="12"/>
      <c r="KTA45" s="12"/>
      <c r="KTB45" s="12"/>
      <c r="KTS45" s="12"/>
      <c r="KTT45" s="12"/>
      <c r="KUK45" s="12"/>
      <c r="KUL45" s="12"/>
      <c r="KVC45" s="12"/>
      <c r="KVD45" s="12"/>
      <c r="KVU45" s="12"/>
      <c r="KVV45" s="12"/>
      <c r="KWM45" s="12"/>
      <c r="KWN45" s="12"/>
      <c r="KXE45" s="12"/>
      <c r="KXF45" s="12"/>
      <c r="KXW45" s="12"/>
      <c r="KXX45" s="12"/>
      <c r="KYO45" s="12"/>
      <c r="KYP45" s="12"/>
      <c r="KZG45" s="12"/>
      <c r="KZH45" s="12"/>
      <c r="KZY45" s="12"/>
      <c r="KZZ45" s="12"/>
      <c r="LAQ45" s="12"/>
      <c r="LAR45" s="12"/>
      <c r="LBI45" s="12"/>
      <c r="LBJ45" s="12"/>
      <c r="LCA45" s="12"/>
      <c r="LCB45" s="12"/>
      <c r="LCS45" s="12"/>
      <c r="LCT45" s="12"/>
      <c r="LDK45" s="12"/>
      <c r="LDL45" s="12"/>
      <c r="LEC45" s="12"/>
      <c r="LED45" s="12"/>
      <c r="LEU45" s="12"/>
      <c r="LEV45" s="12"/>
      <c r="LFM45" s="12"/>
      <c r="LFN45" s="12"/>
      <c r="LGE45" s="12"/>
      <c r="LGF45" s="12"/>
      <c r="LGW45" s="12"/>
      <c r="LGX45" s="12"/>
      <c r="LHO45" s="12"/>
      <c r="LHP45" s="12"/>
      <c r="LIG45" s="12"/>
      <c r="LIH45" s="12"/>
      <c r="LIY45" s="12"/>
      <c r="LIZ45" s="12"/>
      <c r="LJQ45" s="12"/>
      <c r="LJR45" s="12"/>
      <c r="LKI45" s="12"/>
      <c r="LKJ45" s="12"/>
      <c r="LLA45" s="12"/>
      <c r="LLB45" s="12"/>
      <c r="LLS45" s="12"/>
      <c r="LLT45" s="12"/>
      <c r="LMK45" s="12"/>
      <c r="LML45" s="12"/>
      <c r="LNC45" s="12"/>
      <c r="LND45" s="12"/>
      <c r="LNU45" s="12"/>
      <c r="LNV45" s="12"/>
      <c r="LOM45" s="12"/>
      <c r="LON45" s="12"/>
      <c r="LPE45" s="12"/>
      <c r="LPF45" s="12"/>
      <c r="LPW45" s="12"/>
      <c r="LPX45" s="12"/>
      <c r="LQO45" s="12"/>
      <c r="LQP45" s="12"/>
      <c r="LRG45" s="12"/>
      <c r="LRH45" s="12"/>
      <c r="LRY45" s="12"/>
      <c r="LRZ45" s="12"/>
      <c r="LSQ45" s="12"/>
      <c r="LSR45" s="12"/>
      <c r="LTI45" s="12"/>
      <c r="LTJ45" s="12"/>
      <c r="LUA45" s="12"/>
      <c r="LUB45" s="12"/>
      <c r="LUS45" s="12"/>
      <c r="LUT45" s="12"/>
      <c r="LVK45" s="12"/>
      <c r="LVL45" s="12"/>
      <c r="LWC45" s="12"/>
      <c r="LWD45" s="12"/>
      <c r="LWU45" s="12"/>
      <c r="LWV45" s="12"/>
      <c r="LXM45" s="12"/>
      <c r="LXN45" s="12"/>
      <c r="LYE45" s="12"/>
      <c r="LYF45" s="12"/>
      <c r="LYW45" s="12"/>
      <c r="LYX45" s="12"/>
      <c r="LZO45" s="12"/>
      <c r="LZP45" s="12"/>
      <c r="MAG45" s="12"/>
      <c r="MAH45" s="12"/>
      <c r="MAY45" s="12"/>
      <c r="MAZ45" s="12"/>
      <c r="MBQ45" s="12"/>
      <c r="MBR45" s="12"/>
      <c r="MCI45" s="12"/>
      <c r="MCJ45" s="12"/>
      <c r="MDA45" s="12"/>
      <c r="MDB45" s="12"/>
      <c r="MDS45" s="12"/>
      <c r="MDT45" s="12"/>
      <c r="MEK45" s="12"/>
      <c r="MEL45" s="12"/>
      <c r="MFC45" s="12"/>
      <c r="MFD45" s="12"/>
      <c r="MFU45" s="12"/>
      <c r="MFV45" s="12"/>
      <c r="MGM45" s="12"/>
      <c r="MGN45" s="12"/>
      <c r="MHE45" s="12"/>
      <c r="MHF45" s="12"/>
      <c r="MHW45" s="12"/>
      <c r="MHX45" s="12"/>
      <c r="MIO45" s="12"/>
      <c r="MIP45" s="12"/>
      <c r="MJG45" s="12"/>
      <c r="MJH45" s="12"/>
      <c r="MJY45" s="12"/>
      <c r="MJZ45" s="12"/>
      <c r="MKQ45" s="12"/>
      <c r="MKR45" s="12"/>
      <c r="MLI45" s="12"/>
      <c r="MLJ45" s="12"/>
      <c r="MMA45" s="12"/>
      <c r="MMB45" s="12"/>
      <c r="MMS45" s="12"/>
      <c r="MMT45" s="12"/>
      <c r="MNK45" s="12"/>
      <c r="MNL45" s="12"/>
      <c r="MOC45" s="12"/>
      <c r="MOD45" s="12"/>
      <c r="MOU45" s="12"/>
      <c r="MOV45" s="12"/>
      <c r="MPM45" s="12"/>
      <c r="MPN45" s="12"/>
      <c r="MQE45" s="12"/>
      <c r="MQF45" s="12"/>
      <c r="MQW45" s="12"/>
      <c r="MQX45" s="12"/>
      <c r="MRO45" s="12"/>
      <c r="MRP45" s="12"/>
      <c r="MSG45" s="12"/>
      <c r="MSH45" s="12"/>
      <c r="MSY45" s="12"/>
      <c r="MSZ45" s="12"/>
      <c r="MTQ45" s="12"/>
      <c r="MTR45" s="12"/>
      <c r="MUI45" s="12"/>
      <c r="MUJ45" s="12"/>
      <c r="MVA45" s="12"/>
      <c r="MVB45" s="12"/>
      <c r="MVS45" s="12"/>
      <c r="MVT45" s="12"/>
      <c r="MWK45" s="12"/>
      <c r="MWL45" s="12"/>
      <c r="MXC45" s="12"/>
      <c r="MXD45" s="12"/>
      <c r="MXU45" s="12"/>
      <c r="MXV45" s="12"/>
      <c r="MYM45" s="12"/>
      <c r="MYN45" s="12"/>
      <c r="MZE45" s="12"/>
      <c r="MZF45" s="12"/>
      <c r="MZW45" s="12"/>
      <c r="MZX45" s="12"/>
      <c r="NAO45" s="12"/>
      <c r="NAP45" s="12"/>
      <c r="NBG45" s="12"/>
      <c r="NBH45" s="12"/>
      <c r="NBY45" s="12"/>
      <c r="NBZ45" s="12"/>
      <c r="NCQ45" s="12"/>
      <c r="NCR45" s="12"/>
      <c r="NDI45" s="12"/>
      <c r="NDJ45" s="12"/>
      <c r="NEA45" s="12"/>
      <c r="NEB45" s="12"/>
      <c r="NES45" s="12"/>
      <c r="NET45" s="12"/>
      <c r="NFK45" s="12"/>
      <c r="NFL45" s="12"/>
      <c r="NGC45" s="12"/>
      <c r="NGD45" s="12"/>
      <c r="NGU45" s="12"/>
      <c r="NGV45" s="12"/>
      <c r="NHM45" s="12"/>
      <c r="NHN45" s="12"/>
      <c r="NIE45" s="12"/>
      <c r="NIF45" s="12"/>
      <c r="NIW45" s="12"/>
      <c r="NIX45" s="12"/>
      <c r="NJO45" s="12"/>
      <c r="NJP45" s="12"/>
      <c r="NKG45" s="12"/>
      <c r="NKH45" s="12"/>
      <c r="NKY45" s="12"/>
      <c r="NKZ45" s="12"/>
      <c r="NLQ45" s="12"/>
      <c r="NLR45" s="12"/>
      <c r="NMI45" s="12"/>
      <c r="NMJ45" s="12"/>
      <c r="NNA45" s="12"/>
      <c r="NNB45" s="12"/>
      <c r="NNS45" s="12"/>
      <c r="NNT45" s="12"/>
      <c r="NOK45" s="12"/>
      <c r="NOL45" s="12"/>
      <c r="NPC45" s="12"/>
      <c r="NPD45" s="12"/>
      <c r="NPU45" s="12"/>
      <c r="NPV45" s="12"/>
      <c r="NQM45" s="12"/>
      <c r="NQN45" s="12"/>
      <c r="NRE45" s="12"/>
      <c r="NRF45" s="12"/>
      <c r="NRW45" s="12"/>
      <c r="NRX45" s="12"/>
      <c r="NSO45" s="12"/>
      <c r="NSP45" s="12"/>
      <c r="NTG45" s="12"/>
      <c r="NTH45" s="12"/>
      <c r="NTY45" s="12"/>
      <c r="NTZ45" s="12"/>
      <c r="NUQ45" s="12"/>
      <c r="NUR45" s="12"/>
      <c r="NVI45" s="12"/>
      <c r="NVJ45" s="12"/>
      <c r="NWA45" s="12"/>
      <c r="NWB45" s="12"/>
      <c r="NWS45" s="12"/>
      <c r="NWT45" s="12"/>
      <c r="NXK45" s="12"/>
      <c r="NXL45" s="12"/>
      <c r="NYC45" s="12"/>
      <c r="NYD45" s="12"/>
      <c r="NYU45" s="12"/>
      <c r="NYV45" s="12"/>
      <c r="NZM45" s="12"/>
      <c r="NZN45" s="12"/>
      <c r="OAE45" s="12"/>
      <c r="OAF45" s="12"/>
      <c r="OAW45" s="12"/>
      <c r="OAX45" s="12"/>
      <c r="OBO45" s="12"/>
      <c r="OBP45" s="12"/>
      <c r="OCG45" s="12"/>
      <c r="OCH45" s="12"/>
      <c r="OCY45" s="12"/>
      <c r="OCZ45" s="12"/>
      <c r="ODQ45" s="12"/>
      <c r="ODR45" s="12"/>
      <c r="OEI45" s="12"/>
      <c r="OEJ45" s="12"/>
      <c r="OFA45" s="12"/>
      <c r="OFB45" s="12"/>
      <c r="OFS45" s="12"/>
      <c r="OFT45" s="12"/>
      <c r="OGK45" s="12"/>
      <c r="OGL45" s="12"/>
      <c r="OHC45" s="12"/>
      <c r="OHD45" s="12"/>
      <c r="OHU45" s="12"/>
      <c r="OHV45" s="12"/>
      <c r="OIM45" s="12"/>
      <c r="OIN45" s="12"/>
      <c r="OJE45" s="12"/>
      <c r="OJF45" s="12"/>
      <c r="OJW45" s="12"/>
      <c r="OJX45" s="12"/>
      <c r="OKO45" s="12"/>
      <c r="OKP45" s="12"/>
      <c r="OLG45" s="12"/>
      <c r="OLH45" s="12"/>
      <c r="OLY45" s="12"/>
      <c r="OLZ45" s="12"/>
      <c r="OMQ45" s="12"/>
      <c r="OMR45" s="12"/>
      <c r="ONI45" s="12"/>
      <c r="ONJ45" s="12"/>
      <c r="OOA45" s="12"/>
      <c r="OOB45" s="12"/>
      <c r="OOS45" s="12"/>
      <c r="OOT45" s="12"/>
      <c r="OPK45" s="12"/>
      <c r="OPL45" s="12"/>
      <c r="OQC45" s="12"/>
      <c r="OQD45" s="12"/>
      <c r="OQU45" s="12"/>
      <c r="OQV45" s="12"/>
      <c r="ORM45" s="12"/>
      <c r="ORN45" s="12"/>
      <c r="OSE45" s="12"/>
      <c r="OSF45" s="12"/>
      <c r="OSW45" s="12"/>
      <c r="OSX45" s="12"/>
      <c r="OTO45" s="12"/>
      <c r="OTP45" s="12"/>
      <c r="OUG45" s="12"/>
      <c r="OUH45" s="12"/>
      <c r="OUY45" s="12"/>
      <c r="OUZ45" s="12"/>
      <c r="OVQ45" s="12"/>
      <c r="OVR45" s="12"/>
      <c r="OWI45" s="12"/>
      <c r="OWJ45" s="12"/>
      <c r="OXA45" s="12"/>
      <c r="OXB45" s="12"/>
      <c r="OXS45" s="12"/>
      <c r="OXT45" s="12"/>
      <c r="OYK45" s="12"/>
      <c r="OYL45" s="12"/>
      <c r="OZC45" s="12"/>
      <c r="OZD45" s="12"/>
      <c r="OZU45" s="12"/>
      <c r="OZV45" s="12"/>
      <c r="PAM45" s="12"/>
      <c r="PAN45" s="12"/>
      <c r="PBE45" s="12"/>
      <c r="PBF45" s="12"/>
      <c r="PBW45" s="12"/>
      <c r="PBX45" s="12"/>
      <c r="PCO45" s="12"/>
      <c r="PCP45" s="12"/>
      <c r="PDG45" s="12"/>
      <c r="PDH45" s="12"/>
      <c r="PDY45" s="12"/>
      <c r="PDZ45" s="12"/>
      <c r="PEQ45" s="12"/>
      <c r="PER45" s="12"/>
      <c r="PFI45" s="12"/>
      <c r="PFJ45" s="12"/>
      <c r="PGA45" s="12"/>
      <c r="PGB45" s="12"/>
      <c r="PGS45" s="12"/>
      <c r="PGT45" s="12"/>
      <c r="PHK45" s="12"/>
      <c r="PHL45" s="12"/>
      <c r="PIC45" s="12"/>
      <c r="PID45" s="12"/>
      <c r="PIU45" s="12"/>
      <c r="PIV45" s="12"/>
      <c r="PJM45" s="12"/>
      <c r="PJN45" s="12"/>
      <c r="PKE45" s="12"/>
      <c r="PKF45" s="12"/>
      <c r="PKW45" s="12"/>
      <c r="PKX45" s="12"/>
      <c r="PLO45" s="12"/>
      <c r="PLP45" s="12"/>
      <c r="PMG45" s="12"/>
      <c r="PMH45" s="12"/>
      <c r="PMY45" s="12"/>
      <c r="PMZ45" s="12"/>
      <c r="PNQ45" s="12"/>
      <c r="PNR45" s="12"/>
      <c r="POI45" s="12"/>
      <c r="POJ45" s="12"/>
      <c r="PPA45" s="12"/>
      <c r="PPB45" s="12"/>
      <c r="PPS45" s="12"/>
      <c r="PPT45" s="12"/>
      <c r="PQK45" s="12"/>
      <c r="PQL45" s="12"/>
      <c r="PRC45" s="12"/>
      <c r="PRD45" s="12"/>
      <c r="PRU45" s="12"/>
      <c r="PRV45" s="12"/>
      <c r="PSM45" s="12"/>
      <c r="PSN45" s="12"/>
      <c r="PTE45" s="12"/>
      <c r="PTF45" s="12"/>
      <c r="PTW45" s="12"/>
      <c r="PTX45" s="12"/>
      <c r="PUO45" s="12"/>
      <c r="PUP45" s="12"/>
      <c r="PVG45" s="12"/>
      <c r="PVH45" s="12"/>
      <c r="PVY45" s="12"/>
      <c r="PVZ45" s="12"/>
      <c r="PWQ45" s="12"/>
      <c r="PWR45" s="12"/>
      <c r="PXI45" s="12"/>
      <c r="PXJ45" s="12"/>
      <c r="PYA45" s="12"/>
      <c r="PYB45" s="12"/>
      <c r="PYS45" s="12"/>
      <c r="PYT45" s="12"/>
      <c r="PZK45" s="12"/>
      <c r="PZL45" s="12"/>
      <c r="QAC45" s="12"/>
      <c r="QAD45" s="12"/>
      <c r="QAU45" s="12"/>
      <c r="QAV45" s="12"/>
      <c r="QBM45" s="12"/>
      <c r="QBN45" s="12"/>
      <c r="QCE45" s="12"/>
      <c r="QCF45" s="12"/>
      <c r="QCW45" s="12"/>
      <c r="QCX45" s="12"/>
      <c r="QDO45" s="12"/>
      <c r="QDP45" s="12"/>
      <c r="QEG45" s="12"/>
      <c r="QEH45" s="12"/>
      <c r="QEY45" s="12"/>
      <c r="QEZ45" s="12"/>
      <c r="QFQ45" s="12"/>
      <c r="QFR45" s="12"/>
      <c r="QGI45" s="12"/>
      <c r="QGJ45" s="12"/>
      <c r="QHA45" s="12"/>
      <c r="QHB45" s="12"/>
      <c r="QHS45" s="12"/>
      <c r="QHT45" s="12"/>
      <c r="QIK45" s="12"/>
      <c r="QIL45" s="12"/>
      <c r="QJC45" s="12"/>
      <c r="QJD45" s="12"/>
      <c r="QJU45" s="12"/>
      <c r="QJV45" s="12"/>
      <c r="QKM45" s="12"/>
      <c r="QKN45" s="12"/>
      <c r="QLE45" s="12"/>
      <c r="QLF45" s="12"/>
      <c r="QLW45" s="12"/>
      <c r="QLX45" s="12"/>
      <c r="QMO45" s="12"/>
      <c r="QMP45" s="12"/>
      <c r="QNG45" s="12"/>
      <c r="QNH45" s="12"/>
      <c r="QNY45" s="12"/>
      <c r="QNZ45" s="12"/>
      <c r="QOQ45" s="12"/>
      <c r="QOR45" s="12"/>
      <c r="QPI45" s="12"/>
      <c r="QPJ45" s="12"/>
      <c r="QQA45" s="12"/>
      <c r="QQB45" s="12"/>
      <c r="QQS45" s="12"/>
      <c r="QQT45" s="12"/>
      <c r="QRK45" s="12"/>
      <c r="QRL45" s="12"/>
      <c r="QSC45" s="12"/>
      <c r="QSD45" s="12"/>
      <c r="QSU45" s="12"/>
      <c r="QSV45" s="12"/>
      <c r="QTM45" s="12"/>
      <c r="QTN45" s="12"/>
      <c r="QUE45" s="12"/>
      <c r="QUF45" s="12"/>
      <c r="QUW45" s="12"/>
      <c r="QUX45" s="12"/>
      <c r="QVO45" s="12"/>
      <c r="QVP45" s="12"/>
      <c r="QWG45" s="12"/>
      <c r="QWH45" s="12"/>
      <c r="QWY45" s="12"/>
      <c r="QWZ45" s="12"/>
      <c r="QXQ45" s="12"/>
      <c r="QXR45" s="12"/>
      <c r="QYI45" s="12"/>
      <c r="QYJ45" s="12"/>
      <c r="QZA45" s="12"/>
      <c r="QZB45" s="12"/>
      <c r="QZS45" s="12"/>
      <c r="QZT45" s="12"/>
      <c r="RAK45" s="12"/>
      <c r="RAL45" s="12"/>
      <c r="RBC45" s="12"/>
      <c r="RBD45" s="12"/>
      <c r="RBU45" s="12"/>
      <c r="RBV45" s="12"/>
      <c r="RCM45" s="12"/>
      <c r="RCN45" s="12"/>
      <c r="RDE45" s="12"/>
      <c r="RDF45" s="12"/>
      <c r="RDW45" s="12"/>
      <c r="RDX45" s="12"/>
      <c r="REO45" s="12"/>
      <c r="REP45" s="12"/>
      <c r="RFG45" s="12"/>
      <c r="RFH45" s="12"/>
      <c r="RFY45" s="12"/>
      <c r="RFZ45" s="12"/>
      <c r="RGQ45" s="12"/>
      <c r="RGR45" s="12"/>
      <c r="RHI45" s="12"/>
      <c r="RHJ45" s="12"/>
      <c r="RIA45" s="12"/>
      <c r="RIB45" s="12"/>
      <c r="RIS45" s="12"/>
      <c r="RIT45" s="12"/>
      <c r="RJK45" s="12"/>
      <c r="RJL45" s="12"/>
      <c r="RKC45" s="12"/>
      <c r="RKD45" s="12"/>
      <c r="RKU45" s="12"/>
      <c r="RKV45" s="12"/>
      <c r="RLM45" s="12"/>
      <c r="RLN45" s="12"/>
      <c r="RME45" s="12"/>
      <c r="RMF45" s="12"/>
      <c r="RMW45" s="12"/>
      <c r="RMX45" s="12"/>
      <c r="RNO45" s="12"/>
      <c r="RNP45" s="12"/>
      <c r="ROG45" s="12"/>
      <c r="ROH45" s="12"/>
      <c r="ROY45" s="12"/>
      <c r="ROZ45" s="12"/>
      <c r="RPQ45" s="12"/>
      <c r="RPR45" s="12"/>
      <c r="RQI45" s="12"/>
      <c r="RQJ45" s="12"/>
      <c r="RRA45" s="12"/>
      <c r="RRB45" s="12"/>
      <c r="RRS45" s="12"/>
      <c r="RRT45" s="12"/>
      <c r="RSK45" s="12"/>
      <c r="RSL45" s="12"/>
      <c r="RTC45" s="12"/>
      <c r="RTD45" s="12"/>
      <c r="RTU45" s="12"/>
      <c r="RTV45" s="12"/>
      <c r="RUM45" s="12"/>
      <c r="RUN45" s="12"/>
      <c r="RVE45" s="12"/>
      <c r="RVF45" s="12"/>
      <c r="RVW45" s="12"/>
      <c r="RVX45" s="12"/>
      <c r="RWO45" s="12"/>
      <c r="RWP45" s="12"/>
      <c r="RXG45" s="12"/>
      <c r="RXH45" s="12"/>
      <c r="RXY45" s="12"/>
      <c r="RXZ45" s="12"/>
      <c r="RYQ45" s="12"/>
      <c r="RYR45" s="12"/>
      <c r="RZI45" s="12"/>
      <c r="RZJ45" s="12"/>
      <c r="SAA45" s="12"/>
      <c r="SAB45" s="12"/>
      <c r="SAS45" s="12"/>
      <c r="SAT45" s="12"/>
      <c r="SBK45" s="12"/>
      <c r="SBL45" s="12"/>
      <c r="SCC45" s="12"/>
      <c r="SCD45" s="12"/>
      <c r="SCU45" s="12"/>
      <c r="SCV45" s="12"/>
      <c r="SDM45" s="12"/>
      <c r="SDN45" s="12"/>
      <c r="SEE45" s="12"/>
      <c r="SEF45" s="12"/>
      <c r="SEW45" s="12"/>
      <c r="SEX45" s="12"/>
      <c r="SFO45" s="12"/>
      <c r="SFP45" s="12"/>
      <c r="SGG45" s="12"/>
      <c r="SGH45" s="12"/>
      <c r="SGY45" s="12"/>
      <c r="SGZ45" s="12"/>
      <c r="SHQ45" s="12"/>
      <c r="SHR45" s="12"/>
      <c r="SII45" s="12"/>
      <c r="SIJ45" s="12"/>
      <c r="SJA45" s="12"/>
      <c r="SJB45" s="12"/>
      <c r="SJS45" s="12"/>
      <c r="SJT45" s="12"/>
      <c r="SKK45" s="12"/>
      <c r="SKL45" s="12"/>
      <c r="SLC45" s="12"/>
      <c r="SLD45" s="12"/>
      <c r="SLU45" s="12"/>
      <c r="SLV45" s="12"/>
      <c r="SMM45" s="12"/>
      <c r="SMN45" s="12"/>
      <c r="SNE45" s="12"/>
      <c r="SNF45" s="12"/>
      <c r="SNW45" s="12"/>
      <c r="SNX45" s="12"/>
      <c r="SOO45" s="12"/>
      <c r="SOP45" s="12"/>
      <c r="SPG45" s="12"/>
      <c r="SPH45" s="12"/>
      <c r="SPY45" s="12"/>
      <c r="SPZ45" s="12"/>
      <c r="SQQ45" s="12"/>
      <c r="SQR45" s="12"/>
      <c r="SRI45" s="12"/>
      <c r="SRJ45" s="12"/>
      <c r="SSA45" s="12"/>
      <c r="SSB45" s="12"/>
      <c r="SSS45" s="12"/>
      <c r="SST45" s="12"/>
      <c r="STK45" s="12"/>
      <c r="STL45" s="12"/>
      <c r="SUC45" s="12"/>
      <c r="SUD45" s="12"/>
      <c r="SUU45" s="12"/>
      <c r="SUV45" s="12"/>
      <c r="SVM45" s="12"/>
      <c r="SVN45" s="12"/>
      <c r="SWE45" s="12"/>
      <c r="SWF45" s="12"/>
      <c r="SWW45" s="12"/>
      <c r="SWX45" s="12"/>
      <c r="SXO45" s="12"/>
      <c r="SXP45" s="12"/>
      <c r="SYG45" s="12"/>
      <c r="SYH45" s="12"/>
      <c r="SYY45" s="12"/>
      <c r="SYZ45" s="12"/>
      <c r="SZQ45" s="12"/>
      <c r="SZR45" s="12"/>
      <c r="TAI45" s="12"/>
      <c r="TAJ45" s="12"/>
      <c r="TBA45" s="12"/>
      <c r="TBB45" s="12"/>
      <c r="TBS45" s="12"/>
      <c r="TBT45" s="12"/>
      <c r="TCK45" s="12"/>
      <c r="TCL45" s="12"/>
      <c r="TDC45" s="12"/>
      <c r="TDD45" s="12"/>
      <c r="TDU45" s="12"/>
      <c r="TDV45" s="12"/>
      <c r="TEM45" s="12"/>
      <c r="TEN45" s="12"/>
      <c r="TFE45" s="12"/>
      <c r="TFF45" s="12"/>
      <c r="TFW45" s="12"/>
      <c r="TFX45" s="12"/>
      <c r="TGO45" s="12"/>
      <c r="TGP45" s="12"/>
      <c r="THG45" s="12"/>
      <c r="THH45" s="12"/>
      <c r="THY45" s="12"/>
      <c r="THZ45" s="12"/>
      <c r="TIQ45" s="12"/>
      <c r="TIR45" s="12"/>
      <c r="TJI45" s="12"/>
      <c r="TJJ45" s="12"/>
      <c r="TKA45" s="12"/>
      <c r="TKB45" s="12"/>
      <c r="TKS45" s="12"/>
      <c r="TKT45" s="12"/>
      <c r="TLK45" s="12"/>
      <c r="TLL45" s="12"/>
      <c r="TMC45" s="12"/>
      <c r="TMD45" s="12"/>
      <c r="TMU45" s="12"/>
      <c r="TMV45" s="12"/>
      <c r="TNM45" s="12"/>
      <c r="TNN45" s="12"/>
      <c r="TOE45" s="12"/>
      <c r="TOF45" s="12"/>
      <c r="TOW45" s="12"/>
      <c r="TOX45" s="12"/>
      <c r="TPO45" s="12"/>
      <c r="TPP45" s="12"/>
      <c r="TQG45" s="12"/>
      <c r="TQH45" s="12"/>
      <c r="TQY45" s="12"/>
      <c r="TQZ45" s="12"/>
      <c r="TRQ45" s="12"/>
      <c r="TRR45" s="12"/>
      <c r="TSI45" s="12"/>
      <c r="TSJ45" s="12"/>
      <c r="TTA45" s="12"/>
      <c r="TTB45" s="12"/>
      <c r="TTS45" s="12"/>
      <c r="TTT45" s="12"/>
      <c r="TUK45" s="12"/>
      <c r="TUL45" s="12"/>
      <c r="TVC45" s="12"/>
      <c r="TVD45" s="12"/>
      <c r="TVU45" s="12"/>
      <c r="TVV45" s="12"/>
      <c r="TWM45" s="12"/>
      <c r="TWN45" s="12"/>
      <c r="TXE45" s="12"/>
      <c r="TXF45" s="12"/>
      <c r="TXW45" s="12"/>
      <c r="TXX45" s="12"/>
      <c r="TYO45" s="12"/>
      <c r="TYP45" s="12"/>
      <c r="TZG45" s="12"/>
      <c r="TZH45" s="12"/>
      <c r="TZY45" s="12"/>
      <c r="TZZ45" s="12"/>
      <c r="UAQ45" s="12"/>
      <c r="UAR45" s="12"/>
      <c r="UBI45" s="12"/>
      <c r="UBJ45" s="12"/>
      <c r="UCA45" s="12"/>
      <c r="UCB45" s="12"/>
      <c r="UCS45" s="12"/>
      <c r="UCT45" s="12"/>
      <c r="UDK45" s="12"/>
      <c r="UDL45" s="12"/>
      <c r="UEC45" s="12"/>
      <c r="UED45" s="12"/>
      <c r="UEU45" s="12"/>
      <c r="UEV45" s="12"/>
      <c r="UFM45" s="12"/>
      <c r="UFN45" s="12"/>
      <c r="UGE45" s="12"/>
      <c r="UGF45" s="12"/>
      <c r="UGW45" s="12"/>
      <c r="UGX45" s="12"/>
      <c r="UHO45" s="12"/>
      <c r="UHP45" s="12"/>
      <c r="UIG45" s="12"/>
      <c r="UIH45" s="12"/>
      <c r="UIY45" s="12"/>
      <c r="UIZ45" s="12"/>
      <c r="UJQ45" s="12"/>
      <c r="UJR45" s="12"/>
      <c r="UKI45" s="12"/>
      <c r="UKJ45" s="12"/>
      <c r="ULA45" s="12"/>
      <c r="ULB45" s="12"/>
      <c r="ULS45" s="12"/>
      <c r="ULT45" s="12"/>
      <c r="UMK45" s="12"/>
      <c r="UML45" s="12"/>
      <c r="UNC45" s="12"/>
      <c r="UND45" s="12"/>
      <c r="UNU45" s="12"/>
      <c r="UNV45" s="12"/>
      <c r="UOM45" s="12"/>
      <c r="UON45" s="12"/>
      <c r="UPE45" s="12"/>
      <c r="UPF45" s="12"/>
      <c r="UPW45" s="12"/>
      <c r="UPX45" s="12"/>
      <c r="UQO45" s="12"/>
      <c r="UQP45" s="12"/>
      <c r="URG45" s="12"/>
      <c r="URH45" s="12"/>
      <c r="URY45" s="12"/>
      <c r="URZ45" s="12"/>
      <c r="USQ45" s="12"/>
      <c r="USR45" s="12"/>
      <c r="UTI45" s="12"/>
      <c r="UTJ45" s="12"/>
      <c r="UUA45" s="12"/>
      <c r="UUB45" s="12"/>
      <c r="UUS45" s="12"/>
      <c r="UUT45" s="12"/>
      <c r="UVK45" s="12"/>
      <c r="UVL45" s="12"/>
      <c r="UWC45" s="12"/>
      <c r="UWD45" s="12"/>
      <c r="UWU45" s="12"/>
      <c r="UWV45" s="12"/>
      <c r="UXM45" s="12"/>
      <c r="UXN45" s="12"/>
      <c r="UYE45" s="12"/>
      <c r="UYF45" s="12"/>
      <c r="UYW45" s="12"/>
      <c r="UYX45" s="12"/>
      <c r="UZO45" s="12"/>
      <c r="UZP45" s="12"/>
      <c r="VAG45" s="12"/>
      <c r="VAH45" s="12"/>
      <c r="VAY45" s="12"/>
      <c r="VAZ45" s="12"/>
      <c r="VBQ45" s="12"/>
      <c r="VBR45" s="12"/>
      <c r="VCI45" s="12"/>
      <c r="VCJ45" s="12"/>
      <c r="VDA45" s="12"/>
      <c r="VDB45" s="12"/>
      <c r="VDS45" s="12"/>
      <c r="VDT45" s="12"/>
      <c r="VEK45" s="12"/>
      <c r="VEL45" s="12"/>
      <c r="VFC45" s="12"/>
      <c r="VFD45" s="12"/>
      <c r="VFU45" s="12"/>
      <c r="VFV45" s="12"/>
      <c r="VGM45" s="12"/>
      <c r="VGN45" s="12"/>
      <c r="VHE45" s="12"/>
      <c r="VHF45" s="12"/>
      <c r="VHW45" s="12"/>
      <c r="VHX45" s="12"/>
      <c r="VIO45" s="12"/>
      <c r="VIP45" s="12"/>
      <c r="VJG45" s="12"/>
      <c r="VJH45" s="12"/>
      <c r="VJY45" s="12"/>
      <c r="VJZ45" s="12"/>
      <c r="VKQ45" s="12"/>
      <c r="VKR45" s="12"/>
      <c r="VLI45" s="12"/>
      <c r="VLJ45" s="12"/>
      <c r="VMA45" s="12"/>
      <c r="VMB45" s="12"/>
      <c r="VMS45" s="12"/>
      <c r="VMT45" s="12"/>
      <c r="VNK45" s="12"/>
      <c r="VNL45" s="12"/>
      <c r="VOC45" s="12"/>
      <c r="VOD45" s="12"/>
      <c r="VOU45" s="12"/>
      <c r="VOV45" s="12"/>
      <c r="VPM45" s="12"/>
      <c r="VPN45" s="12"/>
      <c r="VQE45" s="12"/>
      <c r="VQF45" s="12"/>
      <c r="VQW45" s="12"/>
      <c r="VQX45" s="12"/>
      <c r="VRO45" s="12"/>
      <c r="VRP45" s="12"/>
      <c r="VSG45" s="12"/>
      <c r="VSH45" s="12"/>
      <c r="VSY45" s="12"/>
      <c r="VSZ45" s="12"/>
      <c r="VTQ45" s="12"/>
      <c r="VTR45" s="12"/>
      <c r="VUI45" s="12"/>
      <c r="VUJ45" s="12"/>
      <c r="VVA45" s="12"/>
      <c r="VVB45" s="12"/>
      <c r="VVS45" s="12"/>
      <c r="VVT45" s="12"/>
      <c r="VWK45" s="12"/>
      <c r="VWL45" s="12"/>
      <c r="VXC45" s="12"/>
      <c r="VXD45" s="12"/>
      <c r="VXU45" s="12"/>
      <c r="VXV45" s="12"/>
      <c r="VYM45" s="12"/>
      <c r="VYN45" s="12"/>
      <c r="VZE45" s="12"/>
      <c r="VZF45" s="12"/>
      <c r="VZW45" s="12"/>
      <c r="VZX45" s="12"/>
      <c r="WAO45" s="12"/>
      <c r="WAP45" s="12"/>
      <c r="WBG45" s="12"/>
      <c r="WBH45" s="12"/>
      <c r="WBY45" s="12"/>
      <c r="WBZ45" s="12"/>
      <c r="WCQ45" s="12"/>
      <c r="WCR45" s="12"/>
      <c r="WDI45" s="12"/>
      <c r="WDJ45" s="12"/>
      <c r="WEA45" s="12"/>
      <c r="WEB45" s="12"/>
      <c r="WES45" s="12"/>
      <c r="WET45" s="12"/>
      <c r="WFK45" s="12"/>
      <c r="WFL45" s="12"/>
      <c r="WGC45" s="12"/>
      <c r="WGD45" s="12"/>
      <c r="WGU45" s="12"/>
      <c r="WGV45" s="12"/>
      <c r="WHM45" s="12"/>
      <c r="WHN45" s="12"/>
      <c r="WIE45" s="12"/>
      <c r="WIF45" s="12"/>
      <c r="WIW45" s="12"/>
      <c r="WIX45" s="12"/>
      <c r="WJO45" s="12"/>
      <c r="WJP45" s="12"/>
      <c r="WKG45" s="12"/>
      <c r="WKH45" s="12"/>
      <c r="WKY45" s="12"/>
      <c r="WKZ45" s="12"/>
      <c r="WLQ45" s="12"/>
      <c r="WLR45" s="12"/>
      <c r="WMI45" s="12"/>
      <c r="WMJ45" s="12"/>
      <c r="WNA45" s="12"/>
      <c r="WNB45" s="12"/>
      <c r="WNS45" s="12"/>
      <c r="WNT45" s="12"/>
      <c r="WOK45" s="12"/>
      <c r="WOL45" s="12"/>
      <c r="WPC45" s="12"/>
      <c r="WPD45" s="12"/>
      <c r="WPU45" s="12"/>
      <c r="WPV45" s="12"/>
      <c r="WQM45" s="12"/>
      <c r="WQN45" s="12"/>
      <c r="WRE45" s="12"/>
      <c r="WRF45" s="12"/>
      <c r="WRW45" s="12"/>
      <c r="WRX45" s="12"/>
      <c r="WSO45" s="12"/>
      <c r="WSP45" s="12"/>
      <c r="WTG45" s="12"/>
      <c r="WTH45" s="12"/>
      <c r="WTY45" s="12"/>
      <c r="WTZ45" s="12"/>
      <c r="WUQ45" s="12"/>
      <c r="WUR45" s="12"/>
      <c r="WVI45" s="12"/>
      <c r="WVJ45" s="12"/>
      <c r="WWA45" s="12"/>
      <c r="WWB45" s="12"/>
      <c r="WWS45" s="12"/>
      <c r="WWT45" s="12"/>
      <c r="WXK45" s="12"/>
      <c r="WXL45" s="12"/>
      <c r="WYC45" s="12"/>
      <c r="WYD45" s="12"/>
      <c r="WYU45" s="12"/>
      <c r="WYV45" s="12"/>
      <c r="WZM45" s="12"/>
      <c r="WZN45" s="12"/>
      <c r="XAE45" s="12"/>
      <c r="XAF45" s="12"/>
      <c r="XAW45" s="12"/>
      <c r="XAX45" s="12"/>
      <c r="XBO45" s="12"/>
      <c r="XBP45" s="12"/>
      <c r="XCG45" s="12"/>
      <c r="XCH45" s="12"/>
      <c r="XCY45" s="12"/>
      <c r="XCZ45" s="12"/>
      <c r="XDQ45" s="12"/>
      <c r="XDR45" s="12"/>
      <c r="XEI45" s="12"/>
      <c r="XEJ45" s="12"/>
      <c r="XFA45" s="12"/>
      <c r="XFB45" s="12"/>
    </row>
    <row r="46" spans="1:1010 1027:2036 2053:3062 3079:4088 4105:5114 5131:6140 6157:7166 7183:8192 8209:9200 9217:10226 10243:11252 11269:12278 12295:13304 13321:14330 14347:15356 15373:16382" x14ac:dyDescent="0.35">
      <c r="A46" s="51" t="str">
        <f>'Cash Flow - Standardized'!A46</f>
        <v>Cash from Investing Activities</v>
      </c>
      <c r="B46" s="51" t="str">
        <f>'Cash Flow - Standardized'!B46</f>
        <v>CF_CASH_FROM_INV_ACT</v>
      </c>
      <c r="C46" s="81">
        <f>IF('Cash Flow - Standardized'!C46="",0,'Cash Flow - Standardized'!C46)/'Cash Flow - Standardized'!C$46</f>
        <v>1</v>
      </c>
      <c r="D46" s="81">
        <f>IF('Cash Flow - Standardized'!D46="",0,'Cash Flow - Standardized'!D46)/'Cash Flow - Standardized'!D$46</f>
        <v>1</v>
      </c>
      <c r="E46" s="81">
        <f>IF('Cash Flow - Standardized'!E46="",0,'Cash Flow - Standardized'!E46)/'Cash Flow - Standardized'!E$46</f>
        <v>1</v>
      </c>
      <c r="F46" s="81">
        <f>IF('Cash Flow - Standardized'!F46="",0,'Cash Flow - Standardized'!F46)/'Cash Flow - Standardized'!F$46</f>
        <v>1</v>
      </c>
      <c r="G46" s="81">
        <f>IF('Cash Flow - Standardized'!G46="",0,'Cash Flow - Standardized'!G46)/'Cash Flow - Standardized'!G$46</f>
        <v>1</v>
      </c>
      <c r="H46" s="81">
        <f>IF('Cash Flow - Standardized'!H46="",0,'Cash Flow - Standardized'!H46)/'Cash Flow - Standardized'!H$46</f>
        <v>1</v>
      </c>
      <c r="I46" s="81">
        <f>IF('Cash Flow - Standardized'!I46="",0,'Cash Flow - Standardized'!I46)/'Cash Flow - Standardized'!I$46</f>
        <v>1</v>
      </c>
      <c r="J46" s="81">
        <f>IF('Cash Flow - Standardized'!J46="",0,'Cash Flow - Standardized'!J46)/'Cash Flow - Standardized'!J$46</f>
        <v>1</v>
      </c>
      <c r="K46" s="81">
        <f>IF('Cash Flow - Standardized'!K46="",0,'Cash Flow - Standardized'!K46)/'Cash Flow - Standardized'!K$46</f>
        <v>1</v>
      </c>
      <c r="L46" s="81">
        <f>IF('Cash Flow - Standardized'!L46="",0,'Cash Flow - Standardized'!L46)/'Cash Flow - Standardized'!L$46</f>
        <v>1</v>
      </c>
      <c r="M46" s="128"/>
      <c r="N46" s="128"/>
      <c r="O46" s="128"/>
      <c r="P46" s="128"/>
      <c r="Q46" s="128"/>
      <c r="R46" s="128"/>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row>
    <row r="47" spans="1:1010 1027:2036 2053:3062 3079:4088 4105:5114 5131:6140 6157:7166 7183:8192 8209:9200 9217:10226 10243:11252 11269:12278 12295:13304 13321:14330 14347:15356 15373:16382" x14ac:dyDescent="0.35">
      <c r="A47" s="24" t="str">
        <f>'Cash Flow - Standardized'!A47</f>
        <v>check</v>
      </c>
      <c r="B47" s="21"/>
      <c r="C47" s="83"/>
      <c r="D47" s="83"/>
      <c r="E47" s="83"/>
      <c r="F47" s="83"/>
      <c r="G47" s="83"/>
      <c r="H47" s="83"/>
      <c r="I47" s="83"/>
      <c r="J47" s="83"/>
      <c r="K47" s="83"/>
      <c r="L47" s="83"/>
      <c r="M47" s="129"/>
      <c r="N47" s="129"/>
      <c r="O47" s="129"/>
      <c r="P47" s="129"/>
      <c r="Q47" s="129"/>
      <c r="R47" s="129"/>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row>
    <row r="48" spans="1:1010 1027:2036 2053:3062 3079:4088 4105:5114 5131:6140 6157:7166 7183:8192 8209:9200 9217:10226 10243:11252 11269:12278 12295:13304 13321:14330 14347:15356 15373:16382" x14ac:dyDescent="0.35">
      <c r="A48" s="15" t="str">
        <f>'Cash Flow - Standardized'!A48</f>
        <v>Cash from Financing Activities</v>
      </c>
      <c r="B48" s="14"/>
      <c r="C48" s="85"/>
      <c r="D48" s="85"/>
      <c r="E48" s="85"/>
      <c r="F48" s="85"/>
      <c r="G48" s="85"/>
      <c r="H48" s="85"/>
      <c r="I48" s="85"/>
      <c r="J48" s="85"/>
      <c r="K48" s="85"/>
      <c r="L48" s="85"/>
      <c r="M48" s="128"/>
      <c r="N48" s="128"/>
      <c r="O48" s="128"/>
      <c r="P48" s="128"/>
      <c r="Q48" s="128"/>
      <c r="R48" s="128"/>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row>
    <row r="49" spans="1:1010 1027:2036 2053:3062 3079:4088 4105:5114 5131:6140 6157:7166 7183:8192 8209:9200 9217:10226 10243:11252 11269:12278 12295:13304 13321:14330 14347:15356 15373:16382" s="11" customFormat="1" x14ac:dyDescent="0.35">
      <c r="A49" s="183" t="str">
        <f>'Cash Flow - Standardized'!A49</f>
        <v xml:space="preserve">  + Dividends Paid</v>
      </c>
      <c r="B49" s="75" t="str">
        <f>'Cash Flow - Standardized'!B49</f>
        <v>CF_DVD_PAID</v>
      </c>
      <c r="C49" s="76">
        <f>IF('Cash Flow - Standardized'!C49="",0,'Cash Flow - Standardized'!C49)/'Cash Flow - Standardized'!C$61</f>
        <v>0.19950791090254352</v>
      </c>
      <c r="D49" s="76">
        <f>IF('Cash Flow - Standardized'!D49="",0,'Cash Flow - Standardized'!D49)/'Cash Flow - Standardized'!D$61</f>
        <v>1.2123859444768006</v>
      </c>
      <c r="E49" s="76">
        <f>IF('Cash Flow - Standardized'!E49="",0,'Cash Flow - Standardized'!E49)/'Cash Flow - Standardized'!E$61</f>
        <v>1.1558833985069321</v>
      </c>
      <c r="F49" s="76">
        <f>IF('Cash Flow - Standardized'!F49="",0,'Cash Flow - Standardized'!F49)/'Cash Flow - Standardized'!F$61</f>
        <v>0.91346810545007517</v>
      </c>
      <c r="G49" s="76">
        <f>IF('Cash Flow - Standardized'!G49="",0,'Cash Flow - Standardized'!G49)/'Cash Flow - Standardized'!G$61</f>
        <v>1.0154040779877958</v>
      </c>
      <c r="H49" s="76">
        <f>IF('Cash Flow - Standardized'!H49="",0,'Cash Flow - Standardized'!H49)/'Cash Flow - Standardized'!H$61</f>
        <v>1.2144020574367769</v>
      </c>
      <c r="I49" s="76">
        <f>IF('Cash Flow - Standardized'!I49="",0,'Cash Flow - Standardized'!I49)/'Cash Flow - Standardized'!I$61</f>
        <v>1.1502521273242987</v>
      </c>
      <c r="J49" s="76">
        <f>IF('Cash Flow - Standardized'!J49="",0,'Cash Flow - Standardized'!J49)/'Cash Flow - Standardized'!J$61</f>
        <v>0.87184230302329624</v>
      </c>
      <c r="K49" s="76">
        <f>IF('Cash Flow - Standardized'!K49="",0,'Cash Flow - Standardized'!K49)/'Cash Flow - Standardized'!K$61</f>
        <v>0.40011904453818486</v>
      </c>
      <c r="L49" s="76">
        <f>IF('Cash Flow - Standardized'!L49="",0,'Cash Flow - Standardized'!L49)/'Cash Flow - Standardized'!L$61</f>
        <v>0.58649584745447092</v>
      </c>
      <c r="M49" s="108"/>
      <c r="N49" s="108"/>
      <c r="O49" s="108"/>
      <c r="P49" s="108"/>
      <c r="Q49" s="108"/>
      <c r="R49" s="108"/>
      <c r="S49" s="109"/>
      <c r="T49" s="109"/>
      <c r="U49" s="108"/>
      <c r="V49" s="108"/>
      <c r="W49" s="108"/>
      <c r="X49" s="108"/>
      <c r="Y49" s="108"/>
      <c r="Z49" s="108"/>
      <c r="AA49" s="108"/>
      <c r="AB49" s="108"/>
      <c r="AC49" s="108"/>
      <c r="AD49" s="108"/>
      <c r="AE49" s="108"/>
      <c r="AF49" s="108"/>
      <c r="AG49" s="108"/>
      <c r="AH49" s="108"/>
      <c r="AI49" s="108"/>
      <c r="AJ49" s="108"/>
      <c r="AK49" s="109"/>
      <c r="AL49" s="109"/>
      <c r="AM49" s="108"/>
      <c r="AN49" s="108"/>
      <c r="AO49" s="108"/>
      <c r="AP49" s="108"/>
      <c r="AQ49" s="108"/>
      <c r="AR49" s="108"/>
      <c r="AS49" s="108"/>
      <c r="AT49" s="108"/>
      <c r="AU49" s="108"/>
      <c r="AV49" s="108"/>
      <c r="AW49" s="108"/>
      <c r="AX49" s="108"/>
      <c r="BC49" s="12"/>
      <c r="BD49" s="12"/>
      <c r="BU49" s="12"/>
      <c r="BV49" s="12"/>
      <c r="CM49" s="12"/>
      <c r="CN49" s="12"/>
      <c r="DE49" s="12"/>
      <c r="DF49" s="12"/>
      <c r="DW49" s="12"/>
      <c r="DX49" s="12"/>
      <c r="EO49" s="12"/>
      <c r="EP49" s="12"/>
      <c r="FG49" s="12"/>
      <c r="FH49" s="12"/>
      <c r="FY49" s="12"/>
      <c r="FZ49" s="12"/>
      <c r="GQ49" s="12"/>
      <c r="GR49" s="12"/>
      <c r="HI49" s="12"/>
      <c r="HJ49" s="12"/>
      <c r="IA49" s="12"/>
      <c r="IB49" s="12"/>
      <c r="IS49" s="12"/>
      <c r="IT49" s="12"/>
      <c r="JK49" s="12"/>
      <c r="JL49" s="12"/>
      <c r="KC49" s="12"/>
      <c r="KD49" s="12"/>
      <c r="KU49" s="12"/>
      <c r="KV49" s="12"/>
      <c r="LM49" s="12"/>
      <c r="LN49" s="12"/>
      <c r="ME49" s="12"/>
      <c r="MF49" s="12"/>
      <c r="MW49" s="12"/>
      <c r="MX49" s="12"/>
      <c r="NO49" s="12"/>
      <c r="NP49" s="12"/>
      <c r="OG49" s="12"/>
      <c r="OH49" s="12"/>
      <c r="OY49" s="12"/>
      <c r="OZ49" s="12"/>
      <c r="PQ49" s="12"/>
      <c r="PR49" s="12"/>
      <c r="QI49" s="12"/>
      <c r="QJ49" s="12"/>
      <c r="RA49" s="12"/>
      <c r="RB49" s="12"/>
      <c r="RS49" s="12"/>
      <c r="RT49" s="12"/>
      <c r="SK49" s="12"/>
      <c r="SL49" s="12"/>
      <c r="TC49" s="12"/>
      <c r="TD49" s="12"/>
      <c r="TU49" s="12"/>
      <c r="TV49" s="12"/>
      <c r="UM49" s="12"/>
      <c r="UN49" s="12"/>
      <c r="VE49" s="12"/>
      <c r="VF49" s="12"/>
      <c r="VW49" s="12"/>
      <c r="VX49" s="12"/>
      <c r="WO49" s="12"/>
      <c r="WP49" s="12"/>
      <c r="XG49" s="12"/>
      <c r="XH49" s="12"/>
      <c r="XY49" s="12"/>
      <c r="XZ49" s="12"/>
      <c r="YQ49" s="12"/>
      <c r="YR49" s="12"/>
      <c r="ZI49" s="12"/>
      <c r="ZJ49" s="12"/>
      <c r="AAA49" s="12"/>
      <c r="AAB49" s="12"/>
      <c r="AAS49" s="12"/>
      <c r="AAT49" s="12"/>
      <c r="ABK49" s="12"/>
      <c r="ABL49" s="12"/>
      <c r="ACC49" s="12"/>
      <c r="ACD49" s="12"/>
      <c r="ACU49" s="12"/>
      <c r="ACV49" s="12"/>
      <c r="ADM49" s="12"/>
      <c r="ADN49" s="12"/>
      <c r="AEE49" s="12"/>
      <c r="AEF49" s="12"/>
      <c r="AEW49" s="12"/>
      <c r="AEX49" s="12"/>
      <c r="AFO49" s="12"/>
      <c r="AFP49" s="12"/>
      <c r="AGG49" s="12"/>
      <c r="AGH49" s="12"/>
      <c r="AGY49" s="12"/>
      <c r="AGZ49" s="12"/>
      <c r="AHQ49" s="12"/>
      <c r="AHR49" s="12"/>
      <c r="AII49" s="12"/>
      <c r="AIJ49" s="12"/>
      <c r="AJA49" s="12"/>
      <c r="AJB49" s="12"/>
      <c r="AJS49" s="12"/>
      <c r="AJT49" s="12"/>
      <c r="AKK49" s="12"/>
      <c r="AKL49" s="12"/>
      <c r="ALC49" s="12"/>
      <c r="ALD49" s="12"/>
      <c r="ALU49" s="12"/>
      <c r="ALV49" s="12"/>
      <c r="AMM49" s="12"/>
      <c r="AMN49" s="12"/>
      <c r="ANE49" s="12"/>
      <c r="ANF49" s="12"/>
      <c r="ANW49" s="12"/>
      <c r="ANX49" s="12"/>
      <c r="AOO49" s="12"/>
      <c r="AOP49" s="12"/>
      <c r="APG49" s="12"/>
      <c r="APH49" s="12"/>
      <c r="APY49" s="12"/>
      <c r="APZ49" s="12"/>
      <c r="AQQ49" s="12"/>
      <c r="AQR49" s="12"/>
      <c r="ARI49" s="12"/>
      <c r="ARJ49" s="12"/>
      <c r="ASA49" s="12"/>
      <c r="ASB49" s="12"/>
      <c r="ASS49" s="12"/>
      <c r="AST49" s="12"/>
      <c r="ATK49" s="12"/>
      <c r="ATL49" s="12"/>
      <c r="AUC49" s="12"/>
      <c r="AUD49" s="12"/>
      <c r="AUU49" s="12"/>
      <c r="AUV49" s="12"/>
      <c r="AVM49" s="12"/>
      <c r="AVN49" s="12"/>
      <c r="AWE49" s="12"/>
      <c r="AWF49" s="12"/>
      <c r="AWW49" s="12"/>
      <c r="AWX49" s="12"/>
      <c r="AXO49" s="12"/>
      <c r="AXP49" s="12"/>
      <c r="AYG49" s="12"/>
      <c r="AYH49" s="12"/>
      <c r="AYY49" s="12"/>
      <c r="AYZ49" s="12"/>
      <c r="AZQ49" s="12"/>
      <c r="AZR49" s="12"/>
      <c r="BAI49" s="12"/>
      <c r="BAJ49" s="12"/>
      <c r="BBA49" s="12"/>
      <c r="BBB49" s="12"/>
      <c r="BBS49" s="12"/>
      <c r="BBT49" s="12"/>
      <c r="BCK49" s="12"/>
      <c r="BCL49" s="12"/>
      <c r="BDC49" s="12"/>
      <c r="BDD49" s="12"/>
      <c r="BDU49" s="12"/>
      <c r="BDV49" s="12"/>
      <c r="BEM49" s="12"/>
      <c r="BEN49" s="12"/>
      <c r="BFE49" s="12"/>
      <c r="BFF49" s="12"/>
      <c r="BFW49" s="12"/>
      <c r="BFX49" s="12"/>
      <c r="BGO49" s="12"/>
      <c r="BGP49" s="12"/>
      <c r="BHG49" s="12"/>
      <c r="BHH49" s="12"/>
      <c r="BHY49" s="12"/>
      <c r="BHZ49" s="12"/>
      <c r="BIQ49" s="12"/>
      <c r="BIR49" s="12"/>
      <c r="BJI49" s="12"/>
      <c r="BJJ49" s="12"/>
      <c r="BKA49" s="12"/>
      <c r="BKB49" s="12"/>
      <c r="BKS49" s="12"/>
      <c r="BKT49" s="12"/>
      <c r="BLK49" s="12"/>
      <c r="BLL49" s="12"/>
      <c r="BMC49" s="12"/>
      <c r="BMD49" s="12"/>
      <c r="BMU49" s="12"/>
      <c r="BMV49" s="12"/>
      <c r="BNM49" s="12"/>
      <c r="BNN49" s="12"/>
      <c r="BOE49" s="12"/>
      <c r="BOF49" s="12"/>
      <c r="BOW49" s="12"/>
      <c r="BOX49" s="12"/>
      <c r="BPO49" s="12"/>
      <c r="BPP49" s="12"/>
      <c r="BQG49" s="12"/>
      <c r="BQH49" s="12"/>
      <c r="BQY49" s="12"/>
      <c r="BQZ49" s="12"/>
      <c r="BRQ49" s="12"/>
      <c r="BRR49" s="12"/>
      <c r="BSI49" s="12"/>
      <c r="BSJ49" s="12"/>
      <c r="BTA49" s="12"/>
      <c r="BTB49" s="12"/>
      <c r="BTS49" s="12"/>
      <c r="BTT49" s="12"/>
      <c r="BUK49" s="12"/>
      <c r="BUL49" s="12"/>
      <c r="BVC49" s="12"/>
      <c r="BVD49" s="12"/>
      <c r="BVU49" s="12"/>
      <c r="BVV49" s="12"/>
      <c r="BWM49" s="12"/>
      <c r="BWN49" s="12"/>
      <c r="BXE49" s="12"/>
      <c r="BXF49" s="12"/>
      <c r="BXW49" s="12"/>
      <c r="BXX49" s="12"/>
      <c r="BYO49" s="12"/>
      <c r="BYP49" s="12"/>
      <c r="BZG49" s="12"/>
      <c r="BZH49" s="12"/>
      <c r="BZY49" s="12"/>
      <c r="BZZ49" s="12"/>
      <c r="CAQ49" s="12"/>
      <c r="CAR49" s="12"/>
      <c r="CBI49" s="12"/>
      <c r="CBJ49" s="12"/>
      <c r="CCA49" s="12"/>
      <c r="CCB49" s="12"/>
      <c r="CCS49" s="12"/>
      <c r="CCT49" s="12"/>
      <c r="CDK49" s="12"/>
      <c r="CDL49" s="12"/>
      <c r="CEC49" s="12"/>
      <c r="CED49" s="12"/>
      <c r="CEU49" s="12"/>
      <c r="CEV49" s="12"/>
      <c r="CFM49" s="12"/>
      <c r="CFN49" s="12"/>
      <c r="CGE49" s="12"/>
      <c r="CGF49" s="12"/>
      <c r="CGW49" s="12"/>
      <c r="CGX49" s="12"/>
      <c r="CHO49" s="12"/>
      <c r="CHP49" s="12"/>
      <c r="CIG49" s="12"/>
      <c r="CIH49" s="12"/>
      <c r="CIY49" s="12"/>
      <c r="CIZ49" s="12"/>
      <c r="CJQ49" s="12"/>
      <c r="CJR49" s="12"/>
      <c r="CKI49" s="12"/>
      <c r="CKJ49" s="12"/>
      <c r="CLA49" s="12"/>
      <c r="CLB49" s="12"/>
      <c r="CLS49" s="12"/>
      <c r="CLT49" s="12"/>
      <c r="CMK49" s="12"/>
      <c r="CML49" s="12"/>
      <c r="CNC49" s="12"/>
      <c r="CND49" s="12"/>
      <c r="CNU49" s="12"/>
      <c r="CNV49" s="12"/>
      <c r="COM49" s="12"/>
      <c r="CON49" s="12"/>
      <c r="CPE49" s="12"/>
      <c r="CPF49" s="12"/>
      <c r="CPW49" s="12"/>
      <c r="CPX49" s="12"/>
      <c r="CQO49" s="12"/>
      <c r="CQP49" s="12"/>
      <c r="CRG49" s="12"/>
      <c r="CRH49" s="12"/>
      <c r="CRY49" s="12"/>
      <c r="CRZ49" s="12"/>
      <c r="CSQ49" s="12"/>
      <c r="CSR49" s="12"/>
      <c r="CTI49" s="12"/>
      <c r="CTJ49" s="12"/>
      <c r="CUA49" s="12"/>
      <c r="CUB49" s="12"/>
      <c r="CUS49" s="12"/>
      <c r="CUT49" s="12"/>
      <c r="CVK49" s="12"/>
      <c r="CVL49" s="12"/>
      <c r="CWC49" s="12"/>
      <c r="CWD49" s="12"/>
      <c r="CWU49" s="12"/>
      <c r="CWV49" s="12"/>
      <c r="CXM49" s="12"/>
      <c r="CXN49" s="12"/>
      <c r="CYE49" s="12"/>
      <c r="CYF49" s="12"/>
      <c r="CYW49" s="12"/>
      <c r="CYX49" s="12"/>
      <c r="CZO49" s="12"/>
      <c r="CZP49" s="12"/>
      <c r="DAG49" s="12"/>
      <c r="DAH49" s="12"/>
      <c r="DAY49" s="12"/>
      <c r="DAZ49" s="12"/>
      <c r="DBQ49" s="12"/>
      <c r="DBR49" s="12"/>
      <c r="DCI49" s="12"/>
      <c r="DCJ49" s="12"/>
      <c r="DDA49" s="12"/>
      <c r="DDB49" s="12"/>
      <c r="DDS49" s="12"/>
      <c r="DDT49" s="12"/>
      <c r="DEK49" s="12"/>
      <c r="DEL49" s="12"/>
      <c r="DFC49" s="12"/>
      <c r="DFD49" s="12"/>
      <c r="DFU49" s="12"/>
      <c r="DFV49" s="12"/>
      <c r="DGM49" s="12"/>
      <c r="DGN49" s="12"/>
      <c r="DHE49" s="12"/>
      <c r="DHF49" s="12"/>
      <c r="DHW49" s="12"/>
      <c r="DHX49" s="12"/>
      <c r="DIO49" s="12"/>
      <c r="DIP49" s="12"/>
      <c r="DJG49" s="12"/>
      <c r="DJH49" s="12"/>
      <c r="DJY49" s="12"/>
      <c r="DJZ49" s="12"/>
      <c r="DKQ49" s="12"/>
      <c r="DKR49" s="12"/>
      <c r="DLI49" s="12"/>
      <c r="DLJ49" s="12"/>
      <c r="DMA49" s="12"/>
      <c r="DMB49" s="12"/>
      <c r="DMS49" s="12"/>
      <c r="DMT49" s="12"/>
      <c r="DNK49" s="12"/>
      <c r="DNL49" s="12"/>
      <c r="DOC49" s="12"/>
      <c r="DOD49" s="12"/>
      <c r="DOU49" s="12"/>
      <c r="DOV49" s="12"/>
      <c r="DPM49" s="12"/>
      <c r="DPN49" s="12"/>
      <c r="DQE49" s="12"/>
      <c r="DQF49" s="12"/>
      <c r="DQW49" s="12"/>
      <c r="DQX49" s="12"/>
      <c r="DRO49" s="12"/>
      <c r="DRP49" s="12"/>
      <c r="DSG49" s="12"/>
      <c r="DSH49" s="12"/>
      <c r="DSY49" s="12"/>
      <c r="DSZ49" s="12"/>
      <c r="DTQ49" s="12"/>
      <c r="DTR49" s="12"/>
      <c r="DUI49" s="12"/>
      <c r="DUJ49" s="12"/>
      <c r="DVA49" s="12"/>
      <c r="DVB49" s="12"/>
      <c r="DVS49" s="12"/>
      <c r="DVT49" s="12"/>
      <c r="DWK49" s="12"/>
      <c r="DWL49" s="12"/>
      <c r="DXC49" s="12"/>
      <c r="DXD49" s="12"/>
      <c r="DXU49" s="12"/>
      <c r="DXV49" s="12"/>
      <c r="DYM49" s="12"/>
      <c r="DYN49" s="12"/>
      <c r="DZE49" s="12"/>
      <c r="DZF49" s="12"/>
      <c r="DZW49" s="12"/>
      <c r="DZX49" s="12"/>
      <c r="EAO49" s="12"/>
      <c r="EAP49" s="12"/>
      <c r="EBG49" s="12"/>
      <c r="EBH49" s="12"/>
      <c r="EBY49" s="12"/>
      <c r="EBZ49" s="12"/>
      <c r="ECQ49" s="12"/>
      <c r="ECR49" s="12"/>
      <c r="EDI49" s="12"/>
      <c r="EDJ49" s="12"/>
      <c r="EEA49" s="12"/>
      <c r="EEB49" s="12"/>
      <c r="EES49" s="12"/>
      <c r="EET49" s="12"/>
      <c r="EFK49" s="12"/>
      <c r="EFL49" s="12"/>
      <c r="EGC49" s="12"/>
      <c r="EGD49" s="12"/>
      <c r="EGU49" s="12"/>
      <c r="EGV49" s="12"/>
      <c r="EHM49" s="12"/>
      <c r="EHN49" s="12"/>
      <c r="EIE49" s="12"/>
      <c r="EIF49" s="12"/>
      <c r="EIW49" s="12"/>
      <c r="EIX49" s="12"/>
      <c r="EJO49" s="12"/>
      <c r="EJP49" s="12"/>
      <c r="EKG49" s="12"/>
      <c r="EKH49" s="12"/>
      <c r="EKY49" s="12"/>
      <c r="EKZ49" s="12"/>
      <c r="ELQ49" s="12"/>
      <c r="ELR49" s="12"/>
      <c r="EMI49" s="12"/>
      <c r="EMJ49" s="12"/>
      <c r="ENA49" s="12"/>
      <c r="ENB49" s="12"/>
      <c r="ENS49" s="12"/>
      <c r="ENT49" s="12"/>
      <c r="EOK49" s="12"/>
      <c r="EOL49" s="12"/>
      <c r="EPC49" s="12"/>
      <c r="EPD49" s="12"/>
      <c r="EPU49" s="12"/>
      <c r="EPV49" s="12"/>
      <c r="EQM49" s="12"/>
      <c r="EQN49" s="12"/>
      <c r="ERE49" s="12"/>
      <c r="ERF49" s="12"/>
      <c r="ERW49" s="12"/>
      <c r="ERX49" s="12"/>
      <c r="ESO49" s="12"/>
      <c r="ESP49" s="12"/>
      <c r="ETG49" s="12"/>
      <c r="ETH49" s="12"/>
      <c r="ETY49" s="12"/>
      <c r="ETZ49" s="12"/>
      <c r="EUQ49" s="12"/>
      <c r="EUR49" s="12"/>
      <c r="EVI49" s="12"/>
      <c r="EVJ49" s="12"/>
      <c r="EWA49" s="12"/>
      <c r="EWB49" s="12"/>
      <c r="EWS49" s="12"/>
      <c r="EWT49" s="12"/>
      <c r="EXK49" s="12"/>
      <c r="EXL49" s="12"/>
      <c r="EYC49" s="12"/>
      <c r="EYD49" s="12"/>
      <c r="EYU49" s="12"/>
      <c r="EYV49" s="12"/>
      <c r="EZM49" s="12"/>
      <c r="EZN49" s="12"/>
      <c r="FAE49" s="12"/>
      <c r="FAF49" s="12"/>
      <c r="FAW49" s="12"/>
      <c r="FAX49" s="12"/>
      <c r="FBO49" s="12"/>
      <c r="FBP49" s="12"/>
      <c r="FCG49" s="12"/>
      <c r="FCH49" s="12"/>
      <c r="FCY49" s="12"/>
      <c r="FCZ49" s="12"/>
      <c r="FDQ49" s="12"/>
      <c r="FDR49" s="12"/>
      <c r="FEI49" s="12"/>
      <c r="FEJ49" s="12"/>
      <c r="FFA49" s="12"/>
      <c r="FFB49" s="12"/>
      <c r="FFS49" s="12"/>
      <c r="FFT49" s="12"/>
      <c r="FGK49" s="12"/>
      <c r="FGL49" s="12"/>
      <c r="FHC49" s="12"/>
      <c r="FHD49" s="12"/>
      <c r="FHU49" s="12"/>
      <c r="FHV49" s="12"/>
      <c r="FIM49" s="12"/>
      <c r="FIN49" s="12"/>
      <c r="FJE49" s="12"/>
      <c r="FJF49" s="12"/>
      <c r="FJW49" s="12"/>
      <c r="FJX49" s="12"/>
      <c r="FKO49" s="12"/>
      <c r="FKP49" s="12"/>
      <c r="FLG49" s="12"/>
      <c r="FLH49" s="12"/>
      <c r="FLY49" s="12"/>
      <c r="FLZ49" s="12"/>
      <c r="FMQ49" s="12"/>
      <c r="FMR49" s="12"/>
      <c r="FNI49" s="12"/>
      <c r="FNJ49" s="12"/>
      <c r="FOA49" s="12"/>
      <c r="FOB49" s="12"/>
      <c r="FOS49" s="12"/>
      <c r="FOT49" s="12"/>
      <c r="FPK49" s="12"/>
      <c r="FPL49" s="12"/>
      <c r="FQC49" s="12"/>
      <c r="FQD49" s="12"/>
      <c r="FQU49" s="12"/>
      <c r="FQV49" s="12"/>
      <c r="FRM49" s="12"/>
      <c r="FRN49" s="12"/>
      <c r="FSE49" s="12"/>
      <c r="FSF49" s="12"/>
      <c r="FSW49" s="12"/>
      <c r="FSX49" s="12"/>
      <c r="FTO49" s="12"/>
      <c r="FTP49" s="12"/>
      <c r="FUG49" s="12"/>
      <c r="FUH49" s="12"/>
      <c r="FUY49" s="12"/>
      <c r="FUZ49" s="12"/>
      <c r="FVQ49" s="12"/>
      <c r="FVR49" s="12"/>
      <c r="FWI49" s="12"/>
      <c r="FWJ49" s="12"/>
      <c r="FXA49" s="12"/>
      <c r="FXB49" s="12"/>
      <c r="FXS49" s="12"/>
      <c r="FXT49" s="12"/>
      <c r="FYK49" s="12"/>
      <c r="FYL49" s="12"/>
      <c r="FZC49" s="12"/>
      <c r="FZD49" s="12"/>
      <c r="FZU49" s="12"/>
      <c r="FZV49" s="12"/>
      <c r="GAM49" s="12"/>
      <c r="GAN49" s="12"/>
      <c r="GBE49" s="12"/>
      <c r="GBF49" s="12"/>
      <c r="GBW49" s="12"/>
      <c r="GBX49" s="12"/>
      <c r="GCO49" s="12"/>
      <c r="GCP49" s="12"/>
      <c r="GDG49" s="12"/>
      <c r="GDH49" s="12"/>
      <c r="GDY49" s="12"/>
      <c r="GDZ49" s="12"/>
      <c r="GEQ49" s="12"/>
      <c r="GER49" s="12"/>
      <c r="GFI49" s="12"/>
      <c r="GFJ49" s="12"/>
      <c r="GGA49" s="12"/>
      <c r="GGB49" s="12"/>
      <c r="GGS49" s="12"/>
      <c r="GGT49" s="12"/>
      <c r="GHK49" s="12"/>
      <c r="GHL49" s="12"/>
      <c r="GIC49" s="12"/>
      <c r="GID49" s="12"/>
      <c r="GIU49" s="12"/>
      <c r="GIV49" s="12"/>
      <c r="GJM49" s="12"/>
      <c r="GJN49" s="12"/>
      <c r="GKE49" s="12"/>
      <c r="GKF49" s="12"/>
      <c r="GKW49" s="12"/>
      <c r="GKX49" s="12"/>
      <c r="GLO49" s="12"/>
      <c r="GLP49" s="12"/>
      <c r="GMG49" s="12"/>
      <c r="GMH49" s="12"/>
      <c r="GMY49" s="12"/>
      <c r="GMZ49" s="12"/>
      <c r="GNQ49" s="12"/>
      <c r="GNR49" s="12"/>
      <c r="GOI49" s="12"/>
      <c r="GOJ49" s="12"/>
      <c r="GPA49" s="12"/>
      <c r="GPB49" s="12"/>
      <c r="GPS49" s="12"/>
      <c r="GPT49" s="12"/>
      <c r="GQK49" s="12"/>
      <c r="GQL49" s="12"/>
      <c r="GRC49" s="12"/>
      <c r="GRD49" s="12"/>
      <c r="GRU49" s="12"/>
      <c r="GRV49" s="12"/>
      <c r="GSM49" s="12"/>
      <c r="GSN49" s="12"/>
      <c r="GTE49" s="12"/>
      <c r="GTF49" s="12"/>
      <c r="GTW49" s="12"/>
      <c r="GTX49" s="12"/>
      <c r="GUO49" s="12"/>
      <c r="GUP49" s="12"/>
      <c r="GVG49" s="12"/>
      <c r="GVH49" s="12"/>
      <c r="GVY49" s="12"/>
      <c r="GVZ49" s="12"/>
      <c r="GWQ49" s="12"/>
      <c r="GWR49" s="12"/>
      <c r="GXI49" s="12"/>
      <c r="GXJ49" s="12"/>
      <c r="GYA49" s="12"/>
      <c r="GYB49" s="12"/>
      <c r="GYS49" s="12"/>
      <c r="GYT49" s="12"/>
      <c r="GZK49" s="12"/>
      <c r="GZL49" s="12"/>
      <c r="HAC49" s="12"/>
      <c r="HAD49" s="12"/>
      <c r="HAU49" s="12"/>
      <c r="HAV49" s="12"/>
      <c r="HBM49" s="12"/>
      <c r="HBN49" s="12"/>
      <c r="HCE49" s="12"/>
      <c r="HCF49" s="12"/>
      <c r="HCW49" s="12"/>
      <c r="HCX49" s="12"/>
      <c r="HDO49" s="12"/>
      <c r="HDP49" s="12"/>
      <c r="HEG49" s="12"/>
      <c r="HEH49" s="12"/>
      <c r="HEY49" s="12"/>
      <c r="HEZ49" s="12"/>
      <c r="HFQ49" s="12"/>
      <c r="HFR49" s="12"/>
      <c r="HGI49" s="12"/>
      <c r="HGJ49" s="12"/>
      <c r="HHA49" s="12"/>
      <c r="HHB49" s="12"/>
      <c r="HHS49" s="12"/>
      <c r="HHT49" s="12"/>
      <c r="HIK49" s="12"/>
      <c r="HIL49" s="12"/>
      <c r="HJC49" s="12"/>
      <c r="HJD49" s="12"/>
      <c r="HJU49" s="12"/>
      <c r="HJV49" s="12"/>
      <c r="HKM49" s="12"/>
      <c r="HKN49" s="12"/>
      <c r="HLE49" s="12"/>
      <c r="HLF49" s="12"/>
      <c r="HLW49" s="12"/>
      <c r="HLX49" s="12"/>
      <c r="HMO49" s="12"/>
      <c r="HMP49" s="12"/>
      <c r="HNG49" s="12"/>
      <c r="HNH49" s="12"/>
      <c r="HNY49" s="12"/>
      <c r="HNZ49" s="12"/>
      <c r="HOQ49" s="12"/>
      <c r="HOR49" s="12"/>
      <c r="HPI49" s="12"/>
      <c r="HPJ49" s="12"/>
      <c r="HQA49" s="12"/>
      <c r="HQB49" s="12"/>
      <c r="HQS49" s="12"/>
      <c r="HQT49" s="12"/>
      <c r="HRK49" s="12"/>
      <c r="HRL49" s="12"/>
      <c r="HSC49" s="12"/>
      <c r="HSD49" s="12"/>
      <c r="HSU49" s="12"/>
      <c r="HSV49" s="12"/>
      <c r="HTM49" s="12"/>
      <c r="HTN49" s="12"/>
      <c r="HUE49" s="12"/>
      <c r="HUF49" s="12"/>
      <c r="HUW49" s="12"/>
      <c r="HUX49" s="12"/>
      <c r="HVO49" s="12"/>
      <c r="HVP49" s="12"/>
      <c r="HWG49" s="12"/>
      <c r="HWH49" s="12"/>
      <c r="HWY49" s="12"/>
      <c r="HWZ49" s="12"/>
      <c r="HXQ49" s="12"/>
      <c r="HXR49" s="12"/>
      <c r="HYI49" s="12"/>
      <c r="HYJ49" s="12"/>
      <c r="HZA49" s="12"/>
      <c r="HZB49" s="12"/>
      <c r="HZS49" s="12"/>
      <c r="HZT49" s="12"/>
      <c r="IAK49" s="12"/>
      <c r="IAL49" s="12"/>
      <c r="IBC49" s="12"/>
      <c r="IBD49" s="12"/>
      <c r="IBU49" s="12"/>
      <c r="IBV49" s="12"/>
      <c r="ICM49" s="12"/>
      <c r="ICN49" s="12"/>
      <c r="IDE49" s="12"/>
      <c r="IDF49" s="12"/>
      <c r="IDW49" s="12"/>
      <c r="IDX49" s="12"/>
      <c r="IEO49" s="12"/>
      <c r="IEP49" s="12"/>
      <c r="IFG49" s="12"/>
      <c r="IFH49" s="12"/>
      <c r="IFY49" s="12"/>
      <c r="IFZ49" s="12"/>
      <c r="IGQ49" s="12"/>
      <c r="IGR49" s="12"/>
      <c r="IHI49" s="12"/>
      <c r="IHJ49" s="12"/>
      <c r="IIA49" s="12"/>
      <c r="IIB49" s="12"/>
      <c r="IIS49" s="12"/>
      <c r="IIT49" s="12"/>
      <c r="IJK49" s="12"/>
      <c r="IJL49" s="12"/>
      <c r="IKC49" s="12"/>
      <c r="IKD49" s="12"/>
      <c r="IKU49" s="12"/>
      <c r="IKV49" s="12"/>
      <c r="ILM49" s="12"/>
      <c r="ILN49" s="12"/>
      <c r="IME49" s="12"/>
      <c r="IMF49" s="12"/>
      <c r="IMW49" s="12"/>
      <c r="IMX49" s="12"/>
      <c r="INO49" s="12"/>
      <c r="INP49" s="12"/>
      <c r="IOG49" s="12"/>
      <c r="IOH49" s="12"/>
      <c r="IOY49" s="12"/>
      <c r="IOZ49" s="12"/>
      <c r="IPQ49" s="12"/>
      <c r="IPR49" s="12"/>
      <c r="IQI49" s="12"/>
      <c r="IQJ49" s="12"/>
      <c r="IRA49" s="12"/>
      <c r="IRB49" s="12"/>
      <c r="IRS49" s="12"/>
      <c r="IRT49" s="12"/>
      <c r="ISK49" s="12"/>
      <c r="ISL49" s="12"/>
      <c r="ITC49" s="12"/>
      <c r="ITD49" s="12"/>
      <c r="ITU49" s="12"/>
      <c r="ITV49" s="12"/>
      <c r="IUM49" s="12"/>
      <c r="IUN49" s="12"/>
      <c r="IVE49" s="12"/>
      <c r="IVF49" s="12"/>
      <c r="IVW49" s="12"/>
      <c r="IVX49" s="12"/>
      <c r="IWO49" s="12"/>
      <c r="IWP49" s="12"/>
      <c r="IXG49" s="12"/>
      <c r="IXH49" s="12"/>
      <c r="IXY49" s="12"/>
      <c r="IXZ49" s="12"/>
      <c r="IYQ49" s="12"/>
      <c r="IYR49" s="12"/>
      <c r="IZI49" s="12"/>
      <c r="IZJ49" s="12"/>
      <c r="JAA49" s="12"/>
      <c r="JAB49" s="12"/>
      <c r="JAS49" s="12"/>
      <c r="JAT49" s="12"/>
      <c r="JBK49" s="12"/>
      <c r="JBL49" s="12"/>
      <c r="JCC49" s="12"/>
      <c r="JCD49" s="12"/>
      <c r="JCU49" s="12"/>
      <c r="JCV49" s="12"/>
      <c r="JDM49" s="12"/>
      <c r="JDN49" s="12"/>
      <c r="JEE49" s="12"/>
      <c r="JEF49" s="12"/>
      <c r="JEW49" s="12"/>
      <c r="JEX49" s="12"/>
      <c r="JFO49" s="12"/>
      <c r="JFP49" s="12"/>
      <c r="JGG49" s="12"/>
      <c r="JGH49" s="12"/>
      <c r="JGY49" s="12"/>
      <c r="JGZ49" s="12"/>
      <c r="JHQ49" s="12"/>
      <c r="JHR49" s="12"/>
      <c r="JII49" s="12"/>
      <c r="JIJ49" s="12"/>
      <c r="JJA49" s="12"/>
      <c r="JJB49" s="12"/>
      <c r="JJS49" s="12"/>
      <c r="JJT49" s="12"/>
      <c r="JKK49" s="12"/>
      <c r="JKL49" s="12"/>
      <c r="JLC49" s="12"/>
      <c r="JLD49" s="12"/>
      <c r="JLU49" s="12"/>
      <c r="JLV49" s="12"/>
      <c r="JMM49" s="12"/>
      <c r="JMN49" s="12"/>
      <c r="JNE49" s="12"/>
      <c r="JNF49" s="12"/>
      <c r="JNW49" s="12"/>
      <c r="JNX49" s="12"/>
      <c r="JOO49" s="12"/>
      <c r="JOP49" s="12"/>
      <c r="JPG49" s="12"/>
      <c r="JPH49" s="12"/>
      <c r="JPY49" s="12"/>
      <c r="JPZ49" s="12"/>
      <c r="JQQ49" s="12"/>
      <c r="JQR49" s="12"/>
      <c r="JRI49" s="12"/>
      <c r="JRJ49" s="12"/>
      <c r="JSA49" s="12"/>
      <c r="JSB49" s="12"/>
      <c r="JSS49" s="12"/>
      <c r="JST49" s="12"/>
      <c r="JTK49" s="12"/>
      <c r="JTL49" s="12"/>
      <c r="JUC49" s="12"/>
      <c r="JUD49" s="12"/>
      <c r="JUU49" s="12"/>
      <c r="JUV49" s="12"/>
      <c r="JVM49" s="12"/>
      <c r="JVN49" s="12"/>
      <c r="JWE49" s="12"/>
      <c r="JWF49" s="12"/>
      <c r="JWW49" s="12"/>
      <c r="JWX49" s="12"/>
      <c r="JXO49" s="12"/>
      <c r="JXP49" s="12"/>
      <c r="JYG49" s="12"/>
      <c r="JYH49" s="12"/>
      <c r="JYY49" s="12"/>
      <c r="JYZ49" s="12"/>
      <c r="JZQ49" s="12"/>
      <c r="JZR49" s="12"/>
      <c r="KAI49" s="12"/>
      <c r="KAJ49" s="12"/>
      <c r="KBA49" s="12"/>
      <c r="KBB49" s="12"/>
      <c r="KBS49" s="12"/>
      <c r="KBT49" s="12"/>
      <c r="KCK49" s="12"/>
      <c r="KCL49" s="12"/>
      <c r="KDC49" s="12"/>
      <c r="KDD49" s="12"/>
      <c r="KDU49" s="12"/>
      <c r="KDV49" s="12"/>
      <c r="KEM49" s="12"/>
      <c r="KEN49" s="12"/>
      <c r="KFE49" s="12"/>
      <c r="KFF49" s="12"/>
      <c r="KFW49" s="12"/>
      <c r="KFX49" s="12"/>
      <c r="KGO49" s="12"/>
      <c r="KGP49" s="12"/>
      <c r="KHG49" s="12"/>
      <c r="KHH49" s="12"/>
      <c r="KHY49" s="12"/>
      <c r="KHZ49" s="12"/>
      <c r="KIQ49" s="12"/>
      <c r="KIR49" s="12"/>
      <c r="KJI49" s="12"/>
      <c r="KJJ49" s="12"/>
      <c r="KKA49" s="12"/>
      <c r="KKB49" s="12"/>
      <c r="KKS49" s="12"/>
      <c r="KKT49" s="12"/>
      <c r="KLK49" s="12"/>
      <c r="KLL49" s="12"/>
      <c r="KMC49" s="12"/>
      <c r="KMD49" s="12"/>
      <c r="KMU49" s="12"/>
      <c r="KMV49" s="12"/>
      <c r="KNM49" s="12"/>
      <c r="KNN49" s="12"/>
      <c r="KOE49" s="12"/>
      <c r="KOF49" s="12"/>
      <c r="KOW49" s="12"/>
      <c r="KOX49" s="12"/>
      <c r="KPO49" s="12"/>
      <c r="KPP49" s="12"/>
      <c r="KQG49" s="12"/>
      <c r="KQH49" s="12"/>
      <c r="KQY49" s="12"/>
      <c r="KQZ49" s="12"/>
      <c r="KRQ49" s="12"/>
      <c r="KRR49" s="12"/>
      <c r="KSI49" s="12"/>
      <c r="KSJ49" s="12"/>
      <c r="KTA49" s="12"/>
      <c r="KTB49" s="12"/>
      <c r="KTS49" s="12"/>
      <c r="KTT49" s="12"/>
      <c r="KUK49" s="12"/>
      <c r="KUL49" s="12"/>
      <c r="KVC49" s="12"/>
      <c r="KVD49" s="12"/>
      <c r="KVU49" s="12"/>
      <c r="KVV49" s="12"/>
      <c r="KWM49" s="12"/>
      <c r="KWN49" s="12"/>
      <c r="KXE49" s="12"/>
      <c r="KXF49" s="12"/>
      <c r="KXW49" s="12"/>
      <c r="KXX49" s="12"/>
      <c r="KYO49" s="12"/>
      <c r="KYP49" s="12"/>
      <c r="KZG49" s="12"/>
      <c r="KZH49" s="12"/>
      <c r="KZY49" s="12"/>
      <c r="KZZ49" s="12"/>
      <c r="LAQ49" s="12"/>
      <c r="LAR49" s="12"/>
      <c r="LBI49" s="12"/>
      <c r="LBJ49" s="12"/>
      <c r="LCA49" s="12"/>
      <c r="LCB49" s="12"/>
      <c r="LCS49" s="12"/>
      <c r="LCT49" s="12"/>
      <c r="LDK49" s="12"/>
      <c r="LDL49" s="12"/>
      <c r="LEC49" s="12"/>
      <c r="LED49" s="12"/>
      <c r="LEU49" s="12"/>
      <c r="LEV49" s="12"/>
      <c r="LFM49" s="12"/>
      <c r="LFN49" s="12"/>
      <c r="LGE49" s="12"/>
      <c r="LGF49" s="12"/>
      <c r="LGW49" s="12"/>
      <c r="LGX49" s="12"/>
      <c r="LHO49" s="12"/>
      <c r="LHP49" s="12"/>
      <c r="LIG49" s="12"/>
      <c r="LIH49" s="12"/>
      <c r="LIY49" s="12"/>
      <c r="LIZ49" s="12"/>
      <c r="LJQ49" s="12"/>
      <c r="LJR49" s="12"/>
      <c r="LKI49" s="12"/>
      <c r="LKJ49" s="12"/>
      <c r="LLA49" s="12"/>
      <c r="LLB49" s="12"/>
      <c r="LLS49" s="12"/>
      <c r="LLT49" s="12"/>
      <c r="LMK49" s="12"/>
      <c r="LML49" s="12"/>
      <c r="LNC49" s="12"/>
      <c r="LND49" s="12"/>
      <c r="LNU49" s="12"/>
      <c r="LNV49" s="12"/>
      <c r="LOM49" s="12"/>
      <c r="LON49" s="12"/>
      <c r="LPE49" s="12"/>
      <c r="LPF49" s="12"/>
      <c r="LPW49" s="12"/>
      <c r="LPX49" s="12"/>
      <c r="LQO49" s="12"/>
      <c r="LQP49" s="12"/>
      <c r="LRG49" s="12"/>
      <c r="LRH49" s="12"/>
      <c r="LRY49" s="12"/>
      <c r="LRZ49" s="12"/>
      <c r="LSQ49" s="12"/>
      <c r="LSR49" s="12"/>
      <c r="LTI49" s="12"/>
      <c r="LTJ49" s="12"/>
      <c r="LUA49" s="12"/>
      <c r="LUB49" s="12"/>
      <c r="LUS49" s="12"/>
      <c r="LUT49" s="12"/>
      <c r="LVK49" s="12"/>
      <c r="LVL49" s="12"/>
      <c r="LWC49" s="12"/>
      <c r="LWD49" s="12"/>
      <c r="LWU49" s="12"/>
      <c r="LWV49" s="12"/>
      <c r="LXM49" s="12"/>
      <c r="LXN49" s="12"/>
      <c r="LYE49" s="12"/>
      <c r="LYF49" s="12"/>
      <c r="LYW49" s="12"/>
      <c r="LYX49" s="12"/>
      <c r="LZO49" s="12"/>
      <c r="LZP49" s="12"/>
      <c r="MAG49" s="12"/>
      <c r="MAH49" s="12"/>
      <c r="MAY49" s="12"/>
      <c r="MAZ49" s="12"/>
      <c r="MBQ49" s="12"/>
      <c r="MBR49" s="12"/>
      <c r="MCI49" s="12"/>
      <c r="MCJ49" s="12"/>
      <c r="MDA49" s="12"/>
      <c r="MDB49" s="12"/>
      <c r="MDS49" s="12"/>
      <c r="MDT49" s="12"/>
      <c r="MEK49" s="12"/>
      <c r="MEL49" s="12"/>
      <c r="MFC49" s="12"/>
      <c r="MFD49" s="12"/>
      <c r="MFU49" s="12"/>
      <c r="MFV49" s="12"/>
      <c r="MGM49" s="12"/>
      <c r="MGN49" s="12"/>
      <c r="MHE49" s="12"/>
      <c r="MHF49" s="12"/>
      <c r="MHW49" s="12"/>
      <c r="MHX49" s="12"/>
      <c r="MIO49" s="12"/>
      <c r="MIP49" s="12"/>
      <c r="MJG49" s="12"/>
      <c r="MJH49" s="12"/>
      <c r="MJY49" s="12"/>
      <c r="MJZ49" s="12"/>
      <c r="MKQ49" s="12"/>
      <c r="MKR49" s="12"/>
      <c r="MLI49" s="12"/>
      <c r="MLJ49" s="12"/>
      <c r="MMA49" s="12"/>
      <c r="MMB49" s="12"/>
      <c r="MMS49" s="12"/>
      <c r="MMT49" s="12"/>
      <c r="MNK49" s="12"/>
      <c r="MNL49" s="12"/>
      <c r="MOC49" s="12"/>
      <c r="MOD49" s="12"/>
      <c r="MOU49" s="12"/>
      <c r="MOV49" s="12"/>
      <c r="MPM49" s="12"/>
      <c r="MPN49" s="12"/>
      <c r="MQE49" s="12"/>
      <c r="MQF49" s="12"/>
      <c r="MQW49" s="12"/>
      <c r="MQX49" s="12"/>
      <c r="MRO49" s="12"/>
      <c r="MRP49" s="12"/>
      <c r="MSG49" s="12"/>
      <c r="MSH49" s="12"/>
      <c r="MSY49" s="12"/>
      <c r="MSZ49" s="12"/>
      <c r="MTQ49" s="12"/>
      <c r="MTR49" s="12"/>
      <c r="MUI49" s="12"/>
      <c r="MUJ49" s="12"/>
      <c r="MVA49" s="12"/>
      <c r="MVB49" s="12"/>
      <c r="MVS49" s="12"/>
      <c r="MVT49" s="12"/>
      <c r="MWK49" s="12"/>
      <c r="MWL49" s="12"/>
      <c r="MXC49" s="12"/>
      <c r="MXD49" s="12"/>
      <c r="MXU49" s="12"/>
      <c r="MXV49" s="12"/>
      <c r="MYM49" s="12"/>
      <c r="MYN49" s="12"/>
      <c r="MZE49" s="12"/>
      <c r="MZF49" s="12"/>
      <c r="MZW49" s="12"/>
      <c r="MZX49" s="12"/>
      <c r="NAO49" s="12"/>
      <c r="NAP49" s="12"/>
      <c r="NBG49" s="12"/>
      <c r="NBH49" s="12"/>
      <c r="NBY49" s="12"/>
      <c r="NBZ49" s="12"/>
      <c r="NCQ49" s="12"/>
      <c r="NCR49" s="12"/>
      <c r="NDI49" s="12"/>
      <c r="NDJ49" s="12"/>
      <c r="NEA49" s="12"/>
      <c r="NEB49" s="12"/>
      <c r="NES49" s="12"/>
      <c r="NET49" s="12"/>
      <c r="NFK49" s="12"/>
      <c r="NFL49" s="12"/>
      <c r="NGC49" s="12"/>
      <c r="NGD49" s="12"/>
      <c r="NGU49" s="12"/>
      <c r="NGV49" s="12"/>
      <c r="NHM49" s="12"/>
      <c r="NHN49" s="12"/>
      <c r="NIE49" s="12"/>
      <c r="NIF49" s="12"/>
      <c r="NIW49" s="12"/>
      <c r="NIX49" s="12"/>
      <c r="NJO49" s="12"/>
      <c r="NJP49" s="12"/>
      <c r="NKG49" s="12"/>
      <c r="NKH49" s="12"/>
      <c r="NKY49" s="12"/>
      <c r="NKZ49" s="12"/>
      <c r="NLQ49" s="12"/>
      <c r="NLR49" s="12"/>
      <c r="NMI49" s="12"/>
      <c r="NMJ49" s="12"/>
      <c r="NNA49" s="12"/>
      <c r="NNB49" s="12"/>
      <c r="NNS49" s="12"/>
      <c r="NNT49" s="12"/>
      <c r="NOK49" s="12"/>
      <c r="NOL49" s="12"/>
      <c r="NPC49" s="12"/>
      <c r="NPD49" s="12"/>
      <c r="NPU49" s="12"/>
      <c r="NPV49" s="12"/>
      <c r="NQM49" s="12"/>
      <c r="NQN49" s="12"/>
      <c r="NRE49" s="12"/>
      <c r="NRF49" s="12"/>
      <c r="NRW49" s="12"/>
      <c r="NRX49" s="12"/>
      <c r="NSO49" s="12"/>
      <c r="NSP49" s="12"/>
      <c r="NTG49" s="12"/>
      <c r="NTH49" s="12"/>
      <c r="NTY49" s="12"/>
      <c r="NTZ49" s="12"/>
      <c r="NUQ49" s="12"/>
      <c r="NUR49" s="12"/>
      <c r="NVI49" s="12"/>
      <c r="NVJ49" s="12"/>
      <c r="NWA49" s="12"/>
      <c r="NWB49" s="12"/>
      <c r="NWS49" s="12"/>
      <c r="NWT49" s="12"/>
      <c r="NXK49" s="12"/>
      <c r="NXL49" s="12"/>
      <c r="NYC49" s="12"/>
      <c r="NYD49" s="12"/>
      <c r="NYU49" s="12"/>
      <c r="NYV49" s="12"/>
      <c r="NZM49" s="12"/>
      <c r="NZN49" s="12"/>
      <c r="OAE49" s="12"/>
      <c r="OAF49" s="12"/>
      <c r="OAW49" s="12"/>
      <c r="OAX49" s="12"/>
      <c r="OBO49" s="12"/>
      <c r="OBP49" s="12"/>
      <c r="OCG49" s="12"/>
      <c r="OCH49" s="12"/>
      <c r="OCY49" s="12"/>
      <c r="OCZ49" s="12"/>
      <c r="ODQ49" s="12"/>
      <c r="ODR49" s="12"/>
      <c r="OEI49" s="12"/>
      <c r="OEJ49" s="12"/>
      <c r="OFA49" s="12"/>
      <c r="OFB49" s="12"/>
      <c r="OFS49" s="12"/>
      <c r="OFT49" s="12"/>
      <c r="OGK49" s="12"/>
      <c r="OGL49" s="12"/>
      <c r="OHC49" s="12"/>
      <c r="OHD49" s="12"/>
      <c r="OHU49" s="12"/>
      <c r="OHV49" s="12"/>
      <c r="OIM49" s="12"/>
      <c r="OIN49" s="12"/>
      <c r="OJE49" s="12"/>
      <c r="OJF49" s="12"/>
      <c r="OJW49" s="12"/>
      <c r="OJX49" s="12"/>
      <c r="OKO49" s="12"/>
      <c r="OKP49" s="12"/>
      <c r="OLG49" s="12"/>
      <c r="OLH49" s="12"/>
      <c r="OLY49" s="12"/>
      <c r="OLZ49" s="12"/>
      <c r="OMQ49" s="12"/>
      <c r="OMR49" s="12"/>
      <c r="ONI49" s="12"/>
      <c r="ONJ49" s="12"/>
      <c r="OOA49" s="12"/>
      <c r="OOB49" s="12"/>
      <c r="OOS49" s="12"/>
      <c r="OOT49" s="12"/>
      <c r="OPK49" s="12"/>
      <c r="OPL49" s="12"/>
      <c r="OQC49" s="12"/>
      <c r="OQD49" s="12"/>
      <c r="OQU49" s="12"/>
      <c r="OQV49" s="12"/>
      <c r="ORM49" s="12"/>
      <c r="ORN49" s="12"/>
      <c r="OSE49" s="12"/>
      <c r="OSF49" s="12"/>
      <c r="OSW49" s="12"/>
      <c r="OSX49" s="12"/>
      <c r="OTO49" s="12"/>
      <c r="OTP49" s="12"/>
      <c r="OUG49" s="12"/>
      <c r="OUH49" s="12"/>
      <c r="OUY49" s="12"/>
      <c r="OUZ49" s="12"/>
      <c r="OVQ49" s="12"/>
      <c r="OVR49" s="12"/>
      <c r="OWI49" s="12"/>
      <c r="OWJ49" s="12"/>
      <c r="OXA49" s="12"/>
      <c r="OXB49" s="12"/>
      <c r="OXS49" s="12"/>
      <c r="OXT49" s="12"/>
      <c r="OYK49" s="12"/>
      <c r="OYL49" s="12"/>
      <c r="OZC49" s="12"/>
      <c r="OZD49" s="12"/>
      <c r="OZU49" s="12"/>
      <c r="OZV49" s="12"/>
      <c r="PAM49" s="12"/>
      <c r="PAN49" s="12"/>
      <c r="PBE49" s="12"/>
      <c r="PBF49" s="12"/>
      <c r="PBW49" s="12"/>
      <c r="PBX49" s="12"/>
      <c r="PCO49" s="12"/>
      <c r="PCP49" s="12"/>
      <c r="PDG49" s="12"/>
      <c r="PDH49" s="12"/>
      <c r="PDY49" s="12"/>
      <c r="PDZ49" s="12"/>
      <c r="PEQ49" s="12"/>
      <c r="PER49" s="12"/>
      <c r="PFI49" s="12"/>
      <c r="PFJ49" s="12"/>
      <c r="PGA49" s="12"/>
      <c r="PGB49" s="12"/>
      <c r="PGS49" s="12"/>
      <c r="PGT49" s="12"/>
      <c r="PHK49" s="12"/>
      <c r="PHL49" s="12"/>
      <c r="PIC49" s="12"/>
      <c r="PID49" s="12"/>
      <c r="PIU49" s="12"/>
      <c r="PIV49" s="12"/>
      <c r="PJM49" s="12"/>
      <c r="PJN49" s="12"/>
      <c r="PKE49" s="12"/>
      <c r="PKF49" s="12"/>
      <c r="PKW49" s="12"/>
      <c r="PKX49" s="12"/>
      <c r="PLO49" s="12"/>
      <c r="PLP49" s="12"/>
      <c r="PMG49" s="12"/>
      <c r="PMH49" s="12"/>
      <c r="PMY49" s="12"/>
      <c r="PMZ49" s="12"/>
      <c r="PNQ49" s="12"/>
      <c r="PNR49" s="12"/>
      <c r="POI49" s="12"/>
      <c r="POJ49" s="12"/>
      <c r="PPA49" s="12"/>
      <c r="PPB49" s="12"/>
      <c r="PPS49" s="12"/>
      <c r="PPT49" s="12"/>
      <c r="PQK49" s="12"/>
      <c r="PQL49" s="12"/>
      <c r="PRC49" s="12"/>
      <c r="PRD49" s="12"/>
      <c r="PRU49" s="12"/>
      <c r="PRV49" s="12"/>
      <c r="PSM49" s="12"/>
      <c r="PSN49" s="12"/>
      <c r="PTE49" s="12"/>
      <c r="PTF49" s="12"/>
      <c r="PTW49" s="12"/>
      <c r="PTX49" s="12"/>
      <c r="PUO49" s="12"/>
      <c r="PUP49" s="12"/>
      <c r="PVG49" s="12"/>
      <c r="PVH49" s="12"/>
      <c r="PVY49" s="12"/>
      <c r="PVZ49" s="12"/>
      <c r="PWQ49" s="12"/>
      <c r="PWR49" s="12"/>
      <c r="PXI49" s="12"/>
      <c r="PXJ49" s="12"/>
      <c r="PYA49" s="12"/>
      <c r="PYB49" s="12"/>
      <c r="PYS49" s="12"/>
      <c r="PYT49" s="12"/>
      <c r="PZK49" s="12"/>
      <c r="PZL49" s="12"/>
      <c r="QAC49" s="12"/>
      <c r="QAD49" s="12"/>
      <c r="QAU49" s="12"/>
      <c r="QAV49" s="12"/>
      <c r="QBM49" s="12"/>
      <c r="QBN49" s="12"/>
      <c r="QCE49" s="12"/>
      <c r="QCF49" s="12"/>
      <c r="QCW49" s="12"/>
      <c r="QCX49" s="12"/>
      <c r="QDO49" s="12"/>
      <c r="QDP49" s="12"/>
      <c r="QEG49" s="12"/>
      <c r="QEH49" s="12"/>
      <c r="QEY49" s="12"/>
      <c r="QEZ49" s="12"/>
      <c r="QFQ49" s="12"/>
      <c r="QFR49" s="12"/>
      <c r="QGI49" s="12"/>
      <c r="QGJ49" s="12"/>
      <c r="QHA49" s="12"/>
      <c r="QHB49" s="12"/>
      <c r="QHS49" s="12"/>
      <c r="QHT49" s="12"/>
      <c r="QIK49" s="12"/>
      <c r="QIL49" s="12"/>
      <c r="QJC49" s="12"/>
      <c r="QJD49" s="12"/>
      <c r="QJU49" s="12"/>
      <c r="QJV49" s="12"/>
      <c r="QKM49" s="12"/>
      <c r="QKN49" s="12"/>
      <c r="QLE49" s="12"/>
      <c r="QLF49" s="12"/>
      <c r="QLW49" s="12"/>
      <c r="QLX49" s="12"/>
      <c r="QMO49" s="12"/>
      <c r="QMP49" s="12"/>
      <c r="QNG49" s="12"/>
      <c r="QNH49" s="12"/>
      <c r="QNY49" s="12"/>
      <c r="QNZ49" s="12"/>
      <c r="QOQ49" s="12"/>
      <c r="QOR49" s="12"/>
      <c r="QPI49" s="12"/>
      <c r="QPJ49" s="12"/>
      <c r="QQA49" s="12"/>
      <c r="QQB49" s="12"/>
      <c r="QQS49" s="12"/>
      <c r="QQT49" s="12"/>
      <c r="QRK49" s="12"/>
      <c r="QRL49" s="12"/>
      <c r="QSC49" s="12"/>
      <c r="QSD49" s="12"/>
      <c r="QSU49" s="12"/>
      <c r="QSV49" s="12"/>
      <c r="QTM49" s="12"/>
      <c r="QTN49" s="12"/>
      <c r="QUE49" s="12"/>
      <c r="QUF49" s="12"/>
      <c r="QUW49" s="12"/>
      <c r="QUX49" s="12"/>
      <c r="QVO49" s="12"/>
      <c r="QVP49" s="12"/>
      <c r="QWG49" s="12"/>
      <c r="QWH49" s="12"/>
      <c r="QWY49" s="12"/>
      <c r="QWZ49" s="12"/>
      <c r="QXQ49" s="12"/>
      <c r="QXR49" s="12"/>
      <c r="QYI49" s="12"/>
      <c r="QYJ49" s="12"/>
      <c r="QZA49" s="12"/>
      <c r="QZB49" s="12"/>
      <c r="QZS49" s="12"/>
      <c r="QZT49" s="12"/>
      <c r="RAK49" s="12"/>
      <c r="RAL49" s="12"/>
      <c r="RBC49" s="12"/>
      <c r="RBD49" s="12"/>
      <c r="RBU49" s="12"/>
      <c r="RBV49" s="12"/>
      <c r="RCM49" s="12"/>
      <c r="RCN49" s="12"/>
      <c r="RDE49" s="12"/>
      <c r="RDF49" s="12"/>
      <c r="RDW49" s="12"/>
      <c r="RDX49" s="12"/>
      <c r="REO49" s="12"/>
      <c r="REP49" s="12"/>
      <c r="RFG49" s="12"/>
      <c r="RFH49" s="12"/>
      <c r="RFY49" s="12"/>
      <c r="RFZ49" s="12"/>
      <c r="RGQ49" s="12"/>
      <c r="RGR49" s="12"/>
      <c r="RHI49" s="12"/>
      <c r="RHJ49" s="12"/>
      <c r="RIA49" s="12"/>
      <c r="RIB49" s="12"/>
      <c r="RIS49" s="12"/>
      <c r="RIT49" s="12"/>
      <c r="RJK49" s="12"/>
      <c r="RJL49" s="12"/>
      <c r="RKC49" s="12"/>
      <c r="RKD49" s="12"/>
      <c r="RKU49" s="12"/>
      <c r="RKV49" s="12"/>
      <c r="RLM49" s="12"/>
      <c r="RLN49" s="12"/>
      <c r="RME49" s="12"/>
      <c r="RMF49" s="12"/>
      <c r="RMW49" s="12"/>
      <c r="RMX49" s="12"/>
      <c r="RNO49" s="12"/>
      <c r="RNP49" s="12"/>
      <c r="ROG49" s="12"/>
      <c r="ROH49" s="12"/>
      <c r="ROY49" s="12"/>
      <c r="ROZ49" s="12"/>
      <c r="RPQ49" s="12"/>
      <c r="RPR49" s="12"/>
      <c r="RQI49" s="12"/>
      <c r="RQJ49" s="12"/>
      <c r="RRA49" s="12"/>
      <c r="RRB49" s="12"/>
      <c r="RRS49" s="12"/>
      <c r="RRT49" s="12"/>
      <c r="RSK49" s="12"/>
      <c r="RSL49" s="12"/>
      <c r="RTC49" s="12"/>
      <c r="RTD49" s="12"/>
      <c r="RTU49" s="12"/>
      <c r="RTV49" s="12"/>
      <c r="RUM49" s="12"/>
      <c r="RUN49" s="12"/>
      <c r="RVE49" s="12"/>
      <c r="RVF49" s="12"/>
      <c r="RVW49" s="12"/>
      <c r="RVX49" s="12"/>
      <c r="RWO49" s="12"/>
      <c r="RWP49" s="12"/>
      <c r="RXG49" s="12"/>
      <c r="RXH49" s="12"/>
      <c r="RXY49" s="12"/>
      <c r="RXZ49" s="12"/>
      <c r="RYQ49" s="12"/>
      <c r="RYR49" s="12"/>
      <c r="RZI49" s="12"/>
      <c r="RZJ49" s="12"/>
      <c r="SAA49" s="12"/>
      <c r="SAB49" s="12"/>
      <c r="SAS49" s="12"/>
      <c r="SAT49" s="12"/>
      <c r="SBK49" s="12"/>
      <c r="SBL49" s="12"/>
      <c r="SCC49" s="12"/>
      <c r="SCD49" s="12"/>
      <c r="SCU49" s="12"/>
      <c r="SCV49" s="12"/>
      <c r="SDM49" s="12"/>
      <c r="SDN49" s="12"/>
      <c r="SEE49" s="12"/>
      <c r="SEF49" s="12"/>
      <c r="SEW49" s="12"/>
      <c r="SEX49" s="12"/>
      <c r="SFO49" s="12"/>
      <c r="SFP49" s="12"/>
      <c r="SGG49" s="12"/>
      <c r="SGH49" s="12"/>
      <c r="SGY49" s="12"/>
      <c r="SGZ49" s="12"/>
      <c r="SHQ49" s="12"/>
      <c r="SHR49" s="12"/>
      <c r="SII49" s="12"/>
      <c r="SIJ49" s="12"/>
      <c r="SJA49" s="12"/>
      <c r="SJB49" s="12"/>
      <c r="SJS49" s="12"/>
      <c r="SJT49" s="12"/>
      <c r="SKK49" s="12"/>
      <c r="SKL49" s="12"/>
      <c r="SLC49" s="12"/>
      <c r="SLD49" s="12"/>
      <c r="SLU49" s="12"/>
      <c r="SLV49" s="12"/>
      <c r="SMM49" s="12"/>
      <c r="SMN49" s="12"/>
      <c r="SNE49" s="12"/>
      <c r="SNF49" s="12"/>
      <c r="SNW49" s="12"/>
      <c r="SNX49" s="12"/>
      <c r="SOO49" s="12"/>
      <c r="SOP49" s="12"/>
      <c r="SPG49" s="12"/>
      <c r="SPH49" s="12"/>
      <c r="SPY49" s="12"/>
      <c r="SPZ49" s="12"/>
      <c r="SQQ49" s="12"/>
      <c r="SQR49" s="12"/>
      <c r="SRI49" s="12"/>
      <c r="SRJ49" s="12"/>
      <c r="SSA49" s="12"/>
      <c r="SSB49" s="12"/>
      <c r="SSS49" s="12"/>
      <c r="SST49" s="12"/>
      <c r="STK49" s="12"/>
      <c r="STL49" s="12"/>
      <c r="SUC49" s="12"/>
      <c r="SUD49" s="12"/>
      <c r="SUU49" s="12"/>
      <c r="SUV49" s="12"/>
      <c r="SVM49" s="12"/>
      <c r="SVN49" s="12"/>
      <c r="SWE49" s="12"/>
      <c r="SWF49" s="12"/>
      <c r="SWW49" s="12"/>
      <c r="SWX49" s="12"/>
      <c r="SXO49" s="12"/>
      <c r="SXP49" s="12"/>
      <c r="SYG49" s="12"/>
      <c r="SYH49" s="12"/>
      <c r="SYY49" s="12"/>
      <c r="SYZ49" s="12"/>
      <c r="SZQ49" s="12"/>
      <c r="SZR49" s="12"/>
      <c r="TAI49" s="12"/>
      <c r="TAJ49" s="12"/>
      <c r="TBA49" s="12"/>
      <c r="TBB49" s="12"/>
      <c r="TBS49" s="12"/>
      <c r="TBT49" s="12"/>
      <c r="TCK49" s="12"/>
      <c r="TCL49" s="12"/>
      <c r="TDC49" s="12"/>
      <c r="TDD49" s="12"/>
      <c r="TDU49" s="12"/>
      <c r="TDV49" s="12"/>
      <c r="TEM49" s="12"/>
      <c r="TEN49" s="12"/>
      <c r="TFE49" s="12"/>
      <c r="TFF49" s="12"/>
      <c r="TFW49" s="12"/>
      <c r="TFX49" s="12"/>
      <c r="TGO49" s="12"/>
      <c r="TGP49" s="12"/>
      <c r="THG49" s="12"/>
      <c r="THH49" s="12"/>
      <c r="THY49" s="12"/>
      <c r="THZ49" s="12"/>
      <c r="TIQ49" s="12"/>
      <c r="TIR49" s="12"/>
      <c r="TJI49" s="12"/>
      <c r="TJJ49" s="12"/>
      <c r="TKA49" s="12"/>
      <c r="TKB49" s="12"/>
      <c r="TKS49" s="12"/>
      <c r="TKT49" s="12"/>
      <c r="TLK49" s="12"/>
      <c r="TLL49" s="12"/>
      <c r="TMC49" s="12"/>
      <c r="TMD49" s="12"/>
      <c r="TMU49" s="12"/>
      <c r="TMV49" s="12"/>
      <c r="TNM49" s="12"/>
      <c r="TNN49" s="12"/>
      <c r="TOE49" s="12"/>
      <c r="TOF49" s="12"/>
      <c r="TOW49" s="12"/>
      <c r="TOX49" s="12"/>
      <c r="TPO49" s="12"/>
      <c r="TPP49" s="12"/>
      <c r="TQG49" s="12"/>
      <c r="TQH49" s="12"/>
      <c r="TQY49" s="12"/>
      <c r="TQZ49" s="12"/>
      <c r="TRQ49" s="12"/>
      <c r="TRR49" s="12"/>
      <c r="TSI49" s="12"/>
      <c r="TSJ49" s="12"/>
      <c r="TTA49" s="12"/>
      <c r="TTB49" s="12"/>
      <c r="TTS49" s="12"/>
      <c r="TTT49" s="12"/>
      <c r="TUK49" s="12"/>
      <c r="TUL49" s="12"/>
      <c r="TVC49" s="12"/>
      <c r="TVD49" s="12"/>
      <c r="TVU49" s="12"/>
      <c r="TVV49" s="12"/>
      <c r="TWM49" s="12"/>
      <c r="TWN49" s="12"/>
      <c r="TXE49" s="12"/>
      <c r="TXF49" s="12"/>
      <c r="TXW49" s="12"/>
      <c r="TXX49" s="12"/>
      <c r="TYO49" s="12"/>
      <c r="TYP49" s="12"/>
      <c r="TZG49" s="12"/>
      <c r="TZH49" s="12"/>
      <c r="TZY49" s="12"/>
      <c r="TZZ49" s="12"/>
      <c r="UAQ49" s="12"/>
      <c r="UAR49" s="12"/>
      <c r="UBI49" s="12"/>
      <c r="UBJ49" s="12"/>
      <c r="UCA49" s="12"/>
      <c r="UCB49" s="12"/>
      <c r="UCS49" s="12"/>
      <c r="UCT49" s="12"/>
      <c r="UDK49" s="12"/>
      <c r="UDL49" s="12"/>
      <c r="UEC49" s="12"/>
      <c r="UED49" s="12"/>
      <c r="UEU49" s="12"/>
      <c r="UEV49" s="12"/>
      <c r="UFM49" s="12"/>
      <c r="UFN49" s="12"/>
      <c r="UGE49" s="12"/>
      <c r="UGF49" s="12"/>
      <c r="UGW49" s="12"/>
      <c r="UGX49" s="12"/>
      <c r="UHO49" s="12"/>
      <c r="UHP49" s="12"/>
      <c r="UIG49" s="12"/>
      <c r="UIH49" s="12"/>
      <c r="UIY49" s="12"/>
      <c r="UIZ49" s="12"/>
      <c r="UJQ49" s="12"/>
      <c r="UJR49" s="12"/>
      <c r="UKI49" s="12"/>
      <c r="UKJ49" s="12"/>
      <c r="ULA49" s="12"/>
      <c r="ULB49" s="12"/>
      <c r="ULS49" s="12"/>
      <c r="ULT49" s="12"/>
      <c r="UMK49" s="12"/>
      <c r="UML49" s="12"/>
      <c r="UNC49" s="12"/>
      <c r="UND49" s="12"/>
      <c r="UNU49" s="12"/>
      <c r="UNV49" s="12"/>
      <c r="UOM49" s="12"/>
      <c r="UON49" s="12"/>
      <c r="UPE49" s="12"/>
      <c r="UPF49" s="12"/>
      <c r="UPW49" s="12"/>
      <c r="UPX49" s="12"/>
      <c r="UQO49" s="12"/>
      <c r="UQP49" s="12"/>
      <c r="URG49" s="12"/>
      <c r="URH49" s="12"/>
      <c r="URY49" s="12"/>
      <c r="URZ49" s="12"/>
      <c r="USQ49" s="12"/>
      <c r="USR49" s="12"/>
      <c r="UTI49" s="12"/>
      <c r="UTJ49" s="12"/>
      <c r="UUA49" s="12"/>
      <c r="UUB49" s="12"/>
      <c r="UUS49" s="12"/>
      <c r="UUT49" s="12"/>
      <c r="UVK49" s="12"/>
      <c r="UVL49" s="12"/>
      <c r="UWC49" s="12"/>
      <c r="UWD49" s="12"/>
      <c r="UWU49" s="12"/>
      <c r="UWV49" s="12"/>
      <c r="UXM49" s="12"/>
      <c r="UXN49" s="12"/>
      <c r="UYE49" s="12"/>
      <c r="UYF49" s="12"/>
      <c r="UYW49" s="12"/>
      <c r="UYX49" s="12"/>
      <c r="UZO49" s="12"/>
      <c r="UZP49" s="12"/>
      <c r="VAG49" s="12"/>
      <c r="VAH49" s="12"/>
      <c r="VAY49" s="12"/>
      <c r="VAZ49" s="12"/>
      <c r="VBQ49" s="12"/>
      <c r="VBR49" s="12"/>
      <c r="VCI49" s="12"/>
      <c r="VCJ49" s="12"/>
      <c r="VDA49" s="12"/>
      <c r="VDB49" s="12"/>
      <c r="VDS49" s="12"/>
      <c r="VDT49" s="12"/>
      <c r="VEK49" s="12"/>
      <c r="VEL49" s="12"/>
      <c r="VFC49" s="12"/>
      <c r="VFD49" s="12"/>
      <c r="VFU49" s="12"/>
      <c r="VFV49" s="12"/>
      <c r="VGM49" s="12"/>
      <c r="VGN49" s="12"/>
      <c r="VHE49" s="12"/>
      <c r="VHF49" s="12"/>
      <c r="VHW49" s="12"/>
      <c r="VHX49" s="12"/>
      <c r="VIO49" s="12"/>
      <c r="VIP49" s="12"/>
      <c r="VJG49" s="12"/>
      <c r="VJH49" s="12"/>
      <c r="VJY49" s="12"/>
      <c r="VJZ49" s="12"/>
      <c r="VKQ49" s="12"/>
      <c r="VKR49" s="12"/>
      <c r="VLI49" s="12"/>
      <c r="VLJ49" s="12"/>
      <c r="VMA49" s="12"/>
      <c r="VMB49" s="12"/>
      <c r="VMS49" s="12"/>
      <c r="VMT49" s="12"/>
      <c r="VNK49" s="12"/>
      <c r="VNL49" s="12"/>
      <c r="VOC49" s="12"/>
      <c r="VOD49" s="12"/>
      <c r="VOU49" s="12"/>
      <c r="VOV49" s="12"/>
      <c r="VPM49" s="12"/>
      <c r="VPN49" s="12"/>
      <c r="VQE49" s="12"/>
      <c r="VQF49" s="12"/>
      <c r="VQW49" s="12"/>
      <c r="VQX49" s="12"/>
      <c r="VRO49" s="12"/>
      <c r="VRP49" s="12"/>
      <c r="VSG49" s="12"/>
      <c r="VSH49" s="12"/>
      <c r="VSY49" s="12"/>
      <c r="VSZ49" s="12"/>
      <c r="VTQ49" s="12"/>
      <c r="VTR49" s="12"/>
      <c r="VUI49" s="12"/>
      <c r="VUJ49" s="12"/>
      <c r="VVA49" s="12"/>
      <c r="VVB49" s="12"/>
      <c r="VVS49" s="12"/>
      <c r="VVT49" s="12"/>
      <c r="VWK49" s="12"/>
      <c r="VWL49" s="12"/>
      <c r="VXC49" s="12"/>
      <c r="VXD49" s="12"/>
      <c r="VXU49" s="12"/>
      <c r="VXV49" s="12"/>
      <c r="VYM49" s="12"/>
      <c r="VYN49" s="12"/>
      <c r="VZE49" s="12"/>
      <c r="VZF49" s="12"/>
      <c r="VZW49" s="12"/>
      <c r="VZX49" s="12"/>
      <c r="WAO49" s="12"/>
      <c r="WAP49" s="12"/>
      <c r="WBG49" s="12"/>
      <c r="WBH49" s="12"/>
      <c r="WBY49" s="12"/>
      <c r="WBZ49" s="12"/>
      <c r="WCQ49" s="12"/>
      <c r="WCR49" s="12"/>
      <c r="WDI49" s="12"/>
      <c r="WDJ49" s="12"/>
      <c r="WEA49" s="12"/>
      <c r="WEB49" s="12"/>
      <c r="WES49" s="12"/>
      <c r="WET49" s="12"/>
      <c r="WFK49" s="12"/>
      <c r="WFL49" s="12"/>
      <c r="WGC49" s="12"/>
      <c r="WGD49" s="12"/>
      <c r="WGU49" s="12"/>
      <c r="WGV49" s="12"/>
      <c r="WHM49" s="12"/>
      <c r="WHN49" s="12"/>
      <c r="WIE49" s="12"/>
      <c r="WIF49" s="12"/>
      <c r="WIW49" s="12"/>
      <c r="WIX49" s="12"/>
      <c r="WJO49" s="12"/>
      <c r="WJP49" s="12"/>
      <c r="WKG49" s="12"/>
      <c r="WKH49" s="12"/>
      <c r="WKY49" s="12"/>
      <c r="WKZ49" s="12"/>
      <c r="WLQ49" s="12"/>
      <c r="WLR49" s="12"/>
      <c r="WMI49" s="12"/>
      <c r="WMJ49" s="12"/>
      <c r="WNA49" s="12"/>
      <c r="WNB49" s="12"/>
      <c r="WNS49" s="12"/>
      <c r="WNT49" s="12"/>
      <c r="WOK49" s="12"/>
      <c r="WOL49" s="12"/>
      <c r="WPC49" s="12"/>
      <c r="WPD49" s="12"/>
      <c r="WPU49" s="12"/>
      <c r="WPV49" s="12"/>
      <c r="WQM49" s="12"/>
      <c r="WQN49" s="12"/>
      <c r="WRE49" s="12"/>
      <c r="WRF49" s="12"/>
      <c r="WRW49" s="12"/>
      <c r="WRX49" s="12"/>
      <c r="WSO49" s="12"/>
      <c r="WSP49" s="12"/>
      <c r="WTG49" s="12"/>
      <c r="WTH49" s="12"/>
      <c r="WTY49" s="12"/>
      <c r="WTZ49" s="12"/>
      <c r="WUQ49" s="12"/>
      <c r="WUR49" s="12"/>
      <c r="WVI49" s="12"/>
      <c r="WVJ49" s="12"/>
      <c r="WWA49" s="12"/>
      <c r="WWB49" s="12"/>
      <c r="WWS49" s="12"/>
      <c r="WWT49" s="12"/>
      <c r="WXK49" s="12"/>
      <c r="WXL49" s="12"/>
      <c r="WYC49" s="12"/>
      <c r="WYD49" s="12"/>
      <c r="WYU49" s="12"/>
      <c r="WYV49" s="12"/>
      <c r="WZM49" s="12"/>
      <c r="WZN49" s="12"/>
      <c r="XAE49" s="12"/>
      <c r="XAF49" s="12"/>
      <c r="XAW49" s="12"/>
      <c r="XAX49" s="12"/>
      <c r="XBO49" s="12"/>
      <c r="XBP49" s="12"/>
      <c r="XCG49" s="12"/>
      <c r="XCH49" s="12"/>
      <c r="XCY49" s="12"/>
      <c r="XCZ49" s="12"/>
      <c r="XDQ49" s="12"/>
      <c r="XDR49" s="12"/>
      <c r="XEI49" s="12"/>
      <c r="XEJ49" s="12"/>
      <c r="XFA49" s="12"/>
      <c r="XFB49" s="12"/>
    </row>
    <row r="50" spans="1:1010 1027:2036 2053:3062 3079:4088 4105:5114 5131:6140 6157:7166 7183:8192 8209:9200 9217:10226 10243:11252 11269:12278 12295:13304 13321:14330 14347:15356 15373:16382" s="11" customFormat="1" x14ac:dyDescent="0.35">
      <c r="A50" s="183" t="str">
        <f>'Cash Flow - Standardized'!A50</f>
        <v xml:space="preserve">  + Cash From (Repayment) Debt</v>
      </c>
      <c r="B50" s="75" t="str">
        <f>'Cash Flow - Standardized'!B50</f>
        <v>PROC_FR_REPAYMNTS_BOR_DETAILED</v>
      </c>
      <c r="C50" s="76">
        <f>IF('Cash Flow - Standardized'!C50="",0,'Cash Flow - Standardized'!C50)/'Cash Flow - Standardized'!C$61</f>
        <v>3.1448078082481953E-3</v>
      </c>
      <c r="D50" s="76">
        <f>IF('Cash Flow - Standardized'!D50="",0,'Cash Flow - Standardized'!D50)/'Cash Flow - Standardized'!D$61</f>
        <v>1.9122500485342652E-2</v>
      </c>
      <c r="E50" s="76">
        <f>IF('Cash Flow - Standardized'!E50="",0,'Cash Flow - Standardized'!E50)/'Cash Flow - Standardized'!E$61</f>
        <v>1.7863490934944899E-2</v>
      </c>
      <c r="F50" s="76">
        <f>IF('Cash Flow - Standardized'!F50="",0,'Cash Flow - Standardized'!F50)/'Cash Flow - Standardized'!F$61</f>
        <v>1.4000819560169376E-2</v>
      </c>
      <c r="G50" s="76">
        <f>IF('Cash Flow - Standardized'!G50="",0,'Cash Flow - Standardized'!G50)/'Cash Flow - Standardized'!G$61</f>
        <v>1.6892394701592497E-2</v>
      </c>
      <c r="H50" s="76">
        <f>IF('Cash Flow - Standardized'!H50="",0,'Cash Flow - Standardized'!H50)/'Cash Flow - Standardized'!H$61</f>
        <v>1.6716673810544366E-2</v>
      </c>
      <c r="I50" s="76">
        <f>IF('Cash Flow - Standardized'!I50="",0,'Cash Flow - Standardized'!I50)/'Cash Flow - Standardized'!I$61</f>
        <v>1.7176173967853765E-2</v>
      </c>
      <c r="J50" s="76">
        <f>IF('Cash Flow - Standardized'!J50="",0,'Cash Flow - Standardized'!J50)/'Cash Flow - Standardized'!J$61</f>
        <v>1.2833111740563039E-2</v>
      </c>
      <c r="K50" s="76">
        <f>IF('Cash Flow - Standardized'!K50="",0,'Cash Flow - Standardized'!K50)/'Cash Flow - Standardized'!K$61</f>
        <v>-9.5753215496493359E-3</v>
      </c>
      <c r="L50" s="76">
        <f>IF('Cash Flow - Standardized'!L50="",0,'Cash Flow - Standardized'!L50)/'Cash Flow - Standardized'!L$61</f>
        <v>-1.3854232617034747E-2</v>
      </c>
      <c r="M50" s="108"/>
      <c r="N50" s="108"/>
      <c r="O50" s="108"/>
      <c r="P50" s="108"/>
      <c r="Q50" s="108"/>
      <c r="R50" s="108"/>
      <c r="S50" s="109"/>
      <c r="T50" s="109"/>
      <c r="U50" s="108"/>
      <c r="V50" s="108"/>
      <c r="W50" s="108"/>
      <c r="X50" s="108"/>
      <c r="Y50" s="108"/>
      <c r="Z50" s="108"/>
      <c r="AA50" s="108"/>
      <c r="AB50" s="108"/>
      <c r="AC50" s="108"/>
      <c r="AD50" s="108"/>
      <c r="AE50" s="108"/>
      <c r="AF50" s="108"/>
      <c r="AG50" s="108"/>
      <c r="AH50" s="108"/>
      <c r="AI50" s="108"/>
      <c r="AJ50" s="108"/>
      <c r="AK50" s="109"/>
      <c r="AL50" s="109"/>
      <c r="AM50" s="108"/>
      <c r="AN50" s="108"/>
      <c r="AO50" s="108"/>
      <c r="AP50" s="108"/>
      <c r="AQ50" s="108"/>
      <c r="AR50" s="108"/>
      <c r="AS50" s="108"/>
      <c r="AT50" s="108"/>
      <c r="AU50" s="108"/>
      <c r="AV50" s="108"/>
      <c r="AW50" s="108"/>
      <c r="AX50" s="108"/>
      <c r="BC50" s="12"/>
      <c r="BD50" s="12"/>
      <c r="BU50" s="12"/>
      <c r="BV50" s="12"/>
      <c r="CM50" s="12"/>
      <c r="CN50" s="12"/>
      <c r="DE50" s="12"/>
      <c r="DF50" s="12"/>
      <c r="DW50" s="12"/>
      <c r="DX50" s="12"/>
      <c r="EO50" s="12"/>
      <c r="EP50" s="12"/>
      <c r="FG50" s="12"/>
      <c r="FH50" s="12"/>
      <c r="FY50" s="12"/>
      <c r="FZ50" s="12"/>
      <c r="GQ50" s="12"/>
      <c r="GR50" s="12"/>
      <c r="HI50" s="12"/>
      <c r="HJ50" s="12"/>
      <c r="IA50" s="12"/>
      <c r="IB50" s="12"/>
      <c r="IS50" s="12"/>
      <c r="IT50" s="12"/>
      <c r="JK50" s="12"/>
      <c r="JL50" s="12"/>
      <c r="KC50" s="12"/>
      <c r="KD50" s="12"/>
      <c r="KU50" s="12"/>
      <c r="KV50" s="12"/>
      <c r="LM50" s="12"/>
      <c r="LN50" s="12"/>
      <c r="ME50" s="12"/>
      <c r="MF50" s="12"/>
      <c r="MW50" s="12"/>
      <c r="MX50" s="12"/>
      <c r="NO50" s="12"/>
      <c r="NP50" s="12"/>
      <c r="OG50" s="12"/>
      <c r="OH50" s="12"/>
      <c r="OY50" s="12"/>
      <c r="OZ50" s="12"/>
      <c r="PQ50" s="12"/>
      <c r="PR50" s="12"/>
      <c r="QI50" s="12"/>
      <c r="QJ50" s="12"/>
      <c r="RA50" s="12"/>
      <c r="RB50" s="12"/>
      <c r="RS50" s="12"/>
      <c r="RT50" s="12"/>
      <c r="SK50" s="12"/>
      <c r="SL50" s="12"/>
      <c r="TC50" s="12"/>
      <c r="TD50" s="12"/>
      <c r="TU50" s="12"/>
      <c r="TV50" s="12"/>
      <c r="UM50" s="12"/>
      <c r="UN50" s="12"/>
      <c r="VE50" s="12"/>
      <c r="VF50" s="12"/>
      <c r="VW50" s="12"/>
      <c r="VX50" s="12"/>
      <c r="WO50" s="12"/>
      <c r="WP50" s="12"/>
      <c r="XG50" s="12"/>
      <c r="XH50" s="12"/>
      <c r="XY50" s="12"/>
      <c r="XZ50" s="12"/>
      <c r="YQ50" s="12"/>
      <c r="YR50" s="12"/>
      <c r="ZI50" s="12"/>
      <c r="ZJ50" s="12"/>
      <c r="AAA50" s="12"/>
      <c r="AAB50" s="12"/>
      <c r="AAS50" s="12"/>
      <c r="AAT50" s="12"/>
      <c r="ABK50" s="12"/>
      <c r="ABL50" s="12"/>
      <c r="ACC50" s="12"/>
      <c r="ACD50" s="12"/>
      <c r="ACU50" s="12"/>
      <c r="ACV50" s="12"/>
      <c r="ADM50" s="12"/>
      <c r="ADN50" s="12"/>
      <c r="AEE50" s="12"/>
      <c r="AEF50" s="12"/>
      <c r="AEW50" s="12"/>
      <c r="AEX50" s="12"/>
      <c r="AFO50" s="12"/>
      <c r="AFP50" s="12"/>
      <c r="AGG50" s="12"/>
      <c r="AGH50" s="12"/>
      <c r="AGY50" s="12"/>
      <c r="AGZ50" s="12"/>
      <c r="AHQ50" s="12"/>
      <c r="AHR50" s="12"/>
      <c r="AII50" s="12"/>
      <c r="AIJ50" s="12"/>
      <c r="AJA50" s="12"/>
      <c r="AJB50" s="12"/>
      <c r="AJS50" s="12"/>
      <c r="AJT50" s="12"/>
      <c r="AKK50" s="12"/>
      <c r="AKL50" s="12"/>
      <c r="ALC50" s="12"/>
      <c r="ALD50" s="12"/>
      <c r="ALU50" s="12"/>
      <c r="ALV50" s="12"/>
      <c r="AMM50" s="12"/>
      <c r="AMN50" s="12"/>
      <c r="ANE50" s="12"/>
      <c r="ANF50" s="12"/>
      <c r="ANW50" s="12"/>
      <c r="ANX50" s="12"/>
      <c r="AOO50" s="12"/>
      <c r="AOP50" s="12"/>
      <c r="APG50" s="12"/>
      <c r="APH50" s="12"/>
      <c r="APY50" s="12"/>
      <c r="APZ50" s="12"/>
      <c r="AQQ50" s="12"/>
      <c r="AQR50" s="12"/>
      <c r="ARI50" s="12"/>
      <c r="ARJ50" s="12"/>
      <c r="ASA50" s="12"/>
      <c r="ASB50" s="12"/>
      <c r="ASS50" s="12"/>
      <c r="AST50" s="12"/>
      <c r="ATK50" s="12"/>
      <c r="ATL50" s="12"/>
      <c r="AUC50" s="12"/>
      <c r="AUD50" s="12"/>
      <c r="AUU50" s="12"/>
      <c r="AUV50" s="12"/>
      <c r="AVM50" s="12"/>
      <c r="AVN50" s="12"/>
      <c r="AWE50" s="12"/>
      <c r="AWF50" s="12"/>
      <c r="AWW50" s="12"/>
      <c r="AWX50" s="12"/>
      <c r="AXO50" s="12"/>
      <c r="AXP50" s="12"/>
      <c r="AYG50" s="12"/>
      <c r="AYH50" s="12"/>
      <c r="AYY50" s="12"/>
      <c r="AYZ50" s="12"/>
      <c r="AZQ50" s="12"/>
      <c r="AZR50" s="12"/>
      <c r="BAI50" s="12"/>
      <c r="BAJ50" s="12"/>
      <c r="BBA50" s="12"/>
      <c r="BBB50" s="12"/>
      <c r="BBS50" s="12"/>
      <c r="BBT50" s="12"/>
      <c r="BCK50" s="12"/>
      <c r="BCL50" s="12"/>
      <c r="BDC50" s="12"/>
      <c r="BDD50" s="12"/>
      <c r="BDU50" s="12"/>
      <c r="BDV50" s="12"/>
      <c r="BEM50" s="12"/>
      <c r="BEN50" s="12"/>
      <c r="BFE50" s="12"/>
      <c r="BFF50" s="12"/>
      <c r="BFW50" s="12"/>
      <c r="BFX50" s="12"/>
      <c r="BGO50" s="12"/>
      <c r="BGP50" s="12"/>
      <c r="BHG50" s="12"/>
      <c r="BHH50" s="12"/>
      <c r="BHY50" s="12"/>
      <c r="BHZ50" s="12"/>
      <c r="BIQ50" s="12"/>
      <c r="BIR50" s="12"/>
      <c r="BJI50" s="12"/>
      <c r="BJJ50" s="12"/>
      <c r="BKA50" s="12"/>
      <c r="BKB50" s="12"/>
      <c r="BKS50" s="12"/>
      <c r="BKT50" s="12"/>
      <c r="BLK50" s="12"/>
      <c r="BLL50" s="12"/>
      <c r="BMC50" s="12"/>
      <c r="BMD50" s="12"/>
      <c r="BMU50" s="12"/>
      <c r="BMV50" s="12"/>
      <c r="BNM50" s="12"/>
      <c r="BNN50" s="12"/>
      <c r="BOE50" s="12"/>
      <c r="BOF50" s="12"/>
      <c r="BOW50" s="12"/>
      <c r="BOX50" s="12"/>
      <c r="BPO50" s="12"/>
      <c r="BPP50" s="12"/>
      <c r="BQG50" s="12"/>
      <c r="BQH50" s="12"/>
      <c r="BQY50" s="12"/>
      <c r="BQZ50" s="12"/>
      <c r="BRQ50" s="12"/>
      <c r="BRR50" s="12"/>
      <c r="BSI50" s="12"/>
      <c r="BSJ50" s="12"/>
      <c r="BTA50" s="12"/>
      <c r="BTB50" s="12"/>
      <c r="BTS50" s="12"/>
      <c r="BTT50" s="12"/>
      <c r="BUK50" s="12"/>
      <c r="BUL50" s="12"/>
      <c r="BVC50" s="12"/>
      <c r="BVD50" s="12"/>
      <c r="BVU50" s="12"/>
      <c r="BVV50" s="12"/>
      <c r="BWM50" s="12"/>
      <c r="BWN50" s="12"/>
      <c r="BXE50" s="12"/>
      <c r="BXF50" s="12"/>
      <c r="BXW50" s="12"/>
      <c r="BXX50" s="12"/>
      <c r="BYO50" s="12"/>
      <c r="BYP50" s="12"/>
      <c r="BZG50" s="12"/>
      <c r="BZH50" s="12"/>
      <c r="BZY50" s="12"/>
      <c r="BZZ50" s="12"/>
      <c r="CAQ50" s="12"/>
      <c r="CAR50" s="12"/>
      <c r="CBI50" s="12"/>
      <c r="CBJ50" s="12"/>
      <c r="CCA50" s="12"/>
      <c r="CCB50" s="12"/>
      <c r="CCS50" s="12"/>
      <c r="CCT50" s="12"/>
      <c r="CDK50" s="12"/>
      <c r="CDL50" s="12"/>
      <c r="CEC50" s="12"/>
      <c r="CED50" s="12"/>
      <c r="CEU50" s="12"/>
      <c r="CEV50" s="12"/>
      <c r="CFM50" s="12"/>
      <c r="CFN50" s="12"/>
      <c r="CGE50" s="12"/>
      <c r="CGF50" s="12"/>
      <c r="CGW50" s="12"/>
      <c r="CGX50" s="12"/>
      <c r="CHO50" s="12"/>
      <c r="CHP50" s="12"/>
      <c r="CIG50" s="12"/>
      <c r="CIH50" s="12"/>
      <c r="CIY50" s="12"/>
      <c r="CIZ50" s="12"/>
      <c r="CJQ50" s="12"/>
      <c r="CJR50" s="12"/>
      <c r="CKI50" s="12"/>
      <c r="CKJ50" s="12"/>
      <c r="CLA50" s="12"/>
      <c r="CLB50" s="12"/>
      <c r="CLS50" s="12"/>
      <c r="CLT50" s="12"/>
      <c r="CMK50" s="12"/>
      <c r="CML50" s="12"/>
      <c r="CNC50" s="12"/>
      <c r="CND50" s="12"/>
      <c r="CNU50" s="12"/>
      <c r="CNV50" s="12"/>
      <c r="COM50" s="12"/>
      <c r="CON50" s="12"/>
      <c r="CPE50" s="12"/>
      <c r="CPF50" s="12"/>
      <c r="CPW50" s="12"/>
      <c r="CPX50" s="12"/>
      <c r="CQO50" s="12"/>
      <c r="CQP50" s="12"/>
      <c r="CRG50" s="12"/>
      <c r="CRH50" s="12"/>
      <c r="CRY50" s="12"/>
      <c r="CRZ50" s="12"/>
      <c r="CSQ50" s="12"/>
      <c r="CSR50" s="12"/>
      <c r="CTI50" s="12"/>
      <c r="CTJ50" s="12"/>
      <c r="CUA50" s="12"/>
      <c r="CUB50" s="12"/>
      <c r="CUS50" s="12"/>
      <c r="CUT50" s="12"/>
      <c r="CVK50" s="12"/>
      <c r="CVL50" s="12"/>
      <c r="CWC50" s="12"/>
      <c r="CWD50" s="12"/>
      <c r="CWU50" s="12"/>
      <c r="CWV50" s="12"/>
      <c r="CXM50" s="12"/>
      <c r="CXN50" s="12"/>
      <c r="CYE50" s="12"/>
      <c r="CYF50" s="12"/>
      <c r="CYW50" s="12"/>
      <c r="CYX50" s="12"/>
      <c r="CZO50" s="12"/>
      <c r="CZP50" s="12"/>
      <c r="DAG50" s="12"/>
      <c r="DAH50" s="12"/>
      <c r="DAY50" s="12"/>
      <c r="DAZ50" s="12"/>
      <c r="DBQ50" s="12"/>
      <c r="DBR50" s="12"/>
      <c r="DCI50" s="12"/>
      <c r="DCJ50" s="12"/>
      <c r="DDA50" s="12"/>
      <c r="DDB50" s="12"/>
      <c r="DDS50" s="12"/>
      <c r="DDT50" s="12"/>
      <c r="DEK50" s="12"/>
      <c r="DEL50" s="12"/>
      <c r="DFC50" s="12"/>
      <c r="DFD50" s="12"/>
      <c r="DFU50" s="12"/>
      <c r="DFV50" s="12"/>
      <c r="DGM50" s="12"/>
      <c r="DGN50" s="12"/>
      <c r="DHE50" s="12"/>
      <c r="DHF50" s="12"/>
      <c r="DHW50" s="12"/>
      <c r="DHX50" s="12"/>
      <c r="DIO50" s="12"/>
      <c r="DIP50" s="12"/>
      <c r="DJG50" s="12"/>
      <c r="DJH50" s="12"/>
      <c r="DJY50" s="12"/>
      <c r="DJZ50" s="12"/>
      <c r="DKQ50" s="12"/>
      <c r="DKR50" s="12"/>
      <c r="DLI50" s="12"/>
      <c r="DLJ50" s="12"/>
      <c r="DMA50" s="12"/>
      <c r="DMB50" s="12"/>
      <c r="DMS50" s="12"/>
      <c r="DMT50" s="12"/>
      <c r="DNK50" s="12"/>
      <c r="DNL50" s="12"/>
      <c r="DOC50" s="12"/>
      <c r="DOD50" s="12"/>
      <c r="DOU50" s="12"/>
      <c r="DOV50" s="12"/>
      <c r="DPM50" s="12"/>
      <c r="DPN50" s="12"/>
      <c r="DQE50" s="12"/>
      <c r="DQF50" s="12"/>
      <c r="DQW50" s="12"/>
      <c r="DQX50" s="12"/>
      <c r="DRO50" s="12"/>
      <c r="DRP50" s="12"/>
      <c r="DSG50" s="12"/>
      <c r="DSH50" s="12"/>
      <c r="DSY50" s="12"/>
      <c r="DSZ50" s="12"/>
      <c r="DTQ50" s="12"/>
      <c r="DTR50" s="12"/>
      <c r="DUI50" s="12"/>
      <c r="DUJ50" s="12"/>
      <c r="DVA50" s="12"/>
      <c r="DVB50" s="12"/>
      <c r="DVS50" s="12"/>
      <c r="DVT50" s="12"/>
      <c r="DWK50" s="12"/>
      <c r="DWL50" s="12"/>
      <c r="DXC50" s="12"/>
      <c r="DXD50" s="12"/>
      <c r="DXU50" s="12"/>
      <c r="DXV50" s="12"/>
      <c r="DYM50" s="12"/>
      <c r="DYN50" s="12"/>
      <c r="DZE50" s="12"/>
      <c r="DZF50" s="12"/>
      <c r="DZW50" s="12"/>
      <c r="DZX50" s="12"/>
      <c r="EAO50" s="12"/>
      <c r="EAP50" s="12"/>
      <c r="EBG50" s="12"/>
      <c r="EBH50" s="12"/>
      <c r="EBY50" s="12"/>
      <c r="EBZ50" s="12"/>
      <c r="ECQ50" s="12"/>
      <c r="ECR50" s="12"/>
      <c r="EDI50" s="12"/>
      <c r="EDJ50" s="12"/>
      <c r="EEA50" s="12"/>
      <c r="EEB50" s="12"/>
      <c r="EES50" s="12"/>
      <c r="EET50" s="12"/>
      <c r="EFK50" s="12"/>
      <c r="EFL50" s="12"/>
      <c r="EGC50" s="12"/>
      <c r="EGD50" s="12"/>
      <c r="EGU50" s="12"/>
      <c r="EGV50" s="12"/>
      <c r="EHM50" s="12"/>
      <c r="EHN50" s="12"/>
      <c r="EIE50" s="12"/>
      <c r="EIF50" s="12"/>
      <c r="EIW50" s="12"/>
      <c r="EIX50" s="12"/>
      <c r="EJO50" s="12"/>
      <c r="EJP50" s="12"/>
      <c r="EKG50" s="12"/>
      <c r="EKH50" s="12"/>
      <c r="EKY50" s="12"/>
      <c r="EKZ50" s="12"/>
      <c r="ELQ50" s="12"/>
      <c r="ELR50" s="12"/>
      <c r="EMI50" s="12"/>
      <c r="EMJ50" s="12"/>
      <c r="ENA50" s="12"/>
      <c r="ENB50" s="12"/>
      <c r="ENS50" s="12"/>
      <c r="ENT50" s="12"/>
      <c r="EOK50" s="12"/>
      <c r="EOL50" s="12"/>
      <c r="EPC50" s="12"/>
      <c r="EPD50" s="12"/>
      <c r="EPU50" s="12"/>
      <c r="EPV50" s="12"/>
      <c r="EQM50" s="12"/>
      <c r="EQN50" s="12"/>
      <c r="ERE50" s="12"/>
      <c r="ERF50" s="12"/>
      <c r="ERW50" s="12"/>
      <c r="ERX50" s="12"/>
      <c r="ESO50" s="12"/>
      <c r="ESP50" s="12"/>
      <c r="ETG50" s="12"/>
      <c r="ETH50" s="12"/>
      <c r="ETY50" s="12"/>
      <c r="ETZ50" s="12"/>
      <c r="EUQ50" s="12"/>
      <c r="EUR50" s="12"/>
      <c r="EVI50" s="12"/>
      <c r="EVJ50" s="12"/>
      <c r="EWA50" s="12"/>
      <c r="EWB50" s="12"/>
      <c r="EWS50" s="12"/>
      <c r="EWT50" s="12"/>
      <c r="EXK50" s="12"/>
      <c r="EXL50" s="12"/>
      <c r="EYC50" s="12"/>
      <c r="EYD50" s="12"/>
      <c r="EYU50" s="12"/>
      <c r="EYV50" s="12"/>
      <c r="EZM50" s="12"/>
      <c r="EZN50" s="12"/>
      <c r="FAE50" s="12"/>
      <c r="FAF50" s="12"/>
      <c r="FAW50" s="12"/>
      <c r="FAX50" s="12"/>
      <c r="FBO50" s="12"/>
      <c r="FBP50" s="12"/>
      <c r="FCG50" s="12"/>
      <c r="FCH50" s="12"/>
      <c r="FCY50" s="12"/>
      <c r="FCZ50" s="12"/>
      <c r="FDQ50" s="12"/>
      <c r="FDR50" s="12"/>
      <c r="FEI50" s="12"/>
      <c r="FEJ50" s="12"/>
      <c r="FFA50" s="12"/>
      <c r="FFB50" s="12"/>
      <c r="FFS50" s="12"/>
      <c r="FFT50" s="12"/>
      <c r="FGK50" s="12"/>
      <c r="FGL50" s="12"/>
      <c r="FHC50" s="12"/>
      <c r="FHD50" s="12"/>
      <c r="FHU50" s="12"/>
      <c r="FHV50" s="12"/>
      <c r="FIM50" s="12"/>
      <c r="FIN50" s="12"/>
      <c r="FJE50" s="12"/>
      <c r="FJF50" s="12"/>
      <c r="FJW50" s="12"/>
      <c r="FJX50" s="12"/>
      <c r="FKO50" s="12"/>
      <c r="FKP50" s="12"/>
      <c r="FLG50" s="12"/>
      <c r="FLH50" s="12"/>
      <c r="FLY50" s="12"/>
      <c r="FLZ50" s="12"/>
      <c r="FMQ50" s="12"/>
      <c r="FMR50" s="12"/>
      <c r="FNI50" s="12"/>
      <c r="FNJ50" s="12"/>
      <c r="FOA50" s="12"/>
      <c r="FOB50" s="12"/>
      <c r="FOS50" s="12"/>
      <c r="FOT50" s="12"/>
      <c r="FPK50" s="12"/>
      <c r="FPL50" s="12"/>
      <c r="FQC50" s="12"/>
      <c r="FQD50" s="12"/>
      <c r="FQU50" s="12"/>
      <c r="FQV50" s="12"/>
      <c r="FRM50" s="12"/>
      <c r="FRN50" s="12"/>
      <c r="FSE50" s="12"/>
      <c r="FSF50" s="12"/>
      <c r="FSW50" s="12"/>
      <c r="FSX50" s="12"/>
      <c r="FTO50" s="12"/>
      <c r="FTP50" s="12"/>
      <c r="FUG50" s="12"/>
      <c r="FUH50" s="12"/>
      <c r="FUY50" s="12"/>
      <c r="FUZ50" s="12"/>
      <c r="FVQ50" s="12"/>
      <c r="FVR50" s="12"/>
      <c r="FWI50" s="12"/>
      <c r="FWJ50" s="12"/>
      <c r="FXA50" s="12"/>
      <c r="FXB50" s="12"/>
      <c r="FXS50" s="12"/>
      <c r="FXT50" s="12"/>
      <c r="FYK50" s="12"/>
      <c r="FYL50" s="12"/>
      <c r="FZC50" s="12"/>
      <c r="FZD50" s="12"/>
      <c r="FZU50" s="12"/>
      <c r="FZV50" s="12"/>
      <c r="GAM50" s="12"/>
      <c r="GAN50" s="12"/>
      <c r="GBE50" s="12"/>
      <c r="GBF50" s="12"/>
      <c r="GBW50" s="12"/>
      <c r="GBX50" s="12"/>
      <c r="GCO50" s="12"/>
      <c r="GCP50" s="12"/>
      <c r="GDG50" s="12"/>
      <c r="GDH50" s="12"/>
      <c r="GDY50" s="12"/>
      <c r="GDZ50" s="12"/>
      <c r="GEQ50" s="12"/>
      <c r="GER50" s="12"/>
      <c r="GFI50" s="12"/>
      <c r="GFJ50" s="12"/>
      <c r="GGA50" s="12"/>
      <c r="GGB50" s="12"/>
      <c r="GGS50" s="12"/>
      <c r="GGT50" s="12"/>
      <c r="GHK50" s="12"/>
      <c r="GHL50" s="12"/>
      <c r="GIC50" s="12"/>
      <c r="GID50" s="12"/>
      <c r="GIU50" s="12"/>
      <c r="GIV50" s="12"/>
      <c r="GJM50" s="12"/>
      <c r="GJN50" s="12"/>
      <c r="GKE50" s="12"/>
      <c r="GKF50" s="12"/>
      <c r="GKW50" s="12"/>
      <c r="GKX50" s="12"/>
      <c r="GLO50" s="12"/>
      <c r="GLP50" s="12"/>
      <c r="GMG50" s="12"/>
      <c r="GMH50" s="12"/>
      <c r="GMY50" s="12"/>
      <c r="GMZ50" s="12"/>
      <c r="GNQ50" s="12"/>
      <c r="GNR50" s="12"/>
      <c r="GOI50" s="12"/>
      <c r="GOJ50" s="12"/>
      <c r="GPA50" s="12"/>
      <c r="GPB50" s="12"/>
      <c r="GPS50" s="12"/>
      <c r="GPT50" s="12"/>
      <c r="GQK50" s="12"/>
      <c r="GQL50" s="12"/>
      <c r="GRC50" s="12"/>
      <c r="GRD50" s="12"/>
      <c r="GRU50" s="12"/>
      <c r="GRV50" s="12"/>
      <c r="GSM50" s="12"/>
      <c r="GSN50" s="12"/>
      <c r="GTE50" s="12"/>
      <c r="GTF50" s="12"/>
      <c r="GTW50" s="12"/>
      <c r="GTX50" s="12"/>
      <c r="GUO50" s="12"/>
      <c r="GUP50" s="12"/>
      <c r="GVG50" s="12"/>
      <c r="GVH50" s="12"/>
      <c r="GVY50" s="12"/>
      <c r="GVZ50" s="12"/>
      <c r="GWQ50" s="12"/>
      <c r="GWR50" s="12"/>
      <c r="GXI50" s="12"/>
      <c r="GXJ50" s="12"/>
      <c r="GYA50" s="12"/>
      <c r="GYB50" s="12"/>
      <c r="GYS50" s="12"/>
      <c r="GYT50" s="12"/>
      <c r="GZK50" s="12"/>
      <c r="GZL50" s="12"/>
      <c r="HAC50" s="12"/>
      <c r="HAD50" s="12"/>
      <c r="HAU50" s="12"/>
      <c r="HAV50" s="12"/>
      <c r="HBM50" s="12"/>
      <c r="HBN50" s="12"/>
      <c r="HCE50" s="12"/>
      <c r="HCF50" s="12"/>
      <c r="HCW50" s="12"/>
      <c r="HCX50" s="12"/>
      <c r="HDO50" s="12"/>
      <c r="HDP50" s="12"/>
      <c r="HEG50" s="12"/>
      <c r="HEH50" s="12"/>
      <c r="HEY50" s="12"/>
      <c r="HEZ50" s="12"/>
      <c r="HFQ50" s="12"/>
      <c r="HFR50" s="12"/>
      <c r="HGI50" s="12"/>
      <c r="HGJ50" s="12"/>
      <c r="HHA50" s="12"/>
      <c r="HHB50" s="12"/>
      <c r="HHS50" s="12"/>
      <c r="HHT50" s="12"/>
      <c r="HIK50" s="12"/>
      <c r="HIL50" s="12"/>
      <c r="HJC50" s="12"/>
      <c r="HJD50" s="12"/>
      <c r="HJU50" s="12"/>
      <c r="HJV50" s="12"/>
      <c r="HKM50" s="12"/>
      <c r="HKN50" s="12"/>
      <c r="HLE50" s="12"/>
      <c r="HLF50" s="12"/>
      <c r="HLW50" s="12"/>
      <c r="HLX50" s="12"/>
      <c r="HMO50" s="12"/>
      <c r="HMP50" s="12"/>
      <c r="HNG50" s="12"/>
      <c r="HNH50" s="12"/>
      <c r="HNY50" s="12"/>
      <c r="HNZ50" s="12"/>
      <c r="HOQ50" s="12"/>
      <c r="HOR50" s="12"/>
      <c r="HPI50" s="12"/>
      <c r="HPJ50" s="12"/>
      <c r="HQA50" s="12"/>
      <c r="HQB50" s="12"/>
      <c r="HQS50" s="12"/>
      <c r="HQT50" s="12"/>
      <c r="HRK50" s="12"/>
      <c r="HRL50" s="12"/>
      <c r="HSC50" s="12"/>
      <c r="HSD50" s="12"/>
      <c r="HSU50" s="12"/>
      <c r="HSV50" s="12"/>
      <c r="HTM50" s="12"/>
      <c r="HTN50" s="12"/>
      <c r="HUE50" s="12"/>
      <c r="HUF50" s="12"/>
      <c r="HUW50" s="12"/>
      <c r="HUX50" s="12"/>
      <c r="HVO50" s="12"/>
      <c r="HVP50" s="12"/>
      <c r="HWG50" s="12"/>
      <c r="HWH50" s="12"/>
      <c r="HWY50" s="12"/>
      <c r="HWZ50" s="12"/>
      <c r="HXQ50" s="12"/>
      <c r="HXR50" s="12"/>
      <c r="HYI50" s="12"/>
      <c r="HYJ50" s="12"/>
      <c r="HZA50" s="12"/>
      <c r="HZB50" s="12"/>
      <c r="HZS50" s="12"/>
      <c r="HZT50" s="12"/>
      <c r="IAK50" s="12"/>
      <c r="IAL50" s="12"/>
      <c r="IBC50" s="12"/>
      <c r="IBD50" s="12"/>
      <c r="IBU50" s="12"/>
      <c r="IBV50" s="12"/>
      <c r="ICM50" s="12"/>
      <c r="ICN50" s="12"/>
      <c r="IDE50" s="12"/>
      <c r="IDF50" s="12"/>
      <c r="IDW50" s="12"/>
      <c r="IDX50" s="12"/>
      <c r="IEO50" s="12"/>
      <c r="IEP50" s="12"/>
      <c r="IFG50" s="12"/>
      <c r="IFH50" s="12"/>
      <c r="IFY50" s="12"/>
      <c r="IFZ50" s="12"/>
      <c r="IGQ50" s="12"/>
      <c r="IGR50" s="12"/>
      <c r="IHI50" s="12"/>
      <c r="IHJ50" s="12"/>
      <c r="IIA50" s="12"/>
      <c r="IIB50" s="12"/>
      <c r="IIS50" s="12"/>
      <c r="IIT50" s="12"/>
      <c r="IJK50" s="12"/>
      <c r="IJL50" s="12"/>
      <c r="IKC50" s="12"/>
      <c r="IKD50" s="12"/>
      <c r="IKU50" s="12"/>
      <c r="IKV50" s="12"/>
      <c r="ILM50" s="12"/>
      <c r="ILN50" s="12"/>
      <c r="IME50" s="12"/>
      <c r="IMF50" s="12"/>
      <c r="IMW50" s="12"/>
      <c r="IMX50" s="12"/>
      <c r="INO50" s="12"/>
      <c r="INP50" s="12"/>
      <c r="IOG50" s="12"/>
      <c r="IOH50" s="12"/>
      <c r="IOY50" s="12"/>
      <c r="IOZ50" s="12"/>
      <c r="IPQ50" s="12"/>
      <c r="IPR50" s="12"/>
      <c r="IQI50" s="12"/>
      <c r="IQJ50" s="12"/>
      <c r="IRA50" s="12"/>
      <c r="IRB50" s="12"/>
      <c r="IRS50" s="12"/>
      <c r="IRT50" s="12"/>
      <c r="ISK50" s="12"/>
      <c r="ISL50" s="12"/>
      <c r="ITC50" s="12"/>
      <c r="ITD50" s="12"/>
      <c r="ITU50" s="12"/>
      <c r="ITV50" s="12"/>
      <c r="IUM50" s="12"/>
      <c r="IUN50" s="12"/>
      <c r="IVE50" s="12"/>
      <c r="IVF50" s="12"/>
      <c r="IVW50" s="12"/>
      <c r="IVX50" s="12"/>
      <c r="IWO50" s="12"/>
      <c r="IWP50" s="12"/>
      <c r="IXG50" s="12"/>
      <c r="IXH50" s="12"/>
      <c r="IXY50" s="12"/>
      <c r="IXZ50" s="12"/>
      <c r="IYQ50" s="12"/>
      <c r="IYR50" s="12"/>
      <c r="IZI50" s="12"/>
      <c r="IZJ50" s="12"/>
      <c r="JAA50" s="12"/>
      <c r="JAB50" s="12"/>
      <c r="JAS50" s="12"/>
      <c r="JAT50" s="12"/>
      <c r="JBK50" s="12"/>
      <c r="JBL50" s="12"/>
      <c r="JCC50" s="12"/>
      <c r="JCD50" s="12"/>
      <c r="JCU50" s="12"/>
      <c r="JCV50" s="12"/>
      <c r="JDM50" s="12"/>
      <c r="JDN50" s="12"/>
      <c r="JEE50" s="12"/>
      <c r="JEF50" s="12"/>
      <c r="JEW50" s="12"/>
      <c r="JEX50" s="12"/>
      <c r="JFO50" s="12"/>
      <c r="JFP50" s="12"/>
      <c r="JGG50" s="12"/>
      <c r="JGH50" s="12"/>
      <c r="JGY50" s="12"/>
      <c r="JGZ50" s="12"/>
      <c r="JHQ50" s="12"/>
      <c r="JHR50" s="12"/>
      <c r="JII50" s="12"/>
      <c r="JIJ50" s="12"/>
      <c r="JJA50" s="12"/>
      <c r="JJB50" s="12"/>
      <c r="JJS50" s="12"/>
      <c r="JJT50" s="12"/>
      <c r="JKK50" s="12"/>
      <c r="JKL50" s="12"/>
      <c r="JLC50" s="12"/>
      <c r="JLD50" s="12"/>
      <c r="JLU50" s="12"/>
      <c r="JLV50" s="12"/>
      <c r="JMM50" s="12"/>
      <c r="JMN50" s="12"/>
      <c r="JNE50" s="12"/>
      <c r="JNF50" s="12"/>
      <c r="JNW50" s="12"/>
      <c r="JNX50" s="12"/>
      <c r="JOO50" s="12"/>
      <c r="JOP50" s="12"/>
      <c r="JPG50" s="12"/>
      <c r="JPH50" s="12"/>
      <c r="JPY50" s="12"/>
      <c r="JPZ50" s="12"/>
      <c r="JQQ50" s="12"/>
      <c r="JQR50" s="12"/>
      <c r="JRI50" s="12"/>
      <c r="JRJ50" s="12"/>
      <c r="JSA50" s="12"/>
      <c r="JSB50" s="12"/>
      <c r="JSS50" s="12"/>
      <c r="JST50" s="12"/>
      <c r="JTK50" s="12"/>
      <c r="JTL50" s="12"/>
      <c r="JUC50" s="12"/>
      <c r="JUD50" s="12"/>
      <c r="JUU50" s="12"/>
      <c r="JUV50" s="12"/>
      <c r="JVM50" s="12"/>
      <c r="JVN50" s="12"/>
      <c r="JWE50" s="12"/>
      <c r="JWF50" s="12"/>
      <c r="JWW50" s="12"/>
      <c r="JWX50" s="12"/>
      <c r="JXO50" s="12"/>
      <c r="JXP50" s="12"/>
      <c r="JYG50" s="12"/>
      <c r="JYH50" s="12"/>
      <c r="JYY50" s="12"/>
      <c r="JYZ50" s="12"/>
      <c r="JZQ50" s="12"/>
      <c r="JZR50" s="12"/>
      <c r="KAI50" s="12"/>
      <c r="KAJ50" s="12"/>
      <c r="KBA50" s="12"/>
      <c r="KBB50" s="12"/>
      <c r="KBS50" s="12"/>
      <c r="KBT50" s="12"/>
      <c r="KCK50" s="12"/>
      <c r="KCL50" s="12"/>
      <c r="KDC50" s="12"/>
      <c r="KDD50" s="12"/>
      <c r="KDU50" s="12"/>
      <c r="KDV50" s="12"/>
      <c r="KEM50" s="12"/>
      <c r="KEN50" s="12"/>
      <c r="KFE50" s="12"/>
      <c r="KFF50" s="12"/>
      <c r="KFW50" s="12"/>
      <c r="KFX50" s="12"/>
      <c r="KGO50" s="12"/>
      <c r="KGP50" s="12"/>
      <c r="KHG50" s="12"/>
      <c r="KHH50" s="12"/>
      <c r="KHY50" s="12"/>
      <c r="KHZ50" s="12"/>
      <c r="KIQ50" s="12"/>
      <c r="KIR50" s="12"/>
      <c r="KJI50" s="12"/>
      <c r="KJJ50" s="12"/>
      <c r="KKA50" s="12"/>
      <c r="KKB50" s="12"/>
      <c r="KKS50" s="12"/>
      <c r="KKT50" s="12"/>
      <c r="KLK50" s="12"/>
      <c r="KLL50" s="12"/>
      <c r="KMC50" s="12"/>
      <c r="KMD50" s="12"/>
      <c r="KMU50" s="12"/>
      <c r="KMV50" s="12"/>
      <c r="KNM50" s="12"/>
      <c r="KNN50" s="12"/>
      <c r="KOE50" s="12"/>
      <c r="KOF50" s="12"/>
      <c r="KOW50" s="12"/>
      <c r="KOX50" s="12"/>
      <c r="KPO50" s="12"/>
      <c r="KPP50" s="12"/>
      <c r="KQG50" s="12"/>
      <c r="KQH50" s="12"/>
      <c r="KQY50" s="12"/>
      <c r="KQZ50" s="12"/>
      <c r="KRQ50" s="12"/>
      <c r="KRR50" s="12"/>
      <c r="KSI50" s="12"/>
      <c r="KSJ50" s="12"/>
      <c r="KTA50" s="12"/>
      <c r="KTB50" s="12"/>
      <c r="KTS50" s="12"/>
      <c r="KTT50" s="12"/>
      <c r="KUK50" s="12"/>
      <c r="KUL50" s="12"/>
      <c r="KVC50" s="12"/>
      <c r="KVD50" s="12"/>
      <c r="KVU50" s="12"/>
      <c r="KVV50" s="12"/>
      <c r="KWM50" s="12"/>
      <c r="KWN50" s="12"/>
      <c r="KXE50" s="12"/>
      <c r="KXF50" s="12"/>
      <c r="KXW50" s="12"/>
      <c r="KXX50" s="12"/>
      <c r="KYO50" s="12"/>
      <c r="KYP50" s="12"/>
      <c r="KZG50" s="12"/>
      <c r="KZH50" s="12"/>
      <c r="KZY50" s="12"/>
      <c r="KZZ50" s="12"/>
      <c r="LAQ50" s="12"/>
      <c r="LAR50" s="12"/>
      <c r="LBI50" s="12"/>
      <c r="LBJ50" s="12"/>
      <c r="LCA50" s="12"/>
      <c r="LCB50" s="12"/>
      <c r="LCS50" s="12"/>
      <c r="LCT50" s="12"/>
      <c r="LDK50" s="12"/>
      <c r="LDL50" s="12"/>
      <c r="LEC50" s="12"/>
      <c r="LED50" s="12"/>
      <c r="LEU50" s="12"/>
      <c r="LEV50" s="12"/>
      <c r="LFM50" s="12"/>
      <c r="LFN50" s="12"/>
      <c r="LGE50" s="12"/>
      <c r="LGF50" s="12"/>
      <c r="LGW50" s="12"/>
      <c r="LGX50" s="12"/>
      <c r="LHO50" s="12"/>
      <c r="LHP50" s="12"/>
      <c r="LIG50" s="12"/>
      <c r="LIH50" s="12"/>
      <c r="LIY50" s="12"/>
      <c r="LIZ50" s="12"/>
      <c r="LJQ50" s="12"/>
      <c r="LJR50" s="12"/>
      <c r="LKI50" s="12"/>
      <c r="LKJ50" s="12"/>
      <c r="LLA50" s="12"/>
      <c r="LLB50" s="12"/>
      <c r="LLS50" s="12"/>
      <c r="LLT50" s="12"/>
      <c r="LMK50" s="12"/>
      <c r="LML50" s="12"/>
      <c r="LNC50" s="12"/>
      <c r="LND50" s="12"/>
      <c r="LNU50" s="12"/>
      <c r="LNV50" s="12"/>
      <c r="LOM50" s="12"/>
      <c r="LON50" s="12"/>
      <c r="LPE50" s="12"/>
      <c r="LPF50" s="12"/>
      <c r="LPW50" s="12"/>
      <c r="LPX50" s="12"/>
      <c r="LQO50" s="12"/>
      <c r="LQP50" s="12"/>
      <c r="LRG50" s="12"/>
      <c r="LRH50" s="12"/>
      <c r="LRY50" s="12"/>
      <c r="LRZ50" s="12"/>
      <c r="LSQ50" s="12"/>
      <c r="LSR50" s="12"/>
      <c r="LTI50" s="12"/>
      <c r="LTJ50" s="12"/>
      <c r="LUA50" s="12"/>
      <c r="LUB50" s="12"/>
      <c r="LUS50" s="12"/>
      <c r="LUT50" s="12"/>
      <c r="LVK50" s="12"/>
      <c r="LVL50" s="12"/>
      <c r="LWC50" s="12"/>
      <c r="LWD50" s="12"/>
      <c r="LWU50" s="12"/>
      <c r="LWV50" s="12"/>
      <c r="LXM50" s="12"/>
      <c r="LXN50" s="12"/>
      <c r="LYE50" s="12"/>
      <c r="LYF50" s="12"/>
      <c r="LYW50" s="12"/>
      <c r="LYX50" s="12"/>
      <c r="LZO50" s="12"/>
      <c r="LZP50" s="12"/>
      <c r="MAG50" s="12"/>
      <c r="MAH50" s="12"/>
      <c r="MAY50" s="12"/>
      <c r="MAZ50" s="12"/>
      <c r="MBQ50" s="12"/>
      <c r="MBR50" s="12"/>
      <c r="MCI50" s="12"/>
      <c r="MCJ50" s="12"/>
      <c r="MDA50" s="12"/>
      <c r="MDB50" s="12"/>
      <c r="MDS50" s="12"/>
      <c r="MDT50" s="12"/>
      <c r="MEK50" s="12"/>
      <c r="MEL50" s="12"/>
      <c r="MFC50" s="12"/>
      <c r="MFD50" s="12"/>
      <c r="MFU50" s="12"/>
      <c r="MFV50" s="12"/>
      <c r="MGM50" s="12"/>
      <c r="MGN50" s="12"/>
      <c r="MHE50" s="12"/>
      <c r="MHF50" s="12"/>
      <c r="MHW50" s="12"/>
      <c r="MHX50" s="12"/>
      <c r="MIO50" s="12"/>
      <c r="MIP50" s="12"/>
      <c r="MJG50" s="12"/>
      <c r="MJH50" s="12"/>
      <c r="MJY50" s="12"/>
      <c r="MJZ50" s="12"/>
      <c r="MKQ50" s="12"/>
      <c r="MKR50" s="12"/>
      <c r="MLI50" s="12"/>
      <c r="MLJ50" s="12"/>
      <c r="MMA50" s="12"/>
      <c r="MMB50" s="12"/>
      <c r="MMS50" s="12"/>
      <c r="MMT50" s="12"/>
      <c r="MNK50" s="12"/>
      <c r="MNL50" s="12"/>
      <c r="MOC50" s="12"/>
      <c r="MOD50" s="12"/>
      <c r="MOU50" s="12"/>
      <c r="MOV50" s="12"/>
      <c r="MPM50" s="12"/>
      <c r="MPN50" s="12"/>
      <c r="MQE50" s="12"/>
      <c r="MQF50" s="12"/>
      <c r="MQW50" s="12"/>
      <c r="MQX50" s="12"/>
      <c r="MRO50" s="12"/>
      <c r="MRP50" s="12"/>
      <c r="MSG50" s="12"/>
      <c r="MSH50" s="12"/>
      <c r="MSY50" s="12"/>
      <c r="MSZ50" s="12"/>
      <c r="MTQ50" s="12"/>
      <c r="MTR50" s="12"/>
      <c r="MUI50" s="12"/>
      <c r="MUJ50" s="12"/>
      <c r="MVA50" s="12"/>
      <c r="MVB50" s="12"/>
      <c r="MVS50" s="12"/>
      <c r="MVT50" s="12"/>
      <c r="MWK50" s="12"/>
      <c r="MWL50" s="12"/>
      <c r="MXC50" s="12"/>
      <c r="MXD50" s="12"/>
      <c r="MXU50" s="12"/>
      <c r="MXV50" s="12"/>
      <c r="MYM50" s="12"/>
      <c r="MYN50" s="12"/>
      <c r="MZE50" s="12"/>
      <c r="MZF50" s="12"/>
      <c r="MZW50" s="12"/>
      <c r="MZX50" s="12"/>
      <c r="NAO50" s="12"/>
      <c r="NAP50" s="12"/>
      <c r="NBG50" s="12"/>
      <c r="NBH50" s="12"/>
      <c r="NBY50" s="12"/>
      <c r="NBZ50" s="12"/>
      <c r="NCQ50" s="12"/>
      <c r="NCR50" s="12"/>
      <c r="NDI50" s="12"/>
      <c r="NDJ50" s="12"/>
      <c r="NEA50" s="12"/>
      <c r="NEB50" s="12"/>
      <c r="NES50" s="12"/>
      <c r="NET50" s="12"/>
      <c r="NFK50" s="12"/>
      <c r="NFL50" s="12"/>
      <c r="NGC50" s="12"/>
      <c r="NGD50" s="12"/>
      <c r="NGU50" s="12"/>
      <c r="NGV50" s="12"/>
      <c r="NHM50" s="12"/>
      <c r="NHN50" s="12"/>
      <c r="NIE50" s="12"/>
      <c r="NIF50" s="12"/>
      <c r="NIW50" s="12"/>
      <c r="NIX50" s="12"/>
      <c r="NJO50" s="12"/>
      <c r="NJP50" s="12"/>
      <c r="NKG50" s="12"/>
      <c r="NKH50" s="12"/>
      <c r="NKY50" s="12"/>
      <c r="NKZ50" s="12"/>
      <c r="NLQ50" s="12"/>
      <c r="NLR50" s="12"/>
      <c r="NMI50" s="12"/>
      <c r="NMJ50" s="12"/>
      <c r="NNA50" s="12"/>
      <c r="NNB50" s="12"/>
      <c r="NNS50" s="12"/>
      <c r="NNT50" s="12"/>
      <c r="NOK50" s="12"/>
      <c r="NOL50" s="12"/>
      <c r="NPC50" s="12"/>
      <c r="NPD50" s="12"/>
      <c r="NPU50" s="12"/>
      <c r="NPV50" s="12"/>
      <c r="NQM50" s="12"/>
      <c r="NQN50" s="12"/>
      <c r="NRE50" s="12"/>
      <c r="NRF50" s="12"/>
      <c r="NRW50" s="12"/>
      <c r="NRX50" s="12"/>
      <c r="NSO50" s="12"/>
      <c r="NSP50" s="12"/>
      <c r="NTG50" s="12"/>
      <c r="NTH50" s="12"/>
      <c r="NTY50" s="12"/>
      <c r="NTZ50" s="12"/>
      <c r="NUQ50" s="12"/>
      <c r="NUR50" s="12"/>
      <c r="NVI50" s="12"/>
      <c r="NVJ50" s="12"/>
      <c r="NWA50" s="12"/>
      <c r="NWB50" s="12"/>
      <c r="NWS50" s="12"/>
      <c r="NWT50" s="12"/>
      <c r="NXK50" s="12"/>
      <c r="NXL50" s="12"/>
      <c r="NYC50" s="12"/>
      <c r="NYD50" s="12"/>
      <c r="NYU50" s="12"/>
      <c r="NYV50" s="12"/>
      <c r="NZM50" s="12"/>
      <c r="NZN50" s="12"/>
      <c r="OAE50" s="12"/>
      <c r="OAF50" s="12"/>
      <c r="OAW50" s="12"/>
      <c r="OAX50" s="12"/>
      <c r="OBO50" s="12"/>
      <c r="OBP50" s="12"/>
      <c r="OCG50" s="12"/>
      <c r="OCH50" s="12"/>
      <c r="OCY50" s="12"/>
      <c r="OCZ50" s="12"/>
      <c r="ODQ50" s="12"/>
      <c r="ODR50" s="12"/>
      <c r="OEI50" s="12"/>
      <c r="OEJ50" s="12"/>
      <c r="OFA50" s="12"/>
      <c r="OFB50" s="12"/>
      <c r="OFS50" s="12"/>
      <c r="OFT50" s="12"/>
      <c r="OGK50" s="12"/>
      <c r="OGL50" s="12"/>
      <c r="OHC50" s="12"/>
      <c r="OHD50" s="12"/>
      <c r="OHU50" s="12"/>
      <c r="OHV50" s="12"/>
      <c r="OIM50" s="12"/>
      <c r="OIN50" s="12"/>
      <c r="OJE50" s="12"/>
      <c r="OJF50" s="12"/>
      <c r="OJW50" s="12"/>
      <c r="OJX50" s="12"/>
      <c r="OKO50" s="12"/>
      <c r="OKP50" s="12"/>
      <c r="OLG50" s="12"/>
      <c r="OLH50" s="12"/>
      <c r="OLY50" s="12"/>
      <c r="OLZ50" s="12"/>
      <c r="OMQ50" s="12"/>
      <c r="OMR50" s="12"/>
      <c r="ONI50" s="12"/>
      <c r="ONJ50" s="12"/>
      <c r="OOA50" s="12"/>
      <c r="OOB50" s="12"/>
      <c r="OOS50" s="12"/>
      <c r="OOT50" s="12"/>
      <c r="OPK50" s="12"/>
      <c r="OPL50" s="12"/>
      <c r="OQC50" s="12"/>
      <c r="OQD50" s="12"/>
      <c r="OQU50" s="12"/>
      <c r="OQV50" s="12"/>
      <c r="ORM50" s="12"/>
      <c r="ORN50" s="12"/>
      <c r="OSE50" s="12"/>
      <c r="OSF50" s="12"/>
      <c r="OSW50" s="12"/>
      <c r="OSX50" s="12"/>
      <c r="OTO50" s="12"/>
      <c r="OTP50" s="12"/>
      <c r="OUG50" s="12"/>
      <c r="OUH50" s="12"/>
      <c r="OUY50" s="12"/>
      <c r="OUZ50" s="12"/>
      <c r="OVQ50" s="12"/>
      <c r="OVR50" s="12"/>
      <c r="OWI50" s="12"/>
      <c r="OWJ50" s="12"/>
      <c r="OXA50" s="12"/>
      <c r="OXB50" s="12"/>
      <c r="OXS50" s="12"/>
      <c r="OXT50" s="12"/>
      <c r="OYK50" s="12"/>
      <c r="OYL50" s="12"/>
      <c r="OZC50" s="12"/>
      <c r="OZD50" s="12"/>
      <c r="OZU50" s="12"/>
      <c r="OZV50" s="12"/>
      <c r="PAM50" s="12"/>
      <c r="PAN50" s="12"/>
      <c r="PBE50" s="12"/>
      <c r="PBF50" s="12"/>
      <c r="PBW50" s="12"/>
      <c r="PBX50" s="12"/>
      <c r="PCO50" s="12"/>
      <c r="PCP50" s="12"/>
      <c r="PDG50" s="12"/>
      <c r="PDH50" s="12"/>
      <c r="PDY50" s="12"/>
      <c r="PDZ50" s="12"/>
      <c r="PEQ50" s="12"/>
      <c r="PER50" s="12"/>
      <c r="PFI50" s="12"/>
      <c r="PFJ50" s="12"/>
      <c r="PGA50" s="12"/>
      <c r="PGB50" s="12"/>
      <c r="PGS50" s="12"/>
      <c r="PGT50" s="12"/>
      <c r="PHK50" s="12"/>
      <c r="PHL50" s="12"/>
      <c r="PIC50" s="12"/>
      <c r="PID50" s="12"/>
      <c r="PIU50" s="12"/>
      <c r="PIV50" s="12"/>
      <c r="PJM50" s="12"/>
      <c r="PJN50" s="12"/>
      <c r="PKE50" s="12"/>
      <c r="PKF50" s="12"/>
      <c r="PKW50" s="12"/>
      <c r="PKX50" s="12"/>
      <c r="PLO50" s="12"/>
      <c r="PLP50" s="12"/>
      <c r="PMG50" s="12"/>
      <c r="PMH50" s="12"/>
      <c r="PMY50" s="12"/>
      <c r="PMZ50" s="12"/>
      <c r="PNQ50" s="12"/>
      <c r="PNR50" s="12"/>
      <c r="POI50" s="12"/>
      <c r="POJ50" s="12"/>
      <c r="PPA50" s="12"/>
      <c r="PPB50" s="12"/>
      <c r="PPS50" s="12"/>
      <c r="PPT50" s="12"/>
      <c r="PQK50" s="12"/>
      <c r="PQL50" s="12"/>
      <c r="PRC50" s="12"/>
      <c r="PRD50" s="12"/>
      <c r="PRU50" s="12"/>
      <c r="PRV50" s="12"/>
      <c r="PSM50" s="12"/>
      <c r="PSN50" s="12"/>
      <c r="PTE50" s="12"/>
      <c r="PTF50" s="12"/>
      <c r="PTW50" s="12"/>
      <c r="PTX50" s="12"/>
      <c r="PUO50" s="12"/>
      <c r="PUP50" s="12"/>
      <c r="PVG50" s="12"/>
      <c r="PVH50" s="12"/>
      <c r="PVY50" s="12"/>
      <c r="PVZ50" s="12"/>
      <c r="PWQ50" s="12"/>
      <c r="PWR50" s="12"/>
      <c r="PXI50" s="12"/>
      <c r="PXJ50" s="12"/>
      <c r="PYA50" s="12"/>
      <c r="PYB50" s="12"/>
      <c r="PYS50" s="12"/>
      <c r="PYT50" s="12"/>
      <c r="PZK50" s="12"/>
      <c r="PZL50" s="12"/>
      <c r="QAC50" s="12"/>
      <c r="QAD50" s="12"/>
      <c r="QAU50" s="12"/>
      <c r="QAV50" s="12"/>
      <c r="QBM50" s="12"/>
      <c r="QBN50" s="12"/>
      <c r="QCE50" s="12"/>
      <c r="QCF50" s="12"/>
      <c r="QCW50" s="12"/>
      <c r="QCX50" s="12"/>
      <c r="QDO50" s="12"/>
      <c r="QDP50" s="12"/>
      <c r="QEG50" s="12"/>
      <c r="QEH50" s="12"/>
      <c r="QEY50" s="12"/>
      <c r="QEZ50" s="12"/>
      <c r="QFQ50" s="12"/>
      <c r="QFR50" s="12"/>
      <c r="QGI50" s="12"/>
      <c r="QGJ50" s="12"/>
      <c r="QHA50" s="12"/>
      <c r="QHB50" s="12"/>
      <c r="QHS50" s="12"/>
      <c r="QHT50" s="12"/>
      <c r="QIK50" s="12"/>
      <c r="QIL50" s="12"/>
      <c r="QJC50" s="12"/>
      <c r="QJD50" s="12"/>
      <c r="QJU50" s="12"/>
      <c r="QJV50" s="12"/>
      <c r="QKM50" s="12"/>
      <c r="QKN50" s="12"/>
      <c r="QLE50" s="12"/>
      <c r="QLF50" s="12"/>
      <c r="QLW50" s="12"/>
      <c r="QLX50" s="12"/>
      <c r="QMO50" s="12"/>
      <c r="QMP50" s="12"/>
      <c r="QNG50" s="12"/>
      <c r="QNH50" s="12"/>
      <c r="QNY50" s="12"/>
      <c r="QNZ50" s="12"/>
      <c r="QOQ50" s="12"/>
      <c r="QOR50" s="12"/>
      <c r="QPI50" s="12"/>
      <c r="QPJ50" s="12"/>
      <c r="QQA50" s="12"/>
      <c r="QQB50" s="12"/>
      <c r="QQS50" s="12"/>
      <c r="QQT50" s="12"/>
      <c r="QRK50" s="12"/>
      <c r="QRL50" s="12"/>
      <c r="QSC50" s="12"/>
      <c r="QSD50" s="12"/>
      <c r="QSU50" s="12"/>
      <c r="QSV50" s="12"/>
      <c r="QTM50" s="12"/>
      <c r="QTN50" s="12"/>
      <c r="QUE50" s="12"/>
      <c r="QUF50" s="12"/>
      <c r="QUW50" s="12"/>
      <c r="QUX50" s="12"/>
      <c r="QVO50" s="12"/>
      <c r="QVP50" s="12"/>
      <c r="QWG50" s="12"/>
      <c r="QWH50" s="12"/>
      <c r="QWY50" s="12"/>
      <c r="QWZ50" s="12"/>
      <c r="QXQ50" s="12"/>
      <c r="QXR50" s="12"/>
      <c r="QYI50" s="12"/>
      <c r="QYJ50" s="12"/>
      <c r="QZA50" s="12"/>
      <c r="QZB50" s="12"/>
      <c r="QZS50" s="12"/>
      <c r="QZT50" s="12"/>
      <c r="RAK50" s="12"/>
      <c r="RAL50" s="12"/>
      <c r="RBC50" s="12"/>
      <c r="RBD50" s="12"/>
      <c r="RBU50" s="12"/>
      <c r="RBV50" s="12"/>
      <c r="RCM50" s="12"/>
      <c r="RCN50" s="12"/>
      <c r="RDE50" s="12"/>
      <c r="RDF50" s="12"/>
      <c r="RDW50" s="12"/>
      <c r="RDX50" s="12"/>
      <c r="REO50" s="12"/>
      <c r="REP50" s="12"/>
      <c r="RFG50" s="12"/>
      <c r="RFH50" s="12"/>
      <c r="RFY50" s="12"/>
      <c r="RFZ50" s="12"/>
      <c r="RGQ50" s="12"/>
      <c r="RGR50" s="12"/>
      <c r="RHI50" s="12"/>
      <c r="RHJ50" s="12"/>
      <c r="RIA50" s="12"/>
      <c r="RIB50" s="12"/>
      <c r="RIS50" s="12"/>
      <c r="RIT50" s="12"/>
      <c r="RJK50" s="12"/>
      <c r="RJL50" s="12"/>
      <c r="RKC50" s="12"/>
      <c r="RKD50" s="12"/>
      <c r="RKU50" s="12"/>
      <c r="RKV50" s="12"/>
      <c r="RLM50" s="12"/>
      <c r="RLN50" s="12"/>
      <c r="RME50" s="12"/>
      <c r="RMF50" s="12"/>
      <c r="RMW50" s="12"/>
      <c r="RMX50" s="12"/>
      <c r="RNO50" s="12"/>
      <c r="RNP50" s="12"/>
      <c r="ROG50" s="12"/>
      <c r="ROH50" s="12"/>
      <c r="ROY50" s="12"/>
      <c r="ROZ50" s="12"/>
      <c r="RPQ50" s="12"/>
      <c r="RPR50" s="12"/>
      <c r="RQI50" s="12"/>
      <c r="RQJ50" s="12"/>
      <c r="RRA50" s="12"/>
      <c r="RRB50" s="12"/>
      <c r="RRS50" s="12"/>
      <c r="RRT50" s="12"/>
      <c r="RSK50" s="12"/>
      <c r="RSL50" s="12"/>
      <c r="RTC50" s="12"/>
      <c r="RTD50" s="12"/>
      <c r="RTU50" s="12"/>
      <c r="RTV50" s="12"/>
      <c r="RUM50" s="12"/>
      <c r="RUN50" s="12"/>
      <c r="RVE50" s="12"/>
      <c r="RVF50" s="12"/>
      <c r="RVW50" s="12"/>
      <c r="RVX50" s="12"/>
      <c r="RWO50" s="12"/>
      <c r="RWP50" s="12"/>
      <c r="RXG50" s="12"/>
      <c r="RXH50" s="12"/>
      <c r="RXY50" s="12"/>
      <c r="RXZ50" s="12"/>
      <c r="RYQ50" s="12"/>
      <c r="RYR50" s="12"/>
      <c r="RZI50" s="12"/>
      <c r="RZJ50" s="12"/>
      <c r="SAA50" s="12"/>
      <c r="SAB50" s="12"/>
      <c r="SAS50" s="12"/>
      <c r="SAT50" s="12"/>
      <c r="SBK50" s="12"/>
      <c r="SBL50" s="12"/>
      <c r="SCC50" s="12"/>
      <c r="SCD50" s="12"/>
      <c r="SCU50" s="12"/>
      <c r="SCV50" s="12"/>
      <c r="SDM50" s="12"/>
      <c r="SDN50" s="12"/>
      <c r="SEE50" s="12"/>
      <c r="SEF50" s="12"/>
      <c r="SEW50" s="12"/>
      <c r="SEX50" s="12"/>
      <c r="SFO50" s="12"/>
      <c r="SFP50" s="12"/>
      <c r="SGG50" s="12"/>
      <c r="SGH50" s="12"/>
      <c r="SGY50" s="12"/>
      <c r="SGZ50" s="12"/>
      <c r="SHQ50" s="12"/>
      <c r="SHR50" s="12"/>
      <c r="SII50" s="12"/>
      <c r="SIJ50" s="12"/>
      <c r="SJA50" s="12"/>
      <c r="SJB50" s="12"/>
      <c r="SJS50" s="12"/>
      <c r="SJT50" s="12"/>
      <c r="SKK50" s="12"/>
      <c r="SKL50" s="12"/>
      <c r="SLC50" s="12"/>
      <c r="SLD50" s="12"/>
      <c r="SLU50" s="12"/>
      <c r="SLV50" s="12"/>
      <c r="SMM50" s="12"/>
      <c r="SMN50" s="12"/>
      <c r="SNE50" s="12"/>
      <c r="SNF50" s="12"/>
      <c r="SNW50" s="12"/>
      <c r="SNX50" s="12"/>
      <c r="SOO50" s="12"/>
      <c r="SOP50" s="12"/>
      <c r="SPG50" s="12"/>
      <c r="SPH50" s="12"/>
      <c r="SPY50" s="12"/>
      <c r="SPZ50" s="12"/>
      <c r="SQQ50" s="12"/>
      <c r="SQR50" s="12"/>
      <c r="SRI50" s="12"/>
      <c r="SRJ50" s="12"/>
      <c r="SSA50" s="12"/>
      <c r="SSB50" s="12"/>
      <c r="SSS50" s="12"/>
      <c r="SST50" s="12"/>
      <c r="STK50" s="12"/>
      <c r="STL50" s="12"/>
      <c r="SUC50" s="12"/>
      <c r="SUD50" s="12"/>
      <c r="SUU50" s="12"/>
      <c r="SUV50" s="12"/>
      <c r="SVM50" s="12"/>
      <c r="SVN50" s="12"/>
      <c r="SWE50" s="12"/>
      <c r="SWF50" s="12"/>
      <c r="SWW50" s="12"/>
      <c r="SWX50" s="12"/>
      <c r="SXO50" s="12"/>
      <c r="SXP50" s="12"/>
      <c r="SYG50" s="12"/>
      <c r="SYH50" s="12"/>
      <c r="SYY50" s="12"/>
      <c r="SYZ50" s="12"/>
      <c r="SZQ50" s="12"/>
      <c r="SZR50" s="12"/>
      <c r="TAI50" s="12"/>
      <c r="TAJ50" s="12"/>
      <c r="TBA50" s="12"/>
      <c r="TBB50" s="12"/>
      <c r="TBS50" s="12"/>
      <c r="TBT50" s="12"/>
      <c r="TCK50" s="12"/>
      <c r="TCL50" s="12"/>
      <c r="TDC50" s="12"/>
      <c r="TDD50" s="12"/>
      <c r="TDU50" s="12"/>
      <c r="TDV50" s="12"/>
      <c r="TEM50" s="12"/>
      <c r="TEN50" s="12"/>
      <c r="TFE50" s="12"/>
      <c r="TFF50" s="12"/>
      <c r="TFW50" s="12"/>
      <c r="TFX50" s="12"/>
      <c r="TGO50" s="12"/>
      <c r="TGP50" s="12"/>
      <c r="THG50" s="12"/>
      <c r="THH50" s="12"/>
      <c r="THY50" s="12"/>
      <c r="THZ50" s="12"/>
      <c r="TIQ50" s="12"/>
      <c r="TIR50" s="12"/>
      <c r="TJI50" s="12"/>
      <c r="TJJ50" s="12"/>
      <c r="TKA50" s="12"/>
      <c r="TKB50" s="12"/>
      <c r="TKS50" s="12"/>
      <c r="TKT50" s="12"/>
      <c r="TLK50" s="12"/>
      <c r="TLL50" s="12"/>
      <c r="TMC50" s="12"/>
      <c r="TMD50" s="12"/>
      <c r="TMU50" s="12"/>
      <c r="TMV50" s="12"/>
      <c r="TNM50" s="12"/>
      <c r="TNN50" s="12"/>
      <c r="TOE50" s="12"/>
      <c r="TOF50" s="12"/>
      <c r="TOW50" s="12"/>
      <c r="TOX50" s="12"/>
      <c r="TPO50" s="12"/>
      <c r="TPP50" s="12"/>
      <c r="TQG50" s="12"/>
      <c r="TQH50" s="12"/>
      <c r="TQY50" s="12"/>
      <c r="TQZ50" s="12"/>
      <c r="TRQ50" s="12"/>
      <c r="TRR50" s="12"/>
      <c r="TSI50" s="12"/>
      <c r="TSJ50" s="12"/>
      <c r="TTA50" s="12"/>
      <c r="TTB50" s="12"/>
      <c r="TTS50" s="12"/>
      <c r="TTT50" s="12"/>
      <c r="TUK50" s="12"/>
      <c r="TUL50" s="12"/>
      <c r="TVC50" s="12"/>
      <c r="TVD50" s="12"/>
      <c r="TVU50" s="12"/>
      <c r="TVV50" s="12"/>
      <c r="TWM50" s="12"/>
      <c r="TWN50" s="12"/>
      <c r="TXE50" s="12"/>
      <c r="TXF50" s="12"/>
      <c r="TXW50" s="12"/>
      <c r="TXX50" s="12"/>
      <c r="TYO50" s="12"/>
      <c r="TYP50" s="12"/>
      <c r="TZG50" s="12"/>
      <c r="TZH50" s="12"/>
      <c r="TZY50" s="12"/>
      <c r="TZZ50" s="12"/>
      <c r="UAQ50" s="12"/>
      <c r="UAR50" s="12"/>
      <c r="UBI50" s="12"/>
      <c r="UBJ50" s="12"/>
      <c r="UCA50" s="12"/>
      <c r="UCB50" s="12"/>
      <c r="UCS50" s="12"/>
      <c r="UCT50" s="12"/>
      <c r="UDK50" s="12"/>
      <c r="UDL50" s="12"/>
      <c r="UEC50" s="12"/>
      <c r="UED50" s="12"/>
      <c r="UEU50" s="12"/>
      <c r="UEV50" s="12"/>
      <c r="UFM50" s="12"/>
      <c r="UFN50" s="12"/>
      <c r="UGE50" s="12"/>
      <c r="UGF50" s="12"/>
      <c r="UGW50" s="12"/>
      <c r="UGX50" s="12"/>
      <c r="UHO50" s="12"/>
      <c r="UHP50" s="12"/>
      <c r="UIG50" s="12"/>
      <c r="UIH50" s="12"/>
      <c r="UIY50" s="12"/>
      <c r="UIZ50" s="12"/>
      <c r="UJQ50" s="12"/>
      <c r="UJR50" s="12"/>
      <c r="UKI50" s="12"/>
      <c r="UKJ50" s="12"/>
      <c r="ULA50" s="12"/>
      <c r="ULB50" s="12"/>
      <c r="ULS50" s="12"/>
      <c r="ULT50" s="12"/>
      <c r="UMK50" s="12"/>
      <c r="UML50" s="12"/>
      <c r="UNC50" s="12"/>
      <c r="UND50" s="12"/>
      <c r="UNU50" s="12"/>
      <c r="UNV50" s="12"/>
      <c r="UOM50" s="12"/>
      <c r="UON50" s="12"/>
      <c r="UPE50" s="12"/>
      <c r="UPF50" s="12"/>
      <c r="UPW50" s="12"/>
      <c r="UPX50" s="12"/>
      <c r="UQO50" s="12"/>
      <c r="UQP50" s="12"/>
      <c r="URG50" s="12"/>
      <c r="URH50" s="12"/>
      <c r="URY50" s="12"/>
      <c r="URZ50" s="12"/>
      <c r="USQ50" s="12"/>
      <c r="USR50" s="12"/>
      <c r="UTI50" s="12"/>
      <c r="UTJ50" s="12"/>
      <c r="UUA50" s="12"/>
      <c r="UUB50" s="12"/>
      <c r="UUS50" s="12"/>
      <c r="UUT50" s="12"/>
      <c r="UVK50" s="12"/>
      <c r="UVL50" s="12"/>
      <c r="UWC50" s="12"/>
      <c r="UWD50" s="12"/>
      <c r="UWU50" s="12"/>
      <c r="UWV50" s="12"/>
      <c r="UXM50" s="12"/>
      <c r="UXN50" s="12"/>
      <c r="UYE50" s="12"/>
      <c r="UYF50" s="12"/>
      <c r="UYW50" s="12"/>
      <c r="UYX50" s="12"/>
      <c r="UZO50" s="12"/>
      <c r="UZP50" s="12"/>
      <c r="VAG50" s="12"/>
      <c r="VAH50" s="12"/>
      <c r="VAY50" s="12"/>
      <c r="VAZ50" s="12"/>
      <c r="VBQ50" s="12"/>
      <c r="VBR50" s="12"/>
      <c r="VCI50" s="12"/>
      <c r="VCJ50" s="12"/>
      <c r="VDA50" s="12"/>
      <c r="VDB50" s="12"/>
      <c r="VDS50" s="12"/>
      <c r="VDT50" s="12"/>
      <c r="VEK50" s="12"/>
      <c r="VEL50" s="12"/>
      <c r="VFC50" s="12"/>
      <c r="VFD50" s="12"/>
      <c r="VFU50" s="12"/>
      <c r="VFV50" s="12"/>
      <c r="VGM50" s="12"/>
      <c r="VGN50" s="12"/>
      <c r="VHE50" s="12"/>
      <c r="VHF50" s="12"/>
      <c r="VHW50" s="12"/>
      <c r="VHX50" s="12"/>
      <c r="VIO50" s="12"/>
      <c r="VIP50" s="12"/>
      <c r="VJG50" s="12"/>
      <c r="VJH50" s="12"/>
      <c r="VJY50" s="12"/>
      <c r="VJZ50" s="12"/>
      <c r="VKQ50" s="12"/>
      <c r="VKR50" s="12"/>
      <c r="VLI50" s="12"/>
      <c r="VLJ50" s="12"/>
      <c r="VMA50" s="12"/>
      <c r="VMB50" s="12"/>
      <c r="VMS50" s="12"/>
      <c r="VMT50" s="12"/>
      <c r="VNK50" s="12"/>
      <c r="VNL50" s="12"/>
      <c r="VOC50" s="12"/>
      <c r="VOD50" s="12"/>
      <c r="VOU50" s="12"/>
      <c r="VOV50" s="12"/>
      <c r="VPM50" s="12"/>
      <c r="VPN50" s="12"/>
      <c r="VQE50" s="12"/>
      <c r="VQF50" s="12"/>
      <c r="VQW50" s="12"/>
      <c r="VQX50" s="12"/>
      <c r="VRO50" s="12"/>
      <c r="VRP50" s="12"/>
      <c r="VSG50" s="12"/>
      <c r="VSH50" s="12"/>
      <c r="VSY50" s="12"/>
      <c r="VSZ50" s="12"/>
      <c r="VTQ50" s="12"/>
      <c r="VTR50" s="12"/>
      <c r="VUI50" s="12"/>
      <c r="VUJ50" s="12"/>
      <c r="VVA50" s="12"/>
      <c r="VVB50" s="12"/>
      <c r="VVS50" s="12"/>
      <c r="VVT50" s="12"/>
      <c r="VWK50" s="12"/>
      <c r="VWL50" s="12"/>
      <c r="VXC50" s="12"/>
      <c r="VXD50" s="12"/>
      <c r="VXU50" s="12"/>
      <c r="VXV50" s="12"/>
      <c r="VYM50" s="12"/>
      <c r="VYN50" s="12"/>
      <c r="VZE50" s="12"/>
      <c r="VZF50" s="12"/>
      <c r="VZW50" s="12"/>
      <c r="VZX50" s="12"/>
      <c r="WAO50" s="12"/>
      <c r="WAP50" s="12"/>
      <c r="WBG50" s="12"/>
      <c r="WBH50" s="12"/>
      <c r="WBY50" s="12"/>
      <c r="WBZ50" s="12"/>
      <c r="WCQ50" s="12"/>
      <c r="WCR50" s="12"/>
      <c r="WDI50" s="12"/>
      <c r="WDJ50" s="12"/>
      <c r="WEA50" s="12"/>
      <c r="WEB50" s="12"/>
      <c r="WES50" s="12"/>
      <c r="WET50" s="12"/>
      <c r="WFK50" s="12"/>
      <c r="WFL50" s="12"/>
      <c r="WGC50" s="12"/>
      <c r="WGD50" s="12"/>
      <c r="WGU50" s="12"/>
      <c r="WGV50" s="12"/>
      <c r="WHM50" s="12"/>
      <c r="WHN50" s="12"/>
      <c r="WIE50" s="12"/>
      <c r="WIF50" s="12"/>
      <c r="WIW50" s="12"/>
      <c r="WIX50" s="12"/>
      <c r="WJO50" s="12"/>
      <c r="WJP50" s="12"/>
      <c r="WKG50" s="12"/>
      <c r="WKH50" s="12"/>
      <c r="WKY50" s="12"/>
      <c r="WKZ50" s="12"/>
      <c r="WLQ50" s="12"/>
      <c r="WLR50" s="12"/>
      <c r="WMI50" s="12"/>
      <c r="WMJ50" s="12"/>
      <c r="WNA50" s="12"/>
      <c r="WNB50" s="12"/>
      <c r="WNS50" s="12"/>
      <c r="WNT50" s="12"/>
      <c r="WOK50" s="12"/>
      <c r="WOL50" s="12"/>
      <c r="WPC50" s="12"/>
      <c r="WPD50" s="12"/>
      <c r="WPU50" s="12"/>
      <c r="WPV50" s="12"/>
      <c r="WQM50" s="12"/>
      <c r="WQN50" s="12"/>
      <c r="WRE50" s="12"/>
      <c r="WRF50" s="12"/>
      <c r="WRW50" s="12"/>
      <c r="WRX50" s="12"/>
      <c r="WSO50" s="12"/>
      <c r="WSP50" s="12"/>
      <c r="WTG50" s="12"/>
      <c r="WTH50" s="12"/>
      <c r="WTY50" s="12"/>
      <c r="WTZ50" s="12"/>
      <c r="WUQ50" s="12"/>
      <c r="WUR50" s="12"/>
      <c r="WVI50" s="12"/>
      <c r="WVJ50" s="12"/>
      <c r="WWA50" s="12"/>
      <c r="WWB50" s="12"/>
      <c r="WWS50" s="12"/>
      <c r="WWT50" s="12"/>
      <c r="WXK50" s="12"/>
      <c r="WXL50" s="12"/>
      <c r="WYC50" s="12"/>
      <c r="WYD50" s="12"/>
      <c r="WYU50" s="12"/>
      <c r="WYV50" s="12"/>
      <c r="WZM50" s="12"/>
      <c r="WZN50" s="12"/>
      <c r="XAE50" s="12"/>
      <c r="XAF50" s="12"/>
      <c r="XAW50" s="12"/>
      <c r="XAX50" s="12"/>
      <c r="XBO50" s="12"/>
      <c r="XBP50" s="12"/>
      <c r="XCG50" s="12"/>
      <c r="XCH50" s="12"/>
      <c r="XCY50" s="12"/>
      <c r="XCZ50" s="12"/>
      <c r="XDQ50" s="12"/>
      <c r="XDR50" s="12"/>
      <c r="XEI50" s="12"/>
      <c r="XEJ50" s="12"/>
      <c r="XFA50" s="12"/>
      <c r="XFB50" s="12"/>
    </row>
    <row r="51" spans="1:1010 1027:2036 2053:3062 3079:4088 4105:5114 5131:6140 6157:7166 7183:8192 8209:9200 9217:10226 10243:11252 11269:12278 12295:13304 13321:14330 14347:15356 15373:16382" x14ac:dyDescent="0.35">
      <c r="A51" s="181" t="str">
        <f>'Cash Flow - Standardized'!A51</f>
        <v xml:space="preserve">    + Cash From (Repay) ST Debt</v>
      </c>
      <c r="B51" s="13" t="str">
        <f>'Cash Flow - Standardized'!B51</f>
        <v>CF_NET_CHG_IN_ST_DBT_&amp;_CPTL_LEAS</v>
      </c>
      <c r="C51" s="77">
        <f>IF('Cash Flow - Standardized'!C51="",0,'Cash Flow - Standardized'!C51)/'Cash Flow - Standardized'!C$61</f>
        <v>0</v>
      </c>
      <c r="D51" s="77">
        <f>IF('Cash Flow - Standardized'!D51="",0,'Cash Flow - Standardized'!D51)/'Cash Flow - Standardized'!D$61</f>
        <v>0</v>
      </c>
      <c r="E51" s="77">
        <f>IF('Cash Flow - Standardized'!E51="",0,'Cash Flow - Standardized'!E51)/'Cash Flow - Standardized'!E$61</f>
        <v>0</v>
      </c>
      <c r="F51" s="77">
        <f>IF('Cash Flow - Standardized'!F51="",0,'Cash Flow - Standardized'!F51)/'Cash Flow - Standardized'!F$61</f>
        <v>0</v>
      </c>
      <c r="G51" s="77">
        <f>IF('Cash Flow - Standardized'!G51="",0,'Cash Flow - Standardized'!G51)/'Cash Flow - Standardized'!G$61</f>
        <v>0</v>
      </c>
      <c r="H51" s="77">
        <f>IF('Cash Flow - Standardized'!H51="",0,'Cash Flow - Standardized'!H51)/'Cash Flow - Standardized'!H$61</f>
        <v>0</v>
      </c>
      <c r="I51" s="77">
        <f>IF('Cash Flow - Standardized'!I51="",0,'Cash Flow - Standardized'!I51)/'Cash Flow - Standardized'!I$61</f>
        <v>0</v>
      </c>
      <c r="J51" s="77">
        <f>IF('Cash Flow - Standardized'!J51="",0,'Cash Flow - Standardized'!J51)/'Cash Flow - Standardized'!J$61</f>
        <v>0</v>
      </c>
      <c r="K51" s="77">
        <f>IF('Cash Flow - Standardized'!K51="",0,'Cash Flow - Standardized'!K51)/'Cash Flow - Standardized'!K$61</f>
        <v>0</v>
      </c>
      <c r="L51" s="77">
        <f>IF('Cash Flow - Standardized'!L51="",0,'Cash Flow - Standardized'!L51)/'Cash Flow - Standardized'!L$61</f>
        <v>0</v>
      </c>
      <c r="M51" s="108"/>
      <c r="N51" s="108"/>
      <c r="O51" s="108"/>
      <c r="P51" s="108"/>
      <c r="Q51" s="108"/>
      <c r="R51" s="108"/>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row>
    <row r="52" spans="1:1010 1027:2036 2053:3062 3079:4088 4105:5114 5131:6140 6157:7166 7183:8192 8209:9200 9217:10226 10243:11252 11269:12278 12295:13304 13321:14330 14347:15356 15373:16382" x14ac:dyDescent="0.35">
      <c r="A52" s="181" t="str">
        <f>'Cash Flow - Standardized'!A52</f>
        <v xml:space="preserve">    + Cash From LT Debt</v>
      </c>
      <c r="B52" s="13" t="str">
        <f>'Cash Flow - Standardized'!B52</f>
        <v>CF_PROC_LT_DEBT_&amp;_CAPITAL_LEASE</v>
      </c>
      <c r="C52" s="77">
        <f>IF('Cash Flow - Standardized'!C52="",0,'Cash Flow - Standardized'!C52)/'Cash Flow - Standardized'!C$61</f>
        <v>0</v>
      </c>
      <c r="D52" s="77">
        <f>IF('Cash Flow - Standardized'!D52="",0,'Cash Flow - Standardized'!D52)/'Cash Flow - Standardized'!D$61</f>
        <v>0</v>
      </c>
      <c r="E52" s="77">
        <f>IF('Cash Flow - Standardized'!E52="",0,'Cash Flow - Standardized'!E52)/'Cash Flow - Standardized'!E$61</f>
        <v>0</v>
      </c>
      <c r="F52" s="77">
        <f>IF('Cash Flow - Standardized'!F52="",0,'Cash Flow - Standardized'!F52)/'Cash Flow - Standardized'!F$61</f>
        <v>0</v>
      </c>
      <c r="G52" s="77">
        <f>IF('Cash Flow - Standardized'!G52="",0,'Cash Flow - Standardized'!G52)/'Cash Flow - Standardized'!G$61</f>
        <v>0</v>
      </c>
      <c r="H52" s="77">
        <f>IF('Cash Flow - Standardized'!H52="",0,'Cash Flow - Standardized'!H52)/'Cash Flow - Standardized'!H$61</f>
        <v>0</v>
      </c>
      <c r="I52" s="77">
        <f>IF('Cash Flow - Standardized'!I52="",0,'Cash Flow - Standardized'!I52)/'Cash Flow - Standardized'!I$61</f>
        <v>0</v>
      </c>
      <c r="J52" s="77">
        <f>IF('Cash Flow - Standardized'!J52="",0,'Cash Flow - Standardized'!J52)/'Cash Flow - Standardized'!J$61</f>
        <v>0</v>
      </c>
      <c r="K52" s="77">
        <f>IF('Cash Flow - Standardized'!K52="",0,'Cash Flow - Standardized'!K52)/'Cash Flow - Standardized'!K$61</f>
        <v>-9.5753215496493359E-3</v>
      </c>
      <c r="L52" s="77">
        <f>IF('Cash Flow - Standardized'!L52="",0,'Cash Flow - Standardized'!L52)/'Cash Flow - Standardized'!L$61</f>
        <v>-1.3854232617034747E-2</v>
      </c>
      <c r="M52" s="108"/>
      <c r="N52" s="108"/>
      <c r="O52" s="108"/>
      <c r="P52" s="108"/>
      <c r="Q52" s="108"/>
      <c r="R52" s="108"/>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row>
    <row r="53" spans="1:1010 1027:2036 2053:3062 3079:4088 4105:5114 5131:6140 6157:7166 7183:8192 8209:9200 9217:10226 10243:11252 11269:12278 12295:13304 13321:14330 14347:15356 15373:16382" x14ac:dyDescent="0.35">
      <c r="A53" s="181" t="str">
        <f>'Cash Flow - Standardized'!A53</f>
        <v xml:space="preserve">    + Repayments of LT Debt</v>
      </c>
      <c r="B53" s="13" t="str">
        <f>'Cash Flow - Standardized'!B53</f>
        <v>CF_PYMT_LT_DEBT_&amp;_CAPITAL_LEASE</v>
      </c>
      <c r="C53" s="77">
        <f>IF('Cash Flow - Standardized'!C53="",0,'Cash Flow - Standardized'!C53)/'Cash Flow - Standardized'!C$61</f>
        <v>3.1448078082481953E-3</v>
      </c>
      <c r="D53" s="77">
        <f>IF('Cash Flow - Standardized'!D53="",0,'Cash Flow - Standardized'!D53)/'Cash Flow - Standardized'!D$61</f>
        <v>1.9122500485342652E-2</v>
      </c>
      <c r="E53" s="77">
        <f>IF('Cash Flow - Standardized'!E53="",0,'Cash Flow - Standardized'!E53)/'Cash Flow - Standardized'!E$61</f>
        <v>1.7863490934944899E-2</v>
      </c>
      <c r="F53" s="77">
        <f>IF('Cash Flow - Standardized'!F53="",0,'Cash Flow - Standardized'!F53)/'Cash Flow - Standardized'!F$61</f>
        <v>1.4000819560169376E-2</v>
      </c>
      <c r="G53" s="77">
        <f>IF('Cash Flow - Standardized'!G53="",0,'Cash Flow - Standardized'!G53)/'Cash Flow - Standardized'!G$61</f>
        <v>1.6892394701592497E-2</v>
      </c>
      <c r="H53" s="77">
        <f>IF('Cash Flow - Standardized'!H53="",0,'Cash Flow - Standardized'!H53)/'Cash Flow - Standardized'!H$61</f>
        <v>1.6716673810544366E-2</v>
      </c>
      <c r="I53" s="77">
        <f>IF('Cash Flow - Standardized'!I53="",0,'Cash Flow - Standardized'!I53)/'Cash Flow - Standardized'!I$61</f>
        <v>1.7176173967853765E-2</v>
      </c>
      <c r="J53" s="77">
        <f>IF('Cash Flow - Standardized'!J53="",0,'Cash Flow - Standardized'!J53)/'Cash Flow - Standardized'!J$61</f>
        <v>1.2833111740563039E-2</v>
      </c>
      <c r="K53" s="77">
        <f>IF('Cash Flow - Standardized'!K53="",0,'Cash Flow - Standardized'!K53)/'Cash Flow - Standardized'!K$61</f>
        <v>0</v>
      </c>
      <c r="L53" s="77">
        <f>IF('Cash Flow - Standardized'!L53="",0,'Cash Flow - Standardized'!L53)/'Cash Flow - Standardized'!L$61</f>
        <v>0</v>
      </c>
      <c r="M53" s="108"/>
      <c r="N53" s="108"/>
      <c r="O53" s="108"/>
      <c r="P53" s="108"/>
      <c r="Q53" s="108"/>
      <c r="R53" s="108"/>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row>
    <row r="54" spans="1:1010 1027:2036 2053:3062 3079:4088 4105:5114 5131:6140 6157:7166 7183:8192 8209:9200 9217:10226 10243:11252 11269:12278 12295:13304 13321:14330 14347:15356 15373:16382" x14ac:dyDescent="0.35">
      <c r="A54" s="23" t="str">
        <f>'Cash Flow - Standardized'!A54</f>
        <v>check</v>
      </c>
      <c r="B54" s="23"/>
      <c r="C54" s="79"/>
      <c r="D54" s="79"/>
      <c r="E54" s="79"/>
      <c r="F54" s="79"/>
      <c r="G54" s="79"/>
      <c r="H54" s="79"/>
      <c r="I54" s="79"/>
      <c r="J54" s="79"/>
      <c r="K54" s="79"/>
      <c r="L54" s="79"/>
      <c r="M54" s="127"/>
      <c r="N54" s="127"/>
      <c r="O54" s="127"/>
      <c r="P54" s="127"/>
      <c r="Q54" s="127"/>
      <c r="R54" s="12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row>
    <row r="55" spans="1:1010 1027:2036 2053:3062 3079:4088 4105:5114 5131:6140 6157:7166 7183:8192 8209:9200 9217:10226 10243:11252 11269:12278 12295:13304 13321:14330 14347:15356 15373:16382" s="11" customFormat="1" x14ac:dyDescent="0.35">
      <c r="A55" s="183" t="str">
        <f>'Cash Flow - Standardized'!A55</f>
        <v xml:space="preserve">  + Cash (Repurchase) of Equity</v>
      </c>
      <c r="B55" s="75" t="str">
        <f>'Cash Flow - Standardized'!B55</f>
        <v>PROC_FR_REPURCH_EQTY_DETAILED</v>
      </c>
      <c r="C55" s="76">
        <f>IF('Cash Flow - Standardized'!C55="",0,'Cash Flow - Standardized'!C55)/'Cash Flow - Standardized'!C$61</f>
        <v>0.78574571051473818</v>
      </c>
      <c r="D55" s="76">
        <f>IF('Cash Flow - Standardized'!D55="",0,'Cash Flow - Standardized'!D55)/'Cash Flow - Standardized'!D$61</f>
        <v>-0.29314696175499905</v>
      </c>
      <c r="E55" s="76">
        <f>IF('Cash Flow - Standardized'!E55="",0,'Cash Flow - Standardized'!E55)/'Cash Flow - Standardized'!E$61</f>
        <v>-0.24777817276928543</v>
      </c>
      <c r="F55" s="76">
        <f>IF('Cash Flow - Standardized'!F55="",0,'Cash Flow - Standardized'!F55)/'Cash Flow - Standardized'!F$61</f>
        <v>-1.2088512498292583E-2</v>
      </c>
      <c r="G55" s="76">
        <f>IF('Cash Flow - Standardized'!G55="",0,'Cash Flow - Standardized'!G55)/'Cash Flow - Standardized'!G$61</f>
        <v>-0.11497246614079475</v>
      </c>
      <c r="H55" s="76">
        <f>IF('Cash Flow - Standardized'!H55="",0,'Cash Flow - Standardized'!H55)/'Cash Flow - Standardized'!H$61</f>
        <v>-0.33990570081440208</v>
      </c>
      <c r="I55" s="76">
        <f>IF('Cash Flow - Standardized'!I55="",0,'Cash Flow - Standardized'!I55)/'Cash Flow - Standardized'!I$61</f>
        <v>-0.22801764891270093</v>
      </c>
      <c r="J55" s="76">
        <f>IF('Cash Flow - Standardized'!J55="",0,'Cash Flow - Standardized'!J55)/'Cash Flow - Standardized'!J$61</f>
        <v>-1.8498179085496272E-3</v>
      </c>
      <c r="K55" s="76">
        <f>IF('Cash Flow - Standardized'!K55="",0,'Cash Flow - Standardized'!K55)/'Cash Flow - Standardized'!K$61</f>
        <v>0.5686964623068762</v>
      </c>
      <c r="L55" s="76">
        <f>IF('Cash Flow - Standardized'!L55="",0,'Cash Flow - Standardized'!L55)/'Cash Flow - Standardized'!L$61</f>
        <v>0.37335667200476708</v>
      </c>
      <c r="M55" s="108"/>
      <c r="N55" s="108"/>
      <c r="O55" s="108"/>
      <c r="P55" s="108"/>
      <c r="Q55" s="108"/>
      <c r="R55" s="108"/>
      <c r="S55" s="109"/>
      <c r="T55" s="109"/>
      <c r="U55" s="108"/>
      <c r="V55" s="108"/>
      <c r="W55" s="108"/>
      <c r="X55" s="108"/>
      <c r="Y55" s="108"/>
      <c r="Z55" s="108"/>
      <c r="AA55" s="108"/>
      <c r="AB55" s="108"/>
      <c r="AC55" s="108"/>
      <c r="AD55" s="108"/>
      <c r="AE55" s="108"/>
      <c r="AF55" s="108"/>
      <c r="AG55" s="108"/>
      <c r="AH55" s="108"/>
      <c r="AI55" s="108"/>
      <c r="AJ55" s="108"/>
      <c r="AK55" s="109"/>
      <c r="AL55" s="109"/>
      <c r="AM55" s="108"/>
      <c r="AN55" s="108"/>
      <c r="AO55" s="108"/>
      <c r="AP55" s="108"/>
      <c r="AQ55" s="108"/>
      <c r="AR55" s="108"/>
      <c r="AS55" s="108"/>
      <c r="AT55" s="108"/>
      <c r="AU55" s="108"/>
      <c r="AV55" s="108"/>
      <c r="AW55" s="108"/>
      <c r="AX55" s="108"/>
      <c r="BC55" s="12"/>
      <c r="BD55" s="12"/>
      <c r="BU55" s="12"/>
      <c r="BV55" s="12"/>
      <c r="CM55" s="12"/>
      <c r="CN55" s="12"/>
      <c r="DE55" s="12"/>
      <c r="DF55" s="12"/>
      <c r="DW55" s="12"/>
      <c r="DX55" s="12"/>
      <c r="EO55" s="12"/>
      <c r="EP55" s="12"/>
      <c r="FG55" s="12"/>
      <c r="FH55" s="12"/>
      <c r="FY55" s="12"/>
      <c r="FZ55" s="12"/>
      <c r="GQ55" s="12"/>
      <c r="GR55" s="12"/>
      <c r="HI55" s="12"/>
      <c r="HJ55" s="12"/>
      <c r="IA55" s="12"/>
      <c r="IB55" s="12"/>
      <c r="IS55" s="12"/>
      <c r="IT55" s="12"/>
      <c r="JK55" s="12"/>
      <c r="JL55" s="12"/>
      <c r="KC55" s="12"/>
      <c r="KD55" s="12"/>
      <c r="KU55" s="12"/>
      <c r="KV55" s="12"/>
      <c r="LM55" s="12"/>
      <c r="LN55" s="12"/>
      <c r="ME55" s="12"/>
      <c r="MF55" s="12"/>
      <c r="MW55" s="12"/>
      <c r="MX55" s="12"/>
      <c r="NO55" s="12"/>
      <c r="NP55" s="12"/>
      <c r="OG55" s="12"/>
      <c r="OH55" s="12"/>
      <c r="OY55" s="12"/>
      <c r="OZ55" s="12"/>
      <c r="PQ55" s="12"/>
      <c r="PR55" s="12"/>
      <c r="QI55" s="12"/>
      <c r="QJ55" s="12"/>
      <c r="RA55" s="12"/>
      <c r="RB55" s="12"/>
      <c r="RS55" s="12"/>
      <c r="RT55" s="12"/>
      <c r="SK55" s="12"/>
      <c r="SL55" s="12"/>
      <c r="TC55" s="12"/>
      <c r="TD55" s="12"/>
      <c r="TU55" s="12"/>
      <c r="TV55" s="12"/>
      <c r="UM55" s="12"/>
      <c r="UN55" s="12"/>
      <c r="VE55" s="12"/>
      <c r="VF55" s="12"/>
      <c r="VW55" s="12"/>
      <c r="VX55" s="12"/>
      <c r="WO55" s="12"/>
      <c r="WP55" s="12"/>
      <c r="XG55" s="12"/>
      <c r="XH55" s="12"/>
      <c r="XY55" s="12"/>
      <c r="XZ55" s="12"/>
      <c r="YQ55" s="12"/>
      <c r="YR55" s="12"/>
      <c r="ZI55" s="12"/>
      <c r="ZJ55" s="12"/>
      <c r="AAA55" s="12"/>
      <c r="AAB55" s="12"/>
      <c r="AAS55" s="12"/>
      <c r="AAT55" s="12"/>
      <c r="ABK55" s="12"/>
      <c r="ABL55" s="12"/>
      <c r="ACC55" s="12"/>
      <c r="ACD55" s="12"/>
      <c r="ACU55" s="12"/>
      <c r="ACV55" s="12"/>
      <c r="ADM55" s="12"/>
      <c r="ADN55" s="12"/>
      <c r="AEE55" s="12"/>
      <c r="AEF55" s="12"/>
      <c r="AEW55" s="12"/>
      <c r="AEX55" s="12"/>
      <c r="AFO55" s="12"/>
      <c r="AFP55" s="12"/>
      <c r="AGG55" s="12"/>
      <c r="AGH55" s="12"/>
      <c r="AGY55" s="12"/>
      <c r="AGZ55" s="12"/>
      <c r="AHQ55" s="12"/>
      <c r="AHR55" s="12"/>
      <c r="AII55" s="12"/>
      <c r="AIJ55" s="12"/>
      <c r="AJA55" s="12"/>
      <c r="AJB55" s="12"/>
      <c r="AJS55" s="12"/>
      <c r="AJT55" s="12"/>
      <c r="AKK55" s="12"/>
      <c r="AKL55" s="12"/>
      <c r="ALC55" s="12"/>
      <c r="ALD55" s="12"/>
      <c r="ALU55" s="12"/>
      <c r="ALV55" s="12"/>
      <c r="AMM55" s="12"/>
      <c r="AMN55" s="12"/>
      <c r="ANE55" s="12"/>
      <c r="ANF55" s="12"/>
      <c r="ANW55" s="12"/>
      <c r="ANX55" s="12"/>
      <c r="AOO55" s="12"/>
      <c r="AOP55" s="12"/>
      <c r="APG55" s="12"/>
      <c r="APH55" s="12"/>
      <c r="APY55" s="12"/>
      <c r="APZ55" s="12"/>
      <c r="AQQ55" s="12"/>
      <c r="AQR55" s="12"/>
      <c r="ARI55" s="12"/>
      <c r="ARJ55" s="12"/>
      <c r="ASA55" s="12"/>
      <c r="ASB55" s="12"/>
      <c r="ASS55" s="12"/>
      <c r="AST55" s="12"/>
      <c r="ATK55" s="12"/>
      <c r="ATL55" s="12"/>
      <c r="AUC55" s="12"/>
      <c r="AUD55" s="12"/>
      <c r="AUU55" s="12"/>
      <c r="AUV55" s="12"/>
      <c r="AVM55" s="12"/>
      <c r="AVN55" s="12"/>
      <c r="AWE55" s="12"/>
      <c r="AWF55" s="12"/>
      <c r="AWW55" s="12"/>
      <c r="AWX55" s="12"/>
      <c r="AXO55" s="12"/>
      <c r="AXP55" s="12"/>
      <c r="AYG55" s="12"/>
      <c r="AYH55" s="12"/>
      <c r="AYY55" s="12"/>
      <c r="AYZ55" s="12"/>
      <c r="AZQ55" s="12"/>
      <c r="AZR55" s="12"/>
      <c r="BAI55" s="12"/>
      <c r="BAJ55" s="12"/>
      <c r="BBA55" s="12"/>
      <c r="BBB55" s="12"/>
      <c r="BBS55" s="12"/>
      <c r="BBT55" s="12"/>
      <c r="BCK55" s="12"/>
      <c r="BCL55" s="12"/>
      <c r="BDC55" s="12"/>
      <c r="BDD55" s="12"/>
      <c r="BDU55" s="12"/>
      <c r="BDV55" s="12"/>
      <c r="BEM55" s="12"/>
      <c r="BEN55" s="12"/>
      <c r="BFE55" s="12"/>
      <c r="BFF55" s="12"/>
      <c r="BFW55" s="12"/>
      <c r="BFX55" s="12"/>
      <c r="BGO55" s="12"/>
      <c r="BGP55" s="12"/>
      <c r="BHG55" s="12"/>
      <c r="BHH55" s="12"/>
      <c r="BHY55" s="12"/>
      <c r="BHZ55" s="12"/>
      <c r="BIQ55" s="12"/>
      <c r="BIR55" s="12"/>
      <c r="BJI55" s="12"/>
      <c r="BJJ55" s="12"/>
      <c r="BKA55" s="12"/>
      <c r="BKB55" s="12"/>
      <c r="BKS55" s="12"/>
      <c r="BKT55" s="12"/>
      <c r="BLK55" s="12"/>
      <c r="BLL55" s="12"/>
      <c r="BMC55" s="12"/>
      <c r="BMD55" s="12"/>
      <c r="BMU55" s="12"/>
      <c r="BMV55" s="12"/>
      <c r="BNM55" s="12"/>
      <c r="BNN55" s="12"/>
      <c r="BOE55" s="12"/>
      <c r="BOF55" s="12"/>
      <c r="BOW55" s="12"/>
      <c r="BOX55" s="12"/>
      <c r="BPO55" s="12"/>
      <c r="BPP55" s="12"/>
      <c r="BQG55" s="12"/>
      <c r="BQH55" s="12"/>
      <c r="BQY55" s="12"/>
      <c r="BQZ55" s="12"/>
      <c r="BRQ55" s="12"/>
      <c r="BRR55" s="12"/>
      <c r="BSI55" s="12"/>
      <c r="BSJ55" s="12"/>
      <c r="BTA55" s="12"/>
      <c r="BTB55" s="12"/>
      <c r="BTS55" s="12"/>
      <c r="BTT55" s="12"/>
      <c r="BUK55" s="12"/>
      <c r="BUL55" s="12"/>
      <c r="BVC55" s="12"/>
      <c r="BVD55" s="12"/>
      <c r="BVU55" s="12"/>
      <c r="BVV55" s="12"/>
      <c r="BWM55" s="12"/>
      <c r="BWN55" s="12"/>
      <c r="BXE55" s="12"/>
      <c r="BXF55" s="12"/>
      <c r="BXW55" s="12"/>
      <c r="BXX55" s="12"/>
      <c r="BYO55" s="12"/>
      <c r="BYP55" s="12"/>
      <c r="BZG55" s="12"/>
      <c r="BZH55" s="12"/>
      <c r="BZY55" s="12"/>
      <c r="BZZ55" s="12"/>
      <c r="CAQ55" s="12"/>
      <c r="CAR55" s="12"/>
      <c r="CBI55" s="12"/>
      <c r="CBJ55" s="12"/>
      <c r="CCA55" s="12"/>
      <c r="CCB55" s="12"/>
      <c r="CCS55" s="12"/>
      <c r="CCT55" s="12"/>
      <c r="CDK55" s="12"/>
      <c r="CDL55" s="12"/>
      <c r="CEC55" s="12"/>
      <c r="CED55" s="12"/>
      <c r="CEU55" s="12"/>
      <c r="CEV55" s="12"/>
      <c r="CFM55" s="12"/>
      <c r="CFN55" s="12"/>
      <c r="CGE55" s="12"/>
      <c r="CGF55" s="12"/>
      <c r="CGW55" s="12"/>
      <c r="CGX55" s="12"/>
      <c r="CHO55" s="12"/>
      <c r="CHP55" s="12"/>
      <c r="CIG55" s="12"/>
      <c r="CIH55" s="12"/>
      <c r="CIY55" s="12"/>
      <c r="CIZ55" s="12"/>
      <c r="CJQ55" s="12"/>
      <c r="CJR55" s="12"/>
      <c r="CKI55" s="12"/>
      <c r="CKJ55" s="12"/>
      <c r="CLA55" s="12"/>
      <c r="CLB55" s="12"/>
      <c r="CLS55" s="12"/>
      <c r="CLT55" s="12"/>
      <c r="CMK55" s="12"/>
      <c r="CML55" s="12"/>
      <c r="CNC55" s="12"/>
      <c r="CND55" s="12"/>
      <c r="CNU55" s="12"/>
      <c r="CNV55" s="12"/>
      <c r="COM55" s="12"/>
      <c r="CON55" s="12"/>
      <c r="CPE55" s="12"/>
      <c r="CPF55" s="12"/>
      <c r="CPW55" s="12"/>
      <c r="CPX55" s="12"/>
      <c r="CQO55" s="12"/>
      <c r="CQP55" s="12"/>
      <c r="CRG55" s="12"/>
      <c r="CRH55" s="12"/>
      <c r="CRY55" s="12"/>
      <c r="CRZ55" s="12"/>
      <c r="CSQ55" s="12"/>
      <c r="CSR55" s="12"/>
      <c r="CTI55" s="12"/>
      <c r="CTJ55" s="12"/>
      <c r="CUA55" s="12"/>
      <c r="CUB55" s="12"/>
      <c r="CUS55" s="12"/>
      <c r="CUT55" s="12"/>
      <c r="CVK55" s="12"/>
      <c r="CVL55" s="12"/>
      <c r="CWC55" s="12"/>
      <c r="CWD55" s="12"/>
      <c r="CWU55" s="12"/>
      <c r="CWV55" s="12"/>
      <c r="CXM55" s="12"/>
      <c r="CXN55" s="12"/>
      <c r="CYE55" s="12"/>
      <c r="CYF55" s="12"/>
      <c r="CYW55" s="12"/>
      <c r="CYX55" s="12"/>
      <c r="CZO55" s="12"/>
      <c r="CZP55" s="12"/>
      <c r="DAG55" s="12"/>
      <c r="DAH55" s="12"/>
      <c r="DAY55" s="12"/>
      <c r="DAZ55" s="12"/>
      <c r="DBQ55" s="12"/>
      <c r="DBR55" s="12"/>
      <c r="DCI55" s="12"/>
      <c r="DCJ55" s="12"/>
      <c r="DDA55" s="12"/>
      <c r="DDB55" s="12"/>
      <c r="DDS55" s="12"/>
      <c r="DDT55" s="12"/>
      <c r="DEK55" s="12"/>
      <c r="DEL55" s="12"/>
      <c r="DFC55" s="12"/>
      <c r="DFD55" s="12"/>
      <c r="DFU55" s="12"/>
      <c r="DFV55" s="12"/>
      <c r="DGM55" s="12"/>
      <c r="DGN55" s="12"/>
      <c r="DHE55" s="12"/>
      <c r="DHF55" s="12"/>
      <c r="DHW55" s="12"/>
      <c r="DHX55" s="12"/>
      <c r="DIO55" s="12"/>
      <c r="DIP55" s="12"/>
      <c r="DJG55" s="12"/>
      <c r="DJH55" s="12"/>
      <c r="DJY55" s="12"/>
      <c r="DJZ55" s="12"/>
      <c r="DKQ55" s="12"/>
      <c r="DKR55" s="12"/>
      <c r="DLI55" s="12"/>
      <c r="DLJ55" s="12"/>
      <c r="DMA55" s="12"/>
      <c r="DMB55" s="12"/>
      <c r="DMS55" s="12"/>
      <c r="DMT55" s="12"/>
      <c r="DNK55" s="12"/>
      <c r="DNL55" s="12"/>
      <c r="DOC55" s="12"/>
      <c r="DOD55" s="12"/>
      <c r="DOU55" s="12"/>
      <c r="DOV55" s="12"/>
      <c r="DPM55" s="12"/>
      <c r="DPN55" s="12"/>
      <c r="DQE55" s="12"/>
      <c r="DQF55" s="12"/>
      <c r="DQW55" s="12"/>
      <c r="DQX55" s="12"/>
      <c r="DRO55" s="12"/>
      <c r="DRP55" s="12"/>
      <c r="DSG55" s="12"/>
      <c r="DSH55" s="12"/>
      <c r="DSY55" s="12"/>
      <c r="DSZ55" s="12"/>
      <c r="DTQ55" s="12"/>
      <c r="DTR55" s="12"/>
      <c r="DUI55" s="12"/>
      <c r="DUJ55" s="12"/>
      <c r="DVA55" s="12"/>
      <c r="DVB55" s="12"/>
      <c r="DVS55" s="12"/>
      <c r="DVT55" s="12"/>
      <c r="DWK55" s="12"/>
      <c r="DWL55" s="12"/>
      <c r="DXC55" s="12"/>
      <c r="DXD55" s="12"/>
      <c r="DXU55" s="12"/>
      <c r="DXV55" s="12"/>
      <c r="DYM55" s="12"/>
      <c r="DYN55" s="12"/>
      <c r="DZE55" s="12"/>
      <c r="DZF55" s="12"/>
      <c r="DZW55" s="12"/>
      <c r="DZX55" s="12"/>
      <c r="EAO55" s="12"/>
      <c r="EAP55" s="12"/>
      <c r="EBG55" s="12"/>
      <c r="EBH55" s="12"/>
      <c r="EBY55" s="12"/>
      <c r="EBZ55" s="12"/>
      <c r="ECQ55" s="12"/>
      <c r="ECR55" s="12"/>
      <c r="EDI55" s="12"/>
      <c r="EDJ55" s="12"/>
      <c r="EEA55" s="12"/>
      <c r="EEB55" s="12"/>
      <c r="EES55" s="12"/>
      <c r="EET55" s="12"/>
      <c r="EFK55" s="12"/>
      <c r="EFL55" s="12"/>
      <c r="EGC55" s="12"/>
      <c r="EGD55" s="12"/>
      <c r="EGU55" s="12"/>
      <c r="EGV55" s="12"/>
      <c r="EHM55" s="12"/>
      <c r="EHN55" s="12"/>
      <c r="EIE55" s="12"/>
      <c r="EIF55" s="12"/>
      <c r="EIW55" s="12"/>
      <c r="EIX55" s="12"/>
      <c r="EJO55" s="12"/>
      <c r="EJP55" s="12"/>
      <c r="EKG55" s="12"/>
      <c r="EKH55" s="12"/>
      <c r="EKY55" s="12"/>
      <c r="EKZ55" s="12"/>
      <c r="ELQ55" s="12"/>
      <c r="ELR55" s="12"/>
      <c r="EMI55" s="12"/>
      <c r="EMJ55" s="12"/>
      <c r="ENA55" s="12"/>
      <c r="ENB55" s="12"/>
      <c r="ENS55" s="12"/>
      <c r="ENT55" s="12"/>
      <c r="EOK55" s="12"/>
      <c r="EOL55" s="12"/>
      <c r="EPC55" s="12"/>
      <c r="EPD55" s="12"/>
      <c r="EPU55" s="12"/>
      <c r="EPV55" s="12"/>
      <c r="EQM55" s="12"/>
      <c r="EQN55" s="12"/>
      <c r="ERE55" s="12"/>
      <c r="ERF55" s="12"/>
      <c r="ERW55" s="12"/>
      <c r="ERX55" s="12"/>
      <c r="ESO55" s="12"/>
      <c r="ESP55" s="12"/>
      <c r="ETG55" s="12"/>
      <c r="ETH55" s="12"/>
      <c r="ETY55" s="12"/>
      <c r="ETZ55" s="12"/>
      <c r="EUQ55" s="12"/>
      <c r="EUR55" s="12"/>
      <c r="EVI55" s="12"/>
      <c r="EVJ55" s="12"/>
      <c r="EWA55" s="12"/>
      <c r="EWB55" s="12"/>
      <c r="EWS55" s="12"/>
      <c r="EWT55" s="12"/>
      <c r="EXK55" s="12"/>
      <c r="EXL55" s="12"/>
      <c r="EYC55" s="12"/>
      <c r="EYD55" s="12"/>
      <c r="EYU55" s="12"/>
      <c r="EYV55" s="12"/>
      <c r="EZM55" s="12"/>
      <c r="EZN55" s="12"/>
      <c r="FAE55" s="12"/>
      <c r="FAF55" s="12"/>
      <c r="FAW55" s="12"/>
      <c r="FAX55" s="12"/>
      <c r="FBO55" s="12"/>
      <c r="FBP55" s="12"/>
      <c r="FCG55" s="12"/>
      <c r="FCH55" s="12"/>
      <c r="FCY55" s="12"/>
      <c r="FCZ55" s="12"/>
      <c r="FDQ55" s="12"/>
      <c r="FDR55" s="12"/>
      <c r="FEI55" s="12"/>
      <c r="FEJ55" s="12"/>
      <c r="FFA55" s="12"/>
      <c r="FFB55" s="12"/>
      <c r="FFS55" s="12"/>
      <c r="FFT55" s="12"/>
      <c r="FGK55" s="12"/>
      <c r="FGL55" s="12"/>
      <c r="FHC55" s="12"/>
      <c r="FHD55" s="12"/>
      <c r="FHU55" s="12"/>
      <c r="FHV55" s="12"/>
      <c r="FIM55" s="12"/>
      <c r="FIN55" s="12"/>
      <c r="FJE55" s="12"/>
      <c r="FJF55" s="12"/>
      <c r="FJW55" s="12"/>
      <c r="FJX55" s="12"/>
      <c r="FKO55" s="12"/>
      <c r="FKP55" s="12"/>
      <c r="FLG55" s="12"/>
      <c r="FLH55" s="12"/>
      <c r="FLY55" s="12"/>
      <c r="FLZ55" s="12"/>
      <c r="FMQ55" s="12"/>
      <c r="FMR55" s="12"/>
      <c r="FNI55" s="12"/>
      <c r="FNJ55" s="12"/>
      <c r="FOA55" s="12"/>
      <c r="FOB55" s="12"/>
      <c r="FOS55" s="12"/>
      <c r="FOT55" s="12"/>
      <c r="FPK55" s="12"/>
      <c r="FPL55" s="12"/>
      <c r="FQC55" s="12"/>
      <c r="FQD55" s="12"/>
      <c r="FQU55" s="12"/>
      <c r="FQV55" s="12"/>
      <c r="FRM55" s="12"/>
      <c r="FRN55" s="12"/>
      <c r="FSE55" s="12"/>
      <c r="FSF55" s="12"/>
      <c r="FSW55" s="12"/>
      <c r="FSX55" s="12"/>
      <c r="FTO55" s="12"/>
      <c r="FTP55" s="12"/>
      <c r="FUG55" s="12"/>
      <c r="FUH55" s="12"/>
      <c r="FUY55" s="12"/>
      <c r="FUZ55" s="12"/>
      <c r="FVQ55" s="12"/>
      <c r="FVR55" s="12"/>
      <c r="FWI55" s="12"/>
      <c r="FWJ55" s="12"/>
      <c r="FXA55" s="12"/>
      <c r="FXB55" s="12"/>
      <c r="FXS55" s="12"/>
      <c r="FXT55" s="12"/>
      <c r="FYK55" s="12"/>
      <c r="FYL55" s="12"/>
      <c r="FZC55" s="12"/>
      <c r="FZD55" s="12"/>
      <c r="FZU55" s="12"/>
      <c r="FZV55" s="12"/>
      <c r="GAM55" s="12"/>
      <c r="GAN55" s="12"/>
      <c r="GBE55" s="12"/>
      <c r="GBF55" s="12"/>
      <c r="GBW55" s="12"/>
      <c r="GBX55" s="12"/>
      <c r="GCO55" s="12"/>
      <c r="GCP55" s="12"/>
      <c r="GDG55" s="12"/>
      <c r="GDH55" s="12"/>
      <c r="GDY55" s="12"/>
      <c r="GDZ55" s="12"/>
      <c r="GEQ55" s="12"/>
      <c r="GER55" s="12"/>
      <c r="GFI55" s="12"/>
      <c r="GFJ55" s="12"/>
      <c r="GGA55" s="12"/>
      <c r="GGB55" s="12"/>
      <c r="GGS55" s="12"/>
      <c r="GGT55" s="12"/>
      <c r="GHK55" s="12"/>
      <c r="GHL55" s="12"/>
      <c r="GIC55" s="12"/>
      <c r="GID55" s="12"/>
      <c r="GIU55" s="12"/>
      <c r="GIV55" s="12"/>
      <c r="GJM55" s="12"/>
      <c r="GJN55" s="12"/>
      <c r="GKE55" s="12"/>
      <c r="GKF55" s="12"/>
      <c r="GKW55" s="12"/>
      <c r="GKX55" s="12"/>
      <c r="GLO55" s="12"/>
      <c r="GLP55" s="12"/>
      <c r="GMG55" s="12"/>
      <c r="GMH55" s="12"/>
      <c r="GMY55" s="12"/>
      <c r="GMZ55" s="12"/>
      <c r="GNQ55" s="12"/>
      <c r="GNR55" s="12"/>
      <c r="GOI55" s="12"/>
      <c r="GOJ55" s="12"/>
      <c r="GPA55" s="12"/>
      <c r="GPB55" s="12"/>
      <c r="GPS55" s="12"/>
      <c r="GPT55" s="12"/>
      <c r="GQK55" s="12"/>
      <c r="GQL55" s="12"/>
      <c r="GRC55" s="12"/>
      <c r="GRD55" s="12"/>
      <c r="GRU55" s="12"/>
      <c r="GRV55" s="12"/>
      <c r="GSM55" s="12"/>
      <c r="GSN55" s="12"/>
      <c r="GTE55" s="12"/>
      <c r="GTF55" s="12"/>
      <c r="GTW55" s="12"/>
      <c r="GTX55" s="12"/>
      <c r="GUO55" s="12"/>
      <c r="GUP55" s="12"/>
      <c r="GVG55" s="12"/>
      <c r="GVH55" s="12"/>
      <c r="GVY55" s="12"/>
      <c r="GVZ55" s="12"/>
      <c r="GWQ55" s="12"/>
      <c r="GWR55" s="12"/>
      <c r="GXI55" s="12"/>
      <c r="GXJ55" s="12"/>
      <c r="GYA55" s="12"/>
      <c r="GYB55" s="12"/>
      <c r="GYS55" s="12"/>
      <c r="GYT55" s="12"/>
      <c r="GZK55" s="12"/>
      <c r="GZL55" s="12"/>
      <c r="HAC55" s="12"/>
      <c r="HAD55" s="12"/>
      <c r="HAU55" s="12"/>
      <c r="HAV55" s="12"/>
      <c r="HBM55" s="12"/>
      <c r="HBN55" s="12"/>
      <c r="HCE55" s="12"/>
      <c r="HCF55" s="12"/>
      <c r="HCW55" s="12"/>
      <c r="HCX55" s="12"/>
      <c r="HDO55" s="12"/>
      <c r="HDP55" s="12"/>
      <c r="HEG55" s="12"/>
      <c r="HEH55" s="12"/>
      <c r="HEY55" s="12"/>
      <c r="HEZ55" s="12"/>
      <c r="HFQ55" s="12"/>
      <c r="HFR55" s="12"/>
      <c r="HGI55" s="12"/>
      <c r="HGJ55" s="12"/>
      <c r="HHA55" s="12"/>
      <c r="HHB55" s="12"/>
      <c r="HHS55" s="12"/>
      <c r="HHT55" s="12"/>
      <c r="HIK55" s="12"/>
      <c r="HIL55" s="12"/>
      <c r="HJC55" s="12"/>
      <c r="HJD55" s="12"/>
      <c r="HJU55" s="12"/>
      <c r="HJV55" s="12"/>
      <c r="HKM55" s="12"/>
      <c r="HKN55" s="12"/>
      <c r="HLE55" s="12"/>
      <c r="HLF55" s="12"/>
      <c r="HLW55" s="12"/>
      <c r="HLX55" s="12"/>
      <c r="HMO55" s="12"/>
      <c r="HMP55" s="12"/>
      <c r="HNG55" s="12"/>
      <c r="HNH55" s="12"/>
      <c r="HNY55" s="12"/>
      <c r="HNZ55" s="12"/>
      <c r="HOQ55" s="12"/>
      <c r="HOR55" s="12"/>
      <c r="HPI55" s="12"/>
      <c r="HPJ55" s="12"/>
      <c r="HQA55" s="12"/>
      <c r="HQB55" s="12"/>
      <c r="HQS55" s="12"/>
      <c r="HQT55" s="12"/>
      <c r="HRK55" s="12"/>
      <c r="HRL55" s="12"/>
      <c r="HSC55" s="12"/>
      <c r="HSD55" s="12"/>
      <c r="HSU55" s="12"/>
      <c r="HSV55" s="12"/>
      <c r="HTM55" s="12"/>
      <c r="HTN55" s="12"/>
      <c r="HUE55" s="12"/>
      <c r="HUF55" s="12"/>
      <c r="HUW55" s="12"/>
      <c r="HUX55" s="12"/>
      <c r="HVO55" s="12"/>
      <c r="HVP55" s="12"/>
      <c r="HWG55" s="12"/>
      <c r="HWH55" s="12"/>
      <c r="HWY55" s="12"/>
      <c r="HWZ55" s="12"/>
      <c r="HXQ55" s="12"/>
      <c r="HXR55" s="12"/>
      <c r="HYI55" s="12"/>
      <c r="HYJ55" s="12"/>
      <c r="HZA55" s="12"/>
      <c r="HZB55" s="12"/>
      <c r="HZS55" s="12"/>
      <c r="HZT55" s="12"/>
      <c r="IAK55" s="12"/>
      <c r="IAL55" s="12"/>
      <c r="IBC55" s="12"/>
      <c r="IBD55" s="12"/>
      <c r="IBU55" s="12"/>
      <c r="IBV55" s="12"/>
      <c r="ICM55" s="12"/>
      <c r="ICN55" s="12"/>
      <c r="IDE55" s="12"/>
      <c r="IDF55" s="12"/>
      <c r="IDW55" s="12"/>
      <c r="IDX55" s="12"/>
      <c r="IEO55" s="12"/>
      <c r="IEP55" s="12"/>
      <c r="IFG55" s="12"/>
      <c r="IFH55" s="12"/>
      <c r="IFY55" s="12"/>
      <c r="IFZ55" s="12"/>
      <c r="IGQ55" s="12"/>
      <c r="IGR55" s="12"/>
      <c r="IHI55" s="12"/>
      <c r="IHJ55" s="12"/>
      <c r="IIA55" s="12"/>
      <c r="IIB55" s="12"/>
      <c r="IIS55" s="12"/>
      <c r="IIT55" s="12"/>
      <c r="IJK55" s="12"/>
      <c r="IJL55" s="12"/>
      <c r="IKC55" s="12"/>
      <c r="IKD55" s="12"/>
      <c r="IKU55" s="12"/>
      <c r="IKV55" s="12"/>
      <c r="ILM55" s="12"/>
      <c r="ILN55" s="12"/>
      <c r="IME55" s="12"/>
      <c r="IMF55" s="12"/>
      <c r="IMW55" s="12"/>
      <c r="IMX55" s="12"/>
      <c r="INO55" s="12"/>
      <c r="INP55" s="12"/>
      <c r="IOG55" s="12"/>
      <c r="IOH55" s="12"/>
      <c r="IOY55" s="12"/>
      <c r="IOZ55" s="12"/>
      <c r="IPQ55" s="12"/>
      <c r="IPR55" s="12"/>
      <c r="IQI55" s="12"/>
      <c r="IQJ55" s="12"/>
      <c r="IRA55" s="12"/>
      <c r="IRB55" s="12"/>
      <c r="IRS55" s="12"/>
      <c r="IRT55" s="12"/>
      <c r="ISK55" s="12"/>
      <c r="ISL55" s="12"/>
      <c r="ITC55" s="12"/>
      <c r="ITD55" s="12"/>
      <c r="ITU55" s="12"/>
      <c r="ITV55" s="12"/>
      <c r="IUM55" s="12"/>
      <c r="IUN55" s="12"/>
      <c r="IVE55" s="12"/>
      <c r="IVF55" s="12"/>
      <c r="IVW55" s="12"/>
      <c r="IVX55" s="12"/>
      <c r="IWO55" s="12"/>
      <c r="IWP55" s="12"/>
      <c r="IXG55" s="12"/>
      <c r="IXH55" s="12"/>
      <c r="IXY55" s="12"/>
      <c r="IXZ55" s="12"/>
      <c r="IYQ55" s="12"/>
      <c r="IYR55" s="12"/>
      <c r="IZI55" s="12"/>
      <c r="IZJ55" s="12"/>
      <c r="JAA55" s="12"/>
      <c r="JAB55" s="12"/>
      <c r="JAS55" s="12"/>
      <c r="JAT55" s="12"/>
      <c r="JBK55" s="12"/>
      <c r="JBL55" s="12"/>
      <c r="JCC55" s="12"/>
      <c r="JCD55" s="12"/>
      <c r="JCU55" s="12"/>
      <c r="JCV55" s="12"/>
      <c r="JDM55" s="12"/>
      <c r="JDN55" s="12"/>
      <c r="JEE55" s="12"/>
      <c r="JEF55" s="12"/>
      <c r="JEW55" s="12"/>
      <c r="JEX55" s="12"/>
      <c r="JFO55" s="12"/>
      <c r="JFP55" s="12"/>
      <c r="JGG55" s="12"/>
      <c r="JGH55" s="12"/>
      <c r="JGY55" s="12"/>
      <c r="JGZ55" s="12"/>
      <c r="JHQ55" s="12"/>
      <c r="JHR55" s="12"/>
      <c r="JII55" s="12"/>
      <c r="JIJ55" s="12"/>
      <c r="JJA55" s="12"/>
      <c r="JJB55" s="12"/>
      <c r="JJS55" s="12"/>
      <c r="JJT55" s="12"/>
      <c r="JKK55" s="12"/>
      <c r="JKL55" s="12"/>
      <c r="JLC55" s="12"/>
      <c r="JLD55" s="12"/>
      <c r="JLU55" s="12"/>
      <c r="JLV55" s="12"/>
      <c r="JMM55" s="12"/>
      <c r="JMN55" s="12"/>
      <c r="JNE55" s="12"/>
      <c r="JNF55" s="12"/>
      <c r="JNW55" s="12"/>
      <c r="JNX55" s="12"/>
      <c r="JOO55" s="12"/>
      <c r="JOP55" s="12"/>
      <c r="JPG55" s="12"/>
      <c r="JPH55" s="12"/>
      <c r="JPY55" s="12"/>
      <c r="JPZ55" s="12"/>
      <c r="JQQ55" s="12"/>
      <c r="JQR55" s="12"/>
      <c r="JRI55" s="12"/>
      <c r="JRJ55" s="12"/>
      <c r="JSA55" s="12"/>
      <c r="JSB55" s="12"/>
      <c r="JSS55" s="12"/>
      <c r="JST55" s="12"/>
      <c r="JTK55" s="12"/>
      <c r="JTL55" s="12"/>
      <c r="JUC55" s="12"/>
      <c r="JUD55" s="12"/>
      <c r="JUU55" s="12"/>
      <c r="JUV55" s="12"/>
      <c r="JVM55" s="12"/>
      <c r="JVN55" s="12"/>
      <c r="JWE55" s="12"/>
      <c r="JWF55" s="12"/>
      <c r="JWW55" s="12"/>
      <c r="JWX55" s="12"/>
      <c r="JXO55" s="12"/>
      <c r="JXP55" s="12"/>
      <c r="JYG55" s="12"/>
      <c r="JYH55" s="12"/>
      <c r="JYY55" s="12"/>
      <c r="JYZ55" s="12"/>
      <c r="JZQ55" s="12"/>
      <c r="JZR55" s="12"/>
      <c r="KAI55" s="12"/>
      <c r="KAJ55" s="12"/>
      <c r="KBA55" s="12"/>
      <c r="KBB55" s="12"/>
      <c r="KBS55" s="12"/>
      <c r="KBT55" s="12"/>
      <c r="KCK55" s="12"/>
      <c r="KCL55" s="12"/>
      <c r="KDC55" s="12"/>
      <c r="KDD55" s="12"/>
      <c r="KDU55" s="12"/>
      <c r="KDV55" s="12"/>
      <c r="KEM55" s="12"/>
      <c r="KEN55" s="12"/>
      <c r="KFE55" s="12"/>
      <c r="KFF55" s="12"/>
      <c r="KFW55" s="12"/>
      <c r="KFX55" s="12"/>
      <c r="KGO55" s="12"/>
      <c r="KGP55" s="12"/>
      <c r="KHG55" s="12"/>
      <c r="KHH55" s="12"/>
      <c r="KHY55" s="12"/>
      <c r="KHZ55" s="12"/>
      <c r="KIQ55" s="12"/>
      <c r="KIR55" s="12"/>
      <c r="KJI55" s="12"/>
      <c r="KJJ55" s="12"/>
      <c r="KKA55" s="12"/>
      <c r="KKB55" s="12"/>
      <c r="KKS55" s="12"/>
      <c r="KKT55" s="12"/>
      <c r="KLK55" s="12"/>
      <c r="KLL55" s="12"/>
      <c r="KMC55" s="12"/>
      <c r="KMD55" s="12"/>
      <c r="KMU55" s="12"/>
      <c r="KMV55" s="12"/>
      <c r="KNM55" s="12"/>
      <c r="KNN55" s="12"/>
      <c r="KOE55" s="12"/>
      <c r="KOF55" s="12"/>
      <c r="KOW55" s="12"/>
      <c r="KOX55" s="12"/>
      <c r="KPO55" s="12"/>
      <c r="KPP55" s="12"/>
      <c r="KQG55" s="12"/>
      <c r="KQH55" s="12"/>
      <c r="KQY55" s="12"/>
      <c r="KQZ55" s="12"/>
      <c r="KRQ55" s="12"/>
      <c r="KRR55" s="12"/>
      <c r="KSI55" s="12"/>
      <c r="KSJ55" s="12"/>
      <c r="KTA55" s="12"/>
      <c r="KTB55" s="12"/>
      <c r="KTS55" s="12"/>
      <c r="KTT55" s="12"/>
      <c r="KUK55" s="12"/>
      <c r="KUL55" s="12"/>
      <c r="KVC55" s="12"/>
      <c r="KVD55" s="12"/>
      <c r="KVU55" s="12"/>
      <c r="KVV55" s="12"/>
      <c r="KWM55" s="12"/>
      <c r="KWN55" s="12"/>
      <c r="KXE55" s="12"/>
      <c r="KXF55" s="12"/>
      <c r="KXW55" s="12"/>
      <c r="KXX55" s="12"/>
      <c r="KYO55" s="12"/>
      <c r="KYP55" s="12"/>
      <c r="KZG55" s="12"/>
      <c r="KZH55" s="12"/>
      <c r="KZY55" s="12"/>
      <c r="KZZ55" s="12"/>
      <c r="LAQ55" s="12"/>
      <c r="LAR55" s="12"/>
      <c r="LBI55" s="12"/>
      <c r="LBJ55" s="12"/>
      <c r="LCA55" s="12"/>
      <c r="LCB55" s="12"/>
      <c r="LCS55" s="12"/>
      <c r="LCT55" s="12"/>
      <c r="LDK55" s="12"/>
      <c r="LDL55" s="12"/>
      <c r="LEC55" s="12"/>
      <c r="LED55" s="12"/>
      <c r="LEU55" s="12"/>
      <c r="LEV55" s="12"/>
      <c r="LFM55" s="12"/>
      <c r="LFN55" s="12"/>
      <c r="LGE55" s="12"/>
      <c r="LGF55" s="12"/>
      <c r="LGW55" s="12"/>
      <c r="LGX55" s="12"/>
      <c r="LHO55" s="12"/>
      <c r="LHP55" s="12"/>
      <c r="LIG55" s="12"/>
      <c r="LIH55" s="12"/>
      <c r="LIY55" s="12"/>
      <c r="LIZ55" s="12"/>
      <c r="LJQ55" s="12"/>
      <c r="LJR55" s="12"/>
      <c r="LKI55" s="12"/>
      <c r="LKJ55" s="12"/>
      <c r="LLA55" s="12"/>
      <c r="LLB55" s="12"/>
      <c r="LLS55" s="12"/>
      <c r="LLT55" s="12"/>
      <c r="LMK55" s="12"/>
      <c r="LML55" s="12"/>
      <c r="LNC55" s="12"/>
      <c r="LND55" s="12"/>
      <c r="LNU55" s="12"/>
      <c r="LNV55" s="12"/>
      <c r="LOM55" s="12"/>
      <c r="LON55" s="12"/>
      <c r="LPE55" s="12"/>
      <c r="LPF55" s="12"/>
      <c r="LPW55" s="12"/>
      <c r="LPX55" s="12"/>
      <c r="LQO55" s="12"/>
      <c r="LQP55" s="12"/>
      <c r="LRG55" s="12"/>
      <c r="LRH55" s="12"/>
      <c r="LRY55" s="12"/>
      <c r="LRZ55" s="12"/>
      <c r="LSQ55" s="12"/>
      <c r="LSR55" s="12"/>
      <c r="LTI55" s="12"/>
      <c r="LTJ55" s="12"/>
      <c r="LUA55" s="12"/>
      <c r="LUB55" s="12"/>
      <c r="LUS55" s="12"/>
      <c r="LUT55" s="12"/>
      <c r="LVK55" s="12"/>
      <c r="LVL55" s="12"/>
      <c r="LWC55" s="12"/>
      <c r="LWD55" s="12"/>
      <c r="LWU55" s="12"/>
      <c r="LWV55" s="12"/>
      <c r="LXM55" s="12"/>
      <c r="LXN55" s="12"/>
      <c r="LYE55" s="12"/>
      <c r="LYF55" s="12"/>
      <c r="LYW55" s="12"/>
      <c r="LYX55" s="12"/>
      <c r="LZO55" s="12"/>
      <c r="LZP55" s="12"/>
      <c r="MAG55" s="12"/>
      <c r="MAH55" s="12"/>
      <c r="MAY55" s="12"/>
      <c r="MAZ55" s="12"/>
      <c r="MBQ55" s="12"/>
      <c r="MBR55" s="12"/>
      <c r="MCI55" s="12"/>
      <c r="MCJ55" s="12"/>
      <c r="MDA55" s="12"/>
      <c r="MDB55" s="12"/>
      <c r="MDS55" s="12"/>
      <c r="MDT55" s="12"/>
      <c r="MEK55" s="12"/>
      <c r="MEL55" s="12"/>
      <c r="MFC55" s="12"/>
      <c r="MFD55" s="12"/>
      <c r="MFU55" s="12"/>
      <c r="MFV55" s="12"/>
      <c r="MGM55" s="12"/>
      <c r="MGN55" s="12"/>
      <c r="MHE55" s="12"/>
      <c r="MHF55" s="12"/>
      <c r="MHW55" s="12"/>
      <c r="MHX55" s="12"/>
      <c r="MIO55" s="12"/>
      <c r="MIP55" s="12"/>
      <c r="MJG55" s="12"/>
      <c r="MJH55" s="12"/>
      <c r="MJY55" s="12"/>
      <c r="MJZ55" s="12"/>
      <c r="MKQ55" s="12"/>
      <c r="MKR55" s="12"/>
      <c r="MLI55" s="12"/>
      <c r="MLJ55" s="12"/>
      <c r="MMA55" s="12"/>
      <c r="MMB55" s="12"/>
      <c r="MMS55" s="12"/>
      <c r="MMT55" s="12"/>
      <c r="MNK55" s="12"/>
      <c r="MNL55" s="12"/>
      <c r="MOC55" s="12"/>
      <c r="MOD55" s="12"/>
      <c r="MOU55" s="12"/>
      <c r="MOV55" s="12"/>
      <c r="MPM55" s="12"/>
      <c r="MPN55" s="12"/>
      <c r="MQE55" s="12"/>
      <c r="MQF55" s="12"/>
      <c r="MQW55" s="12"/>
      <c r="MQX55" s="12"/>
      <c r="MRO55" s="12"/>
      <c r="MRP55" s="12"/>
      <c r="MSG55" s="12"/>
      <c r="MSH55" s="12"/>
      <c r="MSY55" s="12"/>
      <c r="MSZ55" s="12"/>
      <c r="MTQ55" s="12"/>
      <c r="MTR55" s="12"/>
      <c r="MUI55" s="12"/>
      <c r="MUJ55" s="12"/>
      <c r="MVA55" s="12"/>
      <c r="MVB55" s="12"/>
      <c r="MVS55" s="12"/>
      <c r="MVT55" s="12"/>
      <c r="MWK55" s="12"/>
      <c r="MWL55" s="12"/>
      <c r="MXC55" s="12"/>
      <c r="MXD55" s="12"/>
      <c r="MXU55" s="12"/>
      <c r="MXV55" s="12"/>
      <c r="MYM55" s="12"/>
      <c r="MYN55" s="12"/>
      <c r="MZE55" s="12"/>
      <c r="MZF55" s="12"/>
      <c r="MZW55" s="12"/>
      <c r="MZX55" s="12"/>
      <c r="NAO55" s="12"/>
      <c r="NAP55" s="12"/>
      <c r="NBG55" s="12"/>
      <c r="NBH55" s="12"/>
      <c r="NBY55" s="12"/>
      <c r="NBZ55" s="12"/>
      <c r="NCQ55" s="12"/>
      <c r="NCR55" s="12"/>
      <c r="NDI55" s="12"/>
      <c r="NDJ55" s="12"/>
      <c r="NEA55" s="12"/>
      <c r="NEB55" s="12"/>
      <c r="NES55" s="12"/>
      <c r="NET55" s="12"/>
      <c r="NFK55" s="12"/>
      <c r="NFL55" s="12"/>
      <c r="NGC55" s="12"/>
      <c r="NGD55" s="12"/>
      <c r="NGU55" s="12"/>
      <c r="NGV55" s="12"/>
      <c r="NHM55" s="12"/>
      <c r="NHN55" s="12"/>
      <c r="NIE55" s="12"/>
      <c r="NIF55" s="12"/>
      <c r="NIW55" s="12"/>
      <c r="NIX55" s="12"/>
      <c r="NJO55" s="12"/>
      <c r="NJP55" s="12"/>
      <c r="NKG55" s="12"/>
      <c r="NKH55" s="12"/>
      <c r="NKY55" s="12"/>
      <c r="NKZ55" s="12"/>
      <c r="NLQ55" s="12"/>
      <c r="NLR55" s="12"/>
      <c r="NMI55" s="12"/>
      <c r="NMJ55" s="12"/>
      <c r="NNA55" s="12"/>
      <c r="NNB55" s="12"/>
      <c r="NNS55" s="12"/>
      <c r="NNT55" s="12"/>
      <c r="NOK55" s="12"/>
      <c r="NOL55" s="12"/>
      <c r="NPC55" s="12"/>
      <c r="NPD55" s="12"/>
      <c r="NPU55" s="12"/>
      <c r="NPV55" s="12"/>
      <c r="NQM55" s="12"/>
      <c r="NQN55" s="12"/>
      <c r="NRE55" s="12"/>
      <c r="NRF55" s="12"/>
      <c r="NRW55" s="12"/>
      <c r="NRX55" s="12"/>
      <c r="NSO55" s="12"/>
      <c r="NSP55" s="12"/>
      <c r="NTG55" s="12"/>
      <c r="NTH55" s="12"/>
      <c r="NTY55" s="12"/>
      <c r="NTZ55" s="12"/>
      <c r="NUQ55" s="12"/>
      <c r="NUR55" s="12"/>
      <c r="NVI55" s="12"/>
      <c r="NVJ55" s="12"/>
      <c r="NWA55" s="12"/>
      <c r="NWB55" s="12"/>
      <c r="NWS55" s="12"/>
      <c r="NWT55" s="12"/>
      <c r="NXK55" s="12"/>
      <c r="NXL55" s="12"/>
      <c r="NYC55" s="12"/>
      <c r="NYD55" s="12"/>
      <c r="NYU55" s="12"/>
      <c r="NYV55" s="12"/>
      <c r="NZM55" s="12"/>
      <c r="NZN55" s="12"/>
      <c r="OAE55" s="12"/>
      <c r="OAF55" s="12"/>
      <c r="OAW55" s="12"/>
      <c r="OAX55" s="12"/>
      <c r="OBO55" s="12"/>
      <c r="OBP55" s="12"/>
      <c r="OCG55" s="12"/>
      <c r="OCH55" s="12"/>
      <c r="OCY55" s="12"/>
      <c r="OCZ55" s="12"/>
      <c r="ODQ55" s="12"/>
      <c r="ODR55" s="12"/>
      <c r="OEI55" s="12"/>
      <c r="OEJ55" s="12"/>
      <c r="OFA55" s="12"/>
      <c r="OFB55" s="12"/>
      <c r="OFS55" s="12"/>
      <c r="OFT55" s="12"/>
      <c r="OGK55" s="12"/>
      <c r="OGL55" s="12"/>
      <c r="OHC55" s="12"/>
      <c r="OHD55" s="12"/>
      <c r="OHU55" s="12"/>
      <c r="OHV55" s="12"/>
      <c r="OIM55" s="12"/>
      <c r="OIN55" s="12"/>
      <c r="OJE55" s="12"/>
      <c r="OJF55" s="12"/>
      <c r="OJW55" s="12"/>
      <c r="OJX55" s="12"/>
      <c r="OKO55" s="12"/>
      <c r="OKP55" s="12"/>
      <c r="OLG55" s="12"/>
      <c r="OLH55" s="12"/>
      <c r="OLY55" s="12"/>
      <c r="OLZ55" s="12"/>
      <c r="OMQ55" s="12"/>
      <c r="OMR55" s="12"/>
      <c r="ONI55" s="12"/>
      <c r="ONJ55" s="12"/>
      <c r="OOA55" s="12"/>
      <c r="OOB55" s="12"/>
      <c r="OOS55" s="12"/>
      <c r="OOT55" s="12"/>
      <c r="OPK55" s="12"/>
      <c r="OPL55" s="12"/>
      <c r="OQC55" s="12"/>
      <c r="OQD55" s="12"/>
      <c r="OQU55" s="12"/>
      <c r="OQV55" s="12"/>
      <c r="ORM55" s="12"/>
      <c r="ORN55" s="12"/>
      <c r="OSE55" s="12"/>
      <c r="OSF55" s="12"/>
      <c r="OSW55" s="12"/>
      <c r="OSX55" s="12"/>
      <c r="OTO55" s="12"/>
      <c r="OTP55" s="12"/>
      <c r="OUG55" s="12"/>
      <c r="OUH55" s="12"/>
      <c r="OUY55" s="12"/>
      <c r="OUZ55" s="12"/>
      <c r="OVQ55" s="12"/>
      <c r="OVR55" s="12"/>
      <c r="OWI55" s="12"/>
      <c r="OWJ55" s="12"/>
      <c r="OXA55" s="12"/>
      <c r="OXB55" s="12"/>
      <c r="OXS55" s="12"/>
      <c r="OXT55" s="12"/>
      <c r="OYK55" s="12"/>
      <c r="OYL55" s="12"/>
      <c r="OZC55" s="12"/>
      <c r="OZD55" s="12"/>
      <c r="OZU55" s="12"/>
      <c r="OZV55" s="12"/>
      <c r="PAM55" s="12"/>
      <c r="PAN55" s="12"/>
      <c r="PBE55" s="12"/>
      <c r="PBF55" s="12"/>
      <c r="PBW55" s="12"/>
      <c r="PBX55" s="12"/>
      <c r="PCO55" s="12"/>
      <c r="PCP55" s="12"/>
      <c r="PDG55" s="12"/>
      <c r="PDH55" s="12"/>
      <c r="PDY55" s="12"/>
      <c r="PDZ55" s="12"/>
      <c r="PEQ55" s="12"/>
      <c r="PER55" s="12"/>
      <c r="PFI55" s="12"/>
      <c r="PFJ55" s="12"/>
      <c r="PGA55" s="12"/>
      <c r="PGB55" s="12"/>
      <c r="PGS55" s="12"/>
      <c r="PGT55" s="12"/>
      <c r="PHK55" s="12"/>
      <c r="PHL55" s="12"/>
      <c r="PIC55" s="12"/>
      <c r="PID55" s="12"/>
      <c r="PIU55" s="12"/>
      <c r="PIV55" s="12"/>
      <c r="PJM55" s="12"/>
      <c r="PJN55" s="12"/>
      <c r="PKE55" s="12"/>
      <c r="PKF55" s="12"/>
      <c r="PKW55" s="12"/>
      <c r="PKX55" s="12"/>
      <c r="PLO55" s="12"/>
      <c r="PLP55" s="12"/>
      <c r="PMG55" s="12"/>
      <c r="PMH55" s="12"/>
      <c r="PMY55" s="12"/>
      <c r="PMZ55" s="12"/>
      <c r="PNQ55" s="12"/>
      <c r="PNR55" s="12"/>
      <c r="POI55" s="12"/>
      <c r="POJ55" s="12"/>
      <c r="PPA55" s="12"/>
      <c r="PPB55" s="12"/>
      <c r="PPS55" s="12"/>
      <c r="PPT55" s="12"/>
      <c r="PQK55" s="12"/>
      <c r="PQL55" s="12"/>
      <c r="PRC55" s="12"/>
      <c r="PRD55" s="12"/>
      <c r="PRU55" s="12"/>
      <c r="PRV55" s="12"/>
      <c r="PSM55" s="12"/>
      <c r="PSN55" s="12"/>
      <c r="PTE55" s="12"/>
      <c r="PTF55" s="12"/>
      <c r="PTW55" s="12"/>
      <c r="PTX55" s="12"/>
      <c r="PUO55" s="12"/>
      <c r="PUP55" s="12"/>
      <c r="PVG55" s="12"/>
      <c r="PVH55" s="12"/>
      <c r="PVY55" s="12"/>
      <c r="PVZ55" s="12"/>
      <c r="PWQ55" s="12"/>
      <c r="PWR55" s="12"/>
      <c r="PXI55" s="12"/>
      <c r="PXJ55" s="12"/>
      <c r="PYA55" s="12"/>
      <c r="PYB55" s="12"/>
      <c r="PYS55" s="12"/>
      <c r="PYT55" s="12"/>
      <c r="PZK55" s="12"/>
      <c r="PZL55" s="12"/>
      <c r="QAC55" s="12"/>
      <c r="QAD55" s="12"/>
      <c r="QAU55" s="12"/>
      <c r="QAV55" s="12"/>
      <c r="QBM55" s="12"/>
      <c r="QBN55" s="12"/>
      <c r="QCE55" s="12"/>
      <c r="QCF55" s="12"/>
      <c r="QCW55" s="12"/>
      <c r="QCX55" s="12"/>
      <c r="QDO55" s="12"/>
      <c r="QDP55" s="12"/>
      <c r="QEG55" s="12"/>
      <c r="QEH55" s="12"/>
      <c r="QEY55" s="12"/>
      <c r="QEZ55" s="12"/>
      <c r="QFQ55" s="12"/>
      <c r="QFR55" s="12"/>
      <c r="QGI55" s="12"/>
      <c r="QGJ55" s="12"/>
      <c r="QHA55" s="12"/>
      <c r="QHB55" s="12"/>
      <c r="QHS55" s="12"/>
      <c r="QHT55" s="12"/>
      <c r="QIK55" s="12"/>
      <c r="QIL55" s="12"/>
      <c r="QJC55" s="12"/>
      <c r="QJD55" s="12"/>
      <c r="QJU55" s="12"/>
      <c r="QJV55" s="12"/>
      <c r="QKM55" s="12"/>
      <c r="QKN55" s="12"/>
      <c r="QLE55" s="12"/>
      <c r="QLF55" s="12"/>
      <c r="QLW55" s="12"/>
      <c r="QLX55" s="12"/>
      <c r="QMO55" s="12"/>
      <c r="QMP55" s="12"/>
      <c r="QNG55" s="12"/>
      <c r="QNH55" s="12"/>
      <c r="QNY55" s="12"/>
      <c r="QNZ55" s="12"/>
      <c r="QOQ55" s="12"/>
      <c r="QOR55" s="12"/>
      <c r="QPI55" s="12"/>
      <c r="QPJ55" s="12"/>
      <c r="QQA55" s="12"/>
      <c r="QQB55" s="12"/>
      <c r="QQS55" s="12"/>
      <c r="QQT55" s="12"/>
      <c r="QRK55" s="12"/>
      <c r="QRL55" s="12"/>
      <c r="QSC55" s="12"/>
      <c r="QSD55" s="12"/>
      <c r="QSU55" s="12"/>
      <c r="QSV55" s="12"/>
      <c r="QTM55" s="12"/>
      <c r="QTN55" s="12"/>
      <c r="QUE55" s="12"/>
      <c r="QUF55" s="12"/>
      <c r="QUW55" s="12"/>
      <c r="QUX55" s="12"/>
      <c r="QVO55" s="12"/>
      <c r="QVP55" s="12"/>
      <c r="QWG55" s="12"/>
      <c r="QWH55" s="12"/>
      <c r="QWY55" s="12"/>
      <c r="QWZ55" s="12"/>
      <c r="QXQ55" s="12"/>
      <c r="QXR55" s="12"/>
      <c r="QYI55" s="12"/>
      <c r="QYJ55" s="12"/>
      <c r="QZA55" s="12"/>
      <c r="QZB55" s="12"/>
      <c r="QZS55" s="12"/>
      <c r="QZT55" s="12"/>
      <c r="RAK55" s="12"/>
      <c r="RAL55" s="12"/>
      <c r="RBC55" s="12"/>
      <c r="RBD55" s="12"/>
      <c r="RBU55" s="12"/>
      <c r="RBV55" s="12"/>
      <c r="RCM55" s="12"/>
      <c r="RCN55" s="12"/>
      <c r="RDE55" s="12"/>
      <c r="RDF55" s="12"/>
      <c r="RDW55" s="12"/>
      <c r="RDX55" s="12"/>
      <c r="REO55" s="12"/>
      <c r="REP55" s="12"/>
      <c r="RFG55" s="12"/>
      <c r="RFH55" s="12"/>
      <c r="RFY55" s="12"/>
      <c r="RFZ55" s="12"/>
      <c r="RGQ55" s="12"/>
      <c r="RGR55" s="12"/>
      <c r="RHI55" s="12"/>
      <c r="RHJ55" s="12"/>
      <c r="RIA55" s="12"/>
      <c r="RIB55" s="12"/>
      <c r="RIS55" s="12"/>
      <c r="RIT55" s="12"/>
      <c r="RJK55" s="12"/>
      <c r="RJL55" s="12"/>
      <c r="RKC55" s="12"/>
      <c r="RKD55" s="12"/>
      <c r="RKU55" s="12"/>
      <c r="RKV55" s="12"/>
      <c r="RLM55" s="12"/>
      <c r="RLN55" s="12"/>
      <c r="RME55" s="12"/>
      <c r="RMF55" s="12"/>
      <c r="RMW55" s="12"/>
      <c r="RMX55" s="12"/>
      <c r="RNO55" s="12"/>
      <c r="RNP55" s="12"/>
      <c r="ROG55" s="12"/>
      <c r="ROH55" s="12"/>
      <c r="ROY55" s="12"/>
      <c r="ROZ55" s="12"/>
      <c r="RPQ55" s="12"/>
      <c r="RPR55" s="12"/>
      <c r="RQI55" s="12"/>
      <c r="RQJ55" s="12"/>
      <c r="RRA55" s="12"/>
      <c r="RRB55" s="12"/>
      <c r="RRS55" s="12"/>
      <c r="RRT55" s="12"/>
      <c r="RSK55" s="12"/>
      <c r="RSL55" s="12"/>
      <c r="RTC55" s="12"/>
      <c r="RTD55" s="12"/>
      <c r="RTU55" s="12"/>
      <c r="RTV55" s="12"/>
      <c r="RUM55" s="12"/>
      <c r="RUN55" s="12"/>
      <c r="RVE55" s="12"/>
      <c r="RVF55" s="12"/>
      <c r="RVW55" s="12"/>
      <c r="RVX55" s="12"/>
      <c r="RWO55" s="12"/>
      <c r="RWP55" s="12"/>
      <c r="RXG55" s="12"/>
      <c r="RXH55" s="12"/>
      <c r="RXY55" s="12"/>
      <c r="RXZ55" s="12"/>
      <c r="RYQ55" s="12"/>
      <c r="RYR55" s="12"/>
      <c r="RZI55" s="12"/>
      <c r="RZJ55" s="12"/>
      <c r="SAA55" s="12"/>
      <c r="SAB55" s="12"/>
      <c r="SAS55" s="12"/>
      <c r="SAT55" s="12"/>
      <c r="SBK55" s="12"/>
      <c r="SBL55" s="12"/>
      <c r="SCC55" s="12"/>
      <c r="SCD55" s="12"/>
      <c r="SCU55" s="12"/>
      <c r="SCV55" s="12"/>
      <c r="SDM55" s="12"/>
      <c r="SDN55" s="12"/>
      <c r="SEE55" s="12"/>
      <c r="SEF55" s="12"/>
      <c r="SEW55" s="12"/>
      <c r="SEX55" s="12"/>
      <c r="SFO55" s="12"/>
      <c r="SFP55" s="12"/>
      <c r="SGG55" s="12"/>
      <c r="SGH55" s="12"/>
      <c r="SGY55" s="12"/>
      <c r="SGZ55" s="12"/>
      <c r="SHQ55" s="12"/>
      <c r="SHR55" s="12"/>
      <c r="SII55" s="12"/>
      <c r="SIJ55" s="12"/>
      <c r="SJA55" s="12"/>
      <c r="SJB55" s="12"/>
      <c r="SJS55" s="12"/>
      <c r="SJT55" s="12"/>
      <c r="SKK55" s="12"/>
      <c r="SKL55" s="12"/>
      <c r="SLC55" s="12"/>
      <c r="SLD55" s="12"/>
      <c r="SLU55" s="12"/>
      <c r="SLV55" s="12"/>
      <c r="SMM55" s="12"/>
      <c r="SMN55" s="12"/>
      <c r="SNE55" s="12"/>
      <c r="SNF55" s="12"/>
      <c r="SNW55" s="12"/>
      <c r="SNX55" s="12"/>
      <c r="SOO55" s="12"/>
      <c r="SOP55" s="12"/>
      <c r="SPG55" s="12"/>
      <c r="SPH55" s="12"/>
      <c r="SPY55" s="12"/>
      <c r="SPZ55" s="12"/>
      <c r="SQQ55" s="12"/>
      <c r="SQR55" s="12"/>
      <c r="SRI55" s="12"/>
      <c r="SRJ55" s="12"/>
      <c r="SSA55" s="12"/>
      <c r="SSB55" s="12"/>
      <c r="SSS55" s="12"/>
      <c r="SST55" s="12"/>
      <c r="STK55" s="12"/>
      <c r="STL55" s="12"/>
      <c r="SUC55" s="12"/>
      <c r="SUD55" s="12"/>
      <c r="SUU55" s="12"/>
      <c r="SUV55" s="12"/>
      <c r="SVM55" s="12"/>
      <c r="SVN55" s="12"/>
      <c r="SWE55" s="12"/>
      <c r="SWF55" s="12"/>
      <c r="SWW55" s="12"/>
      <c r="SWX55" s="12"/>
      <c r="SXO55" s="12"/>
      <c r="SXP55" s="12"/>
      <c r="SYG55" s="12"/>
      <c r="SYH55" s="12"/>
      <c r="SYY55" s="12"/>
      <c r="SYZ55" s="12"/>
      <c r="SZQ55" s="12"/>
      <c r="SZR55" s="12"/>
      <c r="TAI55" s="12"/>
      <c r="TAJ55" s="12"/>
      <c r="TBA55" s="12"/>
      <c r="TBB55" s="12"/>
      <c r="TBS55" s="12"/>
      <c r="TBT55" s="12"/>
      <c r="TCK55" s="12"/>
      <c r="TCL55" s="12"/>
      <c r="TDC55" s="12"/>
      <c r="TDD55" s="12"/>
      <c r="TDU55" s="12"/>
      <c r="TDV55" s="12"/>
      <c r="TEM55" s="12"/>
      <c r="TEN55" s="12"/>
      <c r="TFE55" s="12"/>
      <c r="TFF55" s="12"/>
      <c r="TFW55" s="12"/>
      <c r="TFX55" s="12"/>
      <c r="TGO55" s="12"/>
      <c r="TGP55" s="12"/>
      <c r="THG55" s="12"/>
      <c r="THH55" s="12"/>
      <c r="THY55" s="12"/>
      <c r="THZ55" s="12"/>
      <c r="TIQ55" s="12"/>
      <c r="TIR55" s="12"/>
      <c r="TJI55" s="12"/>
      <c r="TJJ55" s="12"/>
      <c r="TKA55" s="12"/>
      <c r="TKB55" s="12"/>
      <c r="TKS55" s="12"/>
      <c r="TKT55" s="12"/>
      <c r="TLK55" s="12"/>
      <c r="TLL55" s="12"/>
      <c r="TMC55" s="12"/>
      <c r="TMD55" s="12"/>
      <c r="TMU55" s="12"/>
      <c r="TMV55" s="12"/>
      <c r="TNM55" s="12"/>
      <c r="TNN55" s="12"/>
      <c r="TOE55" s="12"/>
      <c r="TOF55" s="12"/>
      <c r="TOW55" s="12"/>
      <c r="TOX55" s="12"/>
      <c r="TPO55" s="12"/>
      <c r="TPP55" s="12"/>
      <c r="TQG55" s="12"/>
      <c r="TQH55" s="12"/>
      <c r="TQY55" s="12"/>
      <c r="TQZ55" s="12"/>
      <c r="TRQ55" s="12"/>
      <c r="TRR55" s="12"/>
      <c r="TSI55" s="12"/>
      <c r="TSJ55" s="12"/>
      <c r="TTA55" s="12"/>
      <c r="TTB55" s="12"/>
      <c r="TTS55" s="12"/>
      <c r="TTT55" s="12"/>
      <c r="TUK55" s="12"/>
      <c r="TUL55" s="12"/>
      <c r="TVC55" s="12"/>
      <c r="TVD55" s="12"/>
      <c r="TVU55" s="12"/>
      <c r="TVV55" s="12"/>
      <c r="TWM55" s="12"/>
      <c r="TWN55" s="12"/>
      <c r="TXE55" s="12"/>
      <c r="TXF55" s="12"/>
      <c r="TXW55" s="12"/>
      <c r="TXX55" s="12"/>
      <c r="TYO55" s="12"/>
      <c r="TYP55" s="12"/>
      <c r="TZG55" s="12"/>
      <c r="TZH55" s="12"/>
      <c r="TZY55" s="12"/>
      <c r="TZZ55" s="12"/>
      <c r="UAQ55" s="12"/>
      <c r="UAR55" s="12"/>
      <c r="UBI55" s="12"/>
      <c r="UBJ55" s="12"/>
      <c r="UCA55" s="12"/>
      <c r="UCB55" s="12"/>
      <c r="UCS55" s="12"/>
      <c r="UCT55" s="12"/>
      <c r="UDK55" s="12"/>
      <c r="UDL55" s="12"/>
      <c r="UEC55" s="12"/>
      <c r="UED55" s="12"/>
      <c r="UEU55" s="12"/>
      <c r="UEV55" s="12"/>
      <c r="UFM55" s="12"/>
      <c r="UFN55" s="12"/>
      <c r="UGE55" s="12"/>
      <c r="UGF55" s="12"/>
      <c r="UGW55" s="12"/>
      <c r="UGX55" s="12"/>
      <c r="UHO55" s="12"/>
      <c r="UHP55" s="12"/>
      <c r="UIG55" s="12"/>
      <c r="UIH55" s="12"/>
      <c r="UIY55" s="12"/>
      <c r="UIZ55" s="12"/>
      <c r="UJQ55" s="12"/>
      <c r="UJR55" s="12"/>
      <c r="UKI55" s="12"/>
      <c r="UKJ55" s="12"/>
      <c r="ULA55" s="12"/>
      <c r="ULB55" s="12"/>
      <c r="ULS55" s="12"/>
      <c r="ULT55" s="12"/>
      <c r="UMK55" s="12"/>
      <c r="UML55" s="12"/>
      <c r="UNC55" s="12"/>
      <c r="UND55" s="12"/>
      <c r="UNU55" s="12"/>
      <c r="UNV55" s="12"/>
      <c r="UOM55" s="12"/>
      <c r="UON55" s="12"/>
      <c r="UPE55" s="12"/>
      <c r="UPF55" s="12"/>
      <c r="UPW55" s="12"/>
      <c r="UPX55" s="12"/>
      <c r="UQO55" s="12"/>
      <c r="UQP55" s="12"/>
      <c r="URG55" s="12"/>
      <c r="URH55" s="12"/>
      <c r="URY55" s="12"/>
      <c r="URZ55" s="12"/>
      <c r="USQ55" s="12"/>
      <c r="USR55" s="12"/>
      <c r="UTI55" s="12"/>
      <c r="UTJ55" s="12"/>
      <c r="UUA55" s="12"/>
      <c r="UUB55" s="12"/>
      <c r="UUS55" s="12"/>
      <c r="UUT55" s="12"/>
      <c r="UVK55" s="12"/>
      <c r="UVL55" s="12"/>
      <c r="UWC55" s="12"/>
      <c r="UWD55" s="12"/>
      <c r="UWU55" s="12"/>
      <c r="UWV55" s="12"/>
      <c r="UXM55" s="12"/>
      <c r="UXN55" s="12"/>
      <c r="UYE55" s="12"/>
      <c r="UYF55" s="12"/>
      <c r="UYW55" s="12"/>
      <c r="UYX55" s="12"/>
      <c r="UZO55" s="12"/>
      <c r="UZP55" s="12"/>
      <c r="VAG55" s="12"/>
      <c r="VAH55" s="12"/>
      <c r="VAY55" s="12"/>
      <c r="VAZ55" s="12"/>
      <c r="VBQ55" s="12"/>
      <c r="VBR55" s="12"/>
      <c r="VCI55" s="12"/>
      <c r="VCJ55" s="12"/>
      <c r="VDA55" s="12"/>
      <c r="VDB55" s="12"/>
      <c r="VDS55" s="12"/>
      <c r="VDT55" s="12"/>
      <c r="VEK55" s="12"/>
      <c r="VEL55" s="12"/>
      <c r="VFC55" s="12"/>
      <c r="VFD55" s="12"/>
      <c r="VFU55" s="12"/>
      <c r="VFV55" s="12"/>
      <c r="VGM55" s="12"/>
      <c r="VGN55" s="12"/>
      <c r="VHE55" s="12"/>
      <c r="VHF55" s="12"/>
      <c r="VHW55" s="12"/>
      <c r="VHX55" s="12"/>
      <c r="VIO55" s="12"/>
      <c r="VIP55" s="12"/>
      <c r="VJG55" s="12"/>
      <c r="VJH55" s="12"/>
      <c r="VJY55" s="12"/>
      <c r="VJZ55" s="12"/>
      <c r="VKQ55" s="12"/>
      <c r="VKR55" s="12"/>
      <c r="VLI55" s="12"/>
      <c r="VLJ55" s="12"/>
      <c r="VMA55" s="12"/>
      <c r="VMB55" s="12"/>
      <c r="VMS55" s="12"/>
      <c r="VMT55" s="12"/>
      <c r="VNK55" s="12"/>
      <c r="VNL55" s="12"/>
      <c r="VOC55" s="12"/>
      <c r="VOD55" s="12"/>
      <c r="VOU55" s="12"/>
      <c r="VOV55" s="12"/>
      <c r="VPM55" s="12"/>
      <c r="VPN55" s="12"/>
      <c r="VQE55" s="12"/>
      <c r="VQF55" s="12"/>
      <c r="VQW55" s="12"/>
      <c r="VQX55" s="12"/>
      <c r="VRO55" s="12"/>
      <c r="VRP55" s="12"/>
      <c r="VSG55" s="12"/>
      <c r="VSH55" s="12"/>
      <c r="VSY55" s="12"/>
      <c r="VSZ55" s="12"/>
      <c r="VTQ55" s="12"/>
      <c r="VTR55" s="12"/>
      <c r="VUI55" s="12"/>
      <c r="VUJ55" s="12"/>
      <c r="VVA55" s="12"/>
      <c r="VVB55" s="12"/>
      <c r="VVS55" s="12"/>
      <c r="VVT55" s="12"/>
      <c r="VWK55" s="12"/>
      <c r="VWL55" s="12"/>
      <c r="VXC55" s="12"/>
      <c r="VXD55" s="12"/>
      <c r="VXU55" s="12"/>
      <c r="VXV55" s="12"/>
      <c r="VYM55" s="12"/>
      <c r="VYN55" s="12"/>
      <c r="VZE55" s="12"/>
      <c r="VZF55" s="12"/>
      <c r="VZW55" s="12"/>
      <c r="VZX55" s="12"/>
      <c r="WAO55" s="12"/>
      <c r="WAP55" s="12"/>
      <c r="WBG55" s="12"/>
      <c r="WBH55" s="12"/>
      <c r="WBY55" s="12"/>
      <c r="WBZ55" s="12"/>
      <c r="WCQ55" s="12"/>
      <c r="WCR55" s="12"/>
      <c r="WDI55" s="12"/>
      <c r="WDJ55" s="12"/>
      <c r="WEA55" s="12"/>
      <c r="WEB55" s="12"/>
      <c r="WES55" s="12"/>
      <c r="WET55" s="12"/>
      <c r="WFK55" s="12"/>
      <c r="WFL55" s="12"/>
      <c r="WGC55" s="12"/>
      <c r="WGD55" s="12"/>
      <c r="WGU55" s="12"/>
      <c r="WGV55" s="12"/>
      <c r="WHM55" s="12"/>
      <c r="WHN55" s="12"/>
      <c r="WIE55" s="12"/>
      <c r="WIF55" s="12"/>
      <c r="WIW55" s="12"/>
      <c r="WIX55" s="12"/>
      <c r="WJO55" s="12"/>
      <c r="WJP55" s="12"/>
      <c r="WKG55" s="12"/>
      <c r="WKH55" s="12"/>
      <c r="WKY55" s="12"/>
      <c r="WKZ55" s="12"/>
      <c r="WLQ55" s="12"/>
      <c r="WLR55" s="12"/>
      <c r="WMI55" s="12"/>
      <c r="WMJ55" s="12"/>
      <c r="WNA55" s="12"/>
      <c r="WNB55" s="12"/>
      <c r="WNS55" s="12"/>
      <c r="WNT55" s="12"/>
      <c r="WOK55" s="12"/>
      <c r="WOL55" s="12"/>
      <c r="WPC55" s="12"/>
      <c r="WPD55" s="12"/>
      <c r="WPU55" s="12"/>
      <c r="WPV55" s="12"/>
      <c r="WQM55" s="12"/>
      <c r="WQN55" s="12"/>
      <c r="WRE55" s="12"/>
      <c r="WRF55" s="12"/>
      <c r="WRW55" s="12"/>
      <c r="WRX55" s="12"/>
      <c r="WSO55" s="12"/>
      <c r="WSP55" s="12"/>
      <c r="WTG55" s="12"/>
      <c r="WTH55" s="12"/>
      <c r="WTY55" s="12"/>
      <c r="WTZ55" s="12"/>
      <c r="WUQ55" s="12"/>
      <c r="WUR55" s="12"/>
      <c r="WVI55" s="12"/>
      <c r="WVJ55" s="12"/>
      <c r="WWA55" s="12"/>
      <c r="WWB55" s="12"/>
      <c r="WWS55" s="12"/>
      <c r="WWT55" s="12"/>
      <c r="WXK55" s="12"/>
      <c r="WXL55" s="12"/>
      <c r="WYC55" s="12"/>
      <c r="WYD55" s="12"/>
      <c r="WYU55" s="12"/>
      <c r="WYV55" s="12"/>
      <c r="WZM55" s="12"/>
      <c r="WZN55" s="12"/>
      <c r="XAE55" s="12"/>
      <c r="XAF55" s="12"/>
      <c r="XAW55" s="12"/>
      <c r="XAX55" s="12"/>
      <c r="XBO55" s="12"/>
      <c r="XBP55" s="12"/>
      <c r="XCG55" s="12"/>
      <c r="XCH55" s="12"/>
      <c r="XCY55" s="12"/>
      <c r="XCZ55" s="12"/>
      <c r="XDQ55" s="12"/>
      <c r="XDR55" s="12"/>
      <c r="XEI55" s="12"/>
      <c r="XEJ55" s="12"/>
      <c r="XFA55" s="12"/>
      <c r="XFB55" s="12"/>
    </row>
    <row r="56" spans="1:1010 1027:2036 2053:3062 3079:4088 4105:5114 5131:6140 6157:7166 7183:8192 8209:9200 9217:10226 10243:11252 11269:12278 12295:13304 13321:14330 14347:15356 15373:16382" x14ac:dyDescent="0.35">
      <c r="A56" s="181" t="str">
        <f>'Cash Flow - Standardized'!A56</f>
        <v xml:space="preserve">    + Increase in Capital Stock</v>
      </c>
      <c r="B56" s="13" t="str">
        <f>'Cash Flow - Standardized'!B56</f>
        <v>CF_INCR_CAP_STOCK</v>
      </c>
      <c r="C56" s="77">
        <f>IF('Cash Flow - Standardized'!C56="",0,'Cash Flow - Standardized'!C56)/'Cash Flow - Standardized'!C$61</f>
        <v>-1.8412605302178552E-3</v>
      </c>
      <c r="D56" s="77">
        <f>IF('Cash Flow - Standardized'!D56="",0,'Cash Flow - Standardized'!D56)/'Cash Flow - Standardized'!D$61</f>
        <v>-0.29314696175499905</v>
      </c>
      <c r="E56" s="77">
        <f>IF('Cash Flow - Standardized'!E56="",0,'Cash Flow - Standardized'!E56)/'Cash Flow - Standardized'!E$61</f>
        <v>-0.24777817276928543</v>
      </c>
      <c r="F56" s="77">
        <f>IF('Cash Flow - Standardized'!F56="",0,'Cash Flow - Standardized'!F56)/'Cash Flow - Standardized'!F$61</f>
        <v>-1.2088512498292583E-2</v>
      </c>
      <c r="G56" s="77">
        <f>IF('Cash Flow - Standardized'!G56="",0,'Cash Flow - Standardized'!G56)/'Cash Flow - Standardized'!G$61</f>
        <v>-0.11497246614079475</v>
      </c>
      <c r="H56" s="77">
        <f>IF('Cash Flow - Standardized'!H56="",0,'Cash Flow - Standardized'!H56)/'Cash Flow - Standardized'!H$61</f>
        <v>-0.33990570081440208</v>
      </c>
      <c r="I56" s="77">
        <f>IF('Cash Flow - Standardized'!I56="",0,'Cash Flow - Standardized'!I56)/'Cash Flow - Standardized'!I$61</f>
        <v>-0.22801764891270093</v>
      </c>
      <c r="J56" s="77">
        <f>IF('Cash Flow - Standardized'!J56="",0,'Cash Flow - Standardized'!J56)/'Cash Flow - Standardized'!J$61</f>
        <v>-1.8498179085496272E-3</v>
      </c>
      <c r="K56" s="77">
        <f>IF('Cash Flow - Standardized'!K56="",0,'Cash Flow - Standardized'!K56)/'Cash Flow - Standardized'!K$61</f>
        <v>-1.2396159519681168E-2</v>
      </c>
      <c r="L56" s="77">
        <f>IF('Cash Flow - Standardized'!L56="",0,'Cash Flow - Standardized'!L56)/'Cash Flow - Standardized'!L$61</f>
        <v>-5.612453912331012E-2</v>
      </c>
      <c r="M56" s="108"/>
      <c r="N56" s="108"/>
      <c r="O56" s="108"/>
      <c r="P56" s="108"/>
      <c r="Q56" s="108"/>
      <c r="R56" s="108"/>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row>
    <row r="57" spans="1:1010 1027:2036 2053:3062 3079:4088 4105:5114 5131:6140 6157:7166 7183:8192 8209:9200 9217:10226 10243:11252 11269:12278 12295:13304 13321:14330 14347:15356 15373:16382" x14ac:dyDescent="0.35">
      <c r="A57" s="181" t="str">
        <f>'Cash Flow - Standardized'!A57</f>
        <v xml:space="preserve">    + Decrease in Capital Stock</v>
      </c>
      <c r="B57" s="13" t="str">
        <f>'Cash Flow - Standardized'!B57</f>
        <v>CF_DECR_CAP_STOCK</v>
      </c>
      <c r="C57" s="77">
        <f>IF('Cash Flow - Standardized'!C57="",0,'Cash Flow - Standardized'!C57)/'Cash Flow - Standardized'!C$61</f>
        <v>0.78758697104495612</v>
      </c>
      <c r="D57" s="77">
        <f>IF('Cash Flow - Standardized'!D57="",0,'Cash Flow - Standardized'!D57)/'Cash Flow - Standardized'!D$61</f>
        <v>0</v>
      </c>
      <c r="E57" s="77">
        <f>IF('Cash Flow - Standardized'!E57="",0,'Cash Flow - Standardized'!E57)/'Cash Flow - Standardized'!E$61</f>
        <v>0</v>
      </c>
      <c r="F57" s="77">
        <f>IF('Cash Flow - Standardized'!F57="",0,'Cash Flow - Standardized'!F57)/'Cash Flow - Standardized'!F$61</f>
        <v>0</v>
      </c>
      <c r="G57" s="77">
        <f>IF('Cash Flow - Standardized'!G57="",0,'Cash Flow - Standardized'!G57)/'Cash Flow - Standardized'!G$61</f>
        <v>0</v>
      </c>
      <c r="H57" s="77">
        <f>IF('Cash Flow - Standardized'!H57="",0,'Cash Flow - Standardized'!H57)/'Cash Flow - Standardized'!H$61</f>
        <v>0</v>
      </c>
      <c r="I57" s="77">
        <f>IF('Cash Flow - Standardized'!I57="",0,'Cash Flow - Standardized'!I57)/'Cash Flow - Standardized'!I$61</f>
        <v>0</v>
      </c>
      <c r="J57" s="77">
        <f>IF('Cash Flow - Standardized'!J57="",0,'Cash Flow - Standardized'!J57)/'Cash Flow - Standardized'!J$61</f>
        <v>0</v>
      </c>
      <c r="K57" s="77">
        <f>IF('Cash Flow - Standardized'!K57="",0,'Cash Flow - Standardized'!K57)/'Cash Flow - Standardized'!K$61</f>
        <v>0.5810926218265573</v>
      </c>
      <c r="L57" s="77">
        <f>IF('Cash Flow - Standardized'!L57="",0,'Cash Flow - Standardized'!L57)/'Cash Flow - Standardized'!L$61</f>
        <v>0.42948121112807719</v>
      </c>
      <c r="M57" s="108"/>
      <c r="N57" s="108"/>
      <c r="O57" s="108"/>
      <c r="P57" s="108"/>
      <c r="Q57" s="108"/>
      <c r="R57" s="108"/>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row>
    <row r="58" spans="1:1010 1027:2036 2053:3062 3079:4088 4105:5114 5131:6140 6157:7166 7183:8192 8209:9200 9217:10226 10243:11252 11269:12278 12295:13304 13321:14330 14347:15356 15373:16382" x14ac:dyDescent="0.35">
      <c r="A58" s="23" t="str">
        <f>'Cash Flow - Standardized'!A58</f>
        <v>check</v>
      </c>
      <c r="B58" s="23"/>
      <c r="C58" s="79"/>
      <c r="D58" s="79"/>
      <c r="E58" s="79"/>
      <c r="F58" s="79"/>
      <c r="G58" s="79"/>
      <c r="H58" s="79"/>
      <c r="I58" s="79"/>
      <c r="J58" s="79"/>
      <c r="K58" s="79"/>
      <c r="L58" s="79"/>
      <c r="M58" s="127"/>
      <c r="N58" s="127"/>
      <c r="O58" s="127"/>
      <c r="P58" s="127"/>
      <c r="Q58" s="127"/>
      <c r="R58" s="12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row>
    <row r="59" spans="1:1010 1027:2036 2053:3062 3079:4088 4105:5114 5131:6140 6157:7166 7183:8192 8209:9200 9217:10226 10243:11252 11269:12278 12295:13304 13321:14330 14347:15356 15373:16382" s="11" customFormat="1" x14ac:dyDescent="0.35">
      <c r="A59" s="183" t="str">
        <f>'Cash Flow - Standardized'!A59</f>
        <v xml:space="preserve">  + Other Financing Activities</v>
      </c>
      <c r="B59" s="75" t="str">
        <f>'Cash Flow - Standardized'!B59</f>
        <v>CF_OTHER_FINANCING_ACT_EXCL_FX</v>
      </c>
      <c r="C59" s="76">
        <f>IF('Cash Flow - Standardized'!C59="",0,'Cash Flow - Standardized'!C59)/'Cash Flow - Standardized'!C$61</f>
        <v>1.1601570774470025E-2</v>
      </c>
      <c r="D59" s="76">
        <f>IF('Cash Flow - Standardized'!D59="",0,'Cash Flow - Standardized'!D59)/'Cash Flow - Standardized'!D$61</f>
        <v>6.1638516792855758E-2</v>
      </c>
      <c r="E59" s="76">
        <f>IF('Cash Flow - Standardized'!E59="",0,'Cash Flow - Standardized'!E59)/'Cash Flow - Standardized'!E$61</f>
        <v>7.4031283327408451E-2</v>
      </c>
      <c r="F59" s="76">
        <f>IF('Cash Flow - Standardized'!F59="",0,'Cash Flow - Standardized'!F59)/'Cash Flow - Standardized'!F$61</f>
        <v>8.4619587488048084E-2</v>
      </c>
      <c r="G59" s="76">
        <f>IF('Cash Flow - Standardized'!G59="",0,'Cash Flow - Standardized'!G59)/'Cash Flow - Standardized'!G$61</f>
        <v>8.2675993451406457E-2</v>
      </c>
      <c r="H59" s="76">
        <f>IF('Cash Flow - Standardized'!H59="",0,'Cash Flow - Standardized'!H59)/'Cash Flow - Standardized'!H$61</f>
        <v>0.10878696956708102</v>
      </c>
      <c r="I59" s="76">
        <f>IF('Cash Flow - Standardized'!I59="",0,'Cash Flow - Standardized'!I59)/'Cash Flow - Standardized'!I$61</f>
        <v>6.0589347620548378E-2</v>
      </c>
      <c r="J59" s="76">
        <f>IF('Cash Flow - Standardized'!J59="",0,'Cash Flow - Standardized'!J59)/'Cash Flow - Standardized'!J$61</f>
        <v>0.11717440314469045</v>
      </c>
      <c r="K59" s="76">
        <f>IF('Cash Flow - Standardized'!K59="",0,'Cash Flow - Standardized'!K59)/'Cash Flow - Standardized'!K$61</f>
        <v>4.0759814704588393E-2</v>
      </c>
      <c r="L59" s="76">
        <f>IF('Cash Flow - Standardized'!L59="",0,'Cash Flow - Standardized'!L59)/'Cash Flow - Standardized'!L$61</f>
        <v>5.4001713157796727E-2</v>
      </c>
      <c r="M59" s="108"/>
      <c r="N59" s="108"/>
      <c r="O59" s="108"/>
      <c r="P59" s="108"/>
      <c r="Q59" s="108"/>
      <c r="R59" s="108"/>
      <c r="S59" s="109"/>
      <c r="T59" s="109"/>
      <c r="U59" s="108"/>
      <c r="V59" s="108"/>
      <c r="W59" s="108"/>
      <c r="X59" s="108"/>
      <c r="Y59" s="108"/>
      <c r="Z59" s="108"/>
      <c r="AA59" s="108"/>
      <c r="AB59" s="108"/>
      <c r="AC59" s="108"/>
      <c r="AD59" s="108"/>
      <c r="AE59" s="108"/>
      <c r="AF59" s="108"/>
      <c r="AG59" s="108"/>
      <c r="AH59" s="108"/>
      <c r="AI59" s="108"/>
      <c r="AJ59" s="108"/>
      <c r="AK59" s="109"/>
      <c r="AL59" s="109"/>
      <c r="AM59" s="108"/>
      <c r="AN59" s="108"/>
      <c r="AO59" s="108"/>
      <c r="AP59" s="108"/>
      <c r="AQ59" s="108"/>
      <c r="AR59" s="108"/>
      <c r="AS59" s="108"/>
      <c r="AT59" s="108"/>
      <c r="AU59" s="108"/>
      <c r="AV59" s="108"/>
      <c r="AW59" s="108"/>
      <c r="AX59" s="108"/>
      <c r="BC59" s="12"/>
      <c r="BD59" s="12"/>
      <c r="BU59" s="12"/>
      <c r="BV59" s="12"/>
      <c r="CM59" s="12"/>
      <c r="CN59" s="12"/>
      <c r="DE59" s="12"/>
      <c r="DF59" s="12"/>
      <c r="DW59" s="12"/>
      <c r="DX59" s="12"/>
      <c r="EO59" s="12"/>
      <c r="EP59" s="12"/>
      <c r="FG59" s="12"/>
      <c r="FH59" s="12"/>
      <c r="FY59" s="12"/>
      <c r="FZ59" s="12"/>
      <c r="GQ59" s="12"/>
      <c r="GR59" s="12"/>
      <c r="HI59" s="12"/>
      <c r="HJ59" s="12"/>
      <c r="IA59" s="12"/>
      <c r="IB59" s="12"/>
      <c r="IS59" s="12"/>
      <c r="IT59" s="12"/>
      <c r="JK59" s="12"/>
      <c r="JL59" s="12"/>
      <c r="KC59" s="12"/>
      <c r="KD59" s="12"/>
      <c r="KU59" s="12"/>
      <c r="KV59" s="12"/>
      <c r="LM59" s="12"/>
      <c r="LN59" s="12"/>
      <c r="ME59" s="12"/>
      <c r="MF59" s="12"/>
      <c r="MW59" s="12"/>
      <c r="MX59" s="12"/>
      <c r="NO59" s="12"/>
      <c r="NP59" s="12"/>
      <c r="OG59" s="12"/>
      <c r="OH59" s="12"/>
      <c r="OY59" s="12"/>
      <c r="OZ59" s="12"/>
      <c r="PQ59" s="12"/>
      <c r="PR59" s="12"/>
      <c r="QI59" s="12"/>
      <c r="QJ59" s="12"/>
      <c r="RA59" s="12"/>
      <c r="RB59" s="12"/>
      <c r="RS59" s="12"/>
      <c r="RT59" s="12"/>
      <c r="SK59" s="12"/>
      <c r="SL59" s="12"/>
      <c r="TC59" s="12"/>
      <c r="TD59" s="12"/>
      <c r="TU59" s="12"/>
      <c r="TV59" s="12"/>
      <c r="UM59" s="12"/>
      <c r="UN59" s="12"/>
      <c r="VE59" s="12"/>
      <c r="VF59" s="12"/>
      <c r="VW59" s="12"/>
      <c r="VX59" s="12"/>
      <c r="WO59" s="12"/>
      <c r="WP59" s="12"/>
      <c r="XG59" s="12"/>
      <c r="XH59" s="12"/>
      <c r="XY59" s="12"/>
      <c r="XZ59" s="12"/>
      <c r="YQ59" s="12"/>
      <c r="YR59" s="12"/>
      <c r="ZI59" s="12"/>
      <c r="ZJ59" s="12"/>
      <c r="AAA59" s="12"/>
      <c r="AAB59" s="12"/>
      <c r="AAS59" s="12"/>
      <c r="AAT59" s="12"/>
      <c r="ABK59" s="12"/>
      <c r="ABL59" s="12"/>
      <c r="ACC59" s="12"/>
      <c r="ACD59" s="12"/>
      <c r="ACU59" s="12"/>
      <c r="ACV59" s="12"/>
      <c r="ADM59" s="12"/>
      <c r="ADN59" s="12"/>
      <c r="AEE59" s="12"/>
      <c r="AEF59" s="12"/>
      <c r="AEW59" s="12"/>
      <c r="AEX59" s="12"/>
      <c r="AFO59" s="12"/>
      <c r="AFP59" s="12"/>
      <c r="AGG59" s="12"/>
      <c r="AGH59" s="12"/>
      <c r="AGY59" s="12"/>
      <c r="AGZ59" s="12"/>
      <c r="AHQ59" s="12"/>
      <c r="AHR59" s="12"/>
      <c r="AII59" s="12"/>
      <c r="AIJ59" s="12"/>
      <c r="AJA59" s="12"/>
      <c r="AJB59" s="12"/>
      <c r="AJS59" s="12"/>
      <c r="AJT59" s="12"/>
      <c r="AKK59" s="12"/>
      <c r="AKL59" s="12"/>
      <c r="ALC59" s="12"/>
      <c r="ALD59" s="12"/>
      <c r="ALU59" s="12"/>
      <c r="ALV59" s="12"/>
      <c r="AMM59" s="12"/>
      <c r="AMN59" s="12"/>
      <c r="ANE59" s="12"/>
      <c r="ANF59" s="12"/>
      <c r="ANW59" s="12"/>
      <c r="ANX59" s="12"/>
      <c r="AOO59" s="12"/>
      <c r="AOP59" s="12"/>
      <c r="APG59" s="12"/>
      <c r="APH59" s="12"/>
      <c r="APY59" s="12"/>
      <c r="APZ59" s="12"/>
      <c r="AQQ59" s="12"/>
      <c r="AQR59" s="12"/>
      <c r="ARI59" s="12"/>
      <c r="ARJ59" s="12"/>
      <c r="ASA59" s="12"/>
      <c r="ASB59" s="12"/>
      <c r="ASS59" s="12"/>
      <c r="AST59" s="12"/>
      <c r="ATK59" s="12"/>
      <c r="ATL59" s="12"/>
      <c r="AUC59" s="12"/>
      <c r="AUD59" s="12"/>
      <c r="AUU59" s="12"/>
      <c r="AUV59" s="12"/>
      <c r="AVM59" s="12"/>
      <c r="AVN59" s="12"/>
      <c r="AWE59" s="12"/>
      <c r="AWF59" s="12"/>
      <c r="AWW59" s="12"/>
      <c r="AWX59" s="12"/>
      <c r="AXO59" s="12"/>
      <c r="AXP59" s="12"/>
      <c r="AYG59" s="12"/>
      <c r="AYH59" s="12"/>
      <c r="AYY59" s="12"/>
      <c r="AYZ59" s="12"/>
      <c r="AZQ59" s="12"/>
      <c r="AZR59" s="12"/>
      <c r="BAI59" s="12"/>
      <c r="BAJ59" s="12"/>
      <c r="BBA59" s="12"/>
      <c r="BBB59" s="12"/>
      <c r="BBS59" s="12"/>
      <c r="BBT59" s="12"/>
      <c r="BCK59" s="12"/>
      <c r="BCL59" s="12"/>
      <c r="BDC59" s="12"/>
      <c r="BDD59" s="12"/>
      <c r="BDU59" s="12"/>
      <c r="BDV59" s="12"/>
      <c r="BEM59" s="12"/>
      <c r="BEN59" s="12"/>
      <c r="BFE59" s="12"/>
      <c r="BFF59" s="12"/>
      <c r="BFW59" s="12"/>
      <c r="BFX59" s="12"/>
      <c r="BGO59" s="12"/>
      <c r="BGP59" s="12"/>
      <c r="BHG59" s="12"/>
      <c r="BHH59" s="12"/>
      <c r="BHY59" s="12"/>
      <c r="BHZ59" s="12"/>
      <c r="BIQ59" s="12"/>
      <c r="BIR59" s="12"/>
      <c r="BJI59" s="12"/>
      <c r="BJJ59" s="12"/>
      <c r="BKA59" s="12"/>
      <c r="BKB59" s="12"/>
      <c r="BKS59" s="12"/>
      <c r="BKT59" s="12"/>
      <c r="BLK59" s="12"/>
      <c r="BLL59" s="12"/>
      <c r="BMC59" s="12"/>
      <c r="BMD59" s="12"/>
      <c r="BMU59" s="12"/>
      <c r="BMV59" s="12"/>
      <c r="BNM59" s="12"/>
      <c r="BNN59" s="12"/>
      <c r="BOE59" s="12"/>
      <c r="BOF59" s="12"/>
      <c r="BOW59" s="12"/>
      <c r="BOX59" s="12"/>
      <c r="BPO59" s="12"/>
      <c r="BPP59" s="12"/>
      <c r="BQG59" s="12"/>
      <c r="BQH59" s="12"/>
      <c r="BQY59" s="12"/>
      <c r="BQZ59" s="12"/>
      <c r="BRQ59" s="12"/>
      <c r="BRR59" s="12"/>
      <c r="BSI59" s="12"/>
      <c r="BSJ59" s="12"/>
      <c r="BTA59" s="12"/>
      <c r="BTB59" s="12"/>
      <c r="BTS59" s="12"/>
      <c r="BTT59" s="12"/>
      <c r="BUK59" s="12"/>
      <c r="BUL59" s="12"/>
      <c r="BVC59" s="12"/>
      <c r="BVD59" s="12"/>
      <c r="BVU59" s="12"/>
      <c r="BVV59" s="12"/>
      <c r="BWM59" s="12"/>
      <c r="BWN59" s="12"/>
      <c r="BXE59" s="12"/>
      <c r="BXF59" s="12"/>
      <c r="BXW59" s="12"/>
      <c r="BXX59" s="12"/>
      <c r="BYO59" s="12"/>
      <c r="BYP59" s="12"/>
      <c r="BZG59" s="12"/>
      <c r="BZH59" s="12"/>
      <c r="BZY59" s="12"/>
      <c r="BZZ59" s="12"/>
      <c r="CAQ59" s="12"/>
      <c r="CAR59" s="12"/>
      <c r="CBI59" s="12"/>
      <c r="CBJ59" s="12"/>
      <c r="CCA59" s="12"/>
      <c r="CCB59" s="12"/>
      <c r="CCS59" s="12"/>
      <c r="CCT59" s="12"/>
      <c r="CDK59" s="12"/>
      <c r="CDL59" s="12"/>
      <c r="CEC59" s="12"/>
      <c r="CED59" s="12"/>
      <c r="CEU59" s="12"/>
      <c r="CEV59" s="12"/>
      <c r="CFM59" s="12"/>
      <c r="CFN59" s="12"/>
      <c r="CGE59" s="12"/>
      <c r="CGF59" s="12"/>
      <c r="CGW59" s="12"/>
      <c r="CGX59" s="12"/>
      <c r="CHO59" s="12"/>
      <c r="CHP59" s="12"/>
      <c r="CIG59" s="12"/>
      <c r="CIH59" s="12"/>
      <c r="CIY59" s="12"/>
      <c r="CIZ59" s="12"/>
      <c r="CJQ59" s="12"/>
      <c r="CJR59" s="12"/>
      <c r="CKI59" s="12"/>
      <c r="CKJ59" s="12"/>
      <c r="CLA59" s="12"/>
      <c r="CLB59" s="12"/>
      <c r="CLS59" s="12"/>
      <c r="CLT59" s="12"/>
      <c r="CMK59" s="12"/>
      <c r="CML59" s="12"/>
      <c r="CNC59" s="12"/>
      <c r="CND59" s="12"/>
      <c r="CNU59" s="12"/>
      <c r="CNV59" s="12"/>
      <c r="COM59" s="12"/>
      <c r="CON59" s="12"/>
      <c r="CPE59" s="12"/>
      <c r="CPF59" s="12"/>
      <c r="CPW59" s="12"/>
      <c r="CPX59" s="12"/>
      <c r="CQO59" s="12"/>
      <c r="CQP59" s="12"/>
      <c r="CRG59" s="12"/>
      <c r="CRH59" s="12"/>
      <c r="CRY59" s="12"/>
      <c r="CRZ59" s="12"/>
      <c r="CSQ59" s="12"/>
      <c r="CSR59" s="12"/>
      <c r="CTI59" s="12"/>
      <c r="CTJ59" s="12"/>
      <c r="CUA59" s="12"/>
      <c r="CUB59" s="12"/>
      <c r="CUS59" s="12"/>
      <c r="CUT59" s="12"/>
      <c r="CVK59" s="12"/>
      <c r="CVL59" s="12"/>
      <c r="CWC59" s="12"/>
      <c r="CWD59" s="12"/>
      <c r="CWU59" s="12"/>
      <c r="CWV59" s="12"/>
      <c r="CXM59" s="12"/>
      <c r="CXN59" s="12"/>
      <c r="CYE59" s="12"/>
      <c r="CYF59" s="12"/>
      <c r="CYW59" s="12"/>
      <c r="CYX59" s="12"/>
      <c r="CZO59" s="12"/>
      <c r="CZP59" s="12"/>
      <c r="DAG59" s="12"/>
      <c r="DAH59" s="12"/>
      <c r="DAY59" s="12"/>
      <c r="DAZ59" s="12"/>
      <c r="DBQ59" s="12"/>
      <c r="DBR59" s="12"/>
      <c r="DCI59" s="12"/>
      <c r="DCJ59" s="12"/>
      <c r="DDA59" s="12"/>
      <c r="DDB59" s="12"/>
      <c r="DDS59" s="12"/>
      <c r="DDT59" s="12"/>
      <c r="DEK59" s="12"/>
      <c r="DEL59" s="12"/>
      <c r="DFC59" s="12"/>
      <c r="DFD59" s="12"/>
      <c r="DFU59" s="12"/>
      <c r="DFV59" s="12"/>
      <c r="DGM59" s="12"/>
      <c r="DGN59" s="12"/>
      <c r="DHE59" s="12"/>
      <c r="DHF59" s="12"/>
      <c r="DHW59" s="12"/>
      <c r="DHX59" s="12"/>
      <c r="DIO59" s="12"/>
      <c r="DIP59" s="12"/>
      <c r="DJG59" s="12"/>
      <c r="DJH59" s="12"/>
      <c r="DJY59" s="12"/>
      <c r="DJZ59" s="12"/>
      <c r="DKQ59" s="12"/>
      <c r="DKR59" s="12"/>
      <c r="DLI59" s="12"/>
      <c r="DLJ59" s="12"/>
      <c r="DMA59" s="12"/>
      <c r="DMB59" s="12"/>
      <c r="DMS59" s="12"/>
      <c r="DMT59" s="12"/>
      <c r="DNK59" s="12"/>
      <c r="DNL59" s="12"/>
      <c r="DOC59" s="12"/>
      <c r="DOD59" s="12"/>
      <c r="DOU59" s="12"/>
      <c r="DOV59" s="12"/>
      <c r="DPM59" s="12"/>
      <c r="DPN59" s="12"/>
      <c r="DQE59" s="12"/>
      <c r="DQF59" s="12"/>
      <c r="DQW59" s="12"/>
      <c r="DQX59" s="12"/>
      <c r="DRO59" s="12"/>
      <c r="DRP59" s="12"/>
      <c r="DSG59" s="12"/>
      <c r="DSH59" s="12"/>
      <c r="DSY59" s="12"/>
      <c r="DSZ59" s="12"/>
      <c r="DTQ59" s="12"/>
      <c r="DTR59" s="12"/>
      <c r="DUI59" s="12"/>
      <c r="DUJ59" s="12"/>
      <c r="DVA59" s="12"/>
      <c r="DVB59" s="12"/>
      <c r="DVS59" s="12"/>
      <c r="DVT59" s="12"/>
      <c r="DWK59" s="12"/>
      <c r="DWL59" s="12"/>
      <c r="DXC59" s="12"/>
      <c r="DXD59" s="12"/>
      <c r="DXU59" s="12"/>
      <c r="DXV59" s="12"/>
      <c r="DYM59" s="12"/>
      <c r="DYN59" s="12"/>
      <c r="DZE59" s="12"/>
      <c r="DZF59" s="12"/>
      <c r="DZW59" s="12"/>
      <c r="DZX59" s="12"/>
      <c r="EAO59" s="12"/>
      <c r="EAP59" s="12"/>
      <c r="EBG59" s="12"/>
      <c r="EBH59" s="12"/>
      <c r="EBY59" s="12"/>
      <c r="EBZ59" s="12"/>
      <c r="ECQ59" s="12"/>
      <c r="ECR59" s="12"/>
      <c r="EDI59" s="12"/>
      <c r="EDJ59" s="12"/>
      <c r="EEA59" s="12"/>
      <c r="EEB59" s="12"/>
      <c r="EES59" s="12"/>
      <c r="EET59" s="12"/>
      <c r="EFK59" s="12"/>
      <c r="EFL59" s="12"/>
      <c r="EGC59" s="12"/>
      <c r="EGD59" s="12"/>
      <c r="EGU59" s="12"/>
      <c r="EGV59" s="12"/>
      <c r="EHM59" s="12"/>
      <c r="EHN59" s="12"/>
      <c r="EIE59" s="12"/>
      <c r="EIF59" s="12"/>
      <c r="EIW59" s="12"/>
      <c r="EIX59" s="12"/>
      <c r="EJO59" s="12"/>
      <c r="EJP59" s="12"/>
      <c r="EKG59" s="12"/>
      <c r="EKH59" s="12"/>
      <c r="EKY59" s="12"/>
      <c r="EKZ59" s="12"/>
      <c r="ELQ59" s="12"/>
      <c r="ELR59" s="12"/>
      <c r="EMI59" s="12"/>
      <c r="EMJ59" s="12"/>
      <c r="ENA59" s="12"/>
      <c r="ENB59" s="12"/>
      <c r="ENS59" s="12"/>
      <c r="ENT59" s="12"/>
      <c r="EOK59" s="12"/>
      <c r="EOL59" s="12"/>
      <c r="EPC59" s="12"/>
      <c r="EPD59" s="12"/>
      <c r="EPU59" s="12"/>
      <c r="EPV59" s="12"/>
      <c r="EQM59" s="12"/>
      <c r="EQN59" s="12"/>
      <c r="ERE59" s="12"/>
      <c r="ERF59" s="12"/>
      <c r="ERW59" s="12"/>
      <c r="ERX59" s="12"/>
      <c r="ESO59" s="12"/>
      <c r="ESP59" s="12"/>
      <c r="ETG59" s="12"/>
      <c r="ETH59" s="12"/>
      <c r="ETY59" s="12"/>
      <c r="ETZ59" s="12"/>
      <c r="EUQ59" s="12"/>
      <c r="EUR59" s="12"/>
      <c r="EVI59" s="12"/>
      <c r="EVJ59" s="12"/>
      <c r="EWA59" s="12"/>
      <c r="EWB59" s="12"/>
      <c r="EWS59" s="12"/>
      <c r="EWT59" s="12"/>
      <c r="EXK59" s="12"/>
      <c r="EXL59" s="12"/>
      <c r="EYC59" s="12"/>
      <c r="EYD59" s="12"/>
      <c r="EYU59" s="12"/>
      <c r="EYV59" s="12"/>
      <c r="EZM59" s="12"/>
      <c r="EZN59" s="12"/>
      <c r="FAE59" s="12"/>
      <c r="FAF59" s="12"/>
      <c r="FAW59" s="12"/>
      <c r="FAX59" s="12"/>
      <c r="FBO59" s="12"/>
      <c r="FBP59" s="12"/>
      <c r="FCG59" s="12"/>
      <c r="FCH59" s="12"/>
      <c r="FCY59" s="12"/>
      <c r="FCZ59" s="12"/>
      <c r="FDQ59" s="12"/>
      <c r="FDR59" s="12"/>
      <c r="FEI59" s="12"/>
      <c r="FEJ59" s="12"/>
      <c r="FFA59" s="12"/>
      <c r="FFB59" s="12"/>
      <c r="FFS59" s="12"/>
      <c r="FFT59" s="12"/>
      <c r="FGK59" s="12"/>
      <c r="FGL59" s="12"/>
      <c r="FHC59" s="12"/>
      <c r="FHD59" s="12"/>
      <c r="FHU59" s="12"/>
      <c r="FHV59" s="12"/>
      <c r="FIM59" s="12"/>
      <c r="FIN59" s="12"/>
      <c r="FJE59" s="12"/>
      <c r="FJF59" s="12"/>
      <c r="FJW59" s="12"/>
      <c r="FJX59" s="12"/>
      <c r="FKO59" s="12"/>
      <c r="FKP59" s="12"/>
      <c r="FLG59" s="12"/>
      <c r="FLH59" s="12"/>
      <c r="FLY59" s="12"/>
      <c r="FLZ59" s="12"/>
      <c r="FMQ59" s="12"/>
      <c r="FMR59" s="12"/>
      <c r="FNI59" s="12"/>
      <c r="FNJ59" s="12"/>
      <c r="FOA59" s="12"/>
      <c r="FOB59" s="12"/>
      <c r="FOS59" s="12"/>
      <c r="FOT59" s="12"/>
      <c r="FPK59" s="12"/>
      <c r="FPL59" s="12"/>
      <c r="FQC59" s="12"/>
      <c r="FQD59" s="12"/>
      <c r="FQU59" s="12"/>
      <c r="FQV59" s="12"/>
      <c r="FRM59" s="12"/>
      <c r="FRN59" s="12"/>
      <c r="FSE59" s="12"/>
      <c r="FSF59" s="12"/>
      <c r="FSW59" s="12"/>
      <c r="FSX59" s="12"/>
      <c r="FTO59" s="12"/>
      <c r="FTP59" s="12"/>
      <c r="FUG59" s="12"/>
      <c r="FUH59" s="12"/>
      <c r="FUY59" s="12"/>
      <c r="FUZ59" s="12"/>
      <c r="FVQ59" s="12"/>
      <c r="FVR59" s="12"/>
      <c r="FWI59" s="12"/>
      <c r="FWJ59" s="12"/>
      <c r="FXA59" s="12"/>
      <c r="FXB59" s="12"/>
      <c r="FXS59" s="12"/>
      <c r="FXT59" s="12"/>
      <c r="FYK59" s="12"/>
      <c r="FYL59" s="12"/>
      <c r="FZC59" s="12"/>
      <c r="FZD59" s="12"/>
      <c r="FZU59" s="12"/>
      <c r="FZV59" s="12"/>
      <c r="GAM59" s="12"/>
      <c r="GAN59" s="12"/>
      <c r="GBE59" s="12"/>
      <c r="GBF59" s="12"/>
      <c r="GBW59" s="12"/>
      <c r="GBX59" s="12"/>
      <c r="GCO59" s="12"/>
      <c r="GCP59" s="12"/>
      <c r="GDG59" s="12"/>
      <c r="GDH59" s="12"/>
      <c r="GDY59" s="12"/>
      <c r="GDZ59" s="12"/>
      <c r="GEQ59" s="12"/>
      <c r="GER59" s="12"/>
      <c r="GFI59" s="12"/>
      <c r="GFJ59" s="12"/>
      <c r="GGA59" s="12"/>
      <c r="GGB59" s="12"/>
      <c r="GGS59" s="12"/>
      <c r="GGT59" s="12"/>
      <c r="GHK59" s="12"/>
      <c r="GHL59" s="12"/>
      <c r="GIC59" s="12"/>
      <c r="GID59" s="12"/>
      <c r="GIU59" s="12"/>
      <c r="GIV59" s="12"/>
      <c r="GJM59" s="12"/>
      <c r="GJN59" s="12"/>
      <c r="GKE59" s="12"/>
      <c r="GKF59" s="12"/>
      <c r="GKW59" s="12"/>
      <c r="GKX59" s="12"/>
      <c r="GLO59" s="12"/>
      <c r="GLP59" s="12"/>
      <c r="GMG59" s="12"/>
      <c r="GMH59" s="12"/>
      <c r="GMY59" s="12"/>
      <c r="GMZ59" s="12"/>
      <c r="GNQ59" s="12"/>
      <c r="GNR59" s="12"/>
      <c r="GOI59" s="12"/>
      <c r="GOJ59" s="12"/>
      <c r="GPA59" s="12"/>
      <c r="GPB59" s="12"/>
      <c r="GPS59" s="12"/>
      <c r="GPT59" s="12"/>
      <c r="GQK59" s="12"/>
      <c r="GQL59" s="12"/>
      <c r="GRC59" s="12"/>
      <c r="GRD59" s="12"/>
      <c r="GRU59" s="12"/>
      <c r="GRV59" s="12"/>
      <c r="GSM59" s="12"/>
      <c r="GSN59" s="12"/>
      <c r="GTE59" s="12"/>
      <c r="GTF59" s="12"/>
      <c r="GTW59" s="12"/>
      <c r="GTX59" s="12"/>
      <c r="GUO59" s="12"/>
      <c r="GUP59" s="12"/>
      <c r="GVG59" s="12"/>
      <c r="GVH59" s="12"/>
      <c r="GVY59" s="12"/>
      <c r="GVZ59" s="12"/>
      <c r="GWQ59" s="12"/>
      <c r="GWR59" s="12"/>
      <c r="GXI59" s="12"/>
      <c r="GXJ59" s="12"/>
      <c r="GYA59" s="12"/>
      <c r="GYB59" s="12"/>
      <c r="GYS59" s="12"/>
      <c r="GYT59" s="12"/>
      <c r="GZK59" s="12"/>
      <c r="GZL59" s="12"/>
      <c r="HAC59" s="12"/>
      <c r="HAD59" s="12"/>
      <c r="HAU59" s="12"/>
      <c r="HAV59" s="12"/>
      <c r="HBM59" s="12"/>
      <c r="HBN59" s="12"/>
      <c r="HCE59" s="12"/>
      <c r="HCF59" s="12"/>
      <c r="HCW59" s="12"/>
      <c r="HCX59" s="12"/>
      <c r="HDO59" s="12"/>
      <c r="HDP59" s="12"/>
      <c r="HEG59" s="12"/>
      <c r="HEH59" s="12"/>
      <c r="HEY59" s="12"/>
      <c r="HEZ59" s="12"/>
      <c r="HFQ59" s="12"/>
      <c r="HFR59" s="12"/>
      <c r="HGI59" s="12"/>
      <c r="HGJ59" s="12"/>
      <c r="HHA59" s="12"/>
      <c r="HHB59" s="12"/>
      <c r="HHS59" s="12"/>
      <c r="HHT59" s="12"/>
      <c r="HIK59" s="12"/>
      <c r="HIL59" s="12"/>
      <c r="HJC59" s="12"/>
      <c r="HJD59" s="12"/>
      <c r="HJU59" s="12"/>
      <c r="HJV59" s="12"/>
      <c r="HKM59" s="12"/>
      <c r="HKN59" s="12"/>
      <c r="HLE59" s="12"/>
      <c r="HLF59" s="12"/>
      <c r="HLW59" s="12"/>
      <c r="HLX59" s="12"/>
      <c r="HMO59" s="12"/>
      <c r="HMP59" s="12"/>
      <c r="HNG59" s="12"/>
      <c r="HNH59" s="12"/>
      <c r="HNY59" s="12"/>
      <c r="HNZ59" s="12"/>
      <c r="HOQ59" s="12"/>
      <c r="HOR59" s="12"/>
      <c r="HPI59" s="12"/>
      <c r="HPJ59" s="12"/>
      <c r="HQA59" s="12"/>
      <c r="HQB59" s="12"/>
      <c r="HQS59" s="12"/>
      <c r="HQT59" s="12"/>
      <c r="HRK59" s="12"/>
      <c r="HRL59" s="12"/>
      <c r="HSC59" s="12"/>
      <c r="HSD59" s="12"/>
      <c r="HSU59" s="12"/>
      <c r="HSV59" s="12"/>
      <c r="HTM59" s="12"/>
      <c r="HTN59" s="12"/>
      <c r="HUE59" s="12"/>
      <c r="HUF59" s="12"/>
      <c r="HUW59" s="12"/>
      <c r="HUX59" s="12"/>
      <c r="HVO59" s="12"/>
      <c r="HVP59" s="12"/>
      <c r="HWG59" s="12"/>
      <c r="HWH59" s="12"/>
      <c r="HWY59" s="12"/>
      <c r="HWZ59" s="12"/>
      <c r="HXQ59" s="12"/>
      <c r="HXR59" s="12"/>
      <c r="HYI59" s="12"/>
      <c r="HYJ59" s="12"/>
      <c r="HZA59" s="12"/>
      <c r="HZB59" s="12"/>
      <c r="HZS59" s="12"/>
      <c r="HZT59" s="12"/>
      <c r="IAK59" s="12"/>
      <c r="IAL59" s="12"/>
      <c r="IBC59" s="12"/>
      <c r="IBD59" s="12"/>
      <c r="IBU59" s="12"/>
      <c r="IBV59" s="12"/>
      <c r="ICM59" s="12"/>
      <c r="ICN59" s="12"/>
      <c r="IDE59" s="12"/>
      <c r="IDF59" s="12"/>
      <c r="IDW59" s="12"/>
      <c r="IDX59" s="12"/>
      <c r="IEO59" s="12"/>
      <c r="IEP59" s="12"/>
      <c r="IFG59" s="12"/>
      <c r="IFH59" s="12"/>
      <c r="IFY59" s="12"/>
      <c r="IFZ59" s="12"/>
      <c r="IGQ59" s="12"/>
      <c r="IGR59" s="12"/>
      <c r="IHI59" s="12"/>
      <c r="IHJ59" s="12"/>
      <c r="IIA59" s="12"/>
      <c r="IIB59" s="12"/>
      <c r="IIS59" s="12"/>
      <c r="IIT59" s="12"/>
      <c r="IJK59" s="12"/>
      <c r="IJL59" s="12"/>
      <c r="IKC59" s="12"/>
      <c r="IKD59" s="12"/>
      <c r="IKU59" s="12"/>
      <c r="IKV59" s="12"/>
      <c r="ILM59" s="12"/>
      <c r="ILN59" s="12"/>
      <c r="IME59" s="12"/>
      <c r="IMF59" s="12"/>
      <c r="IMW59" s="12"/>
      <c r="IMX59" s="12"/>
      <c r="INO59" s="12"/>
      <c r="INP59" s="12"/>
      <c r="IOG59" s="12"/>
      <c r="IOH59" s="12"/>
      <c r="IOY59" s="12"/>
      <c r="IOZ59" s="12"/>
      <c r="IPQ59" s="12"/>
      <c r="IPR59" s="12"/>
      <c r="IQI59" s="12"/>
      <c r="IQJ59" s="12"/>
      <c r="IRA59" s="12"/>
      <c r="IRB59" s="12"/>
      <c r="IRS59" s="12"/>
      <c r="IRT59" s="12"/>
      <c r="ISK59" s="12"/>
      <c r="ISL59" s="12"/>
      <c r="ITC59" s="12"/>
      <c r="ITD59" s="12"/>
      <c r="ITU59" s="12"/>
      <c r="ITV59" s="12"/>
      <c r="IUM59" s="12"/>
      <c r="IUN59" s="12"/>
      <c r="IVE59" s="12"/>
      <c r="IVF59" s="12"/>
      <c r="IVW59" s="12"/>
      <c r="IVX59" s="12"/>
      <c r="IWO59" s="12"/>
      <c r="IWP59" s="12"/>
      <c r="IXG59" s="12"/>
      <c r="IXH59" s="12"/>
      <c r="IXY59" s="12"/>
      <c r="IXZ59" s="12"/>
      <c r="IYQ59" s="12"/>
      <c r="IYR59" s="12"/>
      <c r="IZI59" s="12"/>
      <c r="IZJ59" s="12"/>
      <c r="JAA59" s="12"/>
      <c r="JAB59" s="12"/>
      <c r="JAS59" s="12"/>
      <c r="JAT59" s="12"/>
      <c r="JBK59" s="12"/>
      <c r="JBL59" s="12"/>
      <c r="JCC59" s="12"/>
      <c r="JCD59" s="12"/>
      <c r="JCU59" s="12"/>
      <c r="JCV59" s="12"/>
      <c r="JDM59" s="12"/>
      <c r="JDN59" s="12"/>
      <c r="JEE59" s="12"/>
      <c r="JEF59" s="12"/>
      <c r="JEW59" s="12"/>
      <c r="JEX59" s="12"/>
      <c r="JFO59" s="12"/>
      <c r="JFP59" s="12"/>
      <c r="JGG59" s="12"/>
      <c r="JGH59" s="12"/>
      <c r="JGY59" s="12"/>
      <c r="JGZ59" s="12"/>
      <c r="JHQ59" s="12"/>
      <c r="JHR59" s="12"/>
      <c r="JII59" s="12"/>
      <c r="JIJ59" s="12"/>
      <c r="JJA59" s="12"/>
      <c r="JJB59" s="12"/>
      <c r="JJS59" s="12"/>
      <c r="JJT59" s="12"/>
      <c r="JKK59" s="12"/>
      <c r="JKL59" s="12"/>
      <c r="JLC59" s="12"/>
      <c r="JLD59" s="12"/>
      <c r="JLU59" s="12"/>
      <c r="JLV59" s="12"/>
      <c r="JMM59" s="12"/>
      <c r="JMN59" s="12"/>
      <c r="JNE59" s="12"/>
      <c r="JNF59" s="12"/>
      <c r="JNW59" s="12"/>
      <c r="JNX59" s="12"/>
      <c r="JOO59" s="12"/>
      <c r="JOP59" s="12"/>
      <c r="JPG59" s="12"/>
      <c r="JPH59" s="12"/>
      <c r="JPY59" s="12"/>
      <c r="JPZ59" s="12"/>
      <c r="JQQ59" s="12"/>
      <c r="JQR59" s="12"/>
      <c r="JRI59" s="12"/>
      <c r="JRJ59" s="12"/>
      <c r="JSA59" s="12"/>
      <c r="JSB59" s="12"/>
      <c r="JSS59" s="12"/>
      <c r="JST59" s="12"/>
      <c r="JTK59" s="12"/>
      <c r="JTL59" s="12"/>
      <c r="JUC59" s="12"/>
      <c r="JUD59" s="12"/>
      <c r="JUU59" s="12"/>
      <c r="JUV59" s="12"/>
      <c r="JVM59" s="12"/>
      <c r="JVN59" s="12"/>
      <c r="JWE59" s="12"/>
      <c r="JWF59" s="12"/>
      <c r="JWW59" s="12"/>
      <c r="JWX59" s="12"/>
      <c r="JXO59" s="12"/>
      <c r="JXP59" s="12"/>
      <c r="JYG59" s="12"/>
      <c r="JYH59" s="12"/>
      <c r="JYY59" s="12"/>
      <c r="JYZ59" s="12"/>
      <c r="JZQ59" s="12"/>
      <c r="JZR59" s="12"/>
      <c r="KAI59" s="12"/>
      <c r="KAJ59" s="12"/>
      <c r="KBA59" s="12"/>
      <c r="KBB59" s="12"/>
      <c r="KBS59" s="12"/>
      <c r="KBT59" s="12"/>
      <c r="KCK59" s="12"/>
      <c r="KCL59" s="12"/>
      <c r="KDC59" s="12"/>
      <c r="KDD59" s="12"/>
      <c r="KDU59" s="12"/>
      <c r="KDV59" s="12"/>
      <c r="KEM59" s="12"/>
      <c r="KEN59" s="12"/>
      <c r="KFE59" s="12"/>
      <c r="KFF59" s="12"/>
      <c r="KFW59" s="12"/>
      <c r="KFX59" s="12"/>
      <c r="KGO59" s="12"/>
      <c r="KGP59" s="12"/>
      <c r="KHG59" s="12"/>
      <c r="KHH59" s="12"/>
      <c r="KHY59" s="12"/>
      <c r="KHZ59" s="12"/>
      <c r="KIQ59" s="12"/>
      <c r="KIR59" s="12"/>
      <c r="KJI59" s="12"/>
      <c r="KJJ59" s="12"/>
      <c r="KKA59" s="12"/>
      <c r="KKB59" s="12"/>
      <c r="KKS59" s="12"/>
      <c r="KKT59" s="12"/>
      <c r="KLK59" s="12"/>
      <c r="KLL59" s="12"/>
      <c r="KMC59" s="12"/>
      <c r="KMD59" s="12"/>
      <c r="KMU59" s="12"/>
      <c r="KMV59" s="12"/>
      <c r="KNM59" s="12"/>
      <c r="KNN59" s="12"/>
      <c r="KOE59" s="12"/>
      <c r="KOF59" s="12"/>
      <c r="KOW59" s="12"/>
      <c r="KOX59" s="12"/>
      <c r="KPO59" s="12"/>
      <c r="KPP59" s="12"/>
      <c r="KQG59" s="12"/>
      <c r="KQH59" s="12"/>
      <c r="KQY59" s="12"/>
      <c r="KQZ59" s="12"/>
      <c r="KRQ59" s="12"/>
      <c r="KRR59" s="12"/>
      <c r="KSI59" s="12"/>
      <c r="KSJ59" s="12"/>
      <c r="KTA59" s="12"/>
      <c r="KTB59" s="12"/>
      <c r="KTS59" s="12"/>
      <c r="KTT59" s="12"/>
      <c r="KUK59" s="12"/>
      <c r="KUL59" s="12"/>
      <c r="KVC59" s="12"/>
      <c r="KVD59" s="12"/>
      <c r="KVU59" s="12"/>
      <c r="KVV59" s="12"/>
      <c r="KWM59" s="12"/>
      <c r="KWN59" s="12"/>
      <c r="KXE59" s="12"/>
      <c r="KXF59" s="12"/>
      <c r="KXW59" s="12"/>
      <c r="KXX59" s="12"/>
      <c r="KYO59" s="12"/>
      <c r="KYP59" s="12"/>
      <c r="KZG59" s="12"/>
      <c r="KZH59" s="12"/>
      <c r="KZY59" s="12"/>
      <c r="KZZ59" s="12"/>
      <c r="LAQ59" s="12"/>
      <c r="LAR59" s="12"/>
      <c r="LBI59" s="12"/>
      <c r="LBJ59" s="12"/>
      <c r="LCA59" s="12"/>
      <c r="LCB59" s="12"/>
      <c r="LCS59" s="12"/>
      <c r="LCT59" s="12"/>
      <c r="LDK59" s="12"/>
      <c r="LDL59" s="12"/>
      <c r="LEC59" s="12"/>
      <c r="LED59" s="12"/>
      <c r="LEU59" s="12"/>
      <c r="LEV59" s="12"/>
      <c r="LFM59" s="12"/>
      <c r="LFN59" s="12"/>
      <c r="LGE59" s="12"/>
      <c r="LGF59" s="12"/>
      <c r="LGW59" s="12"/>
      <c r="LGX59" s="12"/>
      <c r="LHO59" s="12"/>
      <c r="LHP59" s="12"/>
      <c r="LIG59" s="12"/>
      <c r="LIH59" s="12"/>
      <c r="LIY59" s="12"/>
      <c r="LIZ59" s="12"/>
      <c r="LJQ59" s="12"/>
      <c r="LJR59" s="12"/>
      <c r="LKI59" s="12"/>
      <c r="LKJ59" s="12"/>
      <c r="LLA59" s="12"/>
      <c r="LLB59" s="12"/>
      <c r="LLS59" s="12"/>
      <c r="LLT59" s="12"/>
      <c r="LMK59" s="12"/>
      <c r="LML59" s="12"/>
      <c r="LNC59" s="12"/>
      <c r="LND59" s="12"/>
      <c r="LNU59" s="12"/>
      <c r="LNV59" s="12"/>
      <c r="LOM59" s="12"/>
      <c r="LON59" s="12"/>
      <c r="LPE59" s="12"/>
      <c r="LPF59" s="12"/>
      <c r="LPW59" s="12"/>
      <c r="LPX59" s="12"/>
      <c r="LQO59" s="12"/>
      <c r="LQP59" s="12"/>
      <c r="LRG59" s="12"/>
      <c r="LRH59" s="12"/>
      <c r="LRY59" s="12"/>
      <c r="LRZ59" s="12"/>
      <c r="LSQ59" s="12"/>
      <c r="LSR59" s="12"/>
      <c r="LTI59" s="12"/>
      <c r="LTJ59" s="12"/>
      <c r="LUA59" s="12"/>
      <c r="LUB59" s="12"/>
      <c r="LUS59" s="12"/>
      <c r="LUT59" s="12"/>
      <c r="LVK59" s="12"/>
      <c r="LVL59" s="12"/>
      <c r="LWC59" s="12"/>
      <c r="LWD59" s="12"/>
      <c r="LWU59" s="12"/>
      <c r="LWV59" s="12"/>
      <c r="LXM59" s="12"/>
      <c r="LXN59" s="12"/>
      <c r="LYE59" s="12"/>
      <c r="LYF59" s="12"/>
      <c r="LYW59" s="12"/>
      <c r="LYX59" s="12"/>
      <c r="LZO59" s="12"/>
      <c r="LZP59" s="12"/>
      <c r="MAG59" s="12"/>
      <c r="MAH59" s="12"/>
      <c r="MAY59" s="12"/>
      <c r="MAZ59" s="12"/>
      <c r="MBQ59" s="12"/>
      <c r="MBR59" s="12"/>
      <c r="MCI59" s="12"/>
      <c r="MCJ59" s="12"/>
      <c r="MDA59" s="12"/>
      <c r="MDB59" s="12"/>
      <c r="MDS59" s="12"/>
      <c r="MDT59" s="12"/>
      <c r="MEK59" s="12"/>
      <c r="MEL59" s="12"/>
      <c r="MFC59" s="12"/>
      <c r="MFD59" s="12"/>
      <c r="MFU59" s="12"/>
      <c r="MFV59" s="12"/>
      <c r="MGM59" s="12"/>
      <c r="MGN59" s="12"/>
      <c r="MHE59" s="12"/>
      <c r="MHF59" s="12"/>
      <c r="MHW59" s="12"/>
      <c r="MHX59" s="12"/>
      <c r="MIO59" s="12"/>
      <c r="MIP59" s="12"/>
      <c r="MJG59" s="12"/>
      <c r="MJH59" s="12"/>
      <c r="MJY59" s="12"/>
      <c r="MJZ59" s="12"/>
      <c r="MKQ59" s="12"/>
      <c r="MKR59" s="12"/>
      <c r="MLI59" s="12"/>
      <c r="MLJ59" s="12"/>
      <c r="MMA59" s="12"/>
      <c r="MMB59" s="12"/>
      <c r="MMS59" s="12"/>
      <c r="MMT59" s="12"/>
      <c r="MNK59" s="12"/>
      <c r="MNL59" s="12"/>
      <c r="MOC59" s="12"/>
      <c r="MOD59" s="12"/>
      <c r="MOU59" s="12"/>
      <c r="MOV59" s="12"/>
      <c r="MPM59" s="12"/>
      <c r="MPN59" s="12"/>
      <c r="MQE59" s="12"/>
      <c r="MQF59" s="12"/>
      <c r="MQW59" s="12"/>
      <c r="MQX59" s="12"/>
      <c r="MRO59" s="12"/>
      <c r="MRP59" s="12"/>
      <c r="MSG59" s="12"/>
      <c r="MSH59" s="12"/>
      <c r="MSY59" s="12"/>
      <c r="MSZ59" s="12"/>
      <c r="MTQ59" s="12"/>
      <c r="MTR59" s="12"/>
      <c r="MUI59" s="12"/>
      <c r="MUJ59" s="12"/>
      <c r="MVA59" s="12"/>
      <c r="MVB59" s="12"/>
      <c r="MVS59" s="12"/>
      <c r="MVT59" s="12"/>
      <c r="MWK59" s="12"/>
      <c r="MWL59" s="12"/>
      <c r="MXC59" s="12"/>
      <c r="MXD59" s="12"/>
      <c r="MXU59" s="12"/>
      <c r="MXV59" s="12"/>
      <c r="MYM59" s="12"/>
      <c r="MYN59" s="12"/>
      <c r="MZE59" s="12"/>
      <c r="MZF59" s="12"/>
      <c r="MZW59" s="12"/>
      <c r="MZX59" s="12"/>
      <c r="NAO59" s="12"/>
      <c r="NAP59" s="12"/>
      <c r="NBG59" s="12"/>
      <c r="NBH59" s="12"/>
      <c r="NBY59" s="12"/>
      <c r="NBZ59" s="12"/>
      <c r="NCQ59" s="12"/>
      <c r="NCR59" s="12"/>
      <c r="NDI59" s="12"/>
      <c r="NDJ59" s="12"/>
      <c r="NEA59" s="12"/>
      <c r="NEB59" s="12"/>
      <c r="NES59" s="12"/>
      <c r="NET59" s="12"/>
      <c r="NFK59" s="12"/>
      <c r="NFL59" s="12"/>
      <c r="NGC59" s="12"/>
      <c r="NGD59" s="12"/>
      <c r="NGU59" s="12"/>
      <c r="NGV59" s="12"/>
      <c r="NHM59" s="12"/>
      <c r="NHN59" s="12"/>
      <c r="NIE59" s="12"/>
      <c r="NIF59" s="12"/>
      <c r="NIW59" s="12"/>
      <c r="NIX59" s="12"/>
      <c r="NJO59" s="12"/>
      <c r="NJP59" s="12"/>
      <c r="NKG59" s="12"/>
      <c r="NKH59" s="12"/>
      <c r="NKY59" s="12"/>
      <c r="NKZ59" s="12"/>
      <c r="NLQ59" s="12"/>
      <c r="NLR59" s="12"/>
      <c r="NMI59" s="12"/>
      <c r="NMJ59" s="12"/>
      <c r="NNA59" s="12"/>
      <c r="NNB59" s="12"/>
      <c r="NNS59" s="12"/>
      <c r="NNT59" s="12"/>
      <c r="NOK59" s="12"/>
      <c r="NOL59" s="12"/>
      <c r="NPC59" s="12"/>
      <c r="NPD59" s="12"/>
      <c r="NPU59" s="12"/>
      <c r="NPV59" s="12"/>
      <c r="NQM59" s="12"/>
      <c r="NQN59" s="12"/>
      <c r="NRE59" s="12"/>
      <c r="NRF59" s="12"/>
      <c r="NRW59" s="12"/>
      <c r="NRX59" s="12"/>
      <c r="NSO59" s="12"/>
      <c r="NSP59" s="12"/>
      <c r="NTG59" s="12"/>
      <c r="NTH59" s="12"/>
      <c r="NTY59" s="12"/>
      <c r="NTZ59" s="12"/>
      <c r="NUQ59" s="12"/>
      <c r="NUR59" s="12"/>
      <c r="NVI59" s="12"/>
      <c r="NVJ59" s="12"/>
      <c r="NWA59" s="12"/>
      <c r="NWB59" s="12"/>
      <c r="NWS59" s="12"/>
      <c r="NWT59" s="12"/>
      <c r="NXK59" s="12"/>
      <c r="NXL59" s="12"/>
      <c r="NYC59" s="12"/>
      <c r="NYD59" s="12"/>
      <c r="NYU59" s="12"/>
      <c r="NYV59" s="12"/>
      <c r="NZM59" s="12"/>
      <c r="NZN59" s="12"/>
      <c r="OAE59" s="12"/>
      <c r="OAF59" s="12"/>
      <c r="OAW59" s="12"/>
      <c r="OAX59" s="12"/>
      <c r="OBO59" s="12"/>
      <c r="OBP59" s="12"/>
      <c r="OCG59" s="12"/>
      <c r="OCH59" s="12"/>
      <c r="OCY59" s="12"/>
      <c r="OCZ59" s="12"/>
      <c r="ODQ59" s="12"/>
      <c r="ODR59" s="12"/>
      <c r="OEI59" s="12"/>
      <c r="OEJ59" s="12"/>
      <c r="OFA59" s="12"/>
      <c r="OFB59" s="12"/>
      <c r="OFS59" s="12"/>
      <c r="OFT59" s="12"/>
      <c r="OGK59" s="12"/>
      <c r="OGL59" s="12"/>
      <c r="OHC59" s="12"/>
      <c r="OHD59" s="12"/>
      <c r="OHU59" s="12"/>
      <c r="OHV59" s="12"/>
      <c r="OIM59" s="12"/>
      <c r="OIN59" s="12"/>
      <c r="OJE59" s="12"/>
      <c r="OJF59" s="12"/>
      <c r="OJW59" s="12"/>
      <c r="OJX59" s="12"/>
      <c r="OKO59" s="12"/>
      <c r="OKP59" s="12"/>
      <c r="OLG59" s="12"/>
      <c r="OLH59" s="12"/>
      <c r="OLY59" s="12"/>
      <c r="OLZ59" s="12"/>
      <c r="OMQ59" s="12"/>
      <c r="OMR59" s="12"/>
      <c r="ONI59" s="12"/>
      <c r="ONJ59" s="12"/>
      <c r="OOA59" s="12"/>
      <c r="OOB59" s="12"/>
      <c r="OOS59" s="12"/>
      <c r="OOT59" s="12"/>
      <c r="OPK59" s="12"/>
      <c r="OPL59" s="12"/>
      <c r="OQC59" s="12"/>
      <c r="OQD59" s="12"/>
      <c r="OQU59" s="12"/>
      <c r="OQV59" s="12"/>
      <c r="ORM59" s="12"/>
      <c r="ORN59" s="12"/>
      <c r="OSE59" s="12"/>
      <c r="OSF59" s="12"/>
      <c r="OSW59" s="12"/>
      <c r="OSX59" s="12"/>
      <c r="OTO59" s="12"/>
      <c r="OTP59" s="12"/>
      <c r="OUG59" s="12"/>
      <c r="OUH59" s="12"/>
      <c r="OUY59" s="12"/>
      <c r="OUZ59" s="12"/>
      <c r="OVQ59" s="12"/>
      <c r="OVR59" s="12"/>
      <c r="OWI59" s="12"/>
      <c r="OWJ59" s="12"/>
      <c r="OXA59" s="12"/>
      <c r="OXB59" s="12"/>
      <c r="OXS59" s="12"/>
      <c r="OXT59" s="12"/>
      <c r="OYK59" s="12"/>
      <c r="OYL59" s="12"/>
      <c r="OZC59" s="12"/>
      <c r="OZD59" s="12"/>
      <c r="OZU59" s="12"/>
      <c r="OZV59" s="12"/>
      <c r="PAM59" s="12"/>
      <c r="PAN59" s="12"/>
      <c r="PBE59" s="12"/>
      <c r="PBF59" s="12"/>
      <c r="PBW59" s="12"/>
      <c r="PBX59" s="12"/>
      <c r="PCO59" s="12"/>
      <c r="PCP59" s="12"/>
      <c r="PDG59" s="12"/>
      <c r="PDH59" s="12"/>
      <c r="PDY59" s="12"/>
      <c r="PDZ59" s="12"/>
      <c r="PEQ59" s="12"/>
      <c r="PER59" s="12"/>
      <c r="PFI59" s="12"/>
      <c r="PFJ59" s="12"/>
      <c r="PGA59" s="12"/>
      <c r="PGB59" s="12"/>
      <c r="PGS59" s="12"/>
      <c r="PGT59" s="12"/>
      <c r="PHK59" s="12"/>
      <c r="PHL59" s="12"/>
      <c r="PIC59" s="12"/>
      <c r="PID59" s="12"/>
      <c r="PIU59" s="12"/>
      <c r="PIV59" s="12"/>
      <c r="PJM59" s="12"/>
      <c r="PJN59" s="12"/>
      <c r="PKE59" s="12"/>
      <c r="PKF59" s="12"/>
      <c r="PKW59" s="12"/>
      <c r="PKX59" s="12"/>
      <c r="PLO59" s="12"/>
      <c r="PLP59" s="12"/>
      <c r="PMG59" s="12"/>
      <c r="PMH59" s="12"/>
      <c r="PMY59" s="12"/>
      <c r="PMZ59" s="12"/>
      <c r="PNQ59" s="12"/>
      <c r="PNR59" s="12"/>
      <c r="POI59" s="12"/>
      <c r="POJ59" s="12"/>
      <c r="PPA59" s="12"/>
      <c r="PPB59" s="12"/>
      <c r="PPS59" s="12"/>
      <c r="PPT59" s="12"/>
      <c r="PQK59" s="12"/>
      <c r="PQL59" s="12"/>
      <c r="PRC59" s="12"/>
      <c r="PRD59" s="12"/>
      <c r="PRU59" s="12"/>
      <c r="PRV59" s="12"/>
      <c r="PSM59" s="12"/>
      <c r="PSN59" s="12"/>
      <c r="PTE59" s="12"/>
      <c r="PTF59" s="12"/>
      <c r="PTW59" s="12"/>
      <c r="PTX59" s="12"/>
      <c r="PUO59" s="12"/>
      <c r="PUP59" s="12"/>
      <c r="PVG59" s="12"/>
      <c r="PVH59" s="12"/>
      <c r="PVY59" s="12"/>
      <c r="PVZ59" s="12"/>
      <c r="PWQ59" s="12"/>
      <c r="PWR59" s="12"/>
      <c r="PXI59" s="12"/>
      <c r="PXJ59" s="12"/>
      <c r="PYA59" s="12"/>
      <c r="PYB59" s="12"/>
      <c r="PYS59" s="12"/>
      <c r="PYT59" s="12"/>
      <c r="PZK59" s="12"/>
      <c r="PZL59" s="12"/>
      <c r="QAC59" s="12"/>
      <c r="QAD59" s="12"/>
      <c r="QAU59" s="12"/>
      <c r="QAV59" s="12"/>
      <c r="QBM59" s="12"/>
      <c r="QBN59" s="12"/>
      <c r="QCE59" s="12"/>
      <c r="QCF59" s="12"/>
      <c r="QCW59" s="12"/>
      <c r="QCX59" s="12"/>
      <c r="QDO59" s="12"/>
      <c r="QDP59" s="12"/>
      <c r="QEG59" s="12"/>
      <c r="QEH59" s="12"/>
      <c r="QEY59" s="12"/>
      <c r="QEZ59" s="12"/>
      <c r="QFQ59" s="12"/>
      <c r="QFR59" s="12"/>
      <c r="QGI59" s="12"/>
      <c r="QGJ59" s="12"/>
      <c r="QHA59" s="12"/>
      <c r="QHB59" s="12"/>
      <c r="QHS59" s="12"/>
      <c r="QHT59" s="12"/>
      <c r="QIK59" s="12"/>
      <c r="QIL59" s="12"/>
      <c r="QJC59" s="12"/>
      <c r="QJD59" s="12"/>
      <c r="QJU59" s="12"/>
      <c r="QJV59" s="12"/>
      <c r="QKM59" s="12"/>
      <c r="QKN59" s="12"/>
      <c r="QLE59" s="12"/>
      <c r="QLF59" s="12"/>
      <c r="QLW59" s="12"/>
      <c r="QLX59" s="12"/>
      <c r="QMO59" s="12"/>
      <c r="QMP59" s="12"/>
      <c r="QNG59" s="12"/>
      <c r="QNH59" s="12"/>
      <c r="QNY59" s="12"/>
      <c r="QNZ59" s="12"/>
      <c r="QOQ59" s="12"/>
      <c r="QOR59" s="12"/>
      <c r="QPI59" s="12"/>
      <c r="QPJ59" s="12"/>
      <c r="QQA59" s="12"/>
      <c r="QQB59" s="12"/>
      <c r="QQS59" s="12"/>
      <c r="QQT59" s="12"/>
      <c r="QRK59" s="12"/>
      <c r="QRL59" s="12"/>
      <c r="QSC59" s="12"/>
      <c r="QSD59" s="12"/>
      <c r="QSU59" s="12"/>
      <c r="QSV59" s="12"/>
      <c r="QTM59" s="12"/>
      <c r="QTN59" s="12"/>
      <c r="QUE59" s="12"/>
      <c r="QUF59" s="12"/>
      <c r="QUW59" s="12"/>
      <c r="QUX59" s="12"/>
      <c r="QVO59" s="12"/>
      <c r="QVP59" s="12"/>
      <c r="QWG59" s="12"/>
      <c r="QWH59" s="12"/>
      <c r="QWY59" s="12"/>
      <c r="QWZ59" s="12"/>
      <c r="QXQ59" s="12"/>
      <c r="QXR59" s="12"/>
      <c r="QYI59" s="12"/>
      <c r="QYJ59" s="12"/>
      <c r="QZA59" s="12"/>
      <c r="QZB59" s="12"/>
      <c r="QZS59" s="12"/>
      <c r="QZT59" s="12"/>
      <c r="RAK59" s="12"/>
      <c r="RAL59" s="12"/>
      <c r="RBC59" s="12"/>
      <c r="RBD59" s="12"/>
      <c r="RBU59" s="12"/>
      <c r="RBV59" s="12"/>
      <c r="RCM59" s="12"/>
      <c r="RCN59" s="12"/>
      <c r="RDE59" s="12"/>
      <c r="RDF59" s="12"/>
      <c r="RDW59" s="12"/>
      <c r="RDX59" s="12"/>
      <c r="REO59" s="12"/>
      <c r="REP59" s="12"/>
      <c r="RFG59" s="12"/>
      <c r="RFH59" s="12"/>
      <c r="RFY59" s="12"/>
      <c r="RFZ59" s="12"/>
      <c r="RGQ59" s="12"/>
      <c r="RGR59" s="12"/>
      <c r="RHI59" s="12"/>
      <c r="RHJ59" s="12"/>
      <c r="RIA59" s="12"/>
      <c r="RIB59" s="12"/>
      <c r="RIS59" s="12"/>
      <c r="RIT59" s="12"/>
      <c r="RJK59" s="12"/>
      <c r="RJL59" s="12"/>
      <c r="RKC59" s="12"/>
      <c r="RKD59" s="12"/>
      <c r="RKU59" s="12"/>
      <c r="RKV59" s="12"/>
      <c r="RLM59" s="12"/>
      <c r="RLN59" s="12"/>
      <c r="RME59" s="12"/>
      <c r="RMF59" s="12"/>
      <c r="RMW59" s="12"/>
      <c r="RMX59" s="12"/>
      <c r="RNO59" s="12"/>
      <c r="RNP59" s="12"/>
      <c r="ROG59" s="12"/>
      <c r="ROH59" s="12"/>
      <c r="ROY59" s="12"/>
      <c r="ROZ59" s="12"/>
      <c r="RPQ59" s="12"/>
      <c r="RPR59" s="12"/>
      <c r="RQI59" s="12"/>
      <c r="RQJ59" s="12"/>
      <c r="RRA59" s="12"/>
      <c r="RRB59" s="12"/>
      <c r="RRS59" s="12"/>
      <c r="RRT59" s="12"/>
      <c r="RSK59" s="12"/>
      <c r="RSL59" s="12"/>
      <c r="RTC59" s="12"/>
      <c r="RTD59" s="12"/>
      <c r="RTU59" s="12"/>
      <c r="RTV59" s="12"/>
      <c r="RUM59" s="12"/>
      <c r="RUN59" s="12"/>
      <c r="RVE59" s="12"/>
      <c r="RVF59" s="12"/>
      <c r="RVW59" s="12"/>
      <c r="RVX59" s="12"/>
      <c r="RWO59" s="12"/>
      <c r="RWP59" s="12"/>
      <c r="RXG59" s="12"/>
      <c r="RXH59" s="12"/>
      <c r="RXY59" s="12"/>
      <c r="RXZ59" s="12"/>
      <c r="RYQ59" s="12"/>
      <c r="RYR59" s="12"/>
      <c r="RZI59" s="12"/>
      <c r="RZJ59" s="12"/>
      <c r="SAA59" s="12"/>
      <c r="SAB59" s="12"/>
      <c r="SAS59" s="12"/>
      <c r="SAT59" s="12"/>
      <c r="SBK59" s="12"/>
      <c r="SBL59" s="12"/>
      <c r="SCC59" s="12"/>
      <c r="SCD59" s="12"/>
      <c r="SCU59" s="12"/>
      <c r="SCV59" s="12"/>
      <c r="SDM59" s="12"/>
      <c r="SDN59" s="12"/>
      <c r="SEE59" s="12"/>
      <c r="SEF59" s="12"/>
      <c r="SEW59" s="12"/>
      <c r="SEX59" s="12"/>
      <c r="SFO59" s="12"/>
      <c r="SFP59" s="12"/>
      <c r="SGG59" s="12"/>
      <c r="SGH59" s="12"/>
      <c r="SGY59" s="12"/>
      <c r="SGZ59" s="12"/>
      <c r="SHQ59" s="12"/>
      <c r="SHR59" s="12"/>
      <c r="SII59" s="12"/>
      <c r="SIJ59" s="12"/>
      <c r="SJA59" s="12"/>
      <c r="SJB59" s="12"/>
      <c r="SJS59" s="12"/>
      <c r="SJT59" s="12"/>
      <c r="SKK59" s="12"/>
      <c r="SKL59" s="12"/>
      <c r="SLC59" s="12"/>
      <c r="SLD59" s="12"/>
      <c r="SLU59" s="12"/>
      <c r="SLV59" s="12"/>
      <c r="SMM59" s="12"/>
      <c r="SMN59" s="12"/>
      <c r="SNE59" s="12"/>
      <c r="SNF59" s="12"/>
      <c r="SNW59" s="12"/>
      <c r="SNX59" s="12"/>
      <c r="SOO59" s="12"/>
      <c r="SOP59" s="12"/>
      <c r="SPG59" s="12"/>
      <c r="SPH59" s="12"/>
      <c r="SPY59" s="12"/>
      <c r="SPZ59" s="12"/>
      <c r="SQQ59" s="12"/>
      <c r="SQR59" s="12"/>
      <c r="SRI59" s="12"/>
      <c r="SRJ59" s="12"/>
      <c r="SSA59" s="12"/>
      <c r="SSB59" s="12"/>
      <c r="SSS59" s="12"/>
      <c r="SST59" s="12"/>
      <c r="STK59" s="12"/>
      <c r="STL59" s="12"/>
      <c r="SUC59" s="12"/>
      <c r="SUD59" s="12"/>
      <c r="SUU59" s="12"/>
      <c r="SUV59" s="12"/>
      <c r="SVM59" s="12"/>
      <c r="SVN59" s="12"/>
      <c r="SWE59" s="12"/>
      <c r="SWF59" s="12"/>
      <c r="SWW59" s="12"/>
      <c r="SWX59" s="12"/>
      <c r="SXO59" s="12"/>
      <c r="SXP59" s="12"/>
      <c r="SYG59" s="12"/>
      <c r="SYH59" s="12"/>
      <c r="SYY59" s="12"/>
      <c r="SYZ59" s="12"/>
      <c r="SZQ59" s="12"/>
      <c r="SZR59" s="12"/>
      <c r="TAI59" s="12"/>
      <c r="TAJ59" s="12"/>
      <c r="TBA59" s="12"/>
      <c r="TBB59" s="12"/>
      <c r="TBS59" s="12"/>
      <c r="TBT59" s="12"/>
      <c r="TCK59" s="12"/>
      <c r="TCL59" s="12"/>
      <c r="TDC59" s="12"/>
      <c r="TDD59" s="12"/>
      <c r="TDU59" s="12"/>
      <c r="TDV59" s="12"/>
      <c r="TEM59" s="12"/>
      <c r="TEN59" s="12"/>
      <c r="TFE59" s="12"/>
      <c r="TFF59" s="12"/>
      <c r="TFW59" s="12"/>
      <c r="TFX59" s="12"/>
      <c r="TGO59" s="12"/>
      <c r="TGP59" s="12"/>
      <c r="THG59" s="12"/>
      <c r="THH59" s="12"/>
      <c r="THY59" s="12"/>
      <c r="THZ59" s="12"/>
      <c r="TIQ59" s="12"/>
      <c r="TIR59" s="12"/>
      <c r="TJI59" s="12"/>
      <c r="TJJ59" s="12"/>
      <c r="TKA59" s="12"/>
      <c r="TKB59" s="12"/>
      <c r="TKS59" s="12"/>
      <c r="TKT59" s="12"/>
      <c r="TLK59" s="12"/>
      <c r="TLL59" s="12"/>
      <c r="TMC59" s="12"/>
      <c r="TMD59" s="12"/>
      <c r="TMU59" s="12"/>
      <c r="TMV59" s="12"/>
      <c r="TNM59" s="12"/>
      <c r="TNN59" s="12"/>
      <c r="TOE59" s="12"/>
      <c r="TOF59" s="12"/>
      <c r="TOW59" s="12"/>
      <c r="TOX59" s="12"/>
      <c r="TPO59" s="12"/>
      <c r="TPP59" s="12"/>
      <c r="TQG59" s="12"/>
      <c r="TQH59" s="12"/>
      <c r="TQY59" s="12"/>
      <c r="TQZ59" s="12"/>
      <c r="TRQ59" s="12"/>
      <c r="TRR59" s="12"/>
      <c r="TSI59" s="12"/>
      <c r="TSJ59" s="12"/>
      <c r="TTA59" s="12"/>
      <c r="TTB59" s="12"/>
      <c r="TTS59" s="12"/>
      <c r="TTT59" s="12"/>
      <c r="TUK59" s="12"/>
      <c r="TUL59" s="12"/>
      <c r="TVC59" s="12"/>
      <c r="TVD59" s="12"/>
      <c r="TVU59" s="12"/>
      <c r="TVV59" s="12"/>
      <c r="TWM59" s="12"/>
      <c r="TWN59" s="12"/>
      <c r="TXE59" s="12"/>
      <c r="TXF59" s="12"/>
      <c r="TXW59" s="12"/>
      <c r="TXX59" s="12"/>
      <c r="TYO59" s="12"/>
      <c r="TYP59" s="12"/>
      <c r="TZG59" s="12"/>
      <c r="TZH59" s="12"/>
      <c r="TZY59" s="12"/>
      <c r="TZZ59" s="12"/>
      <c r="UAQ59" s="12"/>
      <c r="UAR59" s="12"/>
      <c r="UBI59" s="12"/>
      <c r="UBJ59" s="12"/>
      <c r="UCA59" s="12"/>
      <c r="UCB59" s="12"/>
      <c r="UCS59" s="12"/>
      <c r="UCT59" s="12"/>
      <c r="UDK59" s="12"/>
      <c r="UDL59" s="12"/>
      <c r="UEC59" s="12"/>
      <c r="UED59" s="12"/>
      <c r="UEU59" s="12"/>
      <c r="UEV59" s="12"/>
      <c r="UFM59" s="12"/>
      <c r="UFN59" s="12"/>
      <c r="UGE59" s="12"/>
      <c r="UGF59" s="12"/>
      <c r="UGW59" s="12"/>
      <c r="UGX59" s="12"/>
      <c r="UHO59" s="12"/>
      <c r="UHP59" s="12"/>
      <c r="UIG59" s="12"/>
      <c r="UIH59" s="12"/>
      <c r="UIY59" s="12"/>
      <c r="UIZ59" s="12"/>
      <c r="UJQ59" s="12"/>
      <c r="UJR59" s="12"/>
      <c r="UKI59" s="12"/>
      <c r="UKJ59" s="12"/>
      <c r="ULA59" s="12"/>
      <c r="ULB59" s="12"/>
      <c r="ULS59" s="12"/>
      <c r="ULT59" s="12"/>
      <c r="UMK59" s="12"/>
      <c r="UML59" s="12"/>
      <c r="UNC59" s="12"/>
      <c r="UND59" s="12"/>
      <c r="UNU59" s="12"/>
      <c r="UNV59" s="12"/>
      <c r="UOM59" s="12"/>
      <c r="UON59" s="12"/>
      <c r="UPE59" s="12"/>
      <c r="UPF59" s="12"/>
      <c r="UPW59" s="12"/>
      <c r="UPX59" s="12"/>
      <c r="UQO59" s="12"/>
      <c r="UQP59" s="12"/>
      <c r="URG59" s="12"/>
      <c r="URH59" s="12"/>
      <c r="URY59" s="12"/>
      <c r="URZ59" s="12"/>
      <c r="USQ59" s="12"/>
      <c r="USR59" s="12"/>
      <c r="UTI59" s="12"/>
      <c r="UTJ59" s="12"/>
      <c r="UUA59" s="12"/>
      <c r="UUB59" s="12"/>
      <c r="UUS59" s="12"/>
      <c r="UUT59" s="12"/>
      <c r="UVK59" s="12"/>
      <c r="UVL59" s="12"/>
      <c r="UWC59" s="12"/>
      <c r="UWD59" s="12"/>
      <c r="UWU59" s="12"/>
      <c r="UWV59" s="12"/>
      <c r="UXM59" s="12"/>
      <c r="UXN59" s="12"/>
      <c r="UYE59" s="12"/>
      <c r="UYF59" s="12"/>
      <c r="UYW59" s="12"/>
      <c r="UYX59" s="12"/>
      <c r="UZO59" s="12"/>
      <c r="UZP59" s="12"/>
      <c r="VAG59" s="12"/>
      <c r="VAH59" s="12"/>
      <c r="VAY59" s="12"/>
      <c r="VAZ59" s="12"/>
      <c r="VBQ59" s="12"/>
      <c r="VBR59" s="12"/>
      <c r="VCI59" s="12"/>
      <c r="VCJ59" s="12"/>
      <c r="VDA59" s="12"/>
      <c r="VDB59" s="12"/>
      <c r="VDS59" s="12"/>
      <c r="VDT59" s="12"/>
      <c r="VEK59" s="12"/>
      <c r="VEL59" s="12"/>
      <c r="VFC59" s="12"/>
      <c r="VFD59" s="12"/>
      <c r="VFU59" s="12"/>
      <c r="VFV59" s="12"/>
      <c r="VGM59" s="12"/>
      <c r="VGN59" s="12"/>
      <c r="VHE59" s="12"/>
      <c r="VHF59" s="12"/>
      <c r="VHW59" s="12"/>
      <c r="VHX59" s="12"/>
      <c r="VIO59" s="12"/>
      <c r="VIP59" s="12"/>
      <c r="VJG59" s="12"/>
      <c r="VJH59" s="12"/>
      <c r="VJY59" s="12"/>
      <c r="VJZ59" s="12"/>
      <c r="VKQ59" s="12"/>
      <c r="VKR59" s="12"/>
      <c r="VLI59" s="12"/>
      <c r="VLJ59" s="12"/>
      <c r="VMA59" s="12"/>
      <c r="VMB59" s="12"/>
      <c r="VMS59" s="12"/>
      <c r="VMT59" s="12"/>
      <c r="VNK59" s="12"/>
      <c r="VNL59" s="12"/>
      <c r="VOC59" s="12"/>
      <c r="VOD59" s="12"/>
      <c r="VOU59" s="12"/>
      <c r="VOV59" s="12"/>
      <c r="VPM59" s="12"/>
      <c r="VPN59" s="12"/>
      <c r="VQE59" s="12"/>
      <c r="VQF59" s="12"/>
      <c r="VQW59" s="12"/>
      <c r="VQX59" s="12"/>
      <c r="VRO59" s="12"/>
      <c r="VRP59" s="12"/>
      <c r="VSG59" s="12"/>
      <c r="VSH59" s="12"/>
      <c r="VSY59" s="12"/>
      <c r="VSZ59" s="12"/>
      <c r="VTQ59" s="12"/>
      <c r="VTR59" s="12"/>
      <c r="VUI59" s="12"/>
      <c r="VUJ59" s="12"/>
      <c r="VVA59" s="12"/>
      <c r="VVB59" s="12"/>
      <c r="VVS59" s="12"/>
      <c r="VVT59" s="12"/>
      <c r="VWK59" s="12"/>
      <c r="VWL59" s="12"/>
      <c r="VXC59" s="12"/>
      <c r="VXD59" s="12"/>
      <c r="VXU59" s="12"/>
      <c r="VXV59" s="12"/>
      <c r="VYM59" s="12"/>
      <c r="VYN59" s="12"/>
      <c r="VZE59" s="12"/>
      <c r="VZF59" s="12"/>
      <c r="VZW59" s="12"/>
      <c r="VZX59" s="12"/>
      <c r="WAO59" s="12"/>
      <c r="WAP59" s="12"/>
      <c r="WBG59" s="12"/>
      <c r="WBH59" s="12"/>
      <c r="WBY59" s="12"/>
      <c r="WBZ59" s="12"/>
      <c r="WCQ59" s="12"/>
      <c r="WCR59" s="12"/>
      <c r="WDI59" s="12"/>
      <c r="WDJ59" s="12"/>
      <c r="WEA59" s="12"/>
      <c r="WEB59" s="12"/>
      <c r="WES59" s="12"/>
      <c r="WET59" s="12"/>
      <c r="WFK59" s="12"/>
      <c r="WFL59" s="12"/>
      <c r="WGC59" s="12"/>
      <c r="WGD59" s="12"/>
      <c r="WGU59" s="12"/>
      <c r="WGV59" s="12"/>
      <c r="WHM59" s="12"/>
      <c r="WHN59" s="12"/>
      <c r="WIE59" s="12"/>
      <c r="WIF59" s="12"/>
      <c r="WIW59" s="12"/>
      <c r="WIX59" s="12"/>
      <c r="WJO59" s="12"/>
      <c r="WJP59" s="12"/>
      <c r="WKG59" s="12"/>
      <c r="WKH59" s="12"/>
      <c r="WKY59" s="12"/>
      <c r="WKZ59" s="12"/>
      <c r="WLQ59" s="12"/>
      <c r="WLR59" s="12"/>
      <c r="WMI59" s="12"/>
      <c r="WMJ59" s="12"/>
      <c r="WNA59" s="12"/>
      <c r="WNB59" s="12"/>
      <c r="WNS59" s="12"/>
      <c r="WNT59" s="12"/>
      <c r="WOK59" s="12"/>
      <c r="WOL59" s="12"/>
      <c r="WPC59" s="12"/>
      <c r="WPD59" s="12"/>
      <c r="WPU59" s="12"/>
      <c r="WPV59" s="12"/>
      <c r="WQM59" s="12"/>
      <c r="WQN59" s="12"/>
      <c r="WRE59" s="12"/>
      <c r="WRF59" s="12"/>
      <c r="WRW59" s="12"/>
      <c r="WRX59" s="12"/>
      <c r="WSO59" s="12"/>
      <c r="WSP59" s="12"/>
      <c r="WTG59" s="12"/>
      <c r="WTH59" s="12"/>
      <c r="WTY59" s="12"/>
      <c r="WTZ59" s="12"/>
      <c r="WUQ59" s="12"/>
      <c r="WUR59" s="12"/>
      <c r="WVI59" s="12"/>
      <c r="WVJ59" s="12"/>
      <c r="WWA59" s="12"/>
      <c r="WWB59" s="12"/>
      <c r="WWS59" s="12"/>
      <c r="WWT59" s="12"/>
      <c r="WXK59" s="12"/>
      <c r="WXL59" s="12"/>
      <c r="WYC59" s="12"/>
      <c r="WYD59" s="12"/>
      <c r="WYU59" s="12"/>
      <c r="WYV59" s="12"/>
      <c r="WZM59" s="12"/>
      <c r="WZN59" s="12"/>
      <c r="XAE59" s="12"/>
      <c r="XAF59" s="12"/>
      <c r="XAW59" s="12"/>
      <c r="XAX59" s="12"/>
      <c r="XBO59" s="12"/>
      <c r="XBP59" s="12"/>
      <c r="XCG59" s="12"/>
      <c r="XCH59" s="12"/>
      <c r="XCY59" s="12"/>
      <c r="XCZ59" s="12"/>
      <c r="XDQ59" s="12"/>
      <c r="XDR59" s="12"/>
      <c r="XEI59" s="12"/>
      <c r="XEJ59" s="12"/>
      <c r="XFA59" s="12"/>
      <c r="XFB59" s="12"/>
    </row>
    <row r="60" spans="1:1010 1027:2036 2053:3062 3079:4088 4105:5114 5131:6140 6157:7166 7183:8192 8209:9200 9217:10226 10243:11252 11269:12278 12295:13304 13321:14330 14347:15356 15373:16382" s="11" customFormat="1" x14ac:dyDescent="0.35">
      <c r="A60" s="183" t="str">
        <f>'Cash Flow - Standardized'!A60</f>
        <v xml:space="preserve">  + Net Financing Cash From Disc Ops</v>
      </c>
      <c r="B60" s="75" t="str">
        <f>'Cash Flow - Standardized'!B60</f>
        <v>CF_NET_CASH_DISCONTINUED_OPS_FIN</v>
      </c>
      <c r="C60" s="76">
        <f>IF('Cash Flow - Standardized'!C60="",0,'Cash Flow - Standardized'!C60)/'Cash Flow - Standardized'!C$61</f>
        <v>0</v>
      </c>
      <c r="D60" s="76">
        <f>IF('Cash Flow - Standardized'!D60="",0,'Cash Flow - Standardized'!D60)/'Cash Flow - Standardized'!D$61</f>
        <v>0</v>
      </c>
      <c r="E60" s="76">
        <f>IF('Cash Flow - Standardized'!E60="",0,'Cash Flow - Standardized'!E60)/'Cash Flow - Standardized'!E$61</f>
        <v>0</v>
      </c>
      <c r="F60" s="76">
        <f>IF('Cash Flow - Standardized'!F60="",0,'Cash Flow - Standardized'!F60)/'Cash Flow - Standardized'!F$61</f>
        <v>0</v>
      </c>
      <c r="G60" s="76">
        <f>IF('Cash Flow - Standardized'!G60="",0,'Cash Flow - Standardized'!G60)/'Cash Flow - Standardized'!G$61</f>
        <v>0</v>
      </c>
      <c r="H60" s="76">
        <f>IF('Cash Flow - Standardized'!H60="",0,'Cash Flow - Standardized'!H60)/'Cash Flow - Standardized'!H$61</f>
        <v>0</v>
      </c>
      <c r="I60" s="76">
        <f>IF('Cash Flow - Standardized'!I60="",0,'Cash Flow - Standardized'!I60)/'Cash Flow - Standardized'!I$61</f>
        <v>0</v>
      </c>
      <c r="J60" s="76">
        <f>IF('Cash Flow - Standardized'!J60="",0,'Cash Flow - Standardized'!J60)/'Cash Flow - Standardized'!J$61</f>
        <v>0</v>
      </c>
      <c r="K60" s="76">
        <f>IF('Cash Flow - Standardized'!K60="",0,'Cash Flow - Standardized'!K60)/'Cash Flow - Standardized'!K$61</f>
        <v>0</v>
      </c>
      <c r="L60" s="76">
        <f>IF('Cash Flow - Standardized'!L60="",0,'Cash Flow - Standardized'!L60)/'Cash Flow - Standardized'!L$61</f>
        <v>0</v>
      </c>
      <c r="M60" s="108"/>
      <c r="N60" s="108"/>
      <c r="O60" s="108"/>
      <c r="P60" s="108"/>
      <c r="Q60" s="108"/>
      <c r="R60" s="108"/>
      <c r="S60" s="109"/>
      <c r="T60" s="109"/>
      <c r="U60" s="108"/>
      <c r="V60" s="108"/>
      <c r="W60" s="108"/>
      <c r="X60" s="108"/>
      <c r="Y60" s="108"/>
      <c r="Z60" s="108"/>
      <c r="AA60" s="108"/>
      <c r="AB60" s="108"/>
      <c r="AC60" s="108"/>
      <c r="AD60" s="108"/>
      <c r="AE60" s="108"/>
      <c r="AF60" s="108"/>
      <c r="AG60" s="108"/>
      <c r="AH60" s="108"/>
      <c r="AI60" s="108"/>
      <c r="AJ60" s="108"/>
      <c r="AK60" s="109"/>
      <c r="AL60" s="109"/>
      <c r="AM60" s="108"/>
      <c r="AN60" s="108"/>
      <c r="AO60" s="108"/>
      <c r="AP60" s="108"/>
      <c r="AQ60" s="108"/>
      <c r="AR60" s="108"/>
      <c r="AS60" s="108"/>
      <c r="AT60" s="108"/>
      <c r="AU60" s="108"/>
      <c r="AV60" s="108"/>
      <c r="AW60" s="108"/>
      <c r="AX60" s="108"/>
      <c r="BC60" s="12"/>
      <c r="BD60" s="12"/>
      <c r="BU60" s="12"/>
      <c r="BV60" s="12"/>
      <c r="CM60" s="12"/>
      <c r="CN60" s="12"/>
      <c r="DE60" s="12"/>
      <c r="DF60" s="12"/>
      <c r="DW60" s="12"/>
      <c r="DX60" s="12"/>
      <c r="EO60" s="12"/>
      <c r="EP60" s="12"/>
      <c r="FG60" s="12"/>
      <c r="FH60" s="12"/>
      <c r="FY60" s="12"/>
      <c r="FZ60" s="12"/>
      <c r="GQ60" s="12"/>
      <c r="GR60" s="12"/>
      <c r="HI60" s="12"/>
      <c r="HJ60" s="12"/>
      <c r="IA60" s="12"/>
      <c r="IB60" s="12"/>
      <c r="IS60" s="12"/>
      <c r="IT60" s="12"/>
      <c r="JK60" s="12"/>
      <c r="JL60" s="12"/>
      <c r="KC60" s="12"/>
      <c r="KD60" s="12"/>
      <c r="KU60" s="12"/>
      <c r="KV60" s="12"/>
      <c r="LM60" s="12"/>
      <c r="LN60" s="12"/>
      <c r="ME60" s="12"/>
      <c r="MF60" s="12"/>
      <c r="MW60" s="12"/>
      <c r="MX60" s="12"/>
      <c r="NO60" s="12"/>
      <c r="NP60" s="12"/>
      <c r="OG60" s="12"/>
      <c r="OH60" s="12"/>
      <c r="OY60" s="12"/>
      <c r="OZ60" s="12"/>
      <c r="PQ60" s="12"/>
      <c r="PR60" s="12"/>
      <c r="QI60" s="12"/>
      <c r="QJ60" s="12"/>
      <c r="RA60" s="12"/>
      <c r="RB60" s="12"/>
      <c r="RS60" s="12"/>
      <c r="RT60" s="12"/>
      <c r="SK60" s="12"/>
      <c r="SL60" s="12"/>
      <c r="TC60" s="12"/>
      <c r="TD60" s="12"/>
      <c r="TU60" s="12"/>
      <c r="TV60" s="12"/>
      <c r="UM60" s="12"/>
      <c r="UN60" s="12"/>
      <c r="VE60" s="12"/>
      <c r="VF60" s="12"/>
      <c r="VW60" s="12"/>
      <c r="VX60" s="12"/>
      <c r="WO60" s="12"/>
      <c r="WP60" s="12"/>
      <c r="XG60" s="12"/>
      <c r="XH60" s="12"/>
      <c r="XY60" s="12"/>
      <c r="XZ60" s="12"/>
      <c r="YQ60" s="12"/>
      <c r="YR60" s="12"/>
      <c r="ZI60" s="12"/>
      <c r="ZJ60" s="12"/>
      <c r="AAA60" s="12"/>
      <c r="AAB60" s="12"/>
      <c r="AAS60" s="12"/>
      <c r="AAT60" s="12"/>
      <c r="ABK60" s="12"/>
      <c r="ABL60" s="12"/>
      <c r="ACC60" s="12"/>
      <c r="ACD60" s="12"/>
      <c r="ACU60" s="12"/>
      <c r="ACV60" s="12"/>
      <c r="ADM60" s="12"/>
      <c r="ADN60" s="12"/>
      <c r="AEE60" s="12"/>
      <c r="AEF60" s="12"/>
      <c r="AEW60" s="12"/>
      <c r="AEX60" s="12"/>
      <c r="AFO60" s="12"/>
      <c r="AFP60" s="12"/>
      <c r="AGG60" s="12"/>
      <c r="AGH60" s="12"/>
      <c r="AGY60" s="12"/>
      <c r="AGZ60" s="12"/>
      <c r="AHQ60" s="12"/>
      <c r="AHR60" s="12"/>
      <c r="AII60" s="12"/>
      <c r="AIJ60" s="12"/>
      <c r="AJA60" s="12"/>
      <c r="AJB60" s="12"/>
      <c r="AJS60" s="12"/>
      <c r="AJT60" s="12"/>
      <c r="AKK60" s="12"/>
      <c r="AKL60" s="12"/>
      <c r="ALC60" s="12"/>
      <c r="ALD60" s="12"/>
      <c r="ALU60" s="12"/>
      <c r="ALV60" s="12"/>
      <c r="AMM60" s="12"/>
      <c r="AMN60" s="12"/>
      <c r="ANE60" s="12"/>
      <c r="ANF60" s="12"/>
      <c r="ANW60" s="12"/>
      <c r="ANX60" s="12"/>
      <c r="AOO60" s="12"/>
      <c r="AOP60" s="12"/>
      <c r="APG60" s="12"/>
      <c r="APH60" s="12"/>
      <c r="APY60" s="12"/>
      <c r="APZ60" s="12"/>
      <c r="AQQ60" s="12"/>
      <c r="AQR60" s="12"/>
      <c r="ARI60" s="12"/>
      <c r="ARJ60" s="12"/>
      <c r="ASA60" s="12"/>
      <c r="ASB60" s="12"/>
      <c r="ASS60" s="12"/>
      <c r="AST60" s="12"/>
      <c r="ATK60" s="12"/>
      <c r="ATL60" s="12"/>
      <c r="AUC60" s="12"/>
      <c r="AUD60" s="12"/>
      <c r="AUU60" s="12"/>
      <c r="AUV60" s="12"/>
      <c r="AVM60" s="12"/>
      <c r="AVN60" s="12"/>
      <c r="AWE60" s="12"/>
      <c r="AWF60" s="12"/>
      <c r="AWW60" s="12"/>
      <c r="AWX60" s="12"/>
      <c r="AXO60" s="12"/>
      <c r="AXP60" s="12"/>
      <c r="AYG60" s="12"/>
      <c r="AYH60" s="12"/>
      <c r="AYY60" s="12"/>
      <c r="AYZ60" s="12"/>
      <c r="AZQ60" s="12"/>
      <c r="AZR60" s="12"/>
      <c r="BAI60" s="12"/>
      <c r="BAJ60" s="12"/>
      <c r="BBA60" s="12"/>
      <c r="BBB60" s="12"/>
      <c r="BBS60" s="12"/>
      <c r="BBT60" s="12"/>
      <c r="BCK60" s="12"/>
      <c r="BCL60" s="12"/>
      <c r="BDC60" s="12"/>
      <c r="BDD60" s="12"/>
      <c r="BDU60" s="12"/>
      <c r="BDV60" s="12"/>
      <c r="BEM60" s="12"/>
      <c r="BEN60" s="12"/>
      <c r="BFE60" s="12"/>
      <c r="BFF60" s="12"/>
      <c r="BFW60" s="12"/>
      <c r="BFX60" s="12"/>
      <c r="BGO60" s="12"/>
      <c r="BGP60" s="12"/>
      <c r="BHG60" s="12"/>
      <c r="BHH60" s="12"/>
      <c r="BHY60" s="12"/>
      <c r="BHZ60" s="12"/>
      <c r="BIQ60" s="12"/>
      <c r="BIR60" s="12"/>
      <c r="BJI60" s="12"/>
      <c r="BJJ60" s="12"/>
      <c r="BKA60" s="12"/>
      <c r="BKB60" s="12"/>
      <c r="BKS60" s="12"/>
      <c r="BKT60" s="12"/>
      <c r="BLK60" s="12"/>
      <c r="BLL60" s="12"/>
      <c r="BMC60" s="12"/>
      <c r="BMD60" s="12"/>
      <c r="BMU60" s="12"/>
      <c r="BMV60" s="12"/>
      <c r="BNM60" s="12"/>
      <c r="BNN60" s="12"/>
      <c r="BOE60" s="12"/>
      <c r="BOF60" s="12"/>
      <c r="BOW60" s="12"/>
      <c r="BOX60" s="12"/>
      <c r="BPO60" s="12"/>
      <c r="BPP60" s="12"/>
      <c r="BQG60" s="12"/>
      <c r="BQH60" s="12"/>
      <c r="BQY60" s="12"/>
      <c r="BQZ60" s="12"/>
      <c r="BRQ60" s="12"/>
      <c r="BRR60" s="12"/>
      <c r="BSI60" s="12"/>
      <c r="BSJ60" s="12"/>
      <c r="BTA60" s="12"/>
      <c r="BTB60" s="12"/>
      <c r="BTS60" s="12"/>
      <c r="BTT60" s="12"/>
      <c r="BUK60" s="12"/>
      <c r="BUL60" s="12"/>
      <c r="BVC60" s="12"/>
      <c r="BVD60" s="12"/>
      <c r="BVU60" s="12"/>
      <c r="BVV60" s="12"/>
      <c r="BWM60" s="12"/>
      <c r="BWN60" s="12"/>
      <c r="BXE60" s="12"/>
      <c r="BXF60" s="12"/>
      <c r="BXW60" s="12"/>
      <c r="BXX60" s="12"/>
      <c r="BYO60" s="12"/>
      <c r="BYP60" s="12"/>
      <c r="BZG60" s="12"/>
      <c r="BZH60" s="12"/>
      <c r="BZY60" s="12"/>
      <c r="BZZ60" s="12"/>
      <c r="CAQ60" s="12"/>
      <c r="CAR60" s="12"/>
      <c r="CBI60" s="12"/>
      <c r="CBJ60" s="12"/>
      <c r="CCA60" s="12"/>
      <c r="CCB60" s="12"/>
      <c r="CCS60" s="12"/>
      <c r="CCT60" s="12"/>
      <c r="CDK60" s="12"/>
      <c r="CDL60" s="12"/>
      <c r="CEC60" s="12"/>
      <c r="CED60" s="12"/>
      <c r="CEU60" s="12"/>
      <c r="CEV60" s="12"/>
      <c r="CFM60" s="12"/>
      <c r="CFN60" s="12"/>
      <c r="CGE60" s="12"/>
      <c r="CGF60" s="12"/>
      <c r="CGW60" s="12"/>
      <c r="CGX60" s="12"/>
      <c r="CHO60" s="12"/>
      <c r="CHP60" s="12"/>
      <c r="CIG60" s="12"/>
      <c r="CIH60" s="12"/>
      <c r="CIY60" s="12"/>
      <c r="CIZ60" s="12"/>
      <c r="CJQ60" s="12"/>
      <c r="CJR60" s="12"/>
      <c r="CKI60" s="12"/>
      <c r="CKJ60" s="12"/>
      <c r="CLA60" s="12"/>
      <c r="CLB60" s="12"/>
      <c r="CLS60" s="12"/>
      <c r="CLT60" s="12"/>
      <c r="CMK60" s="12"/>
      <c r="CML60" s="12"/>
      <c r="CNC60" s="12"/>
      <c r="CND60" s="12"/>
      <c r="CNU60" s="12"/>
      <c r="CNV60" s="12"/>
      <c r="COM60" s="12"/>
      <c r="CON60" s="12"/>
      <c r="CPE60" s="12"/>
      <c r="CPF60" s="12"/>
      <c r="CPW60" s="12"/>
      <c r="CPX60" s="12"/>
      <c r="CQO60" s="12"/>
      <c r="CQP60" s="12"/>
      <c r="CRG60" s="12"/>
      <c r="CRH60" s="12"/>
      <c r="CRY60" s="12"/>
      <c r="CRZ60" s="12"/>
      <c r="CSQ60" s="12"/>
      <c r="CSR60" s="12"/>
      <c r="CTI60" s="12"/>
      <c r="CTJ60" s="12"/>
      <c r="CUA60" s="12"/>
      <c r="CUB60" s="12"/>
      <c r="CUS60" s="12"/>
      <c r="CUT60" s="12"/>
      <c r="CVK60" s="12"/>
      <c r="CVL60" s="12"/>
      <c r="CWC60" s="12"/>
      <c r="CWD60" s="12"/>
      <c r="CWU60" s="12"/>
      <c r="CWV60" s="12"/>
      <c r="CXM60" s="12"/>
      <c r="CXN60" s="12"/>
      <c r="CYE60" s="12"/>
      <c r="CYF60" s="12"/>
      <c r="CYW60" s="12"/>
      <c r="CYX60" s="12"/>
      <c r="CZO60" s="12"/>
      <c r="CZP60" s="12"/>
      <c r="DAG60" s="12"/>
      <c r="DAH60" s="12"/>
      <c r="DAY60" s="12"/>
      <c r="DAZ60" s="12"/>
      <c r="DBQ60" s="12"/>
      <c r="DBR60" s="12"/>
      <c r="DCI60" s="12"/>
      <c r="DCJ60" s="12"/>
      <c r="DDA60" s="12"/>
      <c r="DDB60" s="12"/>
      <c r="DDS60" s="12"/>
      <c r="DDT60" s="12"/>
      <c r="DEK60" s="12"/>
      <c r="DEL60" s="12"/>
      <c r="DFC60" s="12"/>
      <c r="DFD60" s="12"/>
      <c r="DFU60" s="12"/>
      <c r="DFV60" s="12"/>
      <c r="DGM60" s="12"/>
      <c r="DGN60" s="12"/>
      <c r="DHE60" s="12"/>
      <c r="DHF60" s="12"/>
      <c r="DHW60" s="12"/>
      <c r="DHX60" s="12"/>
      <c r="DIO60" s="12"/>
      <c r="DIP60" s="12"/>
      <c r="DJG60" s="12"/>
      <c r="DJH60" s="12"/>
      <c r="DJY60" s="12"/>
      <c r="DJZ60" s="12"/>
      <c r="DKQ60" s="12"/>
      <c r="DKR60" s="12"/>
      <c r="DLI60" s="12"/>
      <c r="DLJ60" s="12"/>
      <c r="DMA60" s="12"/>
      <c r="DMB60" s="12"/>
      <c r="DMS60" s="12"/>
      <c r="DMT60" s="12"/>
      <c r="DNK60" s="12"/>
      <c r="DNL60" s="12"/>
      <c r="DOC60" s="12"/>
      <c r="DOD60" s="12"/>
      <c r="DOU60" s="12"/>
      <c r="DOV60" s="12"/>
      <c r="DPM60" s="12"/>
      <c r="DPN60" s="12"/>
      <c r="DQE60" s="12"/>
      <c r="DQF60" s="12"/>
      <c r="DQW60" s="12"/>
      <c r="DQX60" s="12"/>
      <c r="DRO60" s="12"/>
      <c r="DRP60" s="12"/>
      <c r="DSG60" s="12"/>
      <c r="DSH60" s="12"/>
      <c r="DSY60" s="12"/>
      <c r="DSZ60" s="12"/>
      <c r="DTQ60" s="12"/>
      <c r="DTR60" s="12"/>
      <c r="DUI60" s="12"/>
      <c r="DUJ60" s="12"/>
      <c r="DVA60" s="12"/>
      <c r="DVB60" s="12"/>
      <c r="DVS60" s="12"/>
      <c r="DVT60" s="12"/>
      <c r="DWK60" s="12"/>
      <c r="DWL60" s="12"/>
      <c r="DXC60" s="12"/>
      <c r="DXD60" s="12"/>
      <c r="DXU60" s="12"/>
      <c r="DXV60" s="12"/>
      <c r="DYM60" s="12"/>
      <c r="DYN60" s="12"/>
      <c r="DZE60" s="12"/>
      <c r="DZF60" s="12"/>
      <c r="DZW60" s="12"/>
      <c r="DZX60" s="12"/>
      <c r="EAO60" s="12"/>
      <c r="EAP60" s="12"/>
      <c r="EBG60" s="12"/>
      <c r="EBH60" s="12"/>
      <c r="EBY60" s="12"/>
      <c r="EBZ60" s="12"/>
      <c r="ECQ60" s="12"/>
      <c r="ECR60" s="12"/>
      <c r="EDI60" s="12"/>
      <c r="EDJ60" s="12"/>
      <c r="EEA60" s="12"/>
      <c r="EEB60" s="12"/>
      <c r="EES60" s="12"/>
      <c r="EET60" s="12"/>
      <c r="EFK60" s="12"/>
      <c r="EFL60" s="12"/>
      <c r="EGC60" s="12"/>
      <c r="EGD60" s="12"/>
      <c r="EGU60" s="12"/>
      <c r="EGV60" s="12"/>
      <c r="EHM60" s="12"/>
      <c r="EHN60" s="12"/>
      <c r="EIE60" s="12"/>
      <c r="EIF60" s="12"/>
      <c r="EIW60" s="12"/>
      <c r="EIX60" s="12"/>
      <c r="EJO60" s="12"/>
      <c r="EJP60" s="12"/>
      <c r="EKG60" s="12"/>
      <c r="EKH60" s="12"/>
      <c r="EKY60" s="12"/>
      <c r="EKZ60" s="12"/>
      <c r="ELQ60" s="12"/>
      <c r="ELR60" s="12"/>
      <c r="EMI60" s="12"/>
      <c r="EMJ60" s="12"/>
      <c r="ENA60" s="12"/>
      <c r="ENB60" s="12"/>
      <c r="ENS60" s="12"/>
      <c r="ENT60" s="12"/>
      <c r="EOK60" s="12"/>
      <c r="EOL60" s="12"/>
      <c r="EPC60" s="12"/>
      <c r="EPD60" s="12"/>
      <c r="EPU60" s="12"/>
      <c r="EPV60" s="12"/>
      <c r="EQM60" s="12"/>
      <c r="EQN60" s="12"/>
      <c r="ERE60" s="12"/>
      <c r="ERF60" s="12"/>
      <c r="ERW60" s="12"/>
      <c r="ERX60" s="12"/>
      <c r="ESO60" s="12"/>
      <c r="ESP60" s="12"/>
      <c r="ETG60" s="12"/>
      <c r="ETH60" s="12"/>
      <c r="ETY60" s="12"/>
      <c r="ETZ60" s="12"/>
      <c r="EUQ60" s="12"/>
      <c r="EUR60" s="12"/>
      <c r="EVI60" s="12"/>
      <c r="EVJ60" s="12"/>
      <c r="EWA60" s="12"/>
      <c r="EWB60" s="12"/>
      <c r="EWS60" s="12"/>
      <c r="EWT60" s="12"/>
      <c r="EXK60" s="12"/>
      <c r="EXL60" s="12"/>
      <c r="EYC60" s="12"/>
      <c r="EYD60" s="12"/>
      <c r="EYU60" s="12"/>
      <c r="EYV60" s="12"/>
      <c r="EZM60" s="12"/>
      <c r="EZN60" s="12"/>
      <c r="FAE60" s="12"/>
      <c r="FAF60" s="12"/>
      <c r="FAW60" s="12"/>
      <c r="FAX60" s="12"/>
      <c r="FBO60" s="12"/>
      <c r="FBP60" s="12"/>
      <c r="FCG60" s="12"/>
      <c r="FCH60" s="12"/>
      <c r="FCY60" s="12"/>
      <c r="FCZ60" s="12"/>
      <c r="FDQ60" s="12"/>
      <c r="FDR60" s="12"/>
      <c r="FEI60" s="12"/>
      <c r="FEJ60" s="12"/>
      <c r="FFA60" s="12"/>
      <c r="FFB60" s="12"/>
      <c r="FFS60" s="12"/>
      <c r="FFT60" s="12"/>
      <c r="FGK60" s="12"/>
      <c r="FGL60" s="12"/>
      <c r="FHC60" s="12"/>
      <c r="FHD60" s="12"/>
      <c r="FHU60" s="12"/>
      <c r="FHV60" s="12"/>
      <c r="FIM60" s="12"/>
      <c r="FIN60" s="12"/>
      <c r="FJE60" s="12"/>
      <c r="FJF60" s="12"/>
      <c r="FJW60" s="12"/>
      <c r="FJX60" s="12"/>
      <c r="FKO60" s="12"/>
      <c r="FKP60" s="12"/>
      <c r="FLG60" s="12"/>
      <c r="FLH60" s="12"/>
      <c r="FLY60" s="12"/>
      <c r="FLZ60" s="12"/>
      <c r="FMQ60" s="12"/>
      <c r="FMR60" s="12"/>
      <c r="FNI60" s="12"/>
      <c r="FNJ60" s="12"/>
      <c r="FOA60" s="12"/>
      <c r="FOB60" s="12"/>
      <c r="FOS60" s="12"/>
      <c r="FOT60" s="12"/>
      <c r="FPK60" s="12"/>
      <c r="FPL60" s="12"/>
      <c r="FQC60" s="12"/>
      <c r="FQD60" s="12"/>
      <c r="FQU60" s="12"/>
      <c r="FQV60" s="12"/>
      <c r="FRM60" s="12"/>
      <c r="FRN60" s="12"/>
      <c r="FSE60" s="12"/>
      <c r="FSF60" s="12"/>
      <c r="FSW60" s="12"/>
      <c r="FSX60" s="12"/>
      <c r="FTO60" s="12"/>
      <c r="FTP60" s="12"/>
      <c r="FUG60" s="12"/>
      <c r="FUH60" s="12"/>
      <c r="FUY60" s="12"/>
      <c r="FUZ60" s="12"/>
      <c r="FVQ60" s="12"/>
      <c r="FVR60" s="12"/>
      <c r="FWI60" s="12"/>
      <c r="FWJ60" s="12"/>
      <c r="FXA60" s="12"/>
      <c r="FXB60" s="12"/>
      <c r="FXS60" s="12"/>
      <c r="FXT60" s="12"/>
      <c r="FYK60" s="12"/>
      <c r="FYL60" s="12"/>
      <c r="FZC60" s="12"/>
      <c r="FZD60" s="12"/>
      <c r="FZU60" s="12"/>
      <c r="FZV60" s="12"/>
      <c r="GAM60" s="12"/>
      <c r="GAN60" s="12"/>
      <c r="GBE60" s="12"/>
      <c r="GBF60" s="12"/>
      <c r="GBW60" s="12"/>
      <c r="GBX60" s="12"/>
      <c r="GCO60" s="12"/>
      <c r="GCP60" s="12"/>
      <c r="GDG60" s="12"/>
      <c r="GDH60" s="12"/>
      <c r="GDY60" s="12"/>
      <c r="GDZ60" s="12"/>
      <c r="GEQ60" s="12"/>
      <c r="GER60" s="12"/>
      <c r="GFI60" s="12"/>
      <c r="GFJ60" s="12"/>
      <c r="GGA60" s="12"/>
      <c r="GGB60" s="12"/>
      <c r="GGS60" s="12"/>
      <c r="GGT60" s="12"/>
      <c r="GHK60" s="12"/>
      <c r="GHL60" s="12"/>
      <c r="GIC60" s="12"/>
      <c r="GID60" s="12"/>
      <c r="GIU60" s="12"/>
      <c r="GIV60" s="12"/>
      <c r="GJM60" s="12"/>
      <c r="GJN60" s="12"/>
      <c r="GKE60" s="12"/>
      <c r="GKF60" s="12"/>
      <c r="GKW60" s="12"/>
      <c r="GKX60" s="12"/>
      <c r="GLO60" s="12"/>
      <c r="GLP60" s="12"/>
      <c r="GMG60" s="12"/>
      <c r="GMH60" s="12"/>
      <c r="GMY60" s="12"/>
      <c r="GMZ60" s="12"/>
      <c r="GNQ60" s="12"/>
      <c r="GNR60" s="12"/>
      <c r="GOI60" s="12"/>
      <c r="GOJ60" s="12"/>
      <c r="GPA60" s="12"/>
      <c r="GPB60" s="12"/>
      <c r="GPS60" s="12"/>
      <c r="GPT60" s="12"/>
      <c r="GQK60" s="12"/>
      <c r="GQL60" s="12"/>
      <c r="GRC60" s="12"/>
      <c r="GRD60" s="12"/>
      <c r="GRU60" s="12"/>
      <c r="GRV60" s="12"/>
      <c r="GSM60" s="12"/>
      <c r="GSN60" s="12"/>
      <c r="GTE60" s="12"/>
      <c r="GTF60" s="12"/>
      <c r="GTW60" s="12"/>
      <c r="GTX60" s="12"/>
      <c r="GUO60" s="12"/>
      <c r="GUP60" s="12"/>
      <c r="GVG60" s="12"/>
      <c r="GVH60" s="12"/>
      <c r="GVY60" s="12"/>
      <c r="GVZ60" s="12"/>
      <c r="GWQ60" s="12"/>
      <c r="GWR60" s="12"/>
      <c r="GXI60" s="12"/>
      <c r="GXJ60" s="12"/>
      <c r="GYA60" s="12"/>
      <c r="GYB60" s="12"/>
      <c r="GYS60" s="12"/>
      <c r="GYT60" s="12"/>
      <c r="GZK60" s="12"/>
      <c r="GZL60" s="12"/>
      <c r="HAC60" s="12"/>
      <c r="HAD60" s="12"/>
      <c r="HAU60" s="12"/>
      <c r="HAV60" s="12"/>
      <c r="HBM60" s="12"/>
      <c r="HBN60" s="12"/>
      <c r="HCE60" s="12"/>
      <c r="HCF60" s="12"/>
      <c r="HCW60" s="12"/>
      <c r="HCX60" s="12"/>
      <c r="HDO60" s="12"/>
      <c r="HDP60" s="12"/>
      <c r="HEG60" s="12"/>
      <c r="HEH60" s="12"/>
      <c r="HEY60" s="12"/>
      <c r="HEZ60" s="12"/>
      <c r="HFQ60" s="12"/>
      <c r="HFR60" s="12"/>
      <c r="HGI60" s="12"/>
      <c r="HGJ60" s="12"/>
      <c r="HHA60" s="12"/>
      <c r="HHB60" s="12"/>
      <c r="HHS60" s="12"/>
      <c r="HHT60" s="12"/>
      <c r="HIK60" s="12"/>
      <c r="HIL60" s="12"/>
      <c r="HJC60" s="12"/>
      <c r="HJD60" s="12"/>
      <c r="HJU60" s="12"/>
      <c r="HJV60" s="12"/>
      <c r="HKM60" s="12"/>
      <c r="HKN60" s="12"/>
      <c r="HLE60" s="12"/>
      <c r="HLF60" s="12"/>
      <c r="HLW60" s="12"/>
      <c r="HLX60" s="12"/>
      <c r="HMO60" s="12"/>
      <c r="HMP60" s="12"/>
      <c r="HNG60" s="12"/>
      <c r="HNH60" s="12"/>
      <c r="HNY60" s="12"/>
      <c r="HNZ60" s="12"/>
      <c r="HOQ60" s="12"/>
      <c r="HOR60" s="12"/>
      <c r="HPI60" s="12"/>
      <c r="HPJ60" s="12"/>
      <c r="HQA60" s="12"/>
      <c r="HQB60" s="12"/>
      <c r="HQS60" s="12"/>
      <c r="HQT60" s="12"/>
      <c r="HRK60" s="12"/>
      <c r="HRL60" s="12"/>
      <c r="HSC60" s="12"/>
      <c r="HSD60" s="12"/>
      <c r="HSU60" s="12"/>
      <c r="HSV60" s="12"/>
      <c r="HTM60" s="12"/>
      <c r="HTN60" s="12"/>
      <c r="HUE60" s="12"/>
      <c r="HUF60" s="12"/>
      <c r="HUW60" s="12"/>
      <c r="HUX60" s="12"/>
      <c r="HVO60" s="12"/>
      <c r="HVP60" s="12"/>
      <c r="HWG60" s="12"/>
      <c r="HWH60" s="12"/>
      <c r="HWY60" s="12"/>
      <c r="HWZ60" s="12"/>
      <c r="HXQ60" s="12"/>
      <c r="HXR60" s="12"/>
      <c r="HYI60" s="12"/>
      <c r="HYJ60" s="12"/>
      <c r="HZA60" s="12"/>
      <c r="HZB60" s="12"/>
      <c r="HZS60" s="12"/>
      <c r="HZT60" s="12"/>
      <c r="IAK60" s="12"/>
      <c r="IAL60" s="12"/>
      <c r="IBC60" s="12"/>
      <c r="IBD60" s="12"/>
      <c r="IBU60" s="12"/>
      <c r="IBV60" s="12"/>
      <c r="ICM60" s="12"/>
      <c r="ICN60" s="12"/>
      <c r="IDE60" s="12"/>
      <c r="IDF60" s="12"/>
      <c r="IDW60" s="12"/>
      <c r="IDX60" s="12"/>
      <c r="IEO60" s="12"/>
      <c r="IEP60" s="12"/>
      <c r="IFG60" s="12"/>
      <c r="IFH60" s="12"/>
      <c r="IFY60" s="12"/>
      <c r="IFZ60" s="12"/>
      <c r="IGQ60" s="12"/>
      <c r="IGR60" s="12"/>
      <c r="IHI60" s="12"/>
      <c r="IHJ60" s="12"/>
      <c r="IIA60" s="12"/>
      <c r="IIB60" s="12"/>
      <c r="IIS60" s="12"/>
      <c r="IIT60" s="12"/>
      <c r="IJK60" s="12"/>
      <c r="IJL60" s="12"/>
      <c r="IKC60" s="12"/>
      <c r="IKD60" s="12"/>
      <c r="IKU60" s="12"/>
      <c r="IKV60" s="12"/>
      <c r="ILM60" s="12"/>
      <c r="ILN60" s="12"/>
      <c r="IME60" s="12"/>
      <c r="IMF60" s="12"/>
      <c r="IMW60" s="12"/>
      <c r="IMX60" s="12"/>
      <c r="INO60" s="12"/>
      <c r="INP60" s="12"/>
      <c r="IOG60" s="12"/>
      <c r="IOH60" s="12"/>
      <c r="IOY60" s="12"/>
      <c r="IOZ60" s="12"/>
      <c r="IPQ60" s="12"/>
      <c r="IPR60" s="12"/>
      <c r="IQI60" s="12"/>
      <c r="IQJ60" s="12"/>
      <c r="IRA60" s="12"/>
      <c r="IRB60" s="12"/>
      <c r="IRS60" s="12"/>
      <c r="IRT60" s="12"/>
      <c r="ISK60" s="12"/>
      <c r="ISL60" s="12"/>
      <c r="ITC60" s="12"/>
      <c r="ITD60" s="12"/>
      <c r="ITU60" s="12"/>
      <c r="ITV60" s="12"/>
      <c r="IUM60" s="12"/>
      <c r="IUN60" s="12"/>
      <c r="IVE60" s="12"/>
      <c r="IVF60" s="12"/>
      <c r="IVW60" s="12"/>
      <c r="IVX60" s="12"/>
      <c r="IWO60" s="12"/>
      <c r="IWP60" s="12"/>
      <c r="IXG60" s="12"/>
      <c r="IXH60" s="12"/>
      <c r="IXY60" s="12"/>
      <c r="IXZ60" s="12"/>
      <c r="IYQ60" s="12"/>
      <c r="IYR60" s="12"/>
      <c r="IZI60" s="12"/>
      <c r="IZJ60" s="12"/>
      <c r="JAA60" s="12"/>
      <c r="JAB60" s="12"/>
      <c r="JAS60" s="12"/>
      <c r="JAT60" s="12"/>
      <c r="JBK60" s="12"/>
      <c r="JBL60" s="12"/>
      <c r="JCC60" s="12"/>
      <c r="JCD60" s="12"/>
      <c r="JCU60" s="12"/>
      <c r="JCV60" s="12"/>
      <c r="JDM60" s="12"/>
      <c r="JDN60" s="12"/>
      <c r="JEE60" s="12"/>
      <c r="JEF60" s="12"/>
      <c r="JEW60" s="12"/>
      <c r="JEX60" s="12"/>
      <c r="JFO60" s="12"/>
      <c r="JFP60" s="12"/>
      <c r="JGG60" s="12"/>
      <c r="JGH60" s="12"/>
      <c r="JGY60" s="12"/>
      <c r="JGZ60" s="12"/>
      <c r="JHQ60" s="12"/>
      <c r="JHR60" s="12"/>
      <c r="JII60" s="12"/>
      <c r="JIJ60" s="12"/>
      <c r="JJA60" s="12"/>
      <c r="JJB60" s="12"/>
      <c r="JJS60" s="12"/>
      <c r="JJT60" s="12"/>
      <c r="JKK60" s="12"/>
      <c r="JKL60" s="12"/>
      <c r="JLC60" s="12"/>
      <c r="JLD60" s="12"/>
      <c r="JLU60" s="12"/>
      <c r="JLV60" s="12"/>
      <c r="JMM60" s="12"/>
      <c r="JMN60" s="12"/>
      <c r="JNE60" s="12"/>
      <c r="JNF60" s="12"/>
      <c r="JNW60" s="12"/>
      <c r="JNX60" s="12"/>
      <c r="JOO60" s="12"/>
      <c r="JOP60" s="12"/>
      <c r="JPG60" s="12"/>
      <c r="JPH60" s="12"/>
      <c r="JPY60" s="12"/>
      <c r="JPZ60" s="12"/>
      <c r="JQQ60" s="12"/>
      <c r="JQR60" s="12"/>
      <c r="JRI60" s="12"/>
      <c r="JRJ60" s="12"/>
      <c r="JSA60" s="12"/>
      <c r="JSB60" s="12"/>
      <c r="JSS60" s="12"/>
      <c r="JST60" s="12"/>
      <c r="JTK60" s="12"/>
      <c r="JTL60" s="12"/>
      <c r="JUC60" s="12"/>
      <c r="JUD60" s="12"/>
      <c r="JUU60" s="12"/>
      <c r="JUV60" s="12"/>
      <c r="JVM60" s="12"/>
      <c r="JVN60" s="12"/>
      <c r="JWE60" s="12"/>
      <c r="JWF60" s="12"/>
      <c r="JWW60" s="12"/>
      <c r="JWX60" s="12"/>
      <c r="JXO60" s="12"/>
      <c r="JXP60" s="12"/>
      <c r="JYG60" s="12"/>
      <c r="JYH60" s="12"/>
      <c r="JYY60" s="12"/>
      <c r="JYZ60" s="12"/>
      <c r="JZQ60" s="12"/>
      <c r="JZR60" s="12"/>
      <c r="KAI60" s="12"/>
      <c r="KAJ60" s="12"/>
      <c r="KBA60" s="12"/>
      <c r="KBB60" s="12"/>
      <c r="KBS60" s="12"/>
      <c r="KBT60" s="12"/>
      <c r="KCK60" s="12"/>
      <c r="KCL60" s="12"/>
      <c r="KDC60" s="12"/>
      <c r="KDD60" s="12"/>
      <c r="KDU60" s="12"/>
      <c r="KDV60" s="12"/>
      <c r="KEM60" s="12"/>
      <c r="KEN60" s="12"/>
      <c r="KFE60" s="12"/>
      <c r="KFF60" s="12"/>
      <c r="KFW60" s="12"/>
      <c r="KFX60" s="12"/>
      <c r="KGO60" s="12"/>
      <c r="KGP60" s="12"/>
      <c r="KHG60" s="12"/>
      <c r="KHH60" s="12"/>
      <c r="KHY60" s="12"/>
      <c r="KHZ60" s="12"/>
      <c r="KIQ60" s="12"/>
      <c r="KIR60" s="12"/>
      <c r="KJI60" s="12"/>
      <c r="KJJ60" s="12"/>
      <c r="KKA60" s="12"/>
      <c r="KKB60" s="12"/>
      <c r="KKS60" s="12"/>
      <c r="KKT60" s="12"/>
      <c r="KLK60" s="12"/>
      <c r="KLL60" s="12"/>
      <c r="KMC60" s="12"/>
      <c r="KMD60" s="12"/>
      <c r="KMU60" s="12"/>
      <c r="KMV60" s="12"/>
      <c r="KNM60" s="12"/>
      <c r="KNN60" s="12"/>
      <c r="KOE60" s="12"/>
      <c r="KOF60" s="12"/>
      <c r="KOW60" s="12"/>
      <c r="KOX60" s="12"/>
      <c r="KPO60" s="12"/>
      <c r="KPP60" s="12"/>
      <c r="KQG60" s="12"/>
      <c r="KQH60" s="12"/>
      <c r="KQY60" s="12"/>
      <c r="KQZ60" s="12"/>
      <c r="KRQ60" s="12"/>
      <c r="KRR60" s="12"/>
      <c r="KSI60" s="12"/>
      <c r="KSJ60" s="12"/>
      <c r="KTA60" s="12"/>
      <c r="KTB60" s="12"/>
      <c r="KTS60" s="12"/>
      <c r="KTT60" s="12"/>
      <c r="KUK60" s="12"/>
      <c r="KUL60" s="12"/>
      <c r="KVC60" s="12"/>
      <c r="KVD60" s="12"/>
      <c r="KVU60" s="12"/>
      <c r="KVV60" s="12"/>
      <c r="KWM60" s="12"/>
      <c r="KWN60" s="12"/>
      <c r="KXE60" s="12"/>
      <c r="KXF60" s="12"/>
      <c r="KXW60" s="12"/>
      <c r="KXX60" s="12"/>
      <c r="KYO60" s="12"/>
      <c r="KYP60" s="12"/>
      <c r="KZG60" s="12"/>
      <c r="KZH60" s="12"/>
      <c r="KZY60" s="12"/>
      <c r="KZZ60" s="12"/>
      <c r="LAQ60" s="12"/>
      <c r="LAR60" s="12"/>
      <c r="LBI60" s="12"/>
      <c r="LBJ60" s="12"/>
      <c r="LCA60" s="12"/>
      <c r="LCB60" s="12"/>
      <c r="LCS60" s="12"/>
      <c r="LCT60" s="12"/>
      <c r="LDK60" s="12"/>
      <c r="LDL60" s="12"/>
      <c r="LEC60" s="12"/>
      <c r="LED60" s="12"/>
      <c r="LEU60" s="12"/>
      <c r="LEV60" s="12"/>
      <c r="LFM60" s="12"/>
      <c r="LFN60" s="12"/>
      <c r="LGE60" s="12"/>
      <c r="LGF60" s="12"/>
      <c r="LGW60" s="12"/>
      <c r="LGX60" s="12"/>
      <c r="LHO60" s="12"/>
      <c r="LHP60" s="12"/>
      <c r="LIG60" s="12"/>
      <c r="LIH60" s="12"/>
      <c r="LIY60" s="12"/>
      <c r="LIZ60" s="12"/>
      <c r="LJQ60" s="12"/>
      <c r="LJR60" s="12"/>
      <c r="LKI60" s="12"/>
      <c r="LKJ60" s="12"/>
      <c r="LLA60" s="12"/>
      <c r="LLB60" s="12"/>
      <c r="LLS60" s="12"/>
      <c r="LLT60" s="12"/>
      <c r="LMK60" s="12"/>
      <c r="LML60" s="12"/>
      <c r="LNC60" s="12"/>
      <c r="LND60" s="12"/>
      <c r="LNU60" s="12"/>
      <c r="LNV60" s="12"/>
      <c r="LOM60" s="12"/>
      <c r="LON60" s="12"/>
      <c r="LPE60" s="12"/>
      <c r="LPF60" s="12"/>
      <c r="LPW60" s="12"/>
      <c r="LPX60" s="12"/>
      <c r="LQO60" s="12"/>
      <c r="LQP60" s="12"/>
      <c r="LRG60" s="12"/>
      <c r="LRH60" s="12"/>
      <c r="LRY60" s="12"/>
      <c r="LRZ60" s="12"/>
      <c r="LSQ60" s="12"/>
      <c r="LSR60" s="12"/>
      <c r="LTI60" s="12"/>
      <c r="LTJ60" s="12"/>
      <c r="LUA60" s="12"/>
      <c r="LUB60" s="12"/>
      <c r="LUS60" s="12"/>
      <c r="LUT60" s="12"/>
      <c r="LVK60" s="12"/>
      <c r="LVL60" s="12"/>
      <c r="LWC60" s="12"/>
      <c r="LWD60" s="12"/>
      <c r="LWU60" s="12"/>
      <c r="LWV60" s="12"/>
      <c r="LXM60" s="12"/>
      <c r="LXN60" s="12"/>
      <c r="LYE60" s="12"/>
      <c r="LYF60" s="12"/>
      <c r="LYW60" s="12"/>
      <c r="LYX60" s="12"/>
      <c r="LZO60" s="12"/>
      <c r="LZP60" s="12"/>
      <c r="MAG60" s="12"/>
      <c r="MAH60" s="12"/>
      <c r="MAY60" s="12"/>
      <c r="MAZ60" s="12"/>
      <c r="MBQ60" s="12"/>
      <c r="MBR60" s="12"/>
      <c r="MCI60" s="12"/>
      <c r="MCJ60" s="12"/>
      <c r="MDA60" s="12"/>
      <c r="MDB60" s="12"/>
      <c r="MDS60" s="12"/>
      <c r="MDT60" s="12"/>
      <c r="MEK60" s="12"/>
      <c r="MEL60" s="12"/>
      <c r="MFC60" s="12"/>
      <c r="MFD60" s="12"/>
      <c r="MFU60" s="12"/>
      <c r="MFV60" s="12"/>
      <c r="MGM60" s="12"/>
      <c r="MGN60" s="12"/>
      <c r="MHE60" s="12"/>
      <c r="MHF60" s="12"/>
      <c r="MHW60" s="12"/>
      <c r="MHX60" s="12"/>
      <c r="MIO60" s="12"/>
      <c r="MIP60" s="12"/>
      <c r="MJG60" s="12"/>
      <c r="MJH60" s="12"/>
      <c r="MJY60" s="12"/>
      <c r="MJZ60" s="12"/>
      <c r="MKQ60" s="12"/>
      <c r="MKR60" s="12"/>
      <c r="MLI60" s="12"/>
      <c r="MLJ60" s="12"/>
      <c r="MMA60" s="12"/>
      <c r="MMB60" s="12"/>
      <c r="MMS60" s="12"/>
      <c r="MMT60" s="12"/>
      <c r="MNK60" s="12"/>
      <c r="MNL60" s="12"/>
      <c r="MOC60" s="12"/>
      <c r="MOD60" s="12"/>
      <c r="MOU60" s="12"/>
      <c r="MOV60" s="12"/>
      <c r="MPM60" s="12"/>
      <c r="MPN60" s="12"/>
      <c r="MQE60" s="12"/>
      <c r="MQF60" s="12"/>
      <c r="MQW60" s="12"/>
      <c r="MQX60" s="12"/>
      <c r="MRO60" s="12"/>
      <c r="MRP60" s="12"/>
      <c r="MSG60" s="12"/>
      <c r="MSH60" s="12"/>
      <c r="MSY60" s="12"/>
      <c r="MSZ60" s="12"/>
      <c r="MTQ60" s="12"/>
      <c r="MTR60" s="12"/>
      <c r="MUI60" s="12"/>
      <c r="MUJ60" s="12"/>
      <c r="MVA60" s="12"/>
      <c r="MVB60" s="12"/>
      <c r="MVS60" s="12"/>
      <c r="MVT60" s="12"/>
      <c r="MWK60" s="12"/>
      <c r="MWL60" s="12"/>
      <c r="MXC60" s="12"/>
      <c r="MXD60" s="12"/>
      <c r="MXU60" s="12"/>
      <c r="MXV60" s="12"/>
      <c r="MYM60" s="12"/>
      <c r="MYN60" s="12"/>
      <c r="MZE60" s="12"/>
      <c r="MZF60" s="12"/>
      <c r="MZW60" s="12"/>
      <c r="MZX60" s="12"/>
      <c r="NAO60" s="12"/>
      <c r="NAP60" s="12"/>
      <c r="NBG60" s="12"/>
      <c r="NBH60" s="12"/>
      <c r="NBY60" s="12"/>
      <c r="NBZ60" s="12"/>
      <c r="NCQ60" s="12"/>
      <c r="NCR60" s="12"/>
      <c r="NDI60" s="12"/>
      <c r="NDJ60" s="12"/>
      <c r="NEA60" s="12"/>
      <c r="NEB60" s="12"/>
      <c r="NES60" s="12"/>
      <c r="NET60" s="12"/>
      <c r="NFK60" s="12"/>
      <c r="NFL60" s="12"/>
      <c r="NGC60" s="12"/>
      <c r="NGD60" s="12"/>
      <c r="NGU60" s="12"/>
      <c r="NGV60" s="12"/>
      <c r="NHM60" s="12"/>
      <c r="NHN60" s="12"/>
      <c r="NIE60" s="12"/>
      <c r="NIF60" s="12"/>
      <c r="NIW60" s="12"/>
      <c r="NIX60" s="12"/>
      <c r="NJO60" s="12"/>
      <c r="NJP60" s="12"/>
      <c r="NKG60" s="12"/>
      <c r="NKH60" s="12"/>
      <c r="NKY60" s="12"/>
      <c r="NKZ60" s="12"/>
      <c r="NLQ60" s="12"/>
      <c r="NLR60" s="12"/>
      <c r="NMI60" s="12"/>
      <c r="NMJ60" s="12"/>
      <c r="NNA60" s="12"/>
      <c r="NNB60" s="12"/>
      <c r="NNS60" s="12"/>
      <c r="NNT60" s="12"/>
      <c r="NOK60" s="12"/>
      <c r="NOL60" s="12"/>
      <c r="NPC60" s="12"/>
      <c r="NPD60" s="12"/>
      <c r="NPU60" s="12"/>
      <c r="NPV60" s="12"/>
      <c r="NQM60" s="12"/>
      <c r="NQN60" s="12"/>
      <c r="NRE60" s="12"/>
      <c r="NRF60" s="12"/>
      <c r="NRW60" s="12"/>
      <c r="NRX60" s="12"/>
      <c r="NSO60" s="12"/>
      <c r="NSP60" s="12"/>
      <c r="NTG60" s="12"/>
      <c r="NTH60" s="12"/>
      <c r="NTY60" s="12"/>
      <c r="NTZ60" s="12"/>
      <c r="NUQ60" s="12"/>
      <c r="NUR60" s="12"/>
      <c r="NVI60" s="12"/>
      <c r="NVJ60" s="12"/>
      <c r="NWA60" s="12"/>
      <c r="NWB60" s="12"/>
      <c r="NWS60" s="12"/>
      <c r="NWT60" s="12"/>
      <c r="NXK60" s="12"/>
      <c r="NXL60" s="12"/>
      <c r="NYC60" s="12"/>
      <c r="NYD60" s="12"/>
      <c r="NYU60" s="12"/>
      <c r="NYV60" s="12"/>
      <c r="NZM60" s="12"/>
      <c r="NZN60" s="12"/>
      <c r="OAE60" s="12"/>
      <c r="OAF60" s="12"/>
      <c r="OAW60" s="12"/>
      <c r="OAX60" s="12"/>
      <c r="OBO60" s="12"/>
      <c r="OBP60" s="12"/>
      <c r="OCG60" s="12"/>
      <c r="OCH60" s="12"/>
      <c r="OCY60" s="12"/>
      <c r="OCZ60" s="12"/>
      <c r="ODQ60" s="12"/>
      <c r="ODR60" s="12"/>
      <c r="OEI60" s="12"/>
      <c r="OEJ60" s="12"/>
      <c r="OFA60" s="12"/>
      <c r="OFB60" s="12"/>
      <c r="OFS60" s="12"/>
      <c r="OFT60" s="12"/>
      <c r="OGK60" s="12"/>
      <c r="OGL60" s="12"/>
      <c r="OHC60" s="12"/>
      <c r="OHD60" s="12"/>
      <c r="OHU60" s="12"/>
      <c r="OHV60" s="12"/>
      <c r="OIM60" s="12"/>
      <c r="OIN60" s="12"/>
      <c r="OJE60" s="12"/>
      <c r="OJF60" s="12"/>
      <c r="OJW60" s="12"/>
      <c r="OJX60" s="12"/>
      <c r="OKO60" s="12"/>
      <c r="OKP60" s="12"/>
      <c r="OLG60" s="12"/>
      <c r="OLH60" s="12"/>
      <c r="OLY60" s="12"/>
      <c r="OLZ60" s="12"/>
      <c r="OMQ60" s="12"/>
      <c r="OMR60" s="12"/>
      <c r="ONI60" s="12"/>
      <c r="ONJ60" s="12"/>
      <c r="OOA60" s="12"/>
      <c r="OOB60" s="12"/>
      <c r="OOS60" s="12"/>
      <c r="OOT60" s="12"/>
      <c r="OPK60" s="12"/>
      <c r="OPL60" s="12"/>
      <c r="OQC60" s="12"/>
      <c r="OQD60" s="12"/>
      <c r="OQU60" s="12"/>
      <c r="OQV60" s="12"/>
      <c r="ORM60" s="12"/>
      <c r="ORN60" s="12"/>
      <c r="OSE60" s="12"/>
      <c r="OSF60" s="12"/>
      <c r="OSW60" s="12"/>
      <c r="OSX60" s="12"/>
      <c r="OTO60" s="12"/>
      <c r="OTP60" s="12"/>
      <c r="OUG60" s="12"/>
      <c r="OUH60" s="12"/>
      <c r="OUY60" s="12"/>
      <c r="OUZ60" s="12"/>
      <c r="OVQ60" s="12"/>
      <c r="OVR60" s="12"/>
      <c r="OWI60" s="12"/>
      <c r="OWJ60" s="12"/>
      <c r="OXA60" s="12"/>
      <c r="OXB60" s="12"/>
      <c r="OXS60" s="12"/>
      <c r="OXT60" s="12"/>
      <c r="OYK60" s="12"/>
      <c r="OYL60" s="12"/>
      <c r="OZC60" s="12"/>
      <c r="OZD60" s="12"/>
      <c r="OZU60" s="12"/>
      <c r="OZV60" s="12"/>
      <c r="PAM60" s="12"/>
      <c r="PAN60" s="12"/>
      <c r="PBE60" s="12"/>
      <c r="PBF60" s="12"/>
      <c r="PBW60" s="12"/>
      <c r="PBX60" s="12"/>
      <c r="PCO60" s="12"/>
      <c r="PCP60" s="12"/>
      <c r="PDG60" s="12"/>
      <c r="PDH60" s="12"/>
      <c r="PDY60" s="12"/>
      <c r="PDZ60" s="12"/>
      <c r="PEQ60" s="12"/>
      <c r="PER60" s="12"/>
      <c r="PFI60" s="12"/>
      <c r="PFJ60" s="12"/>
      <c r="PGA60" s="12"/>
      <c r="PGB60" s="12"/>
      <c r="PGS60" s="12"/>
      <c r="PGT60" s="12"/>
      <c r="PHK60" s="12"/>
      <c r="PHL60" s="12"/>
      <c r="PIC60" s="12"/>
      <c r="PID60" s="12"/>
      <c r="PIU60" s="12"/>
      <c r="PIV60" s="12"/>
      <c r="PJM60" s="12"/>
      <c r="PJN60" s="12"/>
      <c r="PKE60" s="12"/>
      <c r="PKF60" s="12"/>
      <c r="PKW60" s="12"/>
      <c r="PKX60" s="12"/>
      <c r="PLO60" s="12"/>
      <c r="PLP60" s="12"/>
      <c r="PMG60" s="12"/>
      <c r="PMH60" s="12"/>
      <c r="PMY60" s="12"/>
      <c r="PMZ60" s="12"/>
      <c r="PNQ60" s="12"/>
      <c r="PNR60" s="12"/>
      <c r="POI60" s="12"/>
      <c r="POJ60" s="12"/>
      <c r="PPA60" s="12"/>
      <c r="PPB60" s="12"/>
      <c r="PPS60" s="12"/>
      <c r="PPT60" s="12"/>
      <c r="PQK60" s="12"/>
      <c r="PQL60" s="12"/>
      <c r="PRC60" s="12"/>
      <c r="PRD60" s="12"/>
      <c r="PRU60" s="12"/>
      <c r="PRV60" s="12"/>
      <c r="PSM60" s="12"/>
      <c r="PSN60" s="12"/>
      <c r="PTE60" s="12"/>
      <c r="PTF60" s="12"/>
      <c r="PTW60" s="12"/>
      <c r="PTX60" s="12"/>
      <c r="PUO60" s="12"/>
      <c r="PUP60" s="12"/>
      <c r="PVG60" s="12"/>
      <c r="PVH60" s="12"/>
      <c r="PVY60" s="12"/>
      <c r="PVZ60" s="12"/>
      <c r="PWQ60" s="12"/>
      <c r="PWR60" s="12"/>
      <c r="PXI60" s="12"/>
      <c r="PXJ60" s="12"/>
      <c r="PYA60" s="12"/>
      <c r="PYB60" s="12"/>
      <c r="PYS60" s="12"/>
      <c r="PYT60" s="12"/>
      <c r="PZK60" s="12"/>
      <c r="PZL60" s="12"/>
      <c r="QAC60" s="12"/>
      <c r="QAD60" s="12"/>
      <c r="QAU60" s="12"/>
      <c r="QAV60" s="12"/>
      <c r="QBM60" s="12"/>
      <c r="QBN60" s="12"/>
      <c r="QCE60" s="12"/>
      <c r="QCF60" s="12"/>
      <c r="QCW60" s="12"/>
      <c r="QCX60" s="12"/>
      <c r="QDO60" s="12"/>
      <c r="QDP60" s="12"/>
      <c r="QEG60" s="12"/>
      <c r="QEH60" s="12"/>
      <c r="QEY60" s="12"/>
      <c r="QEZ60" s="12"/>
      <c r="QFQ60" s="12"/>
      <c r="QFR60" s="12"/>
      <c r="QGI60" s="12"/>
      <c r="QGJ60" s="12"/>
      <c r="QHA60" s="12"/>
      <c r="QHB60" s="12"/>
      <c r="QHS60" s="12"/>
      <c r="QHT60" s="12"/>
      <c r="QIK60" s="12"/>
      <c r="QIL60" s="12"/>
      <c r="QJC60" s="12"/>
      <c r="QJD60" s="12"/>
      <c r="QJU60" s="12"/>
      <c r="QJV60" s="12"/>
      <c r="QKM60" s="12"/>
      <c r="QKN60" s="12"/>
      <c r="QLE60" s="12"/>
      <c r="QLF60" s="12"/>
      <c r="QLW60" s="12"/>
      <c r="QLX60" s="12"/>
      <c r="QMO60" s="12"/>
      <c r="QMP60" s="12"/>
      <c r="QNG60" s="12"/>
      <c r="QNH60" s="12"/>
      <c r="QNY60" s="12"/>
      <c r="QNZ60" s="12"/>
      <c r="QOQ60" s="12"/>
      <c r="QOR60" s="12"/>
      <c r="QPI60" s="12"/>
      <c r="QPJ60" s="12"/>
      <c r="QQA60" s="12"/>
      <c r="QQB60" s="12"/>
      <c r="QQS60" s="12"/>
      <c r="QQT60" s="12"/>
      <c r="QRK60" s="12"/>
      <c r="QRL60" s="12"/>
      <c r="QSC60" s="12"/>
      <c r="QSD60" s="12"/>
      <c r="QSU60" s="12"/>
      <c r="QSV60" s="12"/>
      <c r="QTM60" s="12"/>
      <c r="QTN60" s="12"/>
      <c r="QUE60" s="12"/>
      <c r="QUF60" s="12"/>
      <c r="QUW60" s="12"/>
      <c r="QUX60" s="12"/>
      <c r="QVO60" s="12"/>
      <c r="QVP60" s="12"/>
      <c r="QWG60" s="12"/>
      <c r="QWH60" s="12"/>
      <c r="QWY60" s="12"/>
      <c r="QWZ60" s="12"/>
      <c r="QXQ60" s="12"/>
      <c r="QXR60" s="12"/>
      <c r="QYI60" s="12"/>
      <c r="QYJ60" s="12"/>
      <c r="QZA60" s="12"/>
      <c r="QZB60" s="12"/>
      <c r="QZS60" s="12"/>
      <c r="QZT60" s="12"/>
      <c r="RAK60" s="12"/>
      <c r="RAL60" s="12"/>
      <c r="RBC60" s="12"/>
      <c r="RBD60" s="12"/>
      <c r="RBU60" s="12"/>
      <c r="RBV60" s="12"/>
      <c r="RCM60" s="12"/>
      <c r="RCN60" s="12"/>
      <c r="RDE60" s="12"/>
      <c r="RDF60" s="12"/>
      <c r="RDW60" s="12"/>
      <c r="RDX60" s="12"/>
      <c r="REO60" s="12"/>
      <c r="REP60" s="12"/>
      <c r="RFG60" s="12"/>
      <c r="RFH60" s="12"/>
      <c r="RFY60" s="12"/>
      <c r="RFZ60" s="12"/>
      <c r="RGQ60" s="12"/>
      <c r="RGR60" s="12"/>
      <c r="RHI60" s="12"/>
      <c r="RHJ60" s="12"/>
      <c r="RIA60" s="12"/>
      <c r="RIB60" s="12"/>
      <c r="RIS60" s="12"/>
      <c r="RIT60" s="12"/>
      <c r="RJK60" s="12"/>
      <c r="RJL60" s="12"/>
      <c r="RKC60" s="12"/>
      <c r="RKD60" s="12"/>
      <c r="RKU60" s="12"/>
      <c r="RKV60" s="12"/>
      <c r="RLM60" s="12"/>
      <c r="RLN60" s="12"/>
      <c r="RME60" s="12"/>
      <c r="RMF60" s="12"/>
      <c r="RMW60" s="12"/>
      <c r="RMX60" s="12"/>
      <c r="RNO60" s="12"/>
      <c r="RNP60" s="12"/>
      <c r="ROG60" s="12"/>
      <c r="ROH60" s="12"/>
      <c r="ROY60" s="12"/>
      <c r="ROZ60" s="12"/>
      <c r="RPQ60" s="12"/>
      <c r="RPR60" s="12"/>
      <c r="RQI60" s="12"/>
      <c r="RQJ60" s="12"/>
      <c r="RRA60" s="12"/>
      <c r="RRB60" s="12"/>
      <c r="RRS60" s="12"/>
      <c r="RRT60" s="12"/>
      <c r="RSK60" s="12"/>
      <c r="RSL60" s="12"/>
      <c r="RTC60" s="12"/>
      <c r="RTD60" s="12"/>
      <c r="RTU60" s="12"/>
      <c r="RTV60" s="12"/>
      <c r="RUM60" s="12"/>
      <c r="RUN60" s="12"/>
      <c r="RVE60" s="12"/>
      <c r="RVF60" s="12"/>
      <c r="RVW60" s="12"/>
      <c r="RVX60" s="12"/>
      <c r="RWO60" s="12"/>
      <c r="RWP60" s="12"/>
      <c r="RXG60" s="12"/>
      <c r="RXH60" s="12"/>
      <c r="RXY60" s="12"/>
      <c r="RXZ60" s="12"/>
      <c r="RYQ60" s="12"/>
      <c r="RYR60" s="12"/>
      <c r="RZI60" s="12"/>
      <c r="RZJ60" s="12"/>
      <c r="SAA60" s="12"/>
      <c r="SAB60" s="12"/>
      <c r="SAS60" s="12"/>
      <c r="SAT60" s="12"/>
      <c r="SBK60" s="12"/>
      <c r="SBL60" s="12"/>
      <c r="SCC60" s="12"/>
      <c r="SCD60" s="12"/>
      <c r="SCU60" s="12"/>
      <c r="SCV60" s="12"/>
      <c r="SDM60" s="12"/>
      <c r="SDN60" s="12"/>
      <c r="SEE60" s="12"/>
      <c r="SEF60" s="12"/>
      <c r="SEW60" s="12"/>
      <c r="SEX60" s="12"/>
      <c r="SFO60" s="12"/>
      <c r="SFP60" s="12"/>
      <c r="SGG60" s="12"/>
      <c r="SGH60" s="12"/>
      <c r="SGY60" s="12"/>
      <c r="SGZ60" s="12"/>
      <c r="SHQ60" s="12"/>
      <c r="SHR60" s="12"/>
      <c r="SII60" s="12"/>
      <c r="SIJ60" s="12"/>
      <c r="SJA60" s="12"/>
      <c r="SJB60" s="12"/>
      <c r="SJS60" s="12"/>
      <c r="SJT60" s="12"/>
      <c r="SKK60" s="12"/>
      <c r="SKL60" s="12"/>
      <c r="SLC60" s="12"/>
      <c r="SLD60" s="12"/>
      <c r="SLU60" s="12"/>
      <c r="SLV60" s="12"/>
      <c r="SMM60" s="12"/>
      <c r="SMN60" s="12"/>
      <c r="SNE60" s="12"/>
      <c r="SNF60" s="12"/>
      <c r="SNW60" s="12"/>
      <c r="SNX60" s="12"/>
      <c r="SOO60" s="12"/>
      <c r="SOP60" s="12"/>
      <c r="SPG60" s="12"/>
      <c r="SPH60" s="12"/>
      <c r="SPY60" s="12"/>
      <c r="SPZ60" s="12"/>
      <c r="SQQ60" s="12"/>
      <c r="SQR60" s="12"/>
      <c r="SRI60" s="12"/>
      <c r="SRJ60" s="12"/>
      <c r="SSA60" s="12"/>
      <c r="SSB60" s="12"/>
      <c r="SSS60" s="12"/>
      <c r="SST60" s="12"/>
      <c r="STK60" s="12"/>
      <c r="STL60" s="12"/>
      <c r="SUC60" s="12"/>
      <c r="SUD60" s="12"/>
      <c r="SUU60" s="12"/>
      <c r="SUV60" s="12"/>
      <c r="SVM60" s="12"/>
      <c r="SVN60" s="12"/>
      <c r="SWE60" s="12"/>
      <c r="SWF60" s="12"/>
      <c r="SWW60" s="12"/>
      <c r="SWX60" s="12"/>
      <c r="SXO60" s="12"/>
      <c r="SXP60" s="12"/>
      <c r="SYG60" s="12"/>
      <c r="SYH60" s="12"/>
      <c r="SYY60" s="12"/>
      <c r="SYZ60" s="12"/>
      <c r="SZQ60" s="12"/>
      <c r="SZR60" s="12"/>
      <c r="TAI60" s="12"/>
      <c r="TAJ60" s="12"/>
      <c r="TBA60" s="12"/>
      <c r="TBB60" s="12"/>
      <c r="TBS60" s="12"/>
      <c r="TBT60" s="12"/>
      <c r="TCK60" s="12"/>
      <c r="TCL60" s="12"/>
      <c r="TDC60" s="12"/>
      <c r="TDD60" s="12"/>
      <c r="TDU60" s="12"/>
      <c r="TDV60" s="12"/>
      <c r="TEM60" s="12"/>
      <c r="TEN60" s="12"/>
      <c r="TFE60" s="12"/>
      <c r="TFF60" s="12"/>
      <c r="TFW60" s="12"/>
      <c r="TFX60" s="12"/>
      <c r="TGO60" s="12"/>
      <c r="TGP60" s="12"/>
      <c r="THG60" s="12"/>
      <c r="THH60" s="12"/>
      <c r="THY60" s="12"/>
      <c r="THZ60" s="12"/>
      <c r="TIQ60" s="12"/>
      <c r="TIR60" s="12"/>
      <c r="TJI60" s="12"/>
      <c r="TJJ60" s="12"/>
      <c r="TKA60" s="12"/>
      <c r="TKB60" s="12"/>
      <c r="TKS60" s="12"/>
      <c r="TKT60" s="12"/>
      <c r="TLK60" s="12"/>
      <c r="TLL60" s="12"/>
      <c r="TMC60" s="12"/>
      <c r="TMD60" s="12"/>
      <c r="TMU60" s="12"/>
      <c r="TMV60" s="12"/>
      <c r="TNM60" s="12"/>
      <c r="TNN60" s="12"/>
      <c r="TOE60" s="12"/>
      <c r="TOF60" s="12"/>
      <c r="TOW60" s="12"/>
      <c r="TOX60" s="12"/>
      <c r="TPO60" s="12"/>
      <c r="TPP60" s="12"/>
      <c r="TQG60" s="12"/>
      <c r="TQH60" s="12"/>
      <c r="TQY60" s="12"/>
      <c r="TQZ60" s="12"/>
      <c r="TRQ60" s="12"/>
      <c r="TRR60" s="12"/>
      <c r="TSI60" s="12"/>
      <c r="TSJ60" s="12"/>
      <c r="TTA60" s="12"/>
      <c r="TTB60" s="12"/>
      <c r="TTS60" s="12"/>
      <c r="TTT60" s="12"/>
      <c r="TUK60" s="12"/>
      <c r="TUL60" s="12"/>
      <c r="TVC60" s="12"/>
      <c r="TVD60" s="12"/>
      <c r="TVU60" s="12"/>
      <c r="TVV60" s="12"/>
      <c r="TWM60" s="12"/>
      <c r="TWN60" s="12"/>
      <c r="TXE60" s="12"/>
      <c r="TXF60" s="12"/>
      <c r="TXW60" s="12"/>
      <c r="TXX60" s="12"/>
      <c r="TYO60" s="12"/>
      <c r="TYP60" s="12"/>
      <c r="TZG60" s="12"/>
      <c r="TZH60" s="12"/>
      <c r="TZY60" s="12"/>
      <c r="TZZ60" s="12"/>
      <c r="UAQ60" s="12"/>
      <c r="UAR60" s="12"/>
      <c r="UBI60" s="12"/>
      <c r="UBJ60" s="12"/>
      <c r="UCA60" s="12"/>
      <c r="UCB60" s="12"/>
      <c r="UCS60" s="12"/>
      <c r="UCT60" s="12"/>
      <c r="UDK60" s="12"/>
      <c r="UDL60" s="12"/>
      <c r="UEC60" s="12"/>
      <c r="UED60" s="12"/>
      <c r="UEU60" s="12"/>
      <c r="UEV60" s="12"/>
      <c r="UFM60" s="12"/>
      <c r="UFN60" s="12"/>
      <c r="UGE60" s="12"/>
      <c r="UGF60" s="12"/>
      <c r="UGW60" s="12"/>
      <c r="UGX60" s="12"/>
      <c r="UHO60" s="12"/>
      <c r="UHP60" s="12"/>
      <c r="UIG60" s="12"/>
      <c r="UIH60" s="12"/>
      <c r="UIY60" s="12"/>
      <c r="UIZ60" s="12"/>
      <c r="UJQ60" s="12"/>
      <c r="UJR60" s="12"/>
      <c r="UKI60" s="12"/>
      <c r="UKJ60" s="12"/>
      <c r="ULA60" s="12"/>
      <c r="ULB60" s="12"/>
      <c r="ULS60" s="12"/>
      <c r="ULT60" s="12"/>
      <c r="UMK60" s="12"/>
      <c r="UML60" s="12"/>
      <c r="UNC60" s="12"/>
      <c r="UND60" s="12"/>
      <c r="UNU60" s="12"/>
      <c r="UNV60" s="12"/>
      <c r="UOM60" s="12"/>
      <c r="UON60" s="12"/>
      <c r="UPE60" s="12"/>
      <c r="UPF60" s="12"/>
      <c r="UPW60" s="12"/>
      <c r="UPX60" s="12"/>
      <c r="UQO60" s="12"/>
      <c r="UQP60" s="12"/>
      <c r="URG60" s="12"/>
      <c r="URH60" s="12"/>
      <c r="URY60" s="12"/>
      <c r="URZ60" s="12"/>
      <c r="USQ60" s="12"/>
      <c r="USR60" s="12"/>
      <c r="UTI60" s="12"/>
      <c r="UTJ60" s="12"/>
      <c r="UUA60" s="12"/>
      <c r="UUB60" s="12"/>
      <c r="UUS60" s="12"/>
      <c r="UUT60" s="12"/>
      <c r="UVK60" s="12"/>
      <c r="UVL60" s="12"/>
      <c r="UWC60" s="12"/>
      <c r="UWD60" s="12"/>
      <c r="UWU60" s="12"/>
      <c r="UWV60" s="12"/>
      <c r="UXM60" s="12"/>
      <c r="UXN60" s="12"/>
      <c r="UYE60" s="12"/>
      <c r="UYF60" s="12"/>
      <c r="UYW60" s="12"/>
      <c r="UYX60" s="12"/>
      <c r="UZO60" s="12"/>
      <c r="UZP60" s="12"/>
      <c r="VAG60" s="12"/>
      <c r="VAH60" s="12"/>
      <c r="VAY60" s="12"/>
      <c r="VAZ60" s="12"/>
      <c r="VBQ60" s="12"/>
      <c r="VBR60" s="12"/>
      <c r="VCI60" s="12"/>
      <c r="VCJ60" s="12"/>
      <c r="VDA60" s="12"/>
      <c r="VDB60" s="12"/>
      <c r="VDS60" s="12"/>
      <c r="VDT60" s="12"/>
      <c r="VEK60" s="12"/>
      <c r="VEL60" s="12"/>
      <c r="VFC60" s="12"/>
      <c r="VFD60" s="12"/>
      <c r="VFU60" s="12"/>
      <c r="VFV60" s="12"/>
      <c r="VGM60" s="12"/>
      <c r="VGN60" s="12"/>
      <c r="VHE60" s="12"/>
      <c r="VHF60" s="12"/>
      <c r="VHW60" s="12"/>
      <c r="VHX60" s="12"/>
      <c r="VIO60" s="12"/>
      <c r="VIP60" s="12"/>
      <c r="VJG60" s="12"/>
      <c r="VJH60" s="12"/>
      <c r="VJY60" s="12"/>
      <c r="VJZ60" s="12"/>
      <c r="VKQ60" s="12"/>
      <c r="VKR60" s="12"/>
      <c r="VLI60" s="12"/>
      <c r="VLJ60" s="12"/>
      <c r="VMA60" s="12"/>
      <c r="VMB60" s="12"/>
      <c r="VMS60" s="12"/>
      <c r="VMT60" s="12"/>
      <c r="VNK60" s="12"/>
      <c r="VNL60" s="12"/>
      <c r="VOC60" s="12"/>
      <c r="VOD60" s="12"/>
      <c r="VOU60" s="12"/>
      <c r="VOV60" s="12"/>
      <c r="VPM60" s="12"/>
      <c r="VPN60" s="12"/>
      <c r="VQE60" s="12"/>
      <c r="VQF60" s="12"/>
      <c r="VQW60" s="12"/>
      <c r="VQX60" s="12"/>
      <c r="VRO60" s="12"/>
      <c r="VRP60" s="12"/>
      <c r="VSG60" s="12"/>
      <c r="VSH60" s="12"/>
      <c r="VSY60" s="12"/>
      <c r="VSZ60" s="12"/>
      <c r="VTQ60" s="12"/>
      <c r="VTR60" s="12"/>
      <c r="VUI60" s="12"/>
      <c r="VUJ60" s="12"/>
      <c r="VVA60" s="12"/>
      <c r="VVB60" s="12"/>
      <c r="VVS60" s="12"/>
      <c r="VVT60" s="12"/>
      <c r="VWK60" s="12"/>
      <c r="VWL60" s="12"/>
      <c r="VXC60" s="12"/>
      <c r="VXD60" s="12"/>
      <c r="VXU60" s="12"/>
      <c r="VXV60" s="12"/>
      <c r="VYM60" s="12"/>
      <c r="VYN60" s="12"/>
      <c r="VZE60" s="12"/>
      <c r="VZF60" s="12"/>
      <c r="VZW60" s="12"/>
      <c r="VZX60" s="12"/>
      <c r="WAO60" s="12"/>
      <c r="WAP60" s="12"/>
      <c r="WBG60" s="12"/>
      <c r="WBH60" s="12"/>
      <c r="WBY60" s="12"/>
      <c r="WBZ60" s="12"/>
      <c r="WCQ60" s="12"/>
      <c r="WCR60" s="12"/>
      <c r="WDI60" s="12"/>
      <c r="WDJ60" s="12"/>
      <c r="WEA60" s="12"/>
      <c r="WEB60" s="12"/>
      <c r="WES60" s="12"/>
      <c r="WET60" s="12"/>
      <c r="WFK60" s="12"/>
      <c r="WFL60" s="12"/>
      <c r="WGC60" s="12"/>
      <c r="WGD60" s="12"/>
      <c r="WGU60" s="12"/>
      <c r="WGV60" s="12"/>
      <c r="WHM60" s="12"/>
      <c r="WHN60" s="12"/>
      <c r="WIE60" s="12"/>
      <c r="WIF60" s="12"/>
      <c r="WIW60" s="12"/>
      <c r="WIX60" s="12"/>
      <c r="WJO60" s="12"/>
      <c r="WJP60" s="12"/>
      <c r="WKG60" s="12"/>
      <c r="WKH60" s="12"/>
      <c r="WKY60" s="12"/>
      <c r="WKZ60" s="12"/>
      <c r="WLQ60" s="12"/>
      <c r="WLR60" s="12"/>
      <c r="WMI60" s="12"/>
      <c r="WMJ60" s="12"/>
      <c r="WNA60" s="12"/>
      <c r="WNB60" s="12"/>
      <c r="WNS60" s="12"/>
      <c r="WNT60" s="12"/>
      <c r="WOK60" s="12"/>
      <c r="WOL60" s="12"/>
      <c r="WPC60" s="12"/>
      <c r="WPD60" s="12"/>
      <c r="WPU60" s="12"/>
      <c r="WPV60" s="12"/>
      <c r="WQM60" s="12"/>
      <c r="WQN60" s="12"/>
      <c r="WRE60" s="12"/>
      <c r="WRF60" s="12"/>
      <c r="WRW60" s="12"/>
      <c r="WRX60" s="12"/>
      <c r="WSO60" s="12"/>
      <c r="WSP60" s="12"/>
      <c r="WTG60" s="12"/>
      <c r="WTH60" s="12"/>
      <c r="WTY60" s="12"/>
      <c r="WTZ60" s="12"/>
      <c r="WUQ60" s="12"/>
      <c r="WUR60" s="12"/>
      <c r="WVI60" s="12"/>
      <c r="WVJ60" s="12"/>
      <c r="WWA60" s="12"/>
      <c r="WWB60" s="12"/>
      <c r="WWS60" s="12"/>
      <c r="WWT60" s="12"/>
      <c r="WXK60" s="12"/>
      <c r="WXL60" s="12"/>
      <c r="WYC60" s="12"/>
      <c r="WYD60" s="12"/>
      <c r="WYU60" s="12"/>
      <c r="WYV60" s="12"/>
      <c r="WZM60" s="12"/>
      <c r="WZN60" s="12"/>
      <c r="XAE60" s="12"/>
      <c r="XAF60" s="12"/>
      <c r="XAW60" s="12"/>
      <c r="XAX60" s="12"/>
      <c r="XBO60" s="12"/>
      <c r="XBP60" s="12"/>
      <c r="XCG60" s="12"/>
      <c r="XCH60" s="12"/>
      <c r="XCY60" s="12"/>
      <c r="XCZ60" s="12"/>
      <c r="XDQ60" s="12"/>
      <c r="XDR60" s="12"/>
      <c r="XEI60" s="12"/>
      <c r="XEJ60" s="12"/>
      <c r="XFA60" s="12"/>
      <c r="XFB60" s="12"/>
    </row>
    <row r="61" spans="1:1010 1027:2036 2053:3062 3079:4088 4105:5114 5131:6140 6157:7166 7183:8192 8209:9200 9217:10226 10243:11252 11269:12278 12295:13304 13321:14330 14347:15356 15373:16382" x14ac:dyDescent="0.35">
      <c r="A61" s="477" t="str">
        <f>'Cash Flow - Standardized'!A61</f>
        <v>Cash from Financing Activities</v>
      </c>
      <c r="B61" s="477" t="str">
        <f>'Cash Flow - Standardized'!B61</f>
        <v>CFF_ACTIVITIES_DETAILED</v>
      </c>
      <c r="C61" s="478">
        <f>IF('Cash Flow - Standardized'!C61="",0,'Cash Flow - Standardized'!C61)/'Cash Flow - Standardized'!C$61</f>
        <v>1</v>
      </c>
      <c r="D61" s="478">
        <f>IF('Cash Flow - Standardized'!D61="",0,'Cash Flow - Standardized'!D61)/'Cash Flow - Standardized'!D$61</f>
        <v>1</v>
      </c>
      <c r="E61" s="478">
        <f>IF('Cash Flow - Standardized'!E61="",0,'Cash Flow - Standardized'!E61)/'Cash Flow - Standardized'!E$61</f>
        <v>1</v>
      </c>
      <c r="F61" s="478">
        <f>IF('Cash Flow - Standardized'!F61="",0,'Cash Flow - Standardized'!F61)/'Cash Flow - Standardized'!F$61</f>
        <v>1</v>
      </c>
      <c r="G61" s="478">
        <f>IF('Cash Flow - Standardized'!G61="",0,'Cash Flow - Standardized'!G61)/'Cash Flow - Standardized'!G$61</f>
        <v>1</v>
      </c>
      <c r="H61" s="478">
        <f>IF('Cash Flow - Standardized'!H61="",0,'Cash Flow - Standardized'!H61)/'Cash Flow - Standardized'!H$61</f>
        <v>1</v>
      </c>
      <c r="I61" s="478">
        <f>IF('Cash Flow - Standardized'!I61="",0,'Cash Flow - Standardized'!I61)/'Cash Flow - Standardized'!I$61</f>
        <v>1</v>
      </c>
      <c r="J61" s="478">
        <f>IF('Cash Flow - Standardized'!J61="",0,'Cash Flow - Standardized'!J61)/'Cash Flow - Standardized'!J$61</f>
        <v>1</v>
      </c>
      <c r="K61" s="478">
        <f>IF('Cash Flow - Standardized'!K61="",0,'Cash Flow - Standardized'!K61)/'Cash Flow - Standardized'!K$61</f>
        <v>1</v>
      </c>
      <c r="L61" s="478">
        <f>IF('Cash Flow - Standardized'!L61="",0,'Cash Flow - Standardized'!L61)/'Cash Flow - Standardized'!L$61</f>
        <v>1</v>
      </c>
      <c r="M61" s="128"/>
      <c r="N61" s="128"/>
      <c r="O61" s="128"/>
      <c r="P61" s="128"/>
      <c r="Q61" s="128"/>
      <c r="R61" s="128"/>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row>
    <row r="62" spans="1:1010 1027:2036 2053:3062 3079:4088 4105:5114 5131:6140 6157:7166 7183:8192 8209:9200 9217:10226 10243:11252 11269:12278 12295:13304 13321:14330 14347:15356 15373:16382" x14ac:dyDescent="0.35">
      <c r="A62" s="12"/>
      <c r="B62" s="12"/>
      <c r="C62" s="11"/>
      <c r="D62" s="11"/>
      <c r="E62" s="11"/>
      <c r="F62" s="11"/>
      <c r="G62" s="11"/>
      <c r="H62" s="11"/>
      <c r="I62" s="11"/>
      <c r="J62" s="11"/>
      <c r="K62" s="11"/>
      <c r="L62" s="11"/>
      <c r="M62" s="11"/>
      <c r="N62" s="11"/>
      <c r="O62" s="11"/>
      <c r="P62" s="11"/>
    </row>
    <row r="63" spans="1:1010 1027:2036 2053:3062 3079:4088 4105:5114 5131:6140 6157:7166 7183:8192 8209:9200 9217:10226 10243:11252 11269:12278 12295:13304 13321:14330 14347:15356 15373:16382" x14ac:dyDescent="0.35">
      <c r="A63" s="12"/>
      <c r="B63" s="12"/>
      <c r="C63" s="10"/>
      <c r="D63" s="10"/>
      <c r="E63" s="10"/>
      <c r="F63" s="10"/>
      <c r="G63" s="10"/>
      <c r="H63" s="10"/>
      <c r="I63" s="10"/>
      <c r="J63" s="10"/>
      <c r="K63" s="10"/>
      <c r="L63" s="10"/>
      <c r="M63" s="10"/>
      <c r="N63" s="10"/>
      <c r="O63" s="10"/>
      <c r="P63" s="10"/>
    </row>
    <row r="64" spans="1:1010 1027:2036 2053:3062 3079:4088 4105:5114 5131:6140 6157:7166 7183:8192 8209:9200 9217:10226 10243:11252 11269:12278 12295:13304 13321:14330 14347:15356 15373:16382" x14ac:dyDescent="0.35">
      <c r="A64" s="12"/>
      <c r="B64" s="12"/>
      <c r="C64" s="10"/>
      <c r="D64" s="10"/>
      <c r="E64" s="10"/>
      <c r="F64" s="10"/>
      <c r="G64" s="10"/>
      <c r="H64" s="10"/>
      <c r="I64" s="10"/>
      <c r="J64" s="10"/>
      <c r="K64" s="10"/>
      <c r="L64" s="10"/>
      <c r="M64" s="10"/>
      <c r="N64" s="10"/>
      <c r="O64" s="10"/>
      <c r="P64" s="10"/>
    </row>
    <row r="65" spans="1:16" x14ac:dyDescent="0.35">
      <c r="A65" s="12"/>
      <c r="B65" s="12"/>
      <c r="C65" s="10"/>
      <c r="D65" s="10"/>
      <c r="E65" s="10"/>
      <c r="F65" s="10"/>
      <c r="G65" s="10"/>
      <c r="H65" s="10"/>
      <c r="I65" s="10"/>
      <c r="J65" s="10"/>
      <c r="K65" s="10"/>
      <c r="L65" s="10"/>
      <c r="M65" s="10"/>
      <c r="N65" s="10"/>
      <c r="O65" s="10"/>
      <c r="P65" s="10"/>
    </row>
    <row r="66" spans="1:16" ht="14.25" customHeight="1"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5"/>
  <sheetViews>
    <sheetView workbookViewId="0">
      <pane xSplit="1" ySplit="4" topLeftCell="B5" activePane="bottomRight" state="frozen"/>
      <selection pane="topRight" activeCell="B1" sqref="B1"/>
      <selection pane="bottomLeft" activeCell="A5" sqref="A5"/>
      <selection pane="bottomRight"/>
    </sheetView>
  </sheetViews>
  <sheetFormatPr defaultColWidth="8.7265625" defaultRowHeight="14.5" x14ac:dyDescent="0.35"/>
  <cols>
    <col min="1" max="1" width="36.7265625" customWidth="1"/>
    <col min="2" max="2" width="9.7265625" bestFit="1" customWidth="1"/>
    <col min="3" max="12" width="10.7265625" bestFit="1" customWidth="1"/>
    <col min="13" max="14" width="9.7265625" bestFit="1" customWidth="1"/>
  </cols>
  <sheetData>
    <row r="1" spans="1:18" x14ac:dyDescent="0.35">
      <c r="A1" s="31" t="s">
        <v>451</v>
      </c>
    </row>
    <row r="3" spans="1:18" x14ac:dyDescent="0.35">
      <c r="A3" s="19"/>
      <c r="B3" s="18" t="s">
        <v>452</v>
      </c>
      <c r="C3" s="18" t="str">
        <f>'Balance Sheet - Standardized'!C7</f>
        <v>FY 2016</v>
      </c>
      <c r="D3" s="18" t="str">
        <f>'Balance Sheet - Standardized'!D7</f>
        <v>FY 2017</v>
      </c>
      <c r="E3" s="18" t="str">
        <f>'Balance Sheet - Standardized'!E7</f>
        <v>FY 2018</v>
      </c>
      <c r="F3" s="18" t="str">
        <f>'Balance Sheet - Standardized'!F7</f>
        <v>FY 2019</v>
      </c>
      <c r="G3" s="18" t="str">
        <f>'Balance Sheet - Standardized'!G7</f>
        <v>FY 2020</v>
      </c>
      <c r="H3" s="18" t="str">
        <f>'Balance Sheet - Standardized'!H7</f>
        <v>FY 2021</v>
      </c>
      <c r="I3" s="18" t="str">
        <f>'Balance Sheet - Standardized'!I7</f>
        <v>FY 2022</v>
      </c>
      <c r="J3" s="18" t="str">
        <f>'Balance Sheet - Standardized'!J7</f>
        <v>FY 2023</v>
      </c>
      <c r="K3" s="18" t="str">
        <f>'Balance Sheet - Standardized'!K7</f>
        <v>FY 2024</v>
      </c>
      <c r="L3" s="45" t="str">
        <f>'Balance Sheet - Standardized'!L7</f>
        <v>FY 2025</v>
      </c>
      <c r="M3" s="114"/>
      <c r="N3" s="114"/>
      <c r="O3" s="114"/>
      <c r="P3" s="114"/>
      <c r="Q3" s="114"/>
      <c r="R3" s="114"/>
    </row>
    <row r="4" spans="1:18" x14ac:dyDescent="0.35">
      <c r="A4" s="17"/>
      <c r="B4" s="7"/>
      <c r="C4" s="7">
        <f>'Balance Sheet - Standardized'!C8</f>
        <v>42613</v>
      </c>
      <c r="D4" s="7">
        <f>'Balance Sheet - Standardized'!D8</f>
        <v>42978</v>
      </c>
      <c r="E4" s="7">
        <f>'Balance Sheet - Standardized'!E8</f>
        <v>43343</v>
      </c>
      <c r="F4" s="7">
        <f>'Balance Sheet - Standardized'!F8</f>
        <v>43708</v>
      </c>
      <c r="G4" s="7">
        <f>'Balance Sheet - Standardized'!G8</f>
        <v>44074</v>
      </c>
      <c r="H4" s="7">
        <f>'Balance Sheet - Standardized'!H8</f>
        <v>44439</v>
      </c>
      <c r="I4" s="7">
        <f>'Balance Sheet - Standardized'!I8</f>
        <v>44804</v>
      </c>
      <c r="J4" s="7">
        <f>'Balance Sheet - Standardized'!J8</f>
        <v>45169</v>
      </c>
      <c r="K4" s="7">
        <f>'Balance Sheet - Standardized'!K8</f>
        <v>45535</v>
      </c>
      <c r="L4" s="46">
        <f>'Balance Sheet - Standardized'!L8</f>
        <v>45900</v>
      </c>
      <c r="M4" s="115"/>
      <c r="N4" s="115"/>
      <c r="O4" s="115"/>
      <c r="P4" s="115"/>
      <c r="Q4" s="115"/>
      <c r="R4" s="115"/>
    </row>
    <row r="5" spans="1:18" x14ac:dyDescent="0.35">
      <c r="A5" s="32" t="s">
        <v>323</v>
      </c>
      <c r="B5" s="32">
        <f t="shared" ref="B5:B12" si="0">IF($N$4=0,AVERAGE(D5:M5),AVERAGE(E5:N5))</f>
        <v>61.638555555555548</v>
      </c>
      <c r="C5" s="32">
        <f>Inputs!C34</f>
        <v>34.375</v>
      </c>
      <c r="D5" s="32">
        <f>Inputs!D34</f>
        <v>40.201000000000001</v>
      </c>
      <c r="E5" s="32">
        <f>Inputs!E34</f>
        <v>38.563000000000002</v>
      </c>
      <c r="F5" s="32">
        <f>Inputs!F34</f>
        <v>6.1150000000000002</v>
      </c>
      <c r="G5" s="32">
        <f>Inputs!G34</f>
        <v>54.201999999999998</v>
      </c>
      <c r="H5" s="32">
        <f>Inputs!H34</f>
        <v>54.106999999999999</v>
      </c>
      <c r="I5" s="32">
        <f>Inputs!I34</f>
        <v>94.643000000000001</v>
      </c>
      <c r="J5" s="32">
        <f>Inputs!J34</f>
        <v>102.184</v>
      </c>
      <c r="K5" s="32">
        <f>Inputs!K34</f>
        <v>76.608000000000004</v>
      </c>
      <c r="L5" s="32">
        <f>Inputs!L34</f>
        <v>88.123999999999995</v>
      </c>
      <c r="M5" s="38"/>
      <c r="N5" s="38"/>
      <c r="O5" s="38"/>
      <c r="P5" s="38"/>
      <c r="Q5" s="38"/>
      <c r="R5" s="38"/>
    </row>
    <row r="6" spans="1:18" x14ac:dyDescent="0.35">
      <c r="A6" s="239" t="s">
        <v>453</v>
      </c>
      <c r="B6" s="38">
        <f t="shared" si="0"/>
        <v>0.22199999999999998</v>
      </c>
      <c r="C6" s="38">
        <f>Tax!C15</f>
        <v>0.308</v>
      </c>
      <c r="D6" s="38">
        <f>Tax!D15</f>
        <v>0.35099999999999998</v>
      </c>
      <c r="E6" s="38">
        <f>Tax!E15</f>
        <v>0.40100000000000002</v>
      </c>
      <c r="F6" s="38">
        <f>Tax!F15</f>
        <v>-3.1E-2</v>
      </c>
      <c r="G6" s="38">
        <f>Tax!G15</f>
        <v>0.20899999999999999</v>
      </c>
      <c r="H6" s="38">
        <f>Tax!H15</f>
        <v>0.155</v>
      </c>
      <c r="I6" s="38">
        <f>Tax!I15</f>
        <v>0.255</v>
      </c>
      <c r="J6" s="38">
        <f>Tax!J15</f>
        <v>0.27900000000000003</v>
      </c>
      <c r="K6" s="38">
        <f>Tax!K15</f>
        <v>0.16200000000000001</v>
      </c>
      <c r="L6" s="38">
        <f>Tax!L15</f>
        <v>0.217</v>
      </c>
      <c r="M6" s="38"/>
      <c r="N6" s="38"/>
      <c r="O6" s="38"/>
      <c r="P6" s="38"/>
      <c r="Q6" s="38"/>
      <c r="R6" s="38"/>
    </row>
    <row r="7" spans="1:18" x14ac:dyDescent="0.35">
      <c r="A7" s="32" t="s">
        <v>454</v>
      </c>
      <c r="B7" s="32">
        <f t="shared" si="0"/>
        <v>46.830082555555549</v>
      </c>
      <c r="C7" s="32">
        <f t="shared" ref="C7:L7" si="1">C5*(1-C6)</f>
        <v>23.787499999999998</v>
      </c>
      <c r="D7" s="32">
        <f t="shared" si="1"/>
        <v>26.090449</v>
      </c>
      <c r="E7" s="32">
        <f t="shared" si="1"/>
        <v>23.099237000000002</v>
      </c>
      <c r="F7" s="32">
        <f t="shared" si="1"/>
        <v>6.3045649999999993</v>
      </c>
      <c r="G7" s="32">
        <f t="shared" si="1"/>
        <v>42.873781999999999</v>
      </c>
      <c r="H7" s="32">
        <f t="shared" si="1"/>
        <v>45.720414999999996</v>
      </c>
      <c r="I7" s="32">
        <f t="shared" si="1"/>
        <v>70.509034999999997</v>
      </c>
      <c r="J7" s="32">
        <f t="shared" si="1"/>
        <v>73.674663999999993</v>
      </c>
      <c r="K7" s="32">
        <f t="shared" si="1"/>
        <v>64.197503999999995</v>
      </c>
      <c r="L7" s="32">
        <f t="shared" si="1"/>
        <v>69.001092</v>
      </c>
      <c r="M7" s="38"/>
      <c r="N7" s="38"/>
      <c r="O7" s="38"/>
      <c r="P7" s="38"/>
      <c r="Q7" s="38"/>
      <c r="R7" s="38"/>
    </row>
    <row r="8" spans="1:18" x14ac:dyDescent="0.35">
      <c r="A8" s="239" t="s">
        <v>455</v>
      </c>
      <c r="B8" s="32">
        <f t="shared" si="0"/>
        <v>18.593222222222224</v>
      </c>
      <c r="C8" s="32">
        <f>Inputs!C44</f>
        <v>16.881</v>
      </c>
      <c r="D8" s="32">
        <f>Inputs!D44</f>
        <v>16.678000000000001</v>
      </c>
      <c r="E8" s="32">
        <f>Inputs!E44</f>
        <v>16.513999999999999</v>
      </c>
      <c r="F8" s="32">
        <f>Inputs!F44</f>
        <v>14.018000000000001</v>
      </c>
      <c r="G8" s="32">
        <f>Inputs!G44</f>
        <v>19.396000000000001</v>
      </c>
      <c r="H8" s="32">
        <f>Inputs!H44</f>
        <v>19.177</v>
      </c>
      <c r="I8" s="32">
        <f>Inputs!I44</f>
        <v>20.178000000000001</v>
      </c>
      <c r="J8" s="32">
        <f>Inputs!J44</f>
        <v>19.282</v>
      </c>
      <c r="K8" s="32">
        <f>Inputs!K44</f>
        <v>21.2</v>
      </c>
      <c r="L8" s="32">
        <f>Inputs!L44</f>
        <v>20.896000000000001</v>
      </c>
      <c r="M8" s="38"/>
      <c r="N8" s="38"/>
      <c r="O8" s="38"/>
      <c r="P8" s="38"/>
      <c r="Q8" s="38"/>
      <c r="R8" s="38"/>
    </row>
    <row r="9" spans="1:18" x14ac:dyDescent="0.35">
      <c r="A9" s="239" t="s">
        <v>456</v>
      </c>
      <c r="B9" s="32">
        <f t="shared" si="0"/>
        <v>-11.515333333333331</v>
      </c>
      <c r="C9" s="32">
        <f>Inputs!C47</f>
        <v>-12.590999999999999</v>
      </c>
      <c r="D9" s="32">
        <f>Inputs!D47</f>
        <v>2.7029999999999998</v>
      </c>
      <c r="E9" s="32">
        <f>Inputs!E47</f>
        <v>-9.2070000000000007</v>
      </c>
      <c r="F9" s="32">
        <f>Inputs!F47</f>
        <v>-19.234999999999999</v>
      </c>
      <c r="G9" s="32">
        <f>Inputs!G47</f>
        <v>-14.192</v>
      </c>
      <c r="H9" s="32">
        <f>Inputs!H47</f>
        <v>-21.399000000000001</v>
      </c>
      <c r="I9" s="32">
        <f>Inputs!I47</f>
        <v>-86.078999999999994</v>
      </c>
      <c r="J9" s="32">
        <f>Inputs!J47</f>
        <v>16.312000000000001</v>
      </c>
      <c r="K9" s="32">
        <f>Inputs!K47</f>
        <v>-0.98799999999999999</v>
      </c>
      <c r="L9" s="32">
        <f>Inputs!L47</f>
        <v>28.446999999999999</v>
      </c>
      <c r="M9" s="38"/>
      <c r="N9" s="38"/>
      <c r="O9" s="38"/>
      <c r="P9" s="38"/>
      <c r="Q9" s="38"/>
      <c r="R9" s="38"/>
    </row>
    <row r="10" spans="1:18" x14ac:dyDescent="0.35">
      <c r="A10" s="239" t="s">
        <v>457</v>
      </c>
      <c r="B10" s="32">
        <f t="shared" si="0"/>
        <v>-21.881</v>
      </c>
      <c r="C10" s="32">
        <f>Inputs!C46</f>
        <v>-11.496</v>
      </c>
      <c r="D10" s="32">
        <f>Inputs!D46</f>
        <v>-8.8629999999999995</v>
      </c>
      <c r="E10" s="32">
        <f>Inputs!E46</f>
        <v>-11.054</v>
      </c>
      <c r="F10" s="32">
        <f>Inputs!F46</f>
        <v>-23.210999999999999</v>
      </c>
      <c r="G10" s="32">
        <f>Inputs!G46</f>
        <v>-21.445</v>
      </c>
      <c r="H10" s="32">
        <f>Inputs!H46</f>
        <v>-26.510999999999999</v>
      </c>
      <c r="I10" s="32">
        <f>Inputs!I46</f>
        <v>-15.595000000000001</v>
      </c>
      <c r="J10" s="32">
        <f>Inputs!J46</f>
        <v>-18.774999999999999</v>
      </c>
      <c r="K10" s="32">
        <f>Inputs!K46</f>
        <v>-28.978999999999999</v>
      </c>
      <c r="L10" s="32">
        <f>Inputs!L46</f>
        <v>-42.496000000000002</v>
      </c>
      <c r="M10" s="38"/>
      <c r="N10" s="38"/>
      <c r="O10" s="38"/>
      <c r="P10" s="38"/>
      <c r="Q10" s="38"/>
      <c r="R10" s="38"/>
    </row>
    <row r="11" spans="1:18" x14ac:dyDescent="0.35">
      <c r="A11" s="72" t="s">
        <v>441</v>
      </c>
      <c r="B11" s="72">
        <f t="shared" si="0"/>
        <v>32.026971444444449</v>
      </c>
      <c r="C11" s="72">
        <f t="shared" ref="C11:L11" si="2">SUM(C7:C10)</f>
        <v>16.581499999999991</v>
      </c>
      <c r="D11" s="72">
        <f t="shared" si="2"/>
        <v>36.608449000000007</v>
      </c>
      <c r="E11" s="72">
        <f t="shared" si="2"/>
        <v>19.352236999999995</v>
      </c>
      <c r="F11" s="72">
        <f t="shared" si="2"/>
        <v>-22.123434999999997</v>
      </c>
      <c r="G11" s="72">
        <f t="shared" si="2"/>
        <v>26.632781999999999</v>
      </c>
      <c r="H11" s="72">
        <f t="shared" si="2"/>
        <v>16.987414999999995</v>
      </c>
      <c r="I11" s="72">
        <f t="shared" si="2"/>
        <v>-10.986965</v>
      </c>
      <c r="J11" s="72">
        <f t="shared" si="2"/>
        <v>90.493663999999995</v>
      </c>
      <c r="K11" s="72">
        <f t="shared" si="2"/>
        <v>55.430503999999999</v>
      </c>
      <c r="L11" s="72">
        <f t="shared" si="2"/>
        <v>75.848092000000008</v>
      </c>
      <c r="M11" s="147"/>
      <c r="N11" s="147"/>
      <c r="O11" s="147"/>
      <c r="P11" s="147"/>
      <c r="Q11" s="147"/>
      <c r="R11" s="147"/>
    </row>
    <row r="12" spans="1:18" x14ac:dyDescent="0.35">
      <c r="A12" s="72" t="s">
        <v>458</v>
      </c>
      <c r="B12" s="73">
        <f t="shared" si="0"/>
        <v>2.9260896505697556</v>
      </c>
      <c r="C12" s="73">
        <f>C11/Inputs!C40</f>
        <v>1.5170631290027439</v>
      </c>
      <c r="D12" s="73">
        <f>D11/Inputs!D40</f>
        <v>3.4232699644660562</v>
      </c>
      <c r="E12" s="73">
        <f>E11/Inputs!E40</f>
        <v>1.7965314704790192</v>
      </c>
      <c r="F12" s="73">
        <f>F11/Inputs!F40</f>
        <v>-2.0465712303422752</v>
      </c>
      <c r="G12" s="73">
        <f>G11/Inputs!G40</f>
        <v>2.4521482368106065</v>
      </c>
      <c r="H12" s="73">
        <f>H11/Inputs!H40</f>
        <v>1.5464192080109236</v>
      </c>
      <c r="I12" s="73">
        <f>I11/Inputs!I40</f>
        <v>-0.99600806817151655</v>
      </c>
      <c r="J12" s="73">
        <f>J11/Inputs!J40</f>
        <v>8.1805879587777977</v>
      </c>
      <c r="K12" s="73">
        <f>K11/Inputs!K40</f>
        <v>5.031360987564673</v>
      </c>
      <c r="L12" s="73">
        <f>L11/Inputs!L40</f>
        <v>6.9470683275325165</v>
      </c>
      <c r="M12" s="147"/>
      <c r="N12" s="147"/>
      <c r="O12" s="147"/>
      <c r="P12" s="147"/>
      <c r="Q12" s="147"/>
      <c r="R12" s="147"/>
    </row>
    <row r="14" spans="1:18" x14ac:dyDescent="0.35">
      <c r="A14" s="33" t="s">
        <v>459</v>
      </c>
      <c r="B14" s="40">
        <f>IF($N$4=0,AVERAGE(D14:M14),AVERAGE(E14:N14))</f>
        <v>53.733716145471405</v>
      </c>
      <c r="C14" s="40">
        <f>'Income - GAAP'!C9/'Income - GAAP'!C70</f>
        <v>47.247118023787735</v>
      </c>
      <c r="D14" s="40">
        <f>'Income - GAAP'!D9/'Income - GAAP'!D70</f>
        <v>48.436974004114454</v>
      </c>
      <c r="E14" s="40">
        <f>'Income - GAAP'!E9/'Income - GAAP'!E70</f>
        <v>50.845246936502043</v>
      </c>
      <c r="F14" s="40">
        <f>'Income - GAAP'!F9/'Income - GAAP'!F70</f>
        <v>41.07974098057354</v>
      </c>
      <c r="G14" s="40">
        <f>'Income - GAAP'!G9/'Income - GAAP'!G70</f>
        <v>43.706104410275294</v>
      </c>
      <c r="H14" s="40">
        <f>'Income - GAAP'!H9/'Income - GAAP'!H70</f>
        <v>51.674647246244881</v>
      </c>
      <c r="I14" s="40">
        <f>'Income - GAAP'!I9/'Income - GAAP'!I70</f>
        <v>69.870637294896198</v>
      </c>
      <c r="J14" s="40">
        <f>'Income - GAAP'!J9/'Income - GAAP'!J70</f>
        <v>60.936901102874707</v>
      </c>
      <c r="K14" s="40">
        <f>'Income - GAAP'!K9/'Income - GAAP'!K70</f>
        <v>55.103385676681491</v>
      </c>
      <c r="L14" s="40">
        <f>'Income - GAAP'!L9/'Income - GAAP'!L70</f>
        <v>61.949807657080058</v>
      </c>
    </row>
    <row r="15" spans="1:18" x14ac:dyDescent="0.35">
      <c r="A15" s="33" t="s">
        <v>460</v>
      </c>
      <c r="B15" s="74">
        <f>IF($N$4=0,AVERAGE(D15:M15),AVERAGE(E15:N15))</f>
        <v>5.1739978058753425E-2</v>
      </c>
      <c r="C15" s="74">
        <f t="shared" ref="C15:L15" si="3">C12/C14</f>
        <v>3.21091146393086E-2</v>
      </c>
      <c r="D15" s="74">
        <f t="shared" si="3"/>
        <v>7.0674728032665057E-2</v>
      </c>
      <c r="E15" s="74">
        <f t="shared" si="3"/>
        <v>3.5333321769930884E-2</v>
      </c>
      <c r="F15" s="74">
        <f t="shared" si="3"/>
        <v>-4.9819477472121627E-2</v>
      </c>
      <c r="G15" s="74">
        <f t="shared" si="3"/>
        <v>5.6105394655903196E-2</v>
      </c>
      <c r="H15" s="74">
        <f t="shared" si="3"/>
        <v>2.9926071882828375E-2</v>
      </c>
      <c r="I15" s="74">
        <f t="shared" si="3"/>
        <v>-1.4255030535470318E-2</v>
      </c>
      <c r="J15" s="74">
        <f t="shared" si="3"/>
        <v>0.13424686537582853</v>
      </c>
      <c r="K15" s="74">
        <f t="shared" si="3"/>
        <v>9.1307656068288223E-2</v>
      </c>
      <c r="L15" s="74">
        <f t="shared" si="3"/>
        <v>0.1121402727509285</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24"/>
  <sheetViews>
    <sheetView zoomScaleNormal="100" workbookViewId="0"/>
  </sheetViews>
  <sheetFormatPr defaultRowHeight="14.5" x14ac:dyDescent="0.35"/>
  <cols>
    <col min="1" max="1" width="32.26953125" customWidth="1"/>
    <col min="2" max="2" width="32.1796875" hidden="1" customWidth="1"/>
    <col min="3" max="4" width="10.7265625" bestFit="1" customWidth="1"/>
    <col min="5" max="5" width="13.7265625" bestFit="1" customWidth="1"/>
    <col min="7" max="7" width="44.453125" bestFit="1" customWidth="1"/>
    <col min="8" max="8" width="10.7265625" customWidth="1"/>
    <col min="9" max="9" width="10" bestFit="1" customWidth="1"/>
    <col min="11" max="11" width="19.26953125" bestFit="1" customWidth="1"/>
  </cols>
  <sheetData>
    <row r="1" spans="1:12" x14ac:dyDescent="0.35">
      <c r="A1" t="s">
        <v>0</v>
      </c>
      <c r="C1" t="str">
        <f>IF('Balance Sheet - Standardized'!C1="","",'Balance Sheet - Standardized'!C1)</f>
        <v>LNN</v>
      </c>
      <c r="D1" t="str">
        <f>'Balance Sheet - Standardized'!D1</f>
        <v>US</v>
      </c>
      <c r="K1" s="180" t="s">
        <v>3</v>
      </c>
      <c r="L1">
        <f t="array" ref="L1">SUM(--ISERROR($C$14:$D$14), --ISERROR($C$18:$D$18), --ISERROR($C$25:$D$25), --ISERROR($C$34:$D$34), --ISERROR($C$36:$D$36),--ISERROR($C$42:$D$42),--ISERROR($C$46:$D$46),--ISERROR($C$58:$D$58),    --ISERROR($C$60:$D$60), --ISERROR($C$62:$D$62), --ISERROR($C$69:$D$69), --ISERROR($C$76:$D$76),--ISERROR($C$83:$D$83),  --ISERROR($C$85:$D$85),--ISERROR($C$91:$D$91),--ISERROR($C$103:$D$103),   --ISERROR($C$105:$D$105), --ISERROR($C$107:$D$107),--ISERROR($C$112:$D$112),  --ISERROR($C$119:$D$119), --ISERROR($C$121:$D$121), COUNT($C$14:$D$14) - COUNTIFS($C$14:$D$14,"&gt;-.1",$C$14:$D$14,"&lt;.1"), COUNT($C$18:$D$18) - COUNTIFS($C$18:$D$18,"&gt;-.1",$C$18:$D$18,"&lt;.1"), COUNT($C$25:$D$25) - COUNTIFS($C$25:$D$25,"&gt;-.1",$C$25:$D$25,"&lt;.1"), COUNT($C$34:$D$34) - COUNTIFS($C$34:$D$34,"&gt;-.1",$C$34:$D$34,"&lt;.1"), COUNT($C$36:$D$36) - COUNTIFS($C$36:$D$36,"&gt;-.1",$C$36:$D$36,"&lt;.1"), COUNT($C$42:$D$42) - COUNTIFS($C$42:$D$42,"&gt;-.1",$C$42:$D$42,"&lt;.1"), COUNT($C$46:$D$46) - COUNTIFS($C$46:$D$46,"&gt;-.1",$C$46:$D$46,"&lt;.1"), COUNT($C$58:$D$58) - COUNTIFS($C$58:$D$58,"&gt;-.1",$C$58:$D$58,"&lt;.1"), COUNT($C$60:$D$60) - COUNTIFS($C$60:$D$60,"&gt;-.1",$C$60:$D$60,"&lt;.1"), COUNT($C$62:$D$62) - COUNTIFS($C$62:$D$62,"&gt;-.1",$C$62:$D$62,"&lt;.1"), COUNT($C$69:$D$69) - COUNTIFS($C$69:$D$69,"&gt;-.1",$C$69:$D$69,"&lt;.1"), COUNT($C$76:$D$76) - COUNTIFS($C$76:$D$76,"&gt;-.1",$C$76:$D$76,"&lt;.1"), COUNT($C$83:$D$83) - COUNTIFS($C$83:$D$83,"&gt;-.1",$C$83:$D$83,"&lt;.1"), COUNT($C$85:$D$85) - COUNTIFS($C$85:$D$85,"&gt;-.1",$C$85:$D$85,"&lt;.1"), COUNT($C$91:$D$91) - COUNTIFS($C$91:$D$91,"&gt;-.1",$C$91:$D$91,"&lt;.1"), COUNT($C$103:$D$103) - COUNTIFS($C$103:$D$103,"&gt;-.1",$C$103:$D$103,"&lt;.1"), COUNT($C$105:$D$105) - COUNTIFS($C$105:$D$105,"&gt;-.1",$C$105:$D$105,"&lt;.1"), COUNT($C$107:$D$107) - COUNTIFS($C$107:$D$107,"&gt;-.1",$C$107:$D$107,"&lt;.1"),COUNT($C$112:$D$112) - COUNTIFS($C$112:$D$112,"&gt;-.1",$C$112:$D$112,"&lt;.1"),  COUNT($C$119:$D$119) - COUNTIFS($C$119:$D$119,"&gt;-.1",$C$119:$D$119,"&lt;.1"), COUNT($C$121:$D$121) - COUNTIFS($C$121:$D$121,"&gt;-.1",$C$121:$D$121,"&lt;.1"))</f>
        <v>0</v>
      </c>
    </row>
    <row r="2" spans="1:12" x14ac:dyDescent="0.35">
      <c r="C2" t="str">
        <f>'Last Quarter IS Standardized'!C2</f>
        <v>FQ3 2026</v>
      </c>
      <c r="D2" t="str">
        <f>"F"&amp;IF(B4="Q1","Q4","Q"&amp;RIGHT(B4)-1)&amp;" "&amp;IF(B4="Q1",LEFT(B6,4)-1,LEFT(B6,4))</f>
        <v>FQ2 2026</v>
      </c>
    </row>
    <row r="3" spans="1:12" hidden="1" x14ac:dyDescent="0.35">
      <c r="B3" t="s">
        <v>7</v>
      </c>
    </row>
    <row r="4" spans="1:12" hidden="1" x14ac:dyDescent="0.35">
      <c r="B4" t="str">
        <f>'Last Quarter IS Standardized'!B4</f>
        <v>Q3</v>
      </c>
      <c r="C4" s="20">
        <v>46173</v>
      </c>
      <c r="D4" s="20">
        <v>46081</v>
      </c>
    </row>
    <row r="5" spans="1:12" hidden="1" x14ac:dyDescent="0.35">
      <c r="B5" t="s">
        <v>6</v>
      </c>
      <c r="C5" t="s">
        <v>18</v>
      </c>
      <c r="D5" t="s">
        <v>461</v>
      </c>
    </row>
    <row r="6" spans="1:12" ht="15.75" hidden="1" customHeight="1" thickBot="1" x14ac:dyDescent="0.4">
      <c r="B6" t="str">
        <f>'Last Quarter IS Standardized'!B6</f>
        <v>2026 Q3</v>
      </c>
    </row>
    <row r="7" spans="1:12" ht="23.25" customHeight="1" thickBot="1" x14ac:dyDescent="0.4">
      <c r="A7" s="343" t="s">
        <v>462</v>
      </c>
      <c r="B7" s="570"/>
      <c r="C7" s="344"/>
      <c r="D7" s="345"/>
      <c r="E7" s="346"/>
      <c r="G7" s="347"/>
      <c r="H7" s="348"/>
      <c r="I7" s="349"/>
    </row>
    <row r="8" spans="1:12" ht="34.5" customHeight="1" thickBot="1" x14ac:dyDescent="0.4">
      <c r="A8" s="153"/>
      <c r="B8" s="567"/>
      <c r="C8" s="167">
        <f>C4</f>
        <v>46173</v>
      </c>
      <c r="D8" s="167">
        <f>D4</f>
        <v>46081</v>
      </c>
      <c r="E8" s="336" t="s">
        <v>463</v>
      </c>
      <c r="G8" s="350"/>
      <c r="H8" s="172"/>
      <c r="I8" s="351"/>
    </row>
    <row r="9" spans="1:12" ht="33.75" customHeight="1" x14ac:dyDescent="0.35">
      <c r="A9" s="153"/>
      <c r="B9" s="567"/>
      <c r="C9" s="154" t="str">
        <f>C2</f>
        <v>FQ3 2026</v>
      </c>
      <c r="D9" s="154" t="str">
        <f>D2</f>
        <v>FQ2 2026</v>
      </c>
      <c r="E9" s="337" t="s">
        <v>464</v>
      </c>
      <c r="G9" s="350"/>
      <c r="H9" s="171" t="s">
        <v>465</v>
      </c>
      <c r="I9" s="352" t="s">
        <v>466</v>
      </c>
    </row>
    <row r="10" spans="1:12" ht="15" customHeight="1" x14ac:dyDescent="0.35">
      <c r="A10" s="155"/>
      <c r="B10" s="155"/>
      <c r="C10" s="155"/>
      <c r="D10" s="155"/>
      <c r="E10" s="338"/>
      <c r="G10" s="431" t="s">
        <v>467</v>
      </c>
      <c r="H10" s="353">
        <f>C61/C106</f>
        <v>2.5473259959696168</v>
      </c>
      <c r="I10" s="354">
        <f>D61/D106</f>
        <v>2.5390397672162948</v>
      </c>
    </row>
    <row r="11" spans="1:12" ht="15" customHeight="1" x14ac:dyDescent="0.35">
      <c r="A11" s="159" t="s">
        <v>23</v>
      </c>
      <c r="B11" s="159" t="s">
        <v>24</v>
      </c>
      <c r="C11" s="533">
        <v>154.76</v>
      </c>
      <c r="D11" s="533">
        <v>186.11</v>
      </c>
      <c r="E11" s="339">
        <f>IF(OR(C11="", D11="",D11=0,AND(C11&gt;=0, D11&lt;=0), AND(C11&lt;=0, D11&gt;=0)),"",C11/D11-1)</f>
        <v>-0.16844876685830967</v>
      </c>
      <c r="G11" s="432" t="s">
        <v>468</v>
      </c>
      <c r="H11" s="355">
        <f>(IF(C61="",0,C61)-IF(C106="",0,C106)-IF(C48="",0,C48)-IF(C108="",0,C108))/C122</f>
        <v>37.911227154046998</v>
      </c>
      <c r="I11" s="356">
        <f>(IF(D61="",0,D61)-IF(D106="",0,D106)-IF(D48="",0,D48)-IF(D108="",0,D108))/D122</f>
        <v>38.16612626358954</v>
      </c>
    </row>
    <row r="12" spans="1:12" ht="15" customHeight="1" x14ac:dyDescent="0.35">
      <c r="A12" s="155" t="s">
        <v>25</v>
      </c>
      <c r="B12" s="155" t="s">
        <v>26</v>
      </c>
      <c r="C12" s="534">
        <v>154.76</v>
      </c>
      <c r="D12" s="534">
        <v>186.11</v>
      </c>
      <c r="E12" s="338">
        <f>IF(OR(C12="", D12="",D12=0,AND(C12&gt;=0, D12&lt;=0), AND(C12&lt;=0, D12&gt;=0)),"",C12/D12-1)</f>
        <v>-0.16844876685830967</v>
      </c>
      <c r="G12" s="433" t="s">
        <v>469</v>
      </c>
      <c r="H12" s="357">
        <f>H11/H13</f>
        <v>0.34688651435672974</v>
      </c>
      <c r="I12" s="358">
        <f>I11/I13</f>
        <v>0.28334169460719777</v>
      </c>
    </row>
    <row r="13" spans="1:12" ht="15" customHeight="1" x14ac:dyDescent="0.35">
      <c r="A13" s="159" t="s">
        <v>27</v>
      </c>
      <c r="B13" s="159" t="s">
        <v>28</v>
      </c>
      <c r="C13" s="533">
        <v>0</v>
      </c>
      <c r="D13" s="533">
        <v>0</v>
      </c>
      <c r="E13" s="339" t="str">
        <f>IF(OR(C13="", D13="",D13=0,AND(C13&gt;=0, D13&lt;=0), AND(C13&lt;=0, D13&gt;=0)),"",C13/D13-1)</f>
        <v/>
      </c>
      <c r="G13" s="432" t="s">
        <v>470</v>
      </c>
      <c r="H13" s="359">
        <v>109.29</v>
      </c>
      <c r="I13" s="360">
        <v>134.69999999999999</v>
      </c>
    </row>
    <row r="14" spans="1:12" ht="15" customHeight="1" x14ac:dyDescent="0.35">
      <c r="A14" s="325" t="s">
        <v>29</v>
      </c>
      <c r="B14" s="325"/>
      <c r="C14" s="327">
        <f>ROUND(IF(C11="",0,C11)-IF(C12="",0,C12)-IF(C13="",0,C13),1)</f>
        <v>0</v>
      </c>
      <c r="D14" s="327">
        <f>ROUND(IF(D11="",0,D11)-IF(D12="",0,D12)-IF(D13="",0,D13),1)</f>
        <v>0</v>
      </c>
      <c r="E14" s="340"/>
      <c r="G14" s="518" t="s">
        <v>471</v>
      </c>
      <c r="H14" s="357">
        <f>(IF(C74="",0,C74)+IF(C75="",0,C75)+IF(C87="",0,C87))/C61</f>
        <v>0.13985443746653034</v>
      </c>
      <c r="I14" s="358">
        <f>(IF(D74="",0,D74)+IF(D75="",0,D75)+IF(D87="",0,D87))/D61</f>
        <v>0.13722423837264827</v>
      </c>
    </row>
    <row r="15" spans="1:12" ht="15" customHeight="1" x14ac:dyDescent="0.35">
      <c r="A15" s="159" t="s">
        <v>30</v>
      </c>
      <c r="B15" s="159" t="s">
        <v>31</v>
      </c>
      <c r="C15" s="533">
        <v>137.44999999999999</v>
      </c>
      <c r="D15" s="533">
        <v>134.06</v>
      </c>
      <c r="E15" s="339">
        <f>IF(OR(C15="", D15="",D15=0,AND(C15&gt;=0, D15&lt;=0), AND(C15&lt;=0, D15&gt;=0)),"",C15/D15-1)</f>
        <v>2.5287184842607724E-2</v>
      </c>
      <c r="G15" s="432" t="s">
        <v>472</v>
      </c>
      <c r="H15" s="519" t="e">
        <f>IF(LEFT($C$9,3)="FQ1",IF('Last Quarter IS Standardized'!C32="",0,'Last Quarter IS Standardized'!C32)/'Last Quarter IS Standardized'!C36,IF('Last Quarter IS Standardized'!G32="",0,'Last Quarter IS Standardized'!G32)/'Last Quarter IS Standardized'!G36)</f>
        <v>#DIV/0!</v>
      </c>
      <c r="I15" s="520" t="e">
        <f>IF(LEFT($C$9,3)="FQ1",IF('Last Quarter IS Standardized'!D32="",0,'Last Quarter IS Standardized'!D32)/'Last Quarter IS Standardized'!D36,IF('Last Quarter IS Standardized'!H32="",0,'Last Quarter IS Standardized'!H32)/'Last Quarter IS Standardized'!H36)</f>
        <v>#DIV/0!</v>
      </c>
    </row>
    <row r="16" spans="1:12" ht="15" customHeight="1" x14ac:dyDescent="0.35">
      <c r="A16" s="155" t="s">
        <v>32</v>
      </c>
      <c r="B16" s="155" t="s">
        <v>33</v>
      </c>
      <c r="C16" s="534">
        <v>137.44999999999999</v>
      </c>
      <c r="D16" s="534">
        <v>134.06</v>
      </c>
      <c r="E16" s="338">
        <f>IF(OR(C16="", D16="",D16=0,AND(C16&gt;=0, D16&lt;=0), AND(C16&lt;=0, D16&gt;=0)),"",C16/D16-1)</f>
        <v>2.5287184842607724E-2</v>
      </c>
      <c r="G16" s="571" t="s">
        <v>473</v>
      </c>
      <c r="H16" s="566" t="str">
        <f>"Cumulative FY including "&amp;C9</f>
        <v>Cumulative FY including FQ3 2026</v>
      </c>
      <c r="I16" s="568" t="s">
        <v>474</v>
      </c>
    </row>
    <row r="17" spans="1:9" ht="15" customHeight="1" x14ac:dyDescent="0.35">
      <c r="A17" s="159" t="s">
        <v>34</v>
      </c>
      <c r="B17" s="159" t="s">
        <v>35</v>
      </c>
      <c r="C17" s="533">
        <v>0</v>
      </c>
      <c r="D17" s="533">
        <v>0</v>
      </c>
      <c r="E17" s="339" t="str">
        <f>IF(OR(C17="", D17="",D17=0,AND(C17&gt;=0, D17&lt;=0), AND(C17&lt;=0, D17&gt;=0)),"",C17/D17-1)</f>
        <v/>
      </c>
      <c r="G17" s="572"/>
      <c r="H17" s="567"/>
      <c r="I17" s="569"/>
    </row>
    <row r="18" spans="1:9" ht="15" customHeight="1" x14ac:dyDescent="0.35">
      <c r="A18" s="325" t="s">
        <v>29</v>
      </c>
      <c r="B18" s="325"/>
      <c r="C18" s="327">
        <f>IF(AND(C16="",C17=""),0,ROUND(IF(C15="",0,C15)-IF(C16="",0,C16)-IF(C17="",0,C17),1))</f>
        <v>0</v>
      </c>
      <c r="D18" s="327">
        <f>IF(AND(D16="",D17=""),0,ROUND(IF(D15="",0,D15)-IF(D16="",0,D16)-IF(D17="",0,D17),1))</f>
        <v>0</v>
      </c>
      <c r="E18" s="340"/>
      <c r="G18" s="433" t="s">
        <v>475</v>
      </c>
      <c r="H18" s="361">
        <f>IF(LEFT($C$9,3)="FQ1",'Last Quarter IS Standardized'!C71,'Last Quarter IS Standardized'!G71)</f>
        <v>0</v>
      </c>
      <c r="I18" s="362">
        <f>IF(LEFT($C$9,3)="FQ1",'Last Quarter IS Standardized'!D71,'Last Quarter IS Standardized'!H71)</f>
        <v>0</v>
      </c>
    </row>
    <row r="19" spans="1:9" ht="15" customHeight="1" x14ac:dyDescent="0.35">
      <c r="A19" s="159" t="s">
        <v>36</v>
      </c>
      <c r="B19" s="159" t="s">
        <v>37</v>
      </c>
      <c r="C19" s="165"/>
      <c r="D19" s="165"/>
      <c r="E19" s="339" t="str">
        <f t="shared" ref="E19:E24" si="0">IF(OR(C19="", D19="",D19=0,AND(C19&gt;=0, D19&lt;=0), AND(C19&lt;=0, D19&gt;=0)),"",C19/D19-1)</f>
        <v/>
      </c>
      <c r="G19" s="434"/>
      <c r="H19" s="435"/>
      <c r="I19" s="436"/>
    </row>
    <row r="20" spans="1:9" ht="15" customHeight="1" x14ac:dyDescent="0.35">
      <c r="A20" s="155" t="s">
        <v>38</v>
      </c>
      <c r="B20" s="155" t="s">
        <v>39</v>
      </c>
      <c r="C20" s="534">
        <v>145.94999999999999</v>
      </c>
      <c r="D20" s="534">
        <v>144.58000000000001</v>
      </c>
      <c r="E20" s="338">
        <f t="shared" si="0"/>
        <v>9.4757227832340529E-3</v>
      </c>
      <c r="G20" s="571"/>
      <c r="H20" s="566" t="str">
        <f>"Projected Current Fiscal Year"</f>
        <v>Projected Current Fiscal Year</v>
      </c>
      <c r="I20" s="568" t="s">
        <v>476</v>
      </c>
    </row>
    <row r="21" spans="1:9" ht="15" customHeight="1" x14ac:dyDescent="0.35">
      <c r="A21" s="159" t="s">
        <v>40</v>
      </c>
      <c r="B21" s="159" t="s">
        <v>41</v>
      </c>
      <c r="C21" s="533">
        <v>73.5</v>
      </c>
      <c r="D21" s="533">
        <v>71.56</v>
      </c>
      <c r="E21" s="339">
        <f t="shared" si="0"/>
        <v>2.7110117384013366E-2</v>
      </c>
      <c r="G21" s="572"/>
      <c r="H21" s="567"/>
      <c r="I21" s="569"/>
    </row>
    <row r="22" spans="1:9" ht="15" customHeight="1" x14ac:dyDescent="0.35">
      <c r="A22" s="155" t="s">
        <v>42</v>
      </c>
      <c r="B22" s="155" t="s">
        <v>43</v>
      </c>
      <c r="C22" s="534">
        <v>10.85</v>
      </c>
      <c r="D22" s="534">
        <v>12.42</v>
      </c>
      <c r="E22" s="338">
        <f t="shared" si="0"/>
        <v>-0.12640901771336555</v>
      </c>
      <c r="G22" s="432" t="s">
        <v>477</v>
      </c>
      <c r="H22" s="156">
        <f>IF(LEFT(C9,3)="FQ1",(('Last Quarter IS Standardized'!C60/MID(C9,3,1)*4)/'Last Quarter BS Standardized'!C118),(('Last Quarter IS Standardized'!G60/MID(C9,3,1)*4)/'Last Quarter BS Standardized'!C118))</f>
        <v>0</v>
      </c>
      <c r="I22" s="363">
        <f>IF(LEFT(C9,3)="FQ4",'Income - GAAP'!K62/'Balance Sheet - Standardized'!K118,'Income - GAAP'!L62/'Balance Sheet - Standardized'!L118)</f>
        <v>0.13897344468424511</v>
      </c>
    </row>
    <row r="23" spans="1:9" ht="15" customHeight="1" x14ac:dyDescent="0.35">
      <c r="A23" s="159" t="s">
        <v>44</v>
      </c>
      <c r="B23" s="159" t="s">
        <v>45</v>
      </c>
      <c r="C23" s="533">
        <v>83.37</v>
      </c>
      <c r="D23" s="533">
        <v>82.2</v>
      </c>
      <c r="E23" s="339">
        <f t="shared" si="0"/>
        <v>1.4233576642335821E-2</v>
      </c>
      <c r="G23" s="434"/>
      <c r="H23" s="435"/>
      <c r="I23" s="436"/>
    </row>
    <row r="24" spans="1:9" ht="15" customHeight="1" x14ac:dyDescent="0.35">
      <c r="A24" s="155" t="s">
        <v>46</v>
      </c>
      <c r="B24" s="155" t="s">
        <v>47</v>
      </c>
      <c r="C24" s="534">
        <v>-21.78</v>
      </c>
      <c r="D24" s="534">
        <v>-21.59</v>
      </c>
      <c r="E24" s="338">
        <f t="shared" si="0"/>
        <v>8.8003705419175127E-3</v>
      </c>
      <c r="G24" s="350"/>
      <c r="H24" s="172"/>
      <c r="I24" s="351"/>
    </row>
    <row r="25" spans="1:9" ht="15" customHeight="1" x14ac:dyDescent="0.35">
      <c r="A25" s="426" t="s">
        <v>29</v>
      </c>
      <c r="B25" s="426"/>
      <c r="C25" s="427">
        <f>IF(AND(C21="",C22="",C23="",C24=""),0,ROUND(IF(C20="",0,C20)-IF(C21="",0,C21)-IF(C22="",0,C22)-IF(C23="",0,C23)-IF(C24="",0,C24),1))</f>
        <v>0</v>
      </c>
      <c r="D25" s="427">
        <f>IF(AND(D21="",D22="",D23="",D24=""),0,ROUND(IF(D20="",0,D20)-IF(D21="",0,D21)-IF(D22="",0,D22)-IF(D23="",0,D23)-IF(D24="",0,D24),1))</f>
        <v>0</v>
      </c>
      <c r="E25" s="428"/>
      <c r="G25" s="350"/>
      <c r="H25" s="172"/>
      <c r="I25" s="351"/>
    </row>
    <row r="26" spans="1:9" ht="15" customHeight="1" x14ac:dyDescent="0.35">
      <c r="A26" s="155" t="s">
        <v>48</v>
      </c>
      <c r="B26" s="155" t="s">
        <v>49</v>
      </c>
      <c r="C26" s="534">
        <v>42.2</v>
      </c>
      <c r="D26" s="534">
        <v>34.46</v>
      </c>
      <c r="E26" s="338">
        <f t="shared" ref="E26:E33" si="1">IF(OR(C26="", D26="",D26=0,AND(C26&gt;=0, D26&lt;=0), AND(C26&lt;=0, D26&gt;=0)),"",C26/D26-1)</f>
        <v>0.22460824143934999</v>
      </c>
      <c r="G26" s="438" t="s">
        <v>478</v>
      </c>
      <c r="H26" s="439">
        <f>Inputs!B63</f>
        <v>115.36</v>
      </c>
      <c r="I26" s="440"/>
    </row>
    <row r="27" spans="1:9" ht="15" customHeight="1" x14ac:dyDescent="0.35">
      <c r="A27" s="159" t="s">
        <v>50</v>
      </c>
      <c r="B27" s="159" t="s">
        <v>51</v>
      </c>
      <c r="C27" s="165"/>
      <c r="D27" s="165"/>
      <c r="E27" s="339" t="str">
        <f t="shared" si="1"/>
        <v/>
      </c>
      <c r="G27" s="433" t="s">
        <v>479</v>
      </c>
      <c r="H27" s="364">
        <f>Inputs!B67</f>
        <v>142.12018555394579</v>
      </c>
      <c r="I27" s="365"/>
    </row>
    <row r="28" spans="1:9" ht="15" customHeight="1" x14ac:dyDescent="0.35">
      <c r="A28" s="155" t="s">
        <v>52</v>
      </c>
      <c r="B28" s="155" t="s">
        <v>53</v>
      </c>
      <c r="C28" s="168"/>
      <c r="D28" s="168"/>
      <c r="E28" s="338" t="str">
        <f t="shared" si="1"/>
        <v/>
      </c>
      <c r="G28" s="432" t="s">
        <v>480</v>
      </c>
      <c r="H28" s="366">
        <f>Inputs!B73</f>
        <v>2.8793433306053742</v>
      </c>
      <c r="I28" s="367"/>
    </row>
    <row r="29" spans="1:9" ht="15" customHeight="1" x14ac:dyDescent="0.35">
      <c r="A29" s="159" t="s">
        <v>54</v>
      </c>
      <c r="B29" s="159" t="s">
        <v>55</v>
      </c>
      <c r="C29" s="165"/>
      <c r="D29" s="165"/>
      <c r="E29" s="339" t="str">
        <f t="shared" si="1"/>
        <v/>
      </c>
      <c r="G29" s="433" t="s">
        <v>481</v>
      </c>
      <c r="H29" s="368" t="str">
        <f>Inputs!B74</f>
        <v>P</v>
      </c>
      <c r="I29" s="369"/>
    </row>
    <row r="30" spans="1:9" ht="15" customHeight="1" x14ac:dyDescent="0.35">
      <c r="A30" s="155" t="s">
        <v>56</v>
      </c>
      <c r="B30" s="155" t="s">
        <v>57</v>
      </c>
      <c r="C30" s="168"/>
      <c r="D30" s="168"/>
      <c r="E30" s="338" t="str">
        <f t="shared" si="1"/>
        <v/>
      </c>
      <c r="G30" s="432" t="s">
        <v>482</v>
      </c>
      <c r="H30" s="366">
        <f>Inputs!B75</f>
        <v>0.2492876956646464</v>
      </c>
      <c r="I30" s="367"/>
    </row>
    <row r="31" spans="1:9" ht="15" customHeight="1" x14ac:dyDescent="0.35">
      <c r="A31" s="159" t="s">
        <v>58</v>
      </c>
      <c r="B31" s="159" t="s">
        <v>59</v>
      </c>
      <c r="C31" s="165"/>
      <c r="D31" s="165"/>
      <c r="E31" s="339" t="str">
        <f t="shared" si="1"/>
        <v/>
      </c>
      <c r="G31" s="433" t="s">
        <v>483</v>
      </c>
      <c r="H31" s="370">
        <f>Inputs!B70</f>
        <v>7.3186630083052373E-2</v>
      </c>
      <c r="I31" s="371"/>
    </row>
    <row r="32" spans="1:9" ht="15" customHeight="1" x14ac:dyDescent="0.35">
      <c r="A32" s="155" t="s">
        <v>60</v>
      </c>
      <c r="B32" s="155" t="s">
        <v>61</v>
      </c>
      <c r="C32" s="168"/>
      <c r="D32" s="168"/>
      <c r="E32" s="338" t="str">
        <f t="shared" si="1"/>
        <v/>
      </c>
      <c r="G32" s="437" t="s">
        <v>484</v>
      </c>
      <c r="H32" s="372">
        <f>Inputs!B71</f>
        <v>5.0023693499823503E-2</v>
      </c>
      <c r="I32" s="373"/>
    </row>
    <row r="33" spans="1:5" ht="15" customHeight="1" x14ac:dyDescent="0.35">
      <c r="A33" s="159" t="s">
        <v>62</v>
      </c>
      <c r="B33" s="159" t="s">
        <v>63</v>
      </c>
      <c r="C33" s="533">
        <v>42.2</v>
      </c>
      <c r="D33" s="533">
        <v>34.46</v>
      </c>
      <c r="E33" s="339">
        <f t="shared" si="1"/>
        <v>0.22460824143934999</v>
      </c>
    </row>
    <row r="34" spans="1:5" ht="15" customHeight="1" x14ac:dyDescent="0.35">
      <c r="A34" s="325" t="s">
        <v>29</v>
      </c>
      <c r="B34" s="325"/>
      <c r="C34" s="327">
        <f>ROUND(IF(C26="",0,C26)-IF(C27="",0,C27)-IF(C28="",0,C28)-IF(C29="",0,C29)-IF(C30="",0,C30)-IF(C31="",0,C31)-IF(C32="",0,C32)-IF(C33="",0,C33),1)</f>
        <v>0</v>
      </c>
      <c r="D34" s="327">
        <f>ROUND(IF(D26="",0,D26)-IF(D27="",0,D27)-IF(D28="",0,D28)-IF(D29="",0,D29)-IF(D30="",0,D30)-IF(D31="",0,D31)-IF(D32="",0,D32)-IF(D33="",0,D33),1)</f>
        <v>0</v>
      </c>
      <c r="E34" s="340"/>
    </row>
    <row r="35" spans="1:5" ht="15" customHeight="1" x14ac:dyDescent="0.35">
      <c r="A35" s="159" t="s">
        <v>64</v>
      </c>
      <c r="B35" s="159" t="s">
        <v>65</v>
      </c>
      <c r="C35" s="533">
        <v>480.35</v>
      </c>
      <c r="D35" s="533">
        <v>499.21</v>
      </c>
      <c r="E35" s="339">
        <f>IF(OR(C35="", D35="",D35=0,AND(C35&gt;=0, D35&lt;=0), AND(C35&lt;=0, D35&gt;=0)),"",C35/D35-1)</f>
        <v>-3.7779691913222835E-2</v>
      </c>
    </row>
    <row r="36" spans="1:5" ht="15" customHeight="1" x14ac:dyDescent="0.35">
      <c r="A36" s="325" t="s">
        <v>29</v>
      </c>
      <c r="B36" s="325"/>
      <c r="C36" s="327">
        <f>ROUND(IF(C35="",0,C35)-IF(C11="",0,C11)-IF(C15="",0,C15)-IF(C19="",0,C19)-IF(C20="",0,C20)-IF(C26="",0,C26),1)</f>
        <v>0</v>
      </c>
      <c r="D36" s="327">
        <f>ROUND(IF(D35="",0,D35)-IF(D11="",0,D11)-IF(D15="",0,D15)-IF(D19="",0,D19)-IF(D20="",0,D20)-IF(D26="",0,D26),1)</f>
        <v>0</v>
      </c>
      <c r="E36" s="340"/>
    </row>
    <row r="37" spans="1:5" ht="15" customHeight="1" x14ac:dyDescent="0.35">
      <c r="A37" s="159" t="s">
        <v>66</v>
      </c>
      <c r="B37" s="159" t="s">
        <v>67</v>
      </c>
      <c r="C37" s="533">
        <v>166.39</v>
      </c>
      <c r="D37" s="533">
        <v>162.62</v>
      </c>
      <c r="E37" s="339">
        <f>IF(OR(C37="", D37="",D37=0,AND(C37&gt;=0, D37&lt;=0), AND(C37&lt;=0, D37&gt;=0)),"",C37/D37-1)</f>
        <v>2.3182880334521982E-2</v>
      </c>
    </row>
    <row r="38" spans="1:5" ht="15" customHeight="1" x14ac:dyDescent="0.35">
      <c r="A38" s="155" t="s">
        <v>68</v>
      </c>
      <c r="B38" s="155" t="s">
        <v>69</v>
      </c>
      <c r="C38" s="534">
        <v>186.28</v>
      </c>
      <c r="D38" s="534">
        <v>182.93</v>
      </c>
      <c r="E38" s="338">
        <f>IF(OR(C38="", D38="",D38=0,AND(C38&gt;=0, D38&lt;=0), AND(C38&lt;=0, D38&gt;=0)),"",C38/D38-1)</f>
        <v>1.8313015907724273E-2</v>
      </c>
    </row>
    <row r="39" spans="1:5" ht="15" customHeight="1" x14ac:dyDescent="0.35">
      <c r="A39" s="159" t="s">
        <v>70</v>
      </c>
      <c r="B39" s="159" t="s">
        <v>71</v>
      </c>
      <c r="C39" s="533">
        <v>367.87</v>
      </c>
      <c r="D39" s="533">
        <v>361.95</v>
      </c>
      <c r="E39" s="339">
        <f>IF(OR(C39="", D39="",D39=0,AND(C39&gt;=0, D39&lt;=0), AND(C39&lt;=0, D39&gt;=0)),"",C39/D39-1)</f>
        <v>1.63558502555603E-2</v>
      </c>
    </row>
    <row r="40" spans="1:5" ht="15" customHeight="1" x14ac:dyDescent="0.35">
      <c r="A40" s="155" t="s">
        <v>72</v>
      </c>
      <c r="B40" s="155" t="s">
        <v>73</v>
      </c>
      <c r="C40" s="534">
        <v>181.59</v>
      </c>
      <c r="D40" s="534">
        <v>179.02</v>
      </c>
      <c r="E40" s="338">
        <f>IF(OR(C40="", D40="",D40=0,AND(C40&gt;=0, D40&lt;=0), AND(C40&lt;=0, D40&gt;=0)),"",C40/D40-1)</f>
        <v>1.4355937884035219E-2</v>
      </c>
    </row>
    <row r="41" spans="1:5" ht="15" customHeight="1" x14ac:dyDescent="0.35">
      <c r="A41" s="159" t="s">
        <v>485</v>
      </c>
      <c r="B41" s="159"/>
      <c r="C41" s="165">
        <f>IF(C38="",0,C38)-IF(C37="",0,C37)</f>
        <v>19.890000000000015</v>
      </c>
      <c r="D41" s="165">
        <f>IF(D38="",0,D38)-IF(D37="",0,D37)</f>
        <v>20.310000000000002</v>
      </c>
      <c r="E41" s="339">
        <f>IF(OR(C41="", D41="",D41=0,AND(C41&gt;=0, D41&lt;=0), AND(C41&lt;=0, D41&gt;=0)),"",C41/D41-1)</f>
        <v>-2.0679468242244536E-2</v>
      </c>
    </row>
    <row r="42" spans="1:5" ht="15" customHeight="1" x14ac:dyDescent="0.35">
      <c r="A42" s="325" t="s">
        <v>29</v>
      </c>
      <c r="B42" s="325"/>
      <c r="C42" s="327">
        <f>IF(AND(C39="",C40=""),0,ROUND(IF(C39="",0,C39)-IF(C40="",0,C40)-IF(C38="",0,C38),1))</f>
        <v>0</v>
      </c>
      <c r="D42" s="327">
        <f>IF(AND(D39="",D40=""),0,ROUND(IF(D39="",0,D39)-IF(D40="",0,D40)-IF(D38="",0,D38),1))</f>
        <v>0</v>
      </c>
      <c r="E42" s="340"/>
    </row>
    <row r="43" spans="1:5" ht="15" customHeight="1" x14ac:dyDescent="0.35">
      <c r="A43" s="159" t="s">
        <v>75</v>
      </c>
      <c r="B43" s="159" t="s">
        <v>76</v>
      </c>
      <c r="C43" s="533">
        <v>8.42</v>
      </c>
      <c r="D43" s="533">
        <v>0</v>
      </c>
      <c r="E43" s="339" t="str">
        <f>IF(OR(C43="", D43="",D43=0,AND(C43&gt;=0, D43&lt;=0), AND(C43&lt;=0, D43&gt;=0)),"",C43/D43-1)</f>
        <v/>
      </c>
    </row>
    <row r="44" spans="1:5" ht="15" customHeight="1" x14ac:dyDescent="0.35">
      <c r="A44" s="155" t="s">
        <v>77</v>
      </c>
      <c r="B44" s="155" t="s">
        <v>78</v>
      </c>
      <c r="C44" s="168"/>
      <c r="D44" s="168"/>
      <c r="E44" s="338" t="str">
        <f>IF(OR(C44="", D44="",D44=0,AND(C44&gt;=0, D44&lt;=0), AND(C44&lt;=0, D44&gt;=0)),"",C44/D44-1)</f>
        <v/>
      </c>
    </row>
    <row r="45" spans="1:5" ht="15" customHeight="1" x14ac:dyDescent="0.35">
      <c r="A45" s="159" t="s">
        <v>79</v>
      </c>
      <c r="B45" s="159" t="s">
        <v>80</v>
      </c>
      <c r="C45" s="533">
        <v>8.42</v>
      </c>
      <c r="D45" s="165"/>
      <c r="E45" s="339" t="str">
        <f>IF(OR(C45="", D45="",D45=0,AND(C45&gt;=0, D45&lt;=0), AND(C45&lt;=0, D45&gt;=0)),"",C45/D45-1)</f>
        <v/>
      </c>
    </row>
    <row r="46" spans="1:5" ht="15" customHeight="1" x14ac:dyDescent="0.35">
      <c r="A46" s="325" t="s">
        <v>29</v>
      </c>
      <c r="B46" s="325"/>
      <c r="C46" s="327">
        <f>ROUND(IF(C43="",0,C43)-IF(C44="",0,C44)-IF(C45="",0,C45),1)</f>
        <v>0</v>
      </c>
      <c r="D46" s="327">
        <f>ROUND(IF(D43="",0,D43)-IF(D44="",0,D44)-IF(D45="",0,D45),1)</f>
        <v>0</v>
      </c>
      <c r="E46" s="340"/>
    </row>
    <row r="47" spans="1:5" ht="15" customHeight="1" x14ac:dyDescent="0.35">
      <c r="A47" s="521" t="s">
        <v>81</v>
      </c>
      <c r="B47" s="521" t="s">
        <v>82</v>
      </c>
      <c r="C47" s="535">
        <v>146.59</v>
      </c>
      <c r="D47" s="535">
        <v>155.54</v>
      </c>
      <c r="E47" s="523">
        <f t="shared" ref="E47:E57" si="2">IF(OR(C47="", D47="",D47=0,AND(C47&gt;=0, D47&lt;=0), AND(C47&lt;=0, D47&gt;=0)),"",C47/D47-1)</f>
        <v>-5.7541468432557474E-2</v>
      </c>
    </row>
    <row r="48" spans="1:5" ht="15" customHeight="1" x14ac:dyDescent="0.35">
      <c r="A48" s="160" t="s">
        <v>83</v>
      </c>
      <c r="B48" s="160" t="s">
        <v>84</v>
      </c>
      <c r="C48" s="536">
        <v>107.05</v>
      </c>
      <c r="D48" s="536">
        <v>107.55</v>
      </c>
      <c r="E48" s="385">
        <f t="shared" si="2"/>
        <v>-4.6490004649000216E-3</v>
      </c>
    </row>
    <row r="49" spans="1:5" ht="15" customHeight="1" x14ac:dyDescent="0.35">
      <c r="A49" s="521" t="s">
        <v>85</v>
      </c>
      <c r="B49" s="521" t="s">
        <v>86</v>
      </c>
      <c r="C49" s="535">
        <v>84.47</v>
      </c>
      <c r="D49" s="535">
        <v>84.54</v>
      </c>
      <c r="E49" s="523">
        <f t="shared" si="2"/>
        <v>-8.2801040927382719E-4</v>
      </c>
    </row>
    <row r="50" spans="1:5" ht="15" customHeight="1" x14ac:dyDescent="0.35">
      <c r="A50" s="160" t="s">
        <v>87</v>
      </c>
      <c r="B50" s="160" t="s">
        <v>88</v>
      </c>
      <c r="C50" s="536">
        <v>22.58</v>
      </c>
      <c r="D50" s="536">
        <v>23.01</v>
      </c>
      <c r="E50" s="385">
        <f t="shared" si="2"/>
        <v>-1.8687527162103534E-2</v>
      </c>
    </row>
    <row r="51" spans="1:5" ht="15" customHeight="1" x14ac:dyDescent="0.35">
      <c r="A51" s="521" t="s">
        <v>89</v>
      </c>
      <c r="B51" s="521" t="s">
        <v>90</v>
      </c>
      <c r="C51" s="522"/>
      <c r="D51" s="522"/>
      <c r="E51" s="523" t="str">
        <f t="shared" si="2"/>
        <v/>
      </c>
    </row>
    <row r="52" spans="1:5" ht="15" customHeight="1" x14ac:dyDescent="0.35">
      <c r="A52" s="160" t="s">
        <v>91</v>
      </c>
      <c r="B52" s="160" t="s">
        <v>92</v>
      </c>
      <c r="C52" s="536">
        <v>23.17</v>
      </c>
      <c r="D52" s="536">
        <v>22.87</v>
      </c>
      <c r="E52" s="385">
        <f t="shared" si="2"/>
        <v>1.3117621337997321E-2</v>
      </c>
    </row>
    <row r="53" spans="1:5" ht="15" customHeight="1" x14ac:dyDescent="0.35">
      <c r="A53" s="521" t="s">
        <v>93</v>
      </c>
      <c r="B53" s="521" t="s">
        <v>94</v>
      </c>
      <c r="C53" s="522"/>
      <c r="D53" s="522"/>
      <c r="E53" s="523" t="str">
        <f t="shared" si="2"/>
        <v/>
      </c>
    </row>
    <row r="54" spans="1:5" ht="15" customHeight="1" x14ac:dyDescent="0.35">
      <c r="A54" s="160" t="s">
        <v>95</v>
      </c>
      <c r="B54" s="160" t="s">
        <v>96</v>
      </c>
      <c r="C54" s="164"/>
      <c r="D54" s="164"/>
      <c r="E54" s="385" t="str">
        <f t="shared" si="2"/>
        <v/>
      </c>
    </row>
    <row r="55" spans="1:5" ht="15" customHeight="1" x14ac:dyDescent="0.35">
      <c r="A55" s="521" t="s">
        <v>97</v>
      </c>
      <c r="B55" s="521" t="s">
        <v>98</v>
      </c>
      <c r="C55" s="522"/>
      <c r="D55" s="522"/>
      <c r="E55" s="523" t="str">
        <f t="shared" si="2"/>
        <v/>
      </c>
    </row>
    <row r="56" spans="1:5" ht="15" customHeight="1" x14ac:dyDescent="0.35">
      <c r="A56" s="160" t="s">
        <v>99</v>
      </c>
      <c r="B56" s="160" t="s">
        <v>100</v>
      </c>
      <c r="C56" s="164"/>
      <c r="D56" s="164"/>
      <c r="E56" s="385" t="str">
        <f t="shared" si="2"/>
        <v/>
      </c>
    </row>
    <row r="57" spans="1:5" ht="15" customHeight="1" x14ac:dyDescent="0.35">
      <c r="A57" s="521" t="s">
        <v>101</v>
      </c>
      <c r="B57" s="521" t="s">
        <v>102</v>
      </c>
      <c r="C57" s="535">
        <v>16.37</v>
      </c>
      <c r="D57" s="535">
        <v>25.11</v>
      </c>
      <c r="E57" s="523">
        <f t="shared" si="2"/>
        <v>-0.34806849860613298</v>
      </c>
    </row>
    <row r="58" spans="1:5" ht="15" customHeight="1" x14ac:dyDescent="0.35">
      <c r="A58" s="325" t="s">
        <v>29</v>
      </c>
      <c r="B58" s="325"/>
      <c r="C58" s="327">
        <f>ROUND(IF(C47="",0,C47)-IF(C48="",0,C48)-IF(C51="",0,C51)-IF(C52="",0,C52)-IF(C53="",0,C53)-IF(C54="",0,C54)-IF(C55="",0,C55)-IF(C56="",0,C56)-IF(C57="",0,C57),1)</f>
        <v>0</v>
      </c>
      <c r="D58" s="327">
        <f>ROUND(IF(D47="",0,D47)-IF(D48="",0,D48)-IF(D51="",0,D51)-IF(D52="",0,D52)-IF(D53="",0,D53)-IF(D54="",0,D54)-IF(D55="",0,D55)-IF(D56="",0,D56)-IF(D57="",0,D57),1)</f>
        <v>0</v>
      </c>
      <c r="E58" s="340"/>
    </row>
    <row r="59" spans="1:5" ht="15" customHeight="1" x14ac:dyDescent="0.35">
      <c r="A59" s="521" t="s">
        <v>103</v>
      </c>
      <c r="B59" s="521" t="s">
        <v>104</v>
      </c>
      <c r="C59" s="535">
        <v>341.29</v>
      </c>
      <c r="D59" s="535">
        <v>338.47</v>
      </c>
      <c r="E59" s="523">
        <f>IF(OR(C59="", D59="",D59=0,AND(C59&gt;=0, D59&lt;=0), AND(C59&lt;=0, D59&gt;=0)),"",C59/D59-1)</f>
        <v>8.3316098915708903E-3</v>
      </c>
    </row>
    <row r="60" spans="1:5" ht="15" customHeight="1" x14ac:dyDescent="0.35">
      <c r="A60" s="325" t="s">
        <v>29</v>
      </c>
      <c r="B60" s="325"/>
      <c r="C60" s="327">
        <f>ROUND(IF(C59="",0,C59)-IF(C38="",0,C38)-IF(C43="",0,C43)-IF(C47="",0,C47),1)</f>
        <v>0</v>
      </c>
      <c r="D60" s="327">
        <f>ROUND(IF(D59="",0,D59)-IF(D38="",0,D38)-IF(D43="",0,D43)-IF(D47="",0,D47),1)</f>
        <v>0</v>
      </c>
      <c r="E60" s="340"/>
    </row>
    <row r="61" spans="1:5" ht="15" customHeight="1" thickBot="1" x14ac:dyDescent="0.4">
      <c r="A61" s="166" t="s">
        <v>22</v>
      </c>
      <c r="B61" s="161" t="s">
        <v>105</v>
      </c>
      <c r="C61" s="537">
        <v>821.64</v>
      </c>
      <c r="D61" s="537">
        <v>837.68</v>
      </c>
      <c r="E61" s="341">
        <f>IF(OR(C61="", D61="",D61=0,AND(C61&gt;=0, D61&lt;=0), AND(C61&lt;=0, D61&gt;=0)),"",C61/D61-1)</f>
        <v>-1.9148123388405991E-2</v>
      </c>
    </row>
    <row r="62" spans="1:5" ht="15" customHeight="1" x14ac:dyDescent="0.35">
      <c r="A62" s="325" t="s">
        <v>29</v>
      </c>
      <c r="B62" s="325"/>
      <c r="C62" s="327">
        <f>ROUND(IF(C61="",0,C61)-IF(C59="",0,C59)-IF(C35="",0,C35),1)</f>
        <v>0</v>
      </c>
      <c r="D62" s="327">
        <f>ROUND(IF(D61="",0,D61)-IF(D59="",0,D59)-IF(D35="",0,D35),1)</f>
        <v>0</v>
      </c>
      <c r="E62" s="340"/>
    </row>
    <row r="63" spans="1:5" ht="15" customHeight="1" x14ac:dyDescent="0.35">
      <c r="A63" s="521" t="s">
        <v>106</v>
      </c>
      <c r="B63" s="521"/>
      <c r="C63" s="522"/>
      <c r="D63" s="522"/>
      <c r="E63" s="523" t="str">
        <f t="shared" ref="E63:E68" si="3">IF(OR(C63="", D63="",D63=0,AND(C63&gt;=0, D63&lt;=0), AND(C63&lt;=0, D63&gt;=0)),"",C63/D63-1)</f>
        <v/>
      </c>
    </row>
    <row r="64" spans="1:5" ht="15" customHeight="1" x14ac:dyDescent="0.35">
      <c r="A64" s="160" t="s">
        <v>107</v>
      </c>
      <c r="B64" s="160" t="s">
        <v>108</v>
      </c>
      <c r="C64" s="536">
        <v>69.739999999999995</v>
      </c>
      <c r="D64" s="536">
        <v>70.08</v>
      </c>
      <c r="E64" s="385">
        <f t="shared" si="3"/>
        <v>-4.8515981735159919E-3</v>
      </c>
    </row>
    <row r="65" spans="1:5" ht="15" customHeight="1" x14ac:dyDescent="0.35">
      <c r="A65" s="521" t="s">
        <v>109</v>
      </c>
      <c r="B65" s="521" t="s">
        <v>110</v>
      </c>
      <c r="C65" s="535">
        <v>58.71</v>
      </c>
      <c r="D65" s="535">
        <v>55.23</v>
      </c>
      <c r="E65" s="523">
        <f t="shared" si="3"/>
        <v>6.300923411189574E-2</v>
      </c>
    </row>
    <row r="66" spans="1:5" ht="15" customHeight="1" x14ac:dyDescent="0.35">
      <c r="A66" s="160" t="s">
        <v>111</v>
      </c>
      <c r="B66" s="160" t="s">
        <v>112</v>
      </c>
      <c r="C66" s="536">
        <v>11.03</v>
      </c>
      <c r="D66" s="536">
        <v>14.85</v>
      </c>
      <c r="E66" s="385">
        <f t="shared" si="3"/>
        <v>-0.25723905723905727</v>
      </c>
    </row>
    <row r="67" spans="1:5" ht="15" customHeight="1" x14ac:dyDescent="0.35">
      <c r="A67" s="521" t="s">
        <v>113</v>
      </c>
      <c r="B67" s="521" t="s">
        <v>114</v>
      </c>
      <c r="C67" s="522"/>
      <c r="D67" s="522"/>
      <c r="E67" s="523" t="str">
        <f t="shared" si="3"/>
        <v/>
      </c>
    </row>
    <row r="68" spans="1:5" ht="15" customHeight="1" x14ac:dyDescent="0.35">
      <c r="A68" s="160" t="s">
        <v>115</v>
      </c>
      <c r="B68" s="160" t="s">
        <v>116</v>
      </c>
      <c r="C68" s="164"/>
      <c r="D68" s="164"/>
      <c r="E68" s="385" t="str">
        <f t="shared" si="3"/>
        <v/>
      </c>
    </row>
    <row r="69" spans="1:5" ht="15" customHeight="1" x14ac:dyDescent="0.35">
      <c r="A69" s="524" t="s">
        <v>29</v>
      </c>
      <c r="B69" s="524"/>
      <c r="C69" s="525">
        <f>ROUND(IF(C64="",0,C64)-IF(C65="",0,C65)-IF(C66="",0,C66)-IF(C67="",0,C67)-IF(C68="",0,C68),1)</f>
        <v>0</v>
      </c>
      <c r="D69" s="525">
        <f>ROUND(IF(D64="",0,D64)-IF(D65="",0,D65)-IF(D66="",0,D66)-IF(D67="",0,D67)-IF(D68="",0,D68),1)</f>
        <v>0</v>
      </c>
      <c r="E69" s="526"/>
    </row>
    <row r="70" spans="1:5" ht="15" customHeight="1" x14ac:dyDescent="0.35">
      <c r="A70" s="160" t="s">
        <v>117</v>
      </c>
      <c r="B70" s="160" t="s">
        <v>118</v>
      </c>
      <c r="C70" s="536">
        <v>4.22</v>
      </c>
      <c r="D70" s="536">
        <v>4.25</v>
      </c>
      <c r="E70" s="385">
        <f t="shared" ref="E70:E75" si="4">IF(OR(C70="", D70="",D70=0,AND(C70&gt;=0, D70&lt;=0), AND(C70&lt;=0, D70&gt;=0)),"",C70/D70-1)</f>
        <v>-7.058823529411784E-3</v>
      </c>
    </row>
    <row r="71" spans="1:5" ht="15" customHeight="1" x14ac:dyDescent="0.35">
      <c r="A71" s="521" t="s">
        <v>119</v>
      </c>
      <c r="B71" s="521" t="s">
        <v>120</v>
      </c>
      <c r="C71" s="535">
        <v>4.13</v>
      </c>
      <c r="D71" s="535">
        <v>4.0999999999999996</v>
      </c>
      <c r="E71" s="523">
        <f t="shared" si="4"/>
        <v>7.3170731707317138E-3</v>
      </c>
    </row>
    <row r="72" spans="1:5" ht="15" customHeight="1" x14ac:dyDescent="0.35">
      <c r="A72" s="160" t="s">
        <v>121</v>
      </c>
      <c r="B72" s="160" t="s">
        <v>122</v>
      </c>
      <c r="C72" s="164"/>
      <c r="D72" s="164"/>
      <c r="E72" s="385" t="str">
        <f t="shared" si="4"/>
        <v/>
      </c>
    </row>
    <row r="73" spans="1:5" ht="15" customHeight="1" x14ac:dyDescent="0.35">
      <c r="A73" s="521" t="s">
        <v>123</v>
      </c>
      <c r="B73" s="521" t="s">
        <v>124</v>
      </c>
      <c r="C73" s="535">
        <v>4.13</v>
      </c>
      <c r="D73" s="535">
        <v>4.0999999999999996</v>
      </c>
      <c r="E73" s="523">
        <f t="shared" si="4"/>
        <v>7.3170731707317138E-3</v>
      </c>
    </row>
    <row r="74" spans="1:5" ht="15" customHeight="1" x14ac:dyDescent="0.35">
      <c r="A74" s="160" t="s">
        <v>125</v>
      </c>
      <c r="B74" s="160" t="s">
        <v>126</v>
      </c>
      <c r="C74" s="536">
        <v>0</v>
      </c>
      <c r="D74" s="536">
        <v>0</v>
      </c>
      <c r="E74" s="385" t="str">
        <f t="shared" si="4"/>
        <v/>
      </c>
    </row>
    <row r="75" spans="1:5" ht="15" customHeight="1" x14ac:dyDescent="0.35">
      <c r="A75" s="521" t="s">
        <v>127</v>
      </c>
      <c r="B75" s="521" t="s">
        <v>128</v>
      </c>
      <c r="C75" s="535">
        <v>0.09</v>
      </c>
      <c r="D75" s="535">
        <v>0.15</v>
      </c>
      <c r="E75" s="523">
        <f t="shared" si="4"/>
        <v>-0.4</v>
      </c>
    </row>
    <row r="76" spans="1:5" ht="15" customHeight="1" x14ac:dyDescent="0.35">
      <c r="A76" s="325" t="s">
        <v>29</v>
      </c>
      <c r="B76" s="325"/>
      <c r="C76" s="327">
        <f>ROUND(IF(C70="",0,C70)-IF(C71="",0,C71)-IF(C74="",0,C74)-IF(C75="",0,C75),1)</f>
        <v>0</v>
      </c>
      <c r="D76" s="327">
        <f>ROUND(IF(D70="",0,D70)-IF(D71="",0,D71)-IF(D74="",0,D74)-IF(D75="",0,D75),1)</f>
        <v>0</v>
      </c>
      <c r="E76" s="340"/>
    </row>
    <row r="77" spans="1:5" ht="15" customHeight="1" x14ac:dyDescent="0.35">
      <c r="A77" s="521" t="s">
        <v>129</v>
      </c>
      <c r="B77" s="521" t="s">
        <v>130</v>
      </c>
      <c r="C77" s="535">
        <v>89.72</v>
      </c>
      <c r="D77" s="535">
        <v>90.96</v>
      </c>
      <c r="E77" s="523">
        <f t="shared" ref="E77:E82" si="5">IF(OR(C77="", D77="",D77=0,AND(C77&gt;=0, D77&lt;=0), AND(C77&lt;=0, D77&gt;=0)),"",C77/D77-1)</f>
        <v>-1.3632365875109853E-2</v>
      </c>
    </row>
    <row r="78" spans="1:5" ht="15" customHeight="1" x14ac:dyDescent="0.35">
      <c r="A78" s="160" t="s">
        <v>131</v>
      </c>
      <c r="B78" s="160" t="s">
        <v>132</v>
      </c>
      <c r="C78" s="536">
        <v>25.04</v>
      </c>
      <c r="D78" s="536">
        <v>27.88</v>
      </c>
      <c r="E78" s="385">
        <f t="shared" si="5"/>
        <v>-0.10186513629842175</v>
      </c>
    </row>
    <row r="79" spans="1:5" ht="15" customHeight="1" x14ac:dyDescent="0.35">
      <c r="A79" s="521" t="s">
        <v>133</v>
      </c>
      <c r="B79" s="521" t="s">
        <v>134</v>
      </c>
      <c r="C79" s="522"/>
      <c r="D79" s="522"/>
      <c r="E79" s="523" t="str">
        <f t="shared" si="5"/>
        <v/>
      </c>
    </row>
    <row r="80" spans="1:5" ht="15" customHeight="1" x14ac:dyDescent="0.35">
      <c r="A80" s="160" t="s">
        <v>135</v>
      </c>
      <c r="B80" s="160" t="s">
        <v>136</v>
      </c>
      <c r="C80" s="164"/>
      <c r="D80" s="164"/>
      <c r="E80" s="385" t="str">
        <f t="shared" si="5"/>
        <v/>
      </c>
    </row>
    <row r="81" spans="1:5" ht="15" customHeight="1" x14ac:dyDescent="0.35">
      <c r="A81" s="521" t="s">
        <v>137</v>
      </c>
      <c r="B81" s="521" t="s">
        <v>138</v>
      </c>
      <c r="C81" s="522"/>
      <c r="D81" s="522"/>
      <c r="E81" s="523" t="str">
        <f t="shared" si="5"/>
        <v/>
      </c>
    </row>
    <row r="82" spans="1:5" ht="15" customHeight="1" x14ac:dyDescent="0.35">
      <c r="A82" s="160" t="s">
        <v>139</v>
      </c>
      <c r="B82" s="160" t="s">
        <v>140</v>
      </c>
      <c r="C82" s="536">
        <v>64.680000000000007</v>
      </c>
      <c r="D82" s="536">
        <v>63.08</v>
      </c>
      <c r="E82" s="385">
        <f t="shared" si="5"/>
        <v>2.5364616360177727E-2</v>
      </c>
    </row>
    <row r="83" spans="1:5" ht="15" customHeight="1" x14ac:dyDescent="0.35">
      <c r="A83" s="524" t="s">
        <v>29</v>
      </c>
      <c r="B83" s="524"/>
      <c r="C83" s="525">
        <f>ROUND(IF(C77="",0,C77)-IF(C78="",0,C78)-IF(C79="",0,C79)-IF(C80="",0,C80)-IF(C81="",0,C81)-IF(C82="",0,C82),1)</f>
        <v>0</v>
      </c>
      <c r="D83" s="525">
        <f>ROUND(IF(D77="",0,D77)-IF(D78="",0,D78)-IF(D79="",0,D79)-IF(D80="",0,D80)-IF(D81="",0,D81)-IF(D82="",0,D82),1)</f>
        <v>0</v>
      </c>
      <c r="E83" s="526"/>
    </row>
    <row r="84" spans="1:5" ht="15" customHeight="1" x14ac:dyDescent="0.35">
      <c r="A84" s="160" t="s">
        <v>141</v>
      </c>
      <c r="B84" s="160" t="s">
        <v>142</v>
      </c>
      <c r="C84" s="536">
        <v>163.66999999999999</v>
      </c>
      <c r="D84" s="536">
        <v>165.29</v>
      </c>
      <c r="E84" s="385">
        <f>IF(OR(C84="", D84="",D84=0,AND(C84&gt;=0, D84&lt;=0), AND(C84&lt;=0, D84&gt;=0)),"",C84/D84-1)</f>
        <v>-9.8009558956985154E-3</v>
      </c>
    </row>
    <row r="85" spans="1:5" ht="15" customHeight="1" x14ac:dyDescent="0.35">
      <c r="A85" s="524" t="s">
        <v>29</v>
      </c>
      <c r="B85" s="524"/>
      <c r="C85" s="525">
        <f>ROUND(IF(C84="",0,C84)-IF(C64="",0,C64)-IF(C70="",0,C70)-IF(C77="",0,C77),1)</f>
        <v>0</v>
      </c>
      <c r="D85" s="525">
        <f>ROUND(IF(D84="",0,D84)-IF(D64="",0,D64)-IF(D70="",0,D70)-IF(D77="",0,D77),1)</f>
        <v>0</v>
      </c>
      <c r="E85" s="526"/>
    </row>
    <row r="86" spans="1:5" ht="15" customHeight="1" x14ac:dyDescent="0.35">
      <c r="A86" s="160" t="s">
        <v>143</v>
      </c>
      <c r="B86" s="160" t="s">
        <v>144</v>
      </c>
      <c r="C86" s="536">
        <v>133.61000000000001</v>
      </c>
      <c r="D86" s="536">
        <v>134.33000000000001</v>
      </c>
      <c r="E86" s="385">
        <f>IF(OR(C86="", D86="",D86=0,AND(C86&gt;=0, D86&lt;=0), AND(C86&lt;=0, D86&gt;=0)),"",C86/D86-1)</f>
        <v>-5.3599344896895218E-3</v>
      </c>
    </row>
    <row r="87" spans="1:5" ht="15" customHeight="1" x14ac:dyDescent="0.35">
      <c r="A87" s="521" t="s">
        <v>145</v>
      </c>
      <c r="B87" s="521" t="s">
        <v>146</v>
      </c>
      <c r="C87" s="535">
        <v>114.82</v>
      </c>
      <c r="D87" s="535">
        <v>114.8</v>
      </c>
      <c r="E87" s="523">
        <f>IF(OR(C87="", D87="",D87=0,AND(C87&gt;=0, D87&lt;=0), AND(C87&lt;=0, D87&gt;=0)),"",C87/D87-1)</f>
        <v>1.7421602787459634E-4</v>
      </c>
    </row>
    <row r="88" spans="1:5" ht="15" customHeight="1" x14ac:dyDescent="0.35">
      <c r="A88" s="160" t="s">
        <v>147</v>
      </c>
      <c r="B88" s="160" t="s">
        <v>148</v>
      </c>
      <c r="C88" s="536">
        <v>18.8</v>
      </c>
      <c r="D88" s="536">
        <v>19.53</v>
      </c>
      <c r="E88" s="385">
        <f>IF(OR(C88="", D88="",D88=0,AND(C88&gt;=0, D88&lt;=0), AND(C88&lt;=0, D88&gt;=0)),"",C88/D88-1)</f>
        <v>-3.737839221710193E-2</v>
      </c>
    </row>
    <row r="89" spans="1:5" ht="15" customHeight="1" x14ac:dyDescent="0.35">
      <c r="A89" s="521" t="s">
        <v>149</v>
      </c>
      <c r="B89" s="521" t="s">
        <v>150</v>
      </c>
      <c r="C89" s="522"/>
      <c r="D89" s="522"/>
      <c r="E89" s="523" t="str">
        <f>IF(OR(C89="", D89="",D89=0,AND(C89&gt;=0, D89&lt;=0), AND(C89&lt;=0, D89&gt;=0)),"",C89/D89-1)</f>
        <v/>
      </c>
    </row>
    <row r="90" spans="1:5" ht="15" customHeight="1" x14ac:dyDescent="0.35">
      <c r="A90" s="160" t="s">
        <v>151</v>
      </c>
      <c r="B90" s="160" t="s">
        <v>152</v>
      </c>
      <c r="C90" s="536">
        <v>18.8</v>
      </c>
      <c r="D90" s="536">
        <v>19.53</v>
      </c>
      <c r="E90" s="385">
        <f>IF(OR(C90="", D90="",D90=0,AND(C90&gt;=0, D90&lt;=0), AND(C90&lt;=0, D90&gt;=0)),"",C90/D90-1)</f>
        <v>-3.737839221710193E-2</v>
      </c>
    </row>
    <row r="91" spans="1:5" ht="15" customHeight="1" x14ac:dyDescent="0.35">
      <c r="A91" s="524" t="s">
        <v>29</v>
      </c>
      <c r="B91" s="524"/>
      <c r="C91" s="525">
        <f>ROUND(IF(C86="",0,C86)-IF(C87="",0,C87)-IF(C88="",0,C88),1)</f>
        <v>0</v>
      </c>
      <c r="D91" s="525">
        <f>ROUND(IF(D86="",0,D86)-IF(D87="",0,D87)-IF(D88="",0,D88),1)</f>
        <v>0</v>
      </c>
      <c r="E91" s="526"/>
    </row>
    <row r="92" spans="1:5" ht="15" customHeight="1" x14ac:dyDescent="0.35">
      <c r="A92" s="160" t="s">
        <v>153</v>
      </c>
      <c r="B92" s="160" t="s">
        <v>154</v>
      </c>
      <c r="C92" s="536">
        <v>25.26</v>
      </c>
      <c r="D92" s="536">
        <v>30.3</v>
      </c>
      <c r="E92" s="385">
        <f t="shared" ref="E92:E100" si="6">IF(OR(C92="", D92="",D92=0,AND(C92&gt;=0, D92&lt;=0), AND(C92&lt;=0, D92&gt;=0)),"",C92/D92-1)</f>
        <v>-0.16633663366336626</v>
      </c>
    </row>
    <row r="93" spans="1:5" ht="15" customHeight="1" x14ac:dyDescent="0.35">
      <c r="A93" s="521" t="s">
        <v>155</v>
      </c>
      <c r="B93" s="521" t="s">
        <v>156</v>
      </c>
      <c r="C93" s="522"/>
      <c r="D93" s="522"/>
      <c r="E93" s="523" t="str">
        <f t="shared" si="6"/>
        <v/>
      </c>
    </row>
    <row r="94" spans="1:5" ht="15" customHeight="1" x14ac:dyDescent="0.35">
      <c r="A94" s="160" t="s">
        <v>157</v>
      </c>
      <c r="B94" s="160" t="s">
        <v>158</v>
      </c>
      <c r="C94" s="536">
        <v>3.22</v>
      </c>
      <c r="D94" s="536">
        <v>3.28</v>
      </c>
      <c r="E94" s="385">
        <f t="shared" si="6"/>
        <v>-1.8292682926829174E-2</v>
      </c>
    </row>
    <row r="95" spans="1:5" ht="15" customHeight="1" x14ac:dyDescent="0.35">
      <c r="A95" s="521" t="s">
        <v>159</v>
      </c>
      <c r="B95" s="521" t="s">
        <v>160</v>
      </c>
      <c r="C95" s="522"/>
      <c r="D95" s="522"/>
      <c r="E95" s="523" t="str">
        <f t="shared" si="6"/>
        <v/>
      </c>
    </row>
    <row r="96" spans="1:5" ht="15" customHeight="1" x14ac:dyDescent="0.35">
      <c r="A96" s="160" t="s">
        <v>161</v>
      </c>
      <c r="B96" s="160" t="s">
        <v>162</v>
      </c>
      <c r="C96" s="164"/>
      <c r="D96" s="164"/>
      <c r="E96" s="385" t="str">
        <f t="shared" si="6"/>
        <v/>
      </c>
    </row>
    <row r="97" spans="1:5" ht="15" customHeight="1" x14ac:dyDescent="0.35">
      <c r="A97" s="521" t="s">
        <v>163</v>
      </c>
      <c r="B97" s="521" t="s">
        <v>164</v>
      </c>
      <c r="C97" s="522"/>
      <c r="D97" s="522"/>
      <c r="E97" s="523" t="str">
        <f t="shared" si="6"/>
        <v/>
      </c>
    </row>
    <row r="98" spans="1:5" ht="15" customHeight="1" x14ac:dyDescent="0.35">
      <c r="A98" s="160" t="s">
        <v>165</v>
      </c>
      <c r="B98" s="160" t="s">
        <v>166</v>
      </c>
      <c r="C98" s="164"/>
      <c r="D98" s="164"/>
      <c r="E98" s="385" t="str">
        <f t="shared" si="6"/>
        <v/>
      </c>
    </row>
    <row r="99" spans="1:5" ht="15" customHeight="1" x14ac:dyDescent="0.35">
      <c r="A99" s="521" t="s">
        <v>167</v>
      </c>
      <c r="B99" s="521" t="s">
        <v>168</v>
      </c>
      <c r="C99" s="535">
        <v>1.1599999999999999</v>
      </c>
      <c r="D99" s="535">
        <v>2.1800000000000002</v>
      </c>
      <c r="E99" s="523">
        <f t="shared" si="6"/>
        <v>-0.46788990825688082</v>
      </c>
    </row>
    <row r="100" spans="1:5" ht="15" customHeight="1" x14ac:dyDescent="0.35">
      <c r="A100" s="160" t="s">
        <v>169</v>
      </c>
      <c r="B100" s="160" t="s">
        <v>170</v>
      </c>
      <c r="C100" s="164"/>
      <c r="D100" s="164"/>
      <c r="E100" s="385" t="str">
        <f t="shared" si="6"/>
        <v/>
      </c>
    </row>
    <row r="101" spans="1:5" ht="15" customHeight="1" x14ac:dyDescent="0.35">
      <c r="A101" s="521" t="s">
        <v>171</v>
      </c>
      <c r="B101" s="521" t="s">
        <v>172</v>
      </c>
      <c r="C101" s="522"/>
      <c r="D101" s="522"/>
      <c r="E101" s="523"/>
    </row>
    <row r="102" spans="1:5" ht="15" customHeight="1" x14ac:dyDescent="0.35">
      <c r="A102" s="160" t="s">
        <v>173</v>
      </c>
      <c r="B102" s="160" t="s">
        <v>174</v>
      </c>
      <c r="C102" s="536">
        <v>20.88</v>
      </c>
      <c r="D102" s="536">
        <v>24.84</v>
      </c>
      <c r="E102" s="385">
        <f>IF(OR(C102="", D102="",D102=0,AND(C102&gt;=0, D102&lt;=0), AND(C102&lt;=0, D102&gt;=0)),"",C102/D102-1)</f>
        <v>-0.15942028985507251</v>
      </c>
    </row>
    <row r="103" spans="1:5" ht="15" customHeight="1" x14ac:dyDescent="0.35">
      <c r="A103" s="524" t="s">
        <v>29</v>
      </c>
      <c r="B103" s="524"/>
      <c r="C103" s="525">
        <f>ROUND(IF(C92="",0,C92)-IF(C93="",0,C93)-IF(C94="",0,C94)-IF(C97="",0,C97)-IF(C98="",0,C98)-IF(C99="",0,C99)-IF(C100="",0,C100)-IF(C101="",0,C101)-IF(C102="",0,C102),1)</f>
        <v>0</v>
      </c>
      <c r="D103" s="525">
        <f>ROUND(IF(D92="",0,D92)-IF(D93="",0,D93)-IF(D94="",0,D94)-IF(D97="",0,D97)-IF(D98="",0,D98)-IF(D99="",0,D99)-IF(D100="",0,D100)-IF(D101="",0,D101)-IF(D102="",0,D102),1)</f>
        <v>0</v>
      </c>
      <c r="E103" s="526"/>
    </row>
    <row r="104" spans="1:5" ht="15" customHeight="1" x14ac:dyDescent="0.35">
      <c r="A104" s="160" t="s">
        <v>175</v>
      </c>
      <c r="B104" s="160" t="s">
        <v>176</v>
      </c>
      <c r="C104" s="536">
        <v>158.87</v>
      </c>
      <c r="D104" s="536">
        <v>164.63</v>
      </c>
      <c r="E104" s="385">
        <f>IF(OR(C104="", D104="",D104=0,AND(C104&gt;=0, D104&lt;=0), AND(C104&lt;=0, D104&gt;=0)),"",C104/D104-1)</f>
        <v>-3.4987547834537946E-2</v>
      </c>
    </row>
    <row r="105" spans="1:5" ht="15" customHeight="1" x14ac:dyDescent="0.35">
      <c r="A105" s="524" t="s">
        <v>29</v>
      </c>
      <c r="B105" s="524"/>
      <c r="C105" s="525">
        <f>ROUND(IF(C104="",0,C104)-IF(C86="",0,C86)-IF(C92="",0,C92),1)</f>
        <v>0</v>
      </c>
      <c r="D105" s="525">
        <f>ROUND(IF(D104="",0,D104)-IF(D86="",0,D86)-IF(D92="",0,D92),1)</f>
        <v>0</v>
      </c>
      <c r="E105" s="526"/>
    </row>
    <row r="106" spans="1:5" ht="15" customHeight="1" thickBot="1" x14ac:dyDescent="0.4">
      <c r="A106" s="527" t="s">
        <v>177</v>
      </c>
      <c r="B106" s="528" t="s">
        <v>178</v>
      </c>
      <c r="C106" s="538">
        <v>322.55</v>
      </c>
      <c r="D106" s="538">
        <v>329.92</v>
      </c>
      <c r="E106" s="529">
        <f>IF(OR(C106="", D106="",D106=0,AND(C106&gt;=0, D106&lt;=0), AND(C106&lt;=0, D106&gt;=0)),"",C106/D106-1)</f>
        <v>-2.2338748787584906E-2</v>
      </c>
    </row>
    <row r="107" spans="1:5" ht="15" customHeight="1" x14ac:dyDescent="0.35">
      <c r="A107" s="524" t="s">
        <v>29</v>
      </c>
      <c r="B107" s="524"/>
      <c r="C107" s="525">
        <f>ROUND(IF(C106="",0,C106)-IF(C104="",0,C104)-IF(C84="",0,C84),1)</f>
        <v>0</v>
      </c>
      <c r="D107" s="525">
        <f>ROUND(IF(D106="",0,D106)-IF(D104="",0,D104)-IF(D84="",0,D84),1)</f>
        <v>0</v>
      </c>
      <c r="E107" s="526"/>
    </row>
    <row r="108" spans="1:5" x14ac:dyDescent="0.35">
      <c r="A108" s="160" t="s">
        <v>179</v>
      </c>
      <c r="B108" s="160" t="s">
        <v>180</v>
      </c>
      <c r="C108" s="536">
        <v>0</v>
      </c>
      <c r="D108" s="536">
        <v>0</v>
      </c>
      <c r="E108" s="385" t="str">
        <f>IF(OR(C108="", D108="",D108=0,AND(C108&gt;=0, D108&lt;=0), AND(C108&lt;=0, D108&gt;=0)),"",C108/D108-1)</f>
        <v/>
      </c>
    </row>
    <row r="109" spans="1:5" x14ac:dyDescent="0.35">
      <c r="A109" s="521" t="s">
        <v>181</v>
      </c>
      <c r="B109" s="521" t="s">
        <v>182</v>
      </c>
      <c r="C109" s="535">
        <v>137.16999999999999</v>
      </c>
      <c r="D109" s="535">
        <v>135.19999999999999</v>
      </c>
      <c r="E109" s="523">
        <f>IF(OR(C109="", D109="",D109=0,AND(C109&gt;=0, D109&lt;=0), AND(C109&lt;=0, D109&gt;=0)),"",C109/D109-1)</f>
        <v>1.4571005917159763E-2</v>
      </c>
    </row>
    <row r="110" spans="1:5" x14ac:dyDescent="0.35">
      <c r="A110" s="160" t="s">
        <v>183</v>
      </c>
      <c r="B110" s="160" t="s">
        <v>184</v>
      </c>
      <c r="C110" s="536">
        <v>19.2</v>
      </c>
      <c r="D110" s="536">
        <v>19.2</v>
      </c>
      <c r="E110" s="385">
        <f>IF(OR(C110="", D110="",D110=0,AND(C110&gt;=0, D110&lt;=0), AND(C110&lt;=0, D110&gt;=0)),"",C110/D110-1)</f>
        <v>0</v>
      </c>
    </row>
    <row r="111" spans="1:5" x14ac:dyDescent="0.35">
      <c r="A111" s="521" t="s">
        <v>185</v>
      </c>
      <c r="B111" s="521" t="s">
        <v>186</v>
      </c>
      <c r="C111" s="535">
        <v>117.97</v>
      </c>
      <c r="D111" s="535">
        <v>116</v>
      </c>
      <c r="E111" s="523">
        <f>IF(OR(C111="", D111="",D111=0,AND(C111&gt;=0, D111&lt;=0), AND(C111&lt;=0, D111&gt;=0)),"",C111/D111-1)</f>
        <v>1.6982758620689653E-2</v>
      </c>
    </row>
    <row r="112" spans="1:5" x14ac:dyDescent="0.35">
      <c r="A112" s="325" t="s">
        <v>29</v>
      </c>
      <c r="B112" s="325"/>
      <c r="C112" s="327">
        <f>ROUND(IF(C109="",0,C109)-IF(C110="",0,C110)-IF(C111="",0,C111),1)</f>
        <v>0</v>
      </c>
      <c r="D112" s="327">
        <f>ROUND(IF(D109="",0,D109)-IF(D110="",0,D110)-IF(D111="",0,D111),1)</f>
        <v>0</v>
      </c>
      <c r="E112" s="340"/>
    </row>
    <row r="113" spans="1:5" x14ac:dyDescent="0.35">
      <c r="A113" s="521" t="s">
        <v>187</v>
      </c>
      <c r="B113" s="521" t="s">
        <v>188</v>
      </c>
      <c r="C113" s="535">
        <v>391.96</v>
      </c>
      <c r="D113" s="535">
        <v>366.71</v>
      </c>
      <c r="E113" s="523">
        <f t="shared" ref="E113:E118" si="7">IF(OR(C113="", D113="",D113=0,AND(C113&gt;=0, D113&lt;=0), AND(C113&lt;=0, D113&gt;=0)),"",C113/D113-1)</f>
        <v>6.8855498895585177E-2</v>
      </c>
    </row>
    <row r="114" spans="1:5" x14ac:dyDescent="0.35">
      <c r="A114" s="160" t="s">
        <v>189</v>
      </c>
      <c r="B114" s="160" t="s">
        <v>190</v>
      </c>
      <c r="C114" s="536">
        <v>778.26</v>
      </c>
      <c r="D114" s="536">
        <v>766.2</v>
      </c>
      <c r="E114" s="385">
        <f t="shared" si="7"/>
        <v>1.574001566170713E-2</v>
      </c>
    </row>
    <row r="115" spans="1:5" x14ac:dyDescent="0.35">
      <c r="A115" s="521" t="s">
        <v>191</v>
      </c>
      <c r="B115" s="521" t="s">
        <v>192</v>
      </c>
      <c r="C115" s="535">
        <v>-24.37</v>
      </c>
      <c r="D115" s="535">
        <v>-26.93</v>
      </c>
      <c r="E115" s="523">
        <f t="shared" si="7"/>
        <v>-9.5061269959153316E-2</v>
      </c>
    </row>
    <row r="116" spans="1:5" x14ac:dyDescent="0.35">
      <c r="A116" s="160" t="s">
        <v>193</v>
      </c>
      <c r="B116" s="160" t="s">
        <v>194</v>
      </c>
      <c r="C116" s="536">
        <v>499.1</v>
      </c>
      <c r="D116" s="536">
        <v>507.76</v>
      </c>
      <c r="E116" s="385">
        <f t="shared" si="7"/>
        <v>-1.7055301717346705E-2</v>
      </c>
    </row>
    <row r="117" spans="1:5" x14ac:dyDescent="0.35">
      <c r="A117" s="521" t="s">
        <v>195</v>
      </c>
      <c r="B117" s="521" t="s">
        <v>196</v>
      </c>
      <c r="C117" s="535">
        <v>0</v>
      </c>
      <c r="D117" s="535">
        <v>0</v>
      </c>
      <c r="E117" s="523" t="str">
        <f t="shared" si="7"/>
        <v/>
      </c>
    </row>
    <row r="118" spans="1:5" ht="15.75" customHeight="1" thickBot="1" x14ac:dyDescent="0.4">
      <c r="A118" s="527" t="s">
        <v>197</v>
      </c>
      <c r="B118" s="528" t="s">
        <v>198</v>
      </c>
      <c r="C118" s="538">
        <v>499.1</v>
      </c>
      <c r="D118" s="538">
        <v>507.76</v>
      </c>
      <c r="E118" s="529">
        <f t="shared" si="7"/>
        <v>-1.7055301717346705E-2</v>
      </c>
    </row>
    <row r="119" spans="1:5" x14ac:dyDescent="0.35">
      <c r="A119" s="524" t="s">
        <v>29</v>
      </c>
      <c r="B119" s="524"/>
      <c r="C119" s="525">
        <f>ROUND(IF(C108="",0,C108)+IF(C109="",0,C109)-IF(C113="",0,C113)+IF(C114="",0,C114)+IF(C115="",0,C115)+IF(C117="",0,C117)-IF(C118="",0,C118),1)</f>
        <v>0</v>
      </c>
      <c r="D119" s="525">
        <f>ROUND(IF(D108="",0,D108)+IF(D109="",0,D109)-IF(D113="",0,D113)+IF(D114="",0,D114)+IF(D115="",0,D115)+IF(D117="",0,D117)-IF(D118="",0,D118),1)</f>
        <v>0</v>
      </c>
      <c r="E119" s="526"/>
    </row>
    <row r="120" spans="1:5" x14ac:dyDescent="0.35">
      <c r="A120" s="160" t="s">
        <v>199</v>
      </c>
      <c r="B120" s="160" t="s">
        <v>200</v>
      </c>
      <c r="C120" s="536">
        <v>821.64</v>
      </c>
      <c r="D120" s="536">
        <v>837.68</v>
      </c>
      <c r="E120" s="385">
        <f>IF(OR(C120="", D120="",D120=0,AND(C120&gt;=0, D120&lt;=0), AND(C120&lt;=0, D120&gt;=0)),"",C120/D120-1)</f>
        <v>-1.9148123388405991E-2</v>
      </c>
    </row>
    <row r="121" spans="1:5" x14ac:dyDescent="0.35">
      <c r="A121" s="524" t="s">
        <v>29</v>
      </c>
      <c r="B121" s="524"/>
      <c r="C121" s="525">
        <f>ROUND(IF(C106="",0,C106)+IF(C118="",0,C118)-IF(C120="",0,C120),1)</f>
        <v>0</v>
      </c>
      <c r="D121" s="525">
        <f>ROUND(IF(D106="",0,D106)+IF(D118="",0,D118)-IF(D120="",0,D120),1)</f>
        <v>0</v>
      </c>
      <c r="E121" s="526"/>
    </row>
    <row r="122" spans="1:5" x14ac:dyDescent="0.35">
      <c r="A122" s="155" t="s">
        <v>312</v>
      </c>
      <c r="B122" s="155" t="s">
        <v>313</v>
      </c>
      <c r="C122" s="530">
        <v>10.340999999999999</v>
      </c>
      <c r="D122" s="530">
        <v>10.486000000000001</v>
      </c>
      <c r="E122" s="338">
        <f>IF(OR(C122="", D122="",D122=0,AND(C122&gt;=0, D122&lt;=0), AND(C122&lt;=0, D122&gt;=0)),"",C122/D122-1)</f>
        <v>-1.3827961090978613E-2</v>
      </c>
    </row>
    <row r="123" spans="1:5" x14ac:dyDescent="0.35">
      <c r="A123" s="521" t="s">
        <v>296</v>
      </c>
      <c r="B123" s="521" t="s">
        <v>297</v>
      </c>
      <c r="C123" s="535">
        <v>15.82</v>
      </c>
      <c r="D123" s="535">
        <v>12.05</v>
      </c>
      <c r="E123" s="523">
        <f>IF(OR(C123="", D123="",D123=0,AND(C123&gt;=0, D123&lt;=0), AND(C123&lt;=0, D123&gt;=0)),"",C123/D123-1)</f>
        <v>0.31286307053941909</v>
      </c>
    </row>
    <row r="124" spans="1:5" x14ac:dyDescent="0.35">
      <c r="A124" s="531" t="s">
        <v>314</v>
      </c>
      <c r="B124" s="531" t="s">
        <v>315</v>
      </c>
      <c r="C124" s="539">
        <v>1.53</v>
      </c>
      <c r="D124" s="539">
        <v>1.1499999999999999</v>
      </c>
      <c r="E124" s="532">
        <f>IF(OR(C124="", D124="",D124=0,AND(C124&gt;=0, D124&lt;=0), AND(C124&lt;=0, D124&gt;=0)),"",C124/D124-1)</f>
        <v>0.33043478260869574</v>
      </c>
    </row>
  </sheetData>
  <mergeCells count="7">
    <mergeCell ref="H16:H17"/>
    <mergeCell ref="H20:H21"/>
    <mergeCell ref="I20:I21"/>
    <mergeCell ref="I16:I17"/>
    <mergeCell ref="B7:B9"/>
    <mergeCell ref="G16:G17"/>
    <mergeCell ref="G20:G21"/>
  </mergeCells>
  <conditionalFormatting sqref="C14:D14">
    <cfRule type="containsErrors" dxfId="133" priority="63">
      <formula>ISERROR(C14)</formula>
    </cfRule>
    <cfRule type="expression" dxfId="132" priority="47">
      <formula>NOT(ROUND(C14, 1) = 0)</formula>
    </cfRule>
  </conditionalFormatting>
  <conditionalFormatting sqref="C18:D18">
    <cfRule type="containsErrors" dxfId="131" priority="64">
      <formula>ISERROR(C18)</formula>
    </cfRule>
    <cfRule type="expression" dxfId="130" priority="45">
      <formula>NOT(ROUND(C18, 1) = 0)</formula>
    </cfRule>
  </conditionalFormatting>
  <conditionalFormatting sqref="C25:D25">
    <cfRule type="expression" dxfId="129" priority="5">
      <formula>NOT(ROUND(C25, 1) = 0)</formula>
    </cfRule>
    <cfRule type="containsErrors" dxfId="128" priority="6">
      <formula>ISERROR(C25)</formula>
    </cfRule>
  </conditionalFormatting>
  <conditionalFormatting sqref="C34:D34">
    <cfRule type="expression" dxfId="127" priority="3">
      <formula>NOT(ROUND(C34, 1) = 0)</formula>
    </cfRule>
    <cfRule type="containsErrors" dxfId="126" priority="4">
      <formula>ISERROR(C34)</formula>
    </cfRule>
  </conditionalFormatting>
  <conditionalFormatting sqref="C36:D36">
    <cfRule type="expression" dxfId="125" priority="1">
      <formula>NOT(ROUND(C36, 1) = 0)</formula>
    </cfRule>
    <cfRule type="containsErrors" dxfId="124" priority="83">
      <formula>ISERROR(C36)</formula>
    </cfRule>
  </conditionalFormatting>
  <conditionalFormatting sqref="C42:D42">
    <cfRule type="containsErrors" dxfId="123" priority="67">
      <formula>ISERROR(C42)</formula>
    </cfRule>
    <cfRule type="expression" dxfId="122" priority="37">
      <formula>NOT(ROUND(C42, 1) = 0)</formula>
    </cfRule>
  </conditionalFormatting>
  <conditionalFormatting sqref="C46:D46">
    <cfRule type="containsErrors" dxfId="121" priority="68">
      <formula>ISERROR(C46)</formula>
    </cfRule>
    <cfRule type="expression" dxfId="120" priority="35">
      <formula>NOT(ROUND(C46, 1) = 0)</formula>
    </cfRule>
  </conditionalFormatting>
  <conditionalFormatting sqref="C58:D58">
    <cfRule type="expression" dxfId="119" priority="33">
      <formula>NOT(ROUND(C58, 1) = 0)</formula>
    </cfRule>
    <cfRule type="containsErrors" dxfId="118" priority="69">
      <formula>ISERROR(C58)</formula>
    </cfRule>
  </conditionalFormatting>
  <conditionalFormatting sqref="C60:D60">
    <cfRule type="containsErrors" dxfId="117" priority="70">
      <formula>ISERROR(C60)</formula>
    </cfRule>
    <cfRule type="expression" dxfId="116" priority="31">
      <formula>NOT(ROUND(C60, 1) = 0)</formula>
    </cfRule>
  </conditionalFormatting>
  <conditionalFormatting sqref="C62:D62">
    <cfRule type="containsErrors" dxfId="115" priority="71">
      <formula>ISERROR(C62)</formula>
    </cfRule>
    <cfRule type="expression" dxfId="114" priority="29">
      <formula>NOT(ROUND(C62, 1) = 0)</formula>
    </cfRule>
  </conditionalFormatting>
  <conditionalFormatting sqref="C69:D69">
    <cfRule type="containsErrors" dxfId="113" priority="72">
      <formula>ISERROR(C69)</formula>
    </cfRule>
    <cfRule type="expression" dxfId="112" priority="27">
      <formula>NOT(ROUND(C69, 1) = 0)</formula>
    </cfRule>
  </conditionalFormatting>
  <conditionalFormatting sqref="C76:D76">
    <cfRule type="containsErrors" dxfId="111" priority="73">
      <formula>ISERROR(C76)</formula>
    </cfRule>
    <cfRule type="expression" dxfId="110" priority="25">
      <formula>NOT(ROUND(C76, 1) = 0)</formula>
    </cfRule>
  </conditionalFormatting>
  <conditionalFormatting sqref="C83:D83">
    <cfRule type="expression" dxfId="109" priority="23">
      <formula>NOT(ROUND(C83, 1) = 0)</formula>
    </cfRule>
    <cfRule type="containsErrors" dxfId="108" priority="74">
      <formula>ISERROR(C83)</formula>
    </cfRule>
  </conditionalFormatting>
  <conditionalFormatting sqref="C85:D85">
    <cfRule type="expression" dxfId="107" priority="21">
      <formula>NOT(ROUND(C85, 1) = 0)</formula>
    </cfRule>
    <cfRule type="containsErrors" dxfId="106" priority="75">
      <formula>ISERROR(C85)</formula>
    </cfRule>
  </conditionalFormatting>
  <conditionalFormatting sqref="C91:D91">
    <cfRule type="containsErrors" dxfId="105" priority="76">
      <formula>ISERROR(C91)</formula>
    </cfRule>
    <cfRule type="expression" dxfId="104" priority="19">
      <formula>NOT(ROUND(C91, 1) = 0)</formula>
    </cfRule>
  </conditionalFormatting>
  <conditionalFormatting sqref="C103:D103">
    <cfRule type="expression" dxfId="103" priority="15">
      <formula>NOT(ROUND(C103, 1) = 0)</formula>
    </cfRule>
    <cfRule type="containsErrors" dxfId="102" priority="77">
      <formula>ISERROR(C103)</formula>
    </cfRule>
  </conditionalFormatting>
  <conditionalFormatting sqref="C105:D105">
    <cfRule type="expression" dxfId="101" priority="13">
      <formula>NOT(ROUND(C105, 1) = 0)</formula>
    </cfRule>
    <cfRule type="containsErrors" dxfId="100" priority="78">
      <formula>ISERROR(C105)</formula>
    </cfRule>
  </conditionalFormatting>
  <conditionalFormatting sqref="C107:D107">
    <cfRule type="expression" dxfId="99" priority="51">
      <formula>NOT(ROUND(C107, 1) = 0)</formula>
    </cfRule>
    <cfRule type="containsErrors" dxfId="98" priority="79">
      <formula>ISERROR(C107)</formula>
    </cfRule>
  </conditionalFormatting>
  <conditionalFormatting sqref="C112:D112">
    <cfRule type="expression" dxfId="97" priority="11">
      <formula>NOT(ROUND(C112, 1) = 0)</formula>
    </cfRule>
    <cfRule type="containsErrors" dxfId="96" priority="80">
      <formula>ISERROR(C112)</formula>
    </cfRule>
  </conditionalFormatting>
  <conditionalFormatting sqref="C119:D119">
    <cfRule type="expression" dxfId="95" priority="9">
      <formula>NOT(ROUND(C119, 1) = 0)</formula>
    </cfRule>
    <cfRule type="containsErrors" dxfId="94" priority="81">
      <formula>ISERROR(C119)</formula>
    </cfRule>
  </conditionalFormatting>
  <conditionalFormatting sqref="C121:D121">
    <cfRule type="expression" dxfId="93" priority="7">
      <formula>NOT(ROUND(C121, 1) = 0)</formula>
    </cfRule>
    <cfRule type="containsErrors" dxfId="92" priority="82">
      <formula>ISERROR(C121)</formula>
    </cfRule>
  </conditionalFormatting>
  <conditionalFormatting sqref="L1">
    <cfRule type="cellIs" dxfId="91" priority="60" operator="notEqual">
      <formula>0</formula>
    </cfRule>
    <cfRule type="cellIs" dxfId="90" priority="61" operator="equal">
      <formula>0</formula>
    </cfRule>
    <cfRule type="containsErrors" dxfId="89" priority="59">
      <formula>ISERROR(L1)</formula>
    </cfRule>
  </conditionalFormatting>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5"/>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35.54296875" style="2" customWidth="1"/>
    <col min="2" max="2" width="30.1796875" hidden="1" customWidth="1"/>
    <col min="3" max="3" width="12.54296875" bestFit="1" customWidth="1"/>
    <col min="4" max="4" width="9.81640625" bestFit="1" customWidth="1"/>
    <col min="5" max="5" width="11.453125" bestFit="1" customWidth="1"/>
    <col min="6" max="6" width="9.54296875" customWidth="1"/>
    <col min="7" max="8" width="10.7265625" bestFit="1" customWidth="1"/>
    <col min="9" max="9" width="13.7265625" bestFit="1" customWidth="1"/>
    <col min="11" max="11" width="19.26953125" bestFit="1" customWidth="1"/>
    <col min="12" max="12" width="19.26953125" customWidth="1"/>
  </cols>
  <sheetData>
    <row r="1" spans="1:12" x14ac:dyDescent="0.35">
      <c r="A1" s="2" t="s">
        <v>0</v>
      </c>
      <c r="C1" t="str">
        <f>IF('Balance Sheet - Standardized'!C1="","",'Balance Sheet - Standardized'!C1)</f>
        <v>LNN</v>
      </c>
      <c r="D1" t="str">
        <f>'Balance Sheet - Standardized'!D1</f>
        <v>US</v>
      </c>
      <c r="K1" s="180" t="s">
        <v>3</v>
      </c>
      <c r="L1">
        <f t="array" ref="L1">SUM(--ISERROR($C$15:$H$15), --ISERROR($C$20:$H$20), --ISERROR($C$22:$H$22), --ISERROR($C$31:$H$31), --ISERROR($C$33:$H$33), --ISERROR($C$38:$H$38), --ISERROR($C$43:$H$43), --ISERROR($C$45:$H$45), --ISERROR($C$51:$H$51), --ISERROR($C$53:$H$53), --ISERROR($C$57:$H$57), --ISERROR($C$61:$H$61), --ISERROR($C$65:$H$65), COUNT($C$15:$D$15) - COUNTIFS($C$15:$D$15,"&gt;-.1",$C$15:$D$15,"&lt;.1"),COUNT($C$20:$D$20) - COUNTIFS($C$20:$D$20,"&gt;-.1",$C$20:$D$20,"&lt;.1"),COUNT($C$22:$D$22) - COUNTIFS($C$22:$D$22,"&gt;-.1",$C$22:$D$22,"&lt;.1"),COUNT($C$31:$D$31) - COUNTIFS($C$31:$D$31,"&gt;-.1",$C$31:$D$31,"&lt;.1"),COUNT($C$33:$D$33) - COUNTIFS($C$33:$D$33,"&gt;-.1",$C$33:$D$33,"&lt;.1"),COUNT($C$38:$D$38) - COUNTIFS($C$38:$D$38,"&gt;-.1",$C$38:$D$38,"&lt;.1"),COUNT($C$43:$D$43) - COUNTIFS($C$43:$D$43,"&gt;-.1",$C$43:$D$43,"&lt;.1"),COUNT($C$45:$D$45) - COUNTIFS($C$45:$D$45,"&gt;-.1",$C$45:$D$45,"&lt;.1"),COUNT($C$51:$D$51) - COUNTIFS($C$51:$D$51,"&gt;-.1",$C$51:$D$51,"&lt;.1"),COUNT($C$53:$D$53) - COUNTIFS($C$53:$D$53,"&gt;-.1",$C$53:$D$53,"&lt;.1"),COUNT($C$57:$D$57) - COUNTIFS($C$57:$D$57,"&gt;-.1",$C$57:$D$57,"&lt;.1"),COUNT($C$61:$D$61) - COUNTIFS($C$61:$D$61,"&gt;-.1",$C$61:$D$61,"&lt;.1"),COUNT($C$65:$D$65) - COUNTIFS($C$65:$D$65,"&gt;-.1",$C$65:$D$65,"&lt;.1"),COUNT($G$15:$H$15) - COUNTIFS($G$15:$H$15,"&gt;-.1",$G$15:$H$15,"&lt;.1"),COUNT($G$20:$H$20) - COUNTIFS($G$20:$H$20,"&gt;-.1",$G$20:$H$20,"&lt;.1"),COUNT($G$22:$H$22) - COUNTIFS($G$22:$H$22,"&gt;-.1",$G$22:$H$22,"&lt;.1"),COUNT($G$31:$H$31) - COUNTIFS($G$31:$H$31,"&gt;-.1",$G$31:$H$31,"&lt;.1"),COUNT($G$33:$H$33) - COUNTIFS($G$33:$H$33,"&gt;-.1",$G$33:$H$33,"&lt;.1"),COUNT($G$38:$H$38) - COUNTIFS($G$38:$H$38,"&gt;-.1",$G$38:$H$38,"&lt;.1"),COUNT($G$43:$H$43) - COUNTIFS($G$43:$H$43,"&gt;-.1",$G$43:$H$43,"&lt;.1"),COUNT($G$45:$H$45) - COUNTIFS($G$45:$H$45,"&gt;-.1",$G$45:$H$45,"&lt;.1"),COUNT($G$51:$H$51) - COUNTIFS($G$51:$H$51,"&gt;-.1",$G$51:$H$51,"&lt;.1"),COUNT($G$53:$H$53) - COUNTIFS($G$53:$H$53,"&gt;-.1",$G$53:$H$53,"&lt;.1"),COUNT($G$57:$H$57) - COUNTIFS($G$57:$H$57,"&gt;-.1",$G$57:$H$57,"&lt;.1"),COUNT($G$61:$H$61) - COUNTIFS($G$61:$H$61,"&gt;-.1",$G$61:$H$61,"&lt;.1"),COUNT($G$65:$H$65) - COUNTIFS($G$65:$H$65,"&gt;-.1",$G$65:$H$65,"&lt;.1"))</f>
        <v>0</v>
      </c>
    </row>
    <row r="2" spans="1:12" x14ac:dyDescent="0.35">
      <c r="C2" t="str">
        <f>"F"&amp;B4&amp;" "&amp;LEFT(B6,4)</f>
        <v>FQ3 2026</v>
      </c>
      <c r="D2" t="str">
        <f>LEFT(C2,4)&amp;RIGHT(C2,4)-1</f>
        <v>FQ3 2025</v>
      </c>
    </row>
    <row r="3" spans="1:12" hidden="1" x14ac:dyDescent="0.35">
      <c r="B3" t="s">
        <v>7</v>
      </c>
    </row>
    <row r="4" spans="1:12" hidden="1" x14ac:dyDescent="0.35">
      <c r="B4" t="str">
        <f>'Balance Sheet - Standardized'!O5</f>
        <v>Q3</v>
      </c>
      <c r="C4" s="20">
        <v>46173</v>
      </c>
      <c r="D4" s="20">
        <v>45808</v>
      </c>
      <c r="E4" s="20"/>
    </row>
    <row r="5" spans="1:12" hidden="1" x14ac:dyDescent="0.35">
      <c r="B5" t="s">
        <v>6</v>
      </c>
      <c r="C5" t="s">
        <v>18</v>
      </c>
      <c r="D5" t="s">
        <v>486</v>
      </c>
    </row>
    <row r="6" spans="1:12" ht="15.75" hidden="1" customHeight="1" thickBot="1" x14ac:dyDescent="0.4">
      <c r="B6" t="str">
        <f>'Balance Sheet - Standardized'!N5</f>
        <v>2026 Q3</v>
      </c>
    </row>
    <row r="7" spans="1:12" ht="23.25" customHeight="1" thickBot="1" x14ac:dyDescent="0.4">
      <c r="A7" s="374" t="s">
        <v>487</v>
      </c>
      <c r="B7" s="375"/>
      <c r="C7" s="578" t="s">
        <v>488</v>
      </c>
      <c r="D7" s="579"/>
      <c r="E7" s="376"/>
      <c r="G7" s="394"/>
      <c r="H7" s="344"/>
      <c r="I7" s="376"/>
    </row>
    <row r="8" spans="1:12" ht="22.5" customHeight="1" x14ac:dyDescent="0.35">
      <c r="A8" s="377"/>
      <c r="B8" s="158"/>
      <c r="C8" s="378">
        <f>C4</f>
        <v>46173</v>
      </c>
      <c r="D8" s="378">
        <f>D4</f>
        <v>45808</v>
      </c>
      <c r="E8" s="379" t="s">
        <v>489</v>
      </c>
      <c r="G8" s="395">
        <f>C8</f>
        <v>46173</v>
      </c>
      <c r="H8" s="167">
        <f>D8</f>
        <v>45808</v>
      </c>
      <c r="I8" s="379" t="s">
        <v>490</v>
      </c>
    </row>
    <row r="9" spans="1:12" x14ac:dyDescent="0.35">
      <c r="A9" s="377"/>
      <c r="B9" s="158"/>
      <c r="C9" s="158" t="str">
        <f>"F"&amp;RIGHT(C5,2)&amp;" "&amp;LEFT(C5,4)</f>
        <v>FQ3 2026</v>
      </c>
      <c r="D9" s="158" t="str">
        <f>"F"&amp;RIGHT(D5,2)&amp;" "&amp;LEFT(D5,4)</f>
        <v>FQ3 2025</v>
      </c>
      <c r="E9" s="380" t="s">
        <v>491</v>
      </c>
      <c r="G9" s="396" t="str">
        <f>"C"&amp;RIGHT(C9,7)</f>
        <v>CQ3 2026</v>
      </c>
      <c r="H9" s="154" t="str">
        <f>"C"&amp;RIGHT(D9,7)</f>
        <v>CQ3 2025</v>
      </c>
      <c r="I9" s="380" t="s">
        <v>491</v>
      </c>
    </row>
    <row r="10" spans="1:12" x14ac:dyDescent="0.35">
      <c r="A10" s="381"/>
      <c r="B10" s="382"/>
      <c r="C10" s="162"/>
      <c r="D10" s="162"/>
      <c r="E10" s="383"/>
      <c r="G10" s="397"/>
      <c r="H10" s="162"/>
      <c r="I10" s="383"/>
    </row>
    <row r="11" spans="1:12" ht="15.75" customHeight="1" thickBot="1" x14ac:dyDescent="0.4">
      <c r="A11" s="441" t="s">
        <v>220</v>
      </c>
      <c r="B11" s="442" t="s">
        <v>221</v>
      </c>
      <c r="C11" s="540">
        <v>160.76</v>
      </c>
      <c r="D11" s="540">
        <v>169.46</v>
      </c>
      <c r="E11" s="341">
        <f>IF(OR(C11="", D11="",D11=0,AND(C11&gt;=0, D11&lt;=0), AND(C11&lt;=0, D11&gt;=0)),"",C11/D11-1)</f>
        <v>-5.1339549156143138E-2</v>
      </c>
      <c r="G11" s="398"/>
      <c r="H11" s="163"/>
      <c r="I11" s="341" t="str">
        <f>IF(OR(G11="", H11="",H11=0,AND(G11&gt;=0, H11&lt;=0), AND(G11&lt;=0, H11&gt;=0)),"",G11/H11-1)</f>
        <v/>
      </c>
    </row>
    <row r="12" spans="1:12" x14ac:dyDescent="0.35">
      <c r="A12" s="384" t="s">
        <v>222</v>
      </c>
      <c r="B12" s="160" t="s">
        <v>223</v>
      </c>
      <c r="C12" s="536">
        <v>160.76</v>
      </c>
      <c r="D12" s="536">
        <v>169.46</v>
      </c>
      <c r="E12" s="385">
        <f>IF(OR(C12="", D12="",D12=0,AND(C12&gt;=0, D12&lt;=0), AND(C12&lt;=0, D12&gt;=0)),"",C12/D12-1)</f>
        <v>-5.1339549156143138E-2</v>
      </c>
      <c r="G12" s="399"/>
      <c r="H12" s="164"/>
      <c r="I12" s="385" t="str">
        <f>IF(OR(G12="", H12="",H12=0,AND(G12&gt;=0, H12&lt;=0), AND(G12&lt;=0, H12&gt;=0)),"",G12/H12-1)</f>
        <v/>
      </c>
    </row>
    <row r="13" spans="1:12" x14ac:dyDescent="0.35">
      <c r="A13" s="386" t="s">
        <v>224</v>
      </c>
      <c r="B13" s="159" t="s">
        <v>225</v>
      </c>
      <c r="C13" s="165"/>
      <c r="D13" s="165"/>
      <c r="E13" s="339" t="str">
        <f>IF(OR(C13="", D13="",D13=0,AND(C13&gt;=0, D13&lt;=0), AND(C13&lt;=0, D13&gt;=0)),"",C13/D13-1)</f>
        <v/>
      </c>
      <c r="G13" s="400"/>
      <c r="H13" s="165"/>
      <c r="I13" s="339" t="str">
        <f>IF(OR(G13="", H13="",H13=0,AND(G13&gt;=0, H13&lt;=0), AND(G13&lt;=0, H13&gt;=0)),"",G13/H13-1)</f>
        <v/>
      </c>
    </row>
    <row r="14" spans="1:12" x14ac:dyDescent="0.35">
      <c r="A14" s="384" t="s">
        <v>226</v>
      </c>
      <c r="B14" s="160" t="s">
        <v>227</v>
      </c>
      <c r="C14" s="164"/>
      <c r="D14" s="164"/>
      <c r="E14" s="385" t="str">
        <f>IF(OR(C14="", D14="",D14=0,AND(C14&gt;=0, D14&lt;=0), AND(C14&lt;=0, D14&gt;=0)),"",C14/D14-1)</f>
        <v/>
      </c>
      <c r="G14" s="399"/>
      <c r="H14" s="164"/>
      <c r="I14" s="385" t="str">
        <f>IF(OR(G14="", H14="",H14=0,AND(G14&gt;=0, H14&lt;=0), AND(G14&lt;=0, H14&gt;=0)),"",G14/H14-1)</f>
        <v/>
      </c>
    </row>
    <row r="15" spans="1:12" x14ac:dyDescent="0.35">
      <c r="A15" s="426" t="s">
        <v>29</v>
      </c>
      <c r="B15" s="426"/>
      <c r="C15" s="427">
        <f>ROUND(IF(C11="",0,C11)-IF(C12="",0,C12)-IF(C13="",0,C13)-IF(C14="",0,C14),1)</f>
        <v>0</v>
      </c>
      <c r="D15" s="427">
        <f>ROUND(IF(D11="",0,D11)-IF(D12="",0,D12)-IF(D13="",0,D13)-IF(D14="",0,D14),1)</f>
        <v>0</v>
      </c>
      <c r="E15" s="428"/>
      <c r="G15" s="447">
        <f>ROUND(IF(G11="",0,G11)-IF(G12="",0,G12)-IF(G13="",0,G13)-IF(G14="",0,G14),1)</f>
        <v>0</v>
      </c>
      <c r="H15" s="427">
        <f>ROUND(IF(H11="",0,H11)-IF(H12="",0,H12)-IF(H13="",0,H13)-IF(H14="",0,H14),1)</f>
        <v>0</v>
      </c>
      <c r="I15" s="428"/>
    </row>
    <row r="16" spans="1:12" x14ac:dyDescent="0.35">
      <c r="A16" s="384" t="s">
        <v>228</v>
      </c>
      <c r="B16" s="160" t="s">
        <v>229</v>
      </c>
      <c r="C16" s="536">
        <v>112.93</v>
      </c>
      <c r="D16" s="536">
        <v>115.84</v>
      </c>
      <c r="E16" s="385">
        <f>IF(OR(C16="", D16="",D16=0,AND(C16&gt;=0, D16&lt;=0), AND(C16&lt;=0, D16&gt;=0)),"",C16/D16-1)</f>
        <v>-2.5120856353591181E-2</v>
      </c>
      <c r="G16" s="399"/>
      <c r="H16" s="164"/>
      <c r="I16" s="385" t="str">
        <f>IF(OR(G16="", H16="",H16=0,AND(G16&gt;=0, H16&lt;=0), AND(G16&lt;=0, H16&gt;=0)),"",G16/H16-1)</f>
        <v/>
      </c>
    </row>
    <row r="17" spans="1:12" x14ac:dyDescent="0.35">
      <c r="A17" s="386" t="s">
        <v>230</v>
      </c>
      <c r="B17" s="159" t="s">
        <v>231</v>
      </c>
      <c r="C17" s="533">
        <v>112.93</v>
      </c>
      <c r="D17" s="533">
        <v>115.84</v>
      </c>
      <c r="E17" s="339">
        <f>IF(OR(C17="", D17="",D17=0,AND(C17&gt;=0, D17&lt;=0), AND(C17&lt;=0, D17&gt;=0)),"",C17/D17-1)</f>
        <v>-2.5120856353591181E-2</v>
      </c>
      <c r="G17" s="400"/>
      <c r="H17" s="165"/>
      <c r="I17" s="339" t="str">
        <f>IF(OR(G17="", H17="",H17=0,AND(G17&gt;=0, H17&lt;=0), AND(G17&lt;=0, H17&gt;=0)),"",G17/H17-1)</f>
        <v/>
      </c>
    </row>
    <row r="18" spans="1:12" x14ac:dyDescent="0.35">
      <c r="A18" s="384" t="s">
        <v>232</v>
      </c>
      <c r="B18" s="160" t="s">
        <v>233</v>
      </c>
      <c r="C18" s="164"/>
      <c r="D18" s="164"/>
      <c r="E18" s="385" t="str">
        <f>IF(OR(C18="", D18="",D18=0,AND(C18&gt;=0, D18&lt;=0), AND(C18&lt;=0, D18&gt;=0)),"",C18/D18-1)</f>
        <v/>
      </c>
      <c r="G18" s="399"/>
      <c r="H18" s="164"/>
      <c r="I18" s="385" t="str">
        <f>IF(OR(G18="", H18="",H18=0,AND(G18&gt;=0, H18&lt;=0), AND(G18&lt;=0, H18&gt;=0)),"",G18/H18-1)</f>
        <v/>
      </c>
    </row>
    <row r="19" spans="1:12" x14ac:dyDescent="0.35">
      <c r="A19" s="386" t="s">
        <v>234</v>
      </c>
      <c r="B19" s="159" t="s">
        <v>235</v>
      </c>
      <c r="C19" s="165"/>
      <c r="D19" s="165"/>
      <c r="E19" s="339" t="str">
        <f>IF(OR(C19="", D19="",D19=0,AND(C19&gt;=0, D19&lt;=0), AND(C19&lt;=0, D19&gt;=0)),"",C19/D19-1)</f>
        <v/>
      </c>
      <c r="G19" s="400"/>
      <c r="H19" s="165"/>
      <c r="I19" s="339" t="str">
        <f>IF(OR(G19="", H19="",H19=0,AND(G19&gt;=0, H19&lt;=0), AND(G19&lt;=0, H19&gt;=0)),"",G19/H19-1)</f>
        <v/>
      </c>
      <c r="K19" s="575" t="s">
        <v>324</v>
      </c>
      <c r="L19" s="574"/>
    </row>
    <row r="20" spans="1:12" x14ac:dyDescent="0.35">
      <c r="A20" s="325" t="s">
        <v>29</v>
      </c>
      <c r="B20" s="325"/>
      <c r="C20" s="327">
        <f>ROUND(IF(C16="",0,C16)-IF(C17="",0,C17)-IF(C18="",0,C18)-IF(C19="",0,C19),1)</f>
        <v>0</v>
      </c>
      <c r="D20" s="327">
        <f>ROUND(IF(D16="",0,D16)-IF(D17="",0,D17)-IF(D18="",0,D18)-IF(D19="",0,D19),1)</f>
        <v>0</v>
      </c>
      <c r="E20" s="340"/>
      <c r="G20" s="443">
        <f>ROUND(IF(G16="",0,G16)-IF(G17="",0,G17)-IF(G18="",0,G18)-IF(G19="",0,G19),1)</f>
        <v>0</v>
      </c>
      <c r="H20" s="327">
        <f>ROUND(IF(H16="",0,H16)-IF(H17="",0,H17)-IF(H18="",0,H18)-IF(H19="",0,H19),1)</f>
        <v>0</v>
      </c>
      <c r="I20" s="340"/>
      <c r="K20" s="517" t="str">
        <f>G9</f>
        <v>CQ3 2026</v>
      </c>
      <c r="L20" s="517" t="str">
        <f>H9</f>
        <v>CQ3 2025</v>
      </c>
    </row>
    <row r="21" spans="1:12" x14ac:dyDescent="0.35">
      <c r="A21" s="386" t="s">
        <v>236</v>
      </c>
      <c r="B21" s="159" t="s">
        <v>237</v>
      </c>
      <c r="C21" s="533">
        <v>47.83</v>
      </c>
      <c r="D21" s="533">
        <v>53.62</v>
      </c>
      <c r="E21" s="339">
        <f>IF(OR(C21="", D21="",D21=0,AND(C21&gt;=0, D21&lt;=0), AND(C21&lt;=0, D21&gt;=0)),"",C21/D21-1)</f>
        <v>-0.10798209623274901</v>
      </c>
      <c r="G21" s="444"/>
      <c r="H21" s="445"/>
      <c r="I21" s="446" t="str">
        <f>IF(OR(G21="", H21="",H21=0,AND(G21&gt;=0, H21&lt;=0), AND(G21&lt;=0, H21&gt;=0)),"",G21/H21-1)</f>
        <v/>
      </c>
      <c r="K21" s="516" t="e">
        <f>G21/G11</f>
        <v>#DIV/0!</v>
      </c>
      <c r="L21" s="516" t="e">
        <f>H21/H11</f>
        <v>#DIV/0!</v>
      </c>
    </row>
    <row r="22" spans="1:12" x14ac:dyDescent="0.35">
      <c r="A22" s="325" t="s">
        <v>29</v>
      </c>
      <c r="B22" s="325"/>
      <c r="C22" s="327">
        <f>ROUND(IF(C11="",0,C11)-IF(C16="",0,C16)-IF(C21="",0,C21),1)</f>
        <v>0</v>
      </c>
      <c r="D22" s="327">
        <f>ROUND(IF(D11="",0,D11)-IF(D16="",0,D16)-IF(D21="",0,D21),1)</f>
        <v>0</v>
      </c>
      <c r="E22" s="340"/>
      <c r="G22" s="402">
        <f>ROUND(IF(G11="",0,G11)-IF(G16="",0,G16)-IF(G21="",0,G21),1)</f>
        <v>0</v>
      </c>
      <c r="H22" s="329">
        <f>ROUND(IF(H11="",0,H11)-IF(H16="",0,H16)-IF(H21="",0,H21),1)</f>
        <v>0</v>
      </c>
      <c r="I22" s="388"/>
    </row>
    <row r="23" spans="1:12" x14ac:dyDescent="0.35">
      <c r="A23" s="386" t="s">
        <v>238</v>
      </c>
      <c r="B23" s="159" t="s">
        <v>239</v>
      </c>
      <c r="C23" s="533">
        <v>0</v>
      </c>
      <c r="D23" s="533">
        <v>0</v>
      </c>
      <c r="E23" s="339" t="str">
        <f t="shared" ref="E23:E30" si="0">IF(OR(C23="", D23="",D23=0,AND(C23&gt;=0, D23&lt;=0), AND(C23&lt;=0, D23&gt;=0)),"",C23/D23-1)</f>
        <v/>
      </c>
      <c r="G23" s="400"/>
      <c r="H23" s="165"/>
      <c r="I23" s="339" t="str">
        <f t="shared" ref="I23:I30" si="1">IF(OR(G23="", H23="",H23=0,AND(G23&gt;=0, H23&lt;=0), AND(G23&lt;=0, H23&gt;=0)),"",G23/H23-1)</f>
        <v/>
      </c>
    </row>
    <row r="24" spans="1:12" x14ac:dyDescent="0.35">
      <c r="A24" s="384" t="s">
        <v>240</v>
      </c>
      <c r="B24" s="160" t="s">
        <v>241</v>
      </c>
      <c r="C24" s="536">
        <v>29.32</v>
      </c>
      <c r="D24" s="536">
        <v>29.83</v>
      </c>
      <c r="E24" s="385">
        <f t="shared" si="0"/>
        <v>-1.7096882333221486E-2</v>
      </c>
      <c r="G24" s="399"/>
      <c r="H24" s="164"/>
      <c r="I24" s="385" t="str">
        <f t="shared" si="1"/>
        <v/>
      </c>
    </row>
    <row r="25" spans="1:12" x14ac:dyDescent="0.35">
      <c r="A25" s="386" t="s">
        <v>242</v>
      </c>
      <c r="B25" s="159" t="s">
        <v>243</v>
      </c>
      <c r="C25" s="533">
        <v>24.67</v>
      </c>
      <c r="D25" s="533">
        <v>25.12</v>
      </c>
      <c r="E25" s="339">
        <f t="shared" si="0"/>
        <v>-1.7914012738853513E-2</v>
      </c>
      <c r="G25" s="541">
        <v>0</v>
      </c>
      <c r="H25" s="542">
        <v>0</v>
      </c>
      <c r="I25" s="339" t="str">
        <f t="shared" si="1"/>
        <v/>
      </c>
    </row>
    <row r="26" spans="1:12" x14ac:dyDescent="0.35">
      <c r="A26" s="384" t="s">
        <v>244</v>
      </c>
      <c r="B26" s="160" t="s">
        <v>245</v>
      </c>
      <c r="C26" s="536">
        <v>10.32</v>
      </c>
      <c r="D26" s="536">
        <v>10.220000000000001</v>
      </c>
      <c r="E26" s="385">
        <f t="shared" si="0"/>
        <v>9.7847358121330164E-3</v>
      </c>
      <c r="G26" s="399"/>
      <c r="H26" s="164"/>
      <c r="I26" s="385" t="str">
        <f t="shared" si="1"/>
        <v/>
      </c>
    </row>
    <row r="27" spans="1:12" x14ac:dyDescent="0.35">
      <c r="A27" s="386" t="s">
        <v>246</v>
      </c>
      <c r="B27" s="159" t="s">
        <v>247</v>
      </c>
      <c r="C27" s="533">
        <v>14.35</v>
      </c>
      <c r="D27" s="533">
        <v>14.9</v>
      </c>
      <c r="E27" s="339">
        <f t="shared" si="0"/>
        <v>-3.6912751677852351E-2</v>
      </c>
      <c r="G27" s="400"/>
      <c r="H27" s="165"/>
      <c r="I27" s="339" t="str">
        <f t="shared" si="1"/>
        <v/>
      </c>
    </row>
    <row r="28" spans="1:12" x14ac:dyDescent="0.35">
      <c r="A28" s="384" t="s">
        <v>248</v>
      </c>
      <c r="B28" s="160" t="s">
        <v>249</v>
      </c>
      <c r="C28" s="536">
        <v>4.6500000000000004</v>
      </c>
      <c r="D28" s="536">
        <v>4.71</v>
      </c>
      <c r="E28" s="385">
        <f t="shared" si="0"/>
        <v>-1.27388535031846E-2</v>
      </c>
      <c r="G28" s="399"/>
      <c r="H28" s="164"/>
      <c r="I28" s="385" t="str">
        <f t="shared" si="1"/>
        <v/>
      </c>
    </row>
    <row r="29" spans="1:12" x14ac:dyDescent="0.35">
      <c r="A29" s="386" t="s">
        <v>250</v>
      </c>
      <c r="B29" s="159" t="s">
        <v>251</v>
      </c>
      <c r="C29" s="165"/>
      <c r="D29" s="165"/>
      <c r="E29" s="339" t="str">
        <f t="shared" si="0"/>
        <v/>
      </c>
      <c r="G29" s="400"/>
      <c r="H29" s="165"/>
      <c r="I29" s="339" t="str">
        <f t="shared" si="1"/>
        <v/>
      </c>
    </row>
    <row r="30" spans="1:12" x14ac:dyDescent="0.35">
      <c r="A30" s="384" t="s">
        <v>252</v>
      </c>
      <c r="B30" s="160" t="s">
        <v>253</v>
      </c>
      <c r="C30" s="536">
        <v>0</v>
      </c>
      <c r="D30" s="536">
        <v>0</v>
      </c>
      <c r="E30" s="385" t="str">
        <f t="shared" si="0"/>
        <v/>
      </c>
      <c r="G30" s="399"/>
      <c r="H30" s="164"/>
      <c r="I30" s="385" t="str">
        <f t="shared" si="1"/>
        <v/>
      </c>
      <c r="K30" s="576" t="s">
        <v>326</v>
      </c>
      <c r="L30" s="577"/>
    </row>
    <row r="31" spans="1:12" x14ac:dyDescent="0.35">
      <c r="A31" s="426" t="s">
        <v>29</v>
      </c>
      <c r="B31" s="426"/>
      <c r="C31" s="427">
        <f>ROUND(IF(C24="",0,C24)-IF(C25="",0,C25)-IF(C28="",0,C28)-IF(C29="",0,C29)-IF(C30="",0,C30),1)</f>
        <v>0</v>
      </c>
      <c r="D31" s="427">
        <f>ROUND(IF(D24="",0,D24)-IF(D25="",0,D25)-IF(D28="",0,D28)-IF(D29="",0,D29)-IF(D30="",0,D30),1)</f>
        <v>0</v>
      </c>
      <c r="E31" s="428"/>
      <c r="G31" s="447">
        <f>ROUND(IF(G24="",0,G24)-IF(G25="",0,G25)-IF(G28="",0,G28)-IF(G29="",0,G29)-IF(G30="",0,G30),1)</f>
        <v>0</v>
      </c>
      <c r="H31" s="427">
        <f>ROUND(IF(H24="",0,H24)-IF(H25="",0,H25)-IF(H28="",0,H28)-IF(H29="",0,H29)-IF(H30="",0,H30),1)</f>
        <v>0</v>
      </c>
      <c r="I31" s="339"/>
      <c r="K31" s="517" t="str">
        <f>K20</f>
        <v>CQ3 2026</v>
      </c>
      <c r="L31" s="517" t="str">
        <f>L20</f>
        <v>CQ3 2025</v>
      </c>
    </row>
    <row r="32" spans="1:12" x14ac:dyDescent="0.35">
      <c r="A32" s="384" t="s">
        <v>254</v>
      </c>
      <c r="B32" s="160" t="s">
        <v>255</v>
      </c>
      <c r="C32" s="536">
        <v>18.510000000000002</v>
      </c>
      <c r="D32" s="536">
        <v>23.79</v>
      </c>
      <c r="E32" s="385">
        <f>IF(OR(C32="", D32="",D32=0,AND(C32&gt;=0, D32&lt;=0), AND(C32&lt;=0, D32&gt;=0)),"",C32/D32-1)</f>
        <v>-0.22194199243379564</v>
      </c>
      <c r="G32" s="399"/>
      <c r="H32" s="164"/>
      <c r="I32" s="385" t="str">
        <f t="shared" ref="I32:I37" si="2">IF(OR(G32="", H32="",H32=0,AND(G32&gt;=0, H32&lt;=0), AND(G32&lt;=0, H32&gt;=0)),"",G32/H32-1)</f>
        <v/>
      </c>
      <c r="K32" s="516" t="e">
        <f>G32/G11</f>
        <v>#DIV/0!</v>
      </c>
      <c r="L32" s="516" t="e">
        <f>H32/H11</f>
        <v>#DIV/0!</v>
      </c>
    </row>
    <row r="33" spans="1:9" x14ac:dyDescent="0.35">
      <c r="A33" s="387" t="s">
        <v>29</v>
      </c>
      <c r="B33" s="326"/>
      <c r="C33" s="328">
        <f>ROUND(IF(C21="",0,C21)+IF(C23="",0,C23)-IF(C24="",0,C24)-IF(C32="",0,C32),1)</f>
        <v>0</v>
      </c>
      <c r="D33" s="328">
        <f>ROUND(IF(D21="",0,D21)+IF(D23="",0,D23)-IF(D24="",0,D24)-IF(D32="",0,D32),1)</f>
        <v>0</v>
      </c>
      <c r="E33" s="342"/>
      <c r="G33" s="401">
        <f>ROUND(IF(G21="",0,G21)+IF(G23="",0,G23)-IF(G24="",0,G24)-IF(G32="",0,G32),1)</f>
        <v>0</v>
      </c>
      <c r="H33" s="328">
        <f>ROUND(IF(H21="",0,H21)+IF(H23="",0,H23)-IF(H24="",0,H24)-IF(H32="",0,H32),1)</f>
        <v>0</v>
      </c>
      <c r="I33" s="342" t="str">
        <f t="shared" si="2"/>
        <v/>
      </c>
    </row>
    <row r="34" spans="1:9" x14ac:dyDescent="0.35">
      <c r="A34" s="384" t="s">
        <v>256</v>
      </c>
      <c r="B34" s="160" t="s">
        <v>257</v>
      </c>
      <c r="C34" s="536">
        <v>-2.0699999999999998</v>
      </c>
      <c r="D34" s="536">
        <v>-1.92</v>
      </c>
      <c r="E34" s="385">
        <f>IF(OR(C34="", D34="",D34=0,AND(C34&gt;=0, D34&lt;=0), AND(C34&lt;=0, D34&gt;=0)),"",C34/D34-1)</f>
        <v>7.8125E-2</v>
      </c>
      <c r="G34" s="399"/>
      <c r="H34" s="164"/>
      <c r="I34" s="385" t="str">
        <f t="shared" si="2"/>
        <v/>
      </c>
    </row>
    <row r="35" spans="1:9" x14ac:dyDescent="0.35">
      <c r="A35" s="386" t="s">
        <v>258</v>
      </c>
      <c r="B35" s="448" t="s">
        <v>259</v>
      </c>
      <c r="C35" s="533">
        <v>-2.3199999999999998</v>
      </c>
      <c r="D35" s="533">
        <v>-1.9</v>
      </c>
      <c r="E35" s="339">
        <f>IF(OR(C35="", D35="",D35=0,AND(C35&gt;=0, D35&lt;=0), AND(C35&lt;=0, D35&gt;=0)),"",C35/D35-1)</f>
        <v>0.22105263157894739</v>
      </c>
      <c r="G35" s="543">
        <v>0</v>
      </c>
      <c r="H35" s="533">
        <v>0</v>
      </c>
      <c r="I35" s="339" t="str">
        <f t="shared" si="2"/>
        <v/>
      </c>
    </row>
    <row r="36" spans="1:9" x14ac:dyDescent="0.35">
      <c r="A36" s="384" t="s">
        <v>492</v>
      </c>
      <c r="B36" s="160" t="s">
        <v>261</v>
      </c>
      <c r="C36" s="164"/>
      <c r="D36" s="536">
        <v>0.35</v>
      </c>
      <c r="E36" s="385" t="str">
        <f>IF(OR(C36="", D36="",D36=0,AND(C36&gt;=0, D36&lt;=0), AND(C36&lt;=0, D36&gt;=0)),"",C36/D36-1)</f>
        <v/>
      </c>
      <c r="G36" s="399"/>
      <c r="H36" s="164"/>
      <c r="I36" s="385" t="str">
        <f t="shared" si="2"/>
        <v/>
      </c>
    </row>
    <row r="37" spans="1:9" x14ac:dyDescent="0.35">
      <c r="A37" s="386" t="s">
        <v>493</v>
      </c>
      <c r="B37" s="448" t="s">
        <v>263</v>
      </c>
      <c r="C37" s="165"/>
      <c r="D37" s="533">
        <v>2.2400000000000002</v>
      </c>
      <c r="E37" s="339" t="str">
        <f>IF(OR(C37="", D37="",D37=0,AND(C37&gt;=0, D37&lt;=0), AND(C37&lt;=0, D37&gt;=0)),"",C37/D37-1)</f>
        <v/>
      </c>
      <c r="G37" s="400"/>
      <c r="H37" s="165"/>
      <c r="I37" s="339" t="str">
        <f t="shared" si="2"/>
        <v/>
      </c>
    </row>
    <row r="38" spans="1:9" x14ac:dyDescent="0.35">
      <c r="A38" s="325" t="s">
        <v>29</v>
      </c>
      <c r="B38" s="325"/>
      <c r="C38" s="327">
        <f>IF(AND(C36="",C37=""),0,ROUND(IF(C36="",0,C36)-IF(C37="",0,C37)-IF(C35="",0,C35),1))</f>
        <v>0</v>
      </c>
      <c r="D38" s="327">
        <f>IF(AND(D36="",D37=""),0,ROUND(IF(D36="",0,D36)-IF(D37="",0,D37)-IF(D35="",0,D35),1))</f>
        <v>0</v>
      </c>
      <c r="E38" s="340"/>
      <c r="G38" s="443">
        <f>IF(AND(G36="",G37=""),0,ROUND(IF(G36="",0,G36)-IF(G37="",0,G37)-IF(G35="",0,G35),1))</f>
        <v>0</v>
      </c>
      <c r="H38" s="327">
        <f>IF(AND(H36="",H37=""),0,ROUND(IF(H36="",0,H36)-IF(H37="",0,H37)-IF(H35="",0,H35),1))</f>
        <v>0</v>
      </c>
      <c r="I38" s="385"/>
    </row>
    <row r="39" spans="1:9" x14ac:dyDescent="0.35">
      <c r="A39" s="386" t="s">
        <v>264</v>
      </c>
      <c r="B39" s="448" t="s">
        <v>265</v>
      </c>
      <c r="C39" s="165"/>
      <c r="D39" s="165"/>
      <c r="E39" s="339" t="str">
        <f>IF(OR(C39="", D39="",D39=0,AND(C39&gt;=0, D39&lt;=0), AND(C39&lt;=0, D39&gt;=0)),"",C39/D39-1)</f>
        <v/>
      </c>
      <c r="G39" s="400"/>
      <c r="H39" s="165"/>
      <c r="I39" s="339" t="str">
        <f>IF(OR(G39="", H39="",H39=0,AND(G39&gt;=0, H39&lt;=0), AND(G39&lt;=0, H39&gt;=0)),"",G39/H39-1)</f>
        <v/>
      </c>
    </row>
    <row r="40" spans="1:9" x14ac:dyDescent="0.35">
      <c r="A40" s="384" t="s">
        <v>266</v>
      </c>
      <c r="B40" s="160" t="s">
        <v>267</v>
      </c>
      <c r="C40" s="164"/>
      <c r="D40" s="164"/>
      <c r="E40" s="385" t="str">
        <f>IF(OR(C40="", D40="",D40=0,AND(C40&gt;=0, D40&lt;=0), AND(C40&lt;=0, D40&gt;=0)),"",C40/D40-1)</f>
        <v/>
      </c>
      <c r="G40" s="399"/>
      <c r="H40" s="164"/>
      <c r="I40" s="385" t="str">
        <f>IF(OR(G40="", H40="",H40=0,AND(G40&gt;=0, H40&lt;=0), AND(G40&lt;=0, H40&gt;=0)),"",G40/H40-1)</f>
        <v/>
      </c>
    </row>
    <row r="41" spans="1:9" x14ac:dyDescent="0.35">
      <c r="A41" s="386" t="s">
        <v>268</v>
      </c>
      <c r="B41" s="448" t="s">
        <v>269</v>
      </c>
      <c r="C41" s="165"/>
      <c r="D41" s="165"/>
      <c r="E41" s="339" t="str">
        <f>IF(OR(C41="", D41="",D41=0,AND(C41&gt;=0, D41&lt;=0), AND(C41&lt;=0, D41&gt;=0)),"",C41/D41-1)</f>
        <v/>
      </c>
      <c r="G41" s="400"/>
      <c r="H41" s="165"/>
      <c r="I41" s="339" t="str">
        <f>IF(OR(G41="", H41="",H41=0,AND(G41&gt;=0, H41&lt;=0), AND(G41&lt;=0, H41&gt;=0)),"",G41/H41-1)</f>
        <v/>
      </c>
    </row>
    <row r="42" spans="1:9" x14ac:dyDescent="0.35">
      <c r="A42" s="384" t="s">
        <v>270</v>
      </c>
      <c r="B42" s="160" t="s">
        <v>271</v>
      </c>
      <c r="C42" s="536">
        <v>0.25</v>
      </c>
      <c r="D42" s="536">
        <v>-0.02</v>
      </c>
      <c r="E42" s="385" t="str">
        <f>IF(OR(C42="", D42="",D42=0,AND(C42&gt;=0, D42&lt;=0), AND(C42&lt;=0, D42&gt;=0)),"",C42/D42-1)</f>
        <v/>
      </c>
      <c r="G42" s="399"/>
      <c r="H42" s="164"/>
      <c r="I42" s="385" t="str">
        <f>IF(OR(G42="", H42="",H42=0,AND(G42&gt;=0, H42&lt;=0), AND(G42&lt;=0, H42&gt;=0)),"",G42/H42-1)</f>
        <v/>
      </c>
    </row>
    <row r="43" spans="1:9" x14ac:dyDescent="0.35">
      <c r="A43" s="387" t="s">
        <v>29</v>
      </c>
      <c r="B43" s="326"/>
      <c r="C43" s="328">
        <f>ROUND(IF(C34="",0,C34)-IF(C35="",0,C35)-IF(C39="",0,C39)-IF(C40="",0,C40)-IF(C41="",0,C41)-IF(C42="",0,C42),1)</f>
        <v>0</v>
      </c>
      <c r="D43" s="328">
        <f>ROUND(IF(D34="",0,D34)-IF(D35="",0,D35)-IF(D39="",0,D39)-IF(D40="",0,D40)-IF(D41="",0,D41)-IF(D42="",0,D42),1)</f>
        <v>0</v>
      </c>
      <c r="E43" s="342"/>
      <c r="G43" s="449">
        <f>ROUND(IF(G34="",0,G34)-IF(G35="",0,G35)-IF(G39="",0,G39)-IF(G40="",0,G40)-IF(G41="",0,G41)-IF(G42="",0,G42),1)</f>
        <v>0</v>
      </c>
      <c r="H43" s="328">
        <f>ROUND(IF(H34="",0,H34)-IF(H35="",0,H35)-IF(H39="",0,H39)-IF(H40="",0,H40)-IF(H41="",0,H41)-IF(H42="",0,H42),1)</f>
        <v>0</v>
      </c>
      <c r="I43" s="339"/>
    </row>
    <row r="44" spans="1:9" x14ac:dyDescent="0.35">
      <c r="A44" s="384" t="s">
        <v>272</v>
      </c>
      <c r="B44" s="160" t="s">
        <v>273</v>
      </c>
      <c r="C44" s="536">
        <v>20.58</v>
      </c>
      <c r="D44" s="536">
        <v>25.71</v>
      </c>
      <c r="E44" s="385">
        <f>IF(OR(C44="", D44="",D44=0,AND(C44&gt;=0, D44&lt;=0), AND(C44&lt;=0, D44&gt;=0)),"",C44/D44-1)</f>
        <v>-0.19953325554259049</v>
      </c>
      <c r="G44" s="399"/>
      <c r="H44" s="164"/>
      <c r="I44" s="385" t="str">
        <f t="shared" ref="I44:I50" si="3">IF(OR(G44="", H44="",H44=0,AND(G44&gt;=0, H44&lt;=0), AND(G44&lt;=0, H44&gt;=0)),"",G44/H44-1)</f>
        <v/>
      </c>
    </row>
    <row r="45" spans="1:9" x14ac:dyDescent="0.35">
      <c r="A45" s="387" t="s">
        <v>29</v>
      </c>
      <c r="B45" s="326"/>
      <c r="C45" s="328">
        <f>ROUND(IF(C32="",0,C32)-IF(C34="",0,C34)-IF(C44="",0,C44),1)</f>
        <v>0</v>
      </c>
      <c r="D45" s="328">
        <f>ROUND(IF(D32="",0,D32)-IF(D34="",0,D34)-IF(D44="",0,D44),1)</f>
        <v>0</v>
      </c>
      <c r="E45" s="342"/>
      <c r="G45" s="401">
        <f>ROUND(IF(G32="",0,G32)-IF(G34="",0,G34)-IF(G44="",0,G44),1)</f>
        <v>0</v>
      </c>
      <c r="H45" s="328">
        <f>ROUND(IF(H32="",0,H32)-IF(H34="",0,H34)-IF(H44="",0,H44),1)</f>
        <v>0</v>
      </c>
      <c r="I45" s="342" t="str">
        <f t="shared" si="3"/>
        <v/>
      </c>
    </row>
    <row r="46" spans="1:9" x14ac:dyDescent="0.35">
      <c r="A46" s="384" t="s">
        <v>274</v>
      </c>
      <c r="B46" s="160" t="s">
        <v>275</v>
      </c>
      <c r="C46" s="536">
        <v>4.76</v>
      </c>
      <c r="D46" s="536">
        <v>6.21</v>
      </c>
      <c r="E46" s="385">
        <f>IF(OR(C46="", D46="",D46=0,AND(C46&gt;=0, D46&lt;=0), AND(C46&lt;=0, D46&gt;=0)),"",C46/D46-1)</f>
        <v>-0.23349436392914658</v>
      </c>
      <c r="G46" s="399"/>
      <c r="H46" s="164"/>
      <c r="I46" s="385" t="str">
        <f t="shared" si="3"/>
        <v/>
      </c>
    </row>
    <row r="47" spans="1:9" x14ac:dyDescent="0.35">
      <c r="A47" s="386" t="s">
        <v>276</v>
      </c>
      <c r="B47" s="448" t="s">
        <v>277</v>
      </c>
      <c r="C47" s="165"/>
      <c r="D47" s="165"/>
      <c r="E47" s="339" t="str">
        <f>IF(OR(C47="", D47="",D47=0,AND(C47&gt;=0, D47&lt;=0), AND(C47&lt;=0, D47&gt;=0)),"",C47/D47-1)</f>
        <v/>
      </c>
      <c r="G47" s="400"/>
      <c r="H47" s="165"/>
      <c r="I47" s="339" t="str">
        <f t="shared" si="3"/>
        <v/>
      </c>
    </row>
    <row r="48" spans="1:9" x14ac:dyDescent="0.35">
      <c r="A48" s="384" t="s">
        <v>278</v>
      </c>
      <c r="B48" s="160" t="s">
        <v>279</v>
      </c>
      <c r="C48" s="164"/>
      <c r="D48" s="164"/>
      <c r="E48" s="385" t="str">
        <f>IF(OR(C48="", D48="",D48=0,AND(C48&gt;=0, D48&lt;=0), AND(C48&lt;=0, D48&gt;=0)),"",C48/D48-1)</f>
        <v/>
      </c>
      <c r="G48" s="399"/>
      <c r="H48" s="164"/>
      <c r="I48" s="385" t="str">
        <f t="shared" si="3"/>
        <v/>
      </c>
    </row>
    <row r="49" spans="1:12" x14ac:dyDescent="0.35">
      <c r="A49" s="386" t="s">
        <v>280</v>
      </c>
      <c r="B49" s="448" t="s">
        <v>281</v>
      </c>
      <c r="C49" s="165"/>
      <c r="D49" s="165"/>
      <c r="E49" s="339" t="str">
        <f>IF(OR(C49="", D49="",D49=0,AND(C49&gt;=0, D49&lt;=0), AND(C49&lt;=0, D49&gt;=0)),"",C49/D49-1)</f>
        <v/>
      </c>
      <c r="G49" s="400"/>
      <c r="H49" s="165"/>
      <c r="I49" s="339" t="str">
        <f t="shared" si="3"/>
        <v/>
      </c>
    </row>
    <row r="50" spans="1:12" x14ac:dyDescent="0.35">
      <c r="A50" s="384" t="s">
        <v>282</v>
      </c>
      <c r="B50" s="160" t="s">
        <v>283</v>
      </c>
      <c r="C50" s="164"/>
      <c r="D50" s="164"/>
      <c r="E50" s="385" t="str">
        <f>IF(OR(C50="", D50="",D50=0,AND(C50&gt;=0, D50&lt;=0), AND(C50&lt;=0, D50&gt;=0)),"",C50/D50-1)</f>
        <v/>
      </c>
      <c r="G50" s="399"/>
      <c r="H50" s="164"/>
      <c r="I50" s="385" t="str">
        <f t="shared" si="3"/>
        <v/>
      </c>
    </row>
    <row r="51" spans="1:12" x14ac:dyDescent="0.35">
      <c r="A51" s="387" t="s">
        <v>29</v>
      </c>
      <c r="B51" s="326"/>
      <c r="C51" s="328">
        <f>IF(AND(C47="",C48="",C49=""),0,ROUND(IF(C46="",0,C46)-IF(C47="",0,C47)-IF(C48="",0,C48)-IF(C49="",0,C49),1))</f>
        <v>0</v>
      </c>
      <c r="D51" s="328">
        <f>IF(AND(D47="",D48="",D49=""),0,ROUND(IF(D46="",0,D46)-IF(D47="",0,D47)-IF(D48="",0,D48)-IF(D49="",0,D49),1))</f>
        <v>0</v>
      </c>
      <c r="E51" s="342"/>
      <c r="G51" s="449">
        <f>IF(AND(G47="",G48="",G49=""),0,ROUND(IF(G46="",0,G46)-IF(G47="",0,G47)-IF(G48="",0,G48)-IF(G49="",0,G49),1))</f>
        <v>0</v>
      </c>
      <c r="H51" s="328">
        <f>IF(AND(H47="",H48="",H49=""),0,ROUND(IF(H46="",0,H46)-IF(H47="",0,H47)-IF(H48="",0,H48)-IF(H49="",0,H49),1))</f>
        <v>0</v>
      </c>
      <c r="I51" s="446"/>
    </row>
    <row r="52" spans="1:12" x14ac:dyDescent="0.35">
      <c r="A52" s="384" t="s">
        <v>284</v>
      </c>
      <c r="B52" s="160" t="s">
        <v>285</v>
      </c>
      <c r="C52" s="536">
        <v>15.82</v>
      </c>
      <c r="D52" s="536">
        <v>19.5</v>
      </c>
      <c r="E52" s="385">
        <f>IF(OR(C52="", D52="",D52=0,AND(C52&gt;=0, D52&lt;=0), AND(C52&lt;=0, D52&gt;=0)),"",C52/D52-1)</f>
        <v>-0.18871794871794867</v>
      </c>
      <c r="G52" s="450"/>
      <c r="H52" s="164"/>
      <c r="I52" s="385" t="str">
        <f>IF(OR(G52="", H52="",H52=0,AND(G52&gt;=0, H52&lt;=0), AND(G52&lt;=0, H52&gt;=0)),"",G52/H52-1)</f>
        <v/>
      </c>
    </row>
    <row r="53" spans="1:12" x14ac:dyDescent="0.35">
      <c r="A53" s="387" t="s">
        <v>29</v>
      </c>
      <c r="B53" s="326"/>
      <c r="C53" s="328">
        <f>ROUND(IF(C44="",0,C44)-IF(C46="",0,C46)-IF(C50="",0,C50)-IF(C52="",0,C52),1)</f>
        <v>0</v>
      </c>
      <c r="D53" s="328">
        <f>ROUND(IF(D44="",0,D44)-IF(D46="",0,D46)-IF(D50="",0,D50)-IF(D52="",0,D52),1)</f>
        <v>0</v>
      </c>
      <c r="E53" s="342"/>
      <c r="G53" s="449">
        <f>ROUND(IF(G44="",0,G44)-IF(G46="",0,G46)-IF(G50="",0,G50)-IF(G52="",0,G52),1)</f>
        <v>0</v>
      </c>
      <c r="H53" s="328">
        <f>ROUND(IF(H44="",0,H44)-IF(H46="",0,H46)-IF(H50="",0,H50)-IF(H52="",0,H52),1)</f>
        <v>0</v>
      </c>
      <c r="I53" s="451"/>
    </row>
    <row r="54" spans="1:12" x14ac:dyDescent="0.35">
      <c r="A54" s="384" t="s">
        <v>286</v>
      </c>
      <c r="B54" s="160" t="s">
        <v>287</v>
      </c>
      <c r="C54" s="536">
        <v>0</v>
      </c>
      <c r="D54" s="536">
        <v>0</v>
      </c>
      <c r="E54" s="385" t="str">
        <f>IF(OR(C54="", D54="",D54=0,AND(C54&gt;=0, D54&lt;=0), AND(C54&lt;=0, D54&gt;=0)),"",C54/D54-1)</f>
        <v/>
      </c>
      <c r="G54" s="399"/>
      <c r="H54" s="164"/>
      <c r="I54" s="385" t="str">
        <f>IF(OR(G54="", H54="",H54=0,AND(G54&gt;=0, H54&lt;=0), AND(G54&lt;=0, H54&gt;=0)),"",G54/H54-1)</f>
        <v/>
      </c>
    </row>
    <row r="55" spans="1:12" x14ac:dyDescent="0.35">
      <c r="A55" s="386" t="s">
        <v>288</v>
      </c>
      <c r="B55" s="448" t="s">
        <v>289</v>
      </c>
      <c r="C55" s="533">
        <v>0</v>
      </c>
      <c r="D55" s="533">
        <v>0</v>
      </c>
      <c r="E55" s="339" t="str">
        <f>IF(OR(C55="", D55="",D55=0,AND(C55&gt;=0, D55&lt;=0), AND(C55&lt;=0, D55&gt;=0)),"",C55/D55-1)</f>
        <v/>
      </c>
      <c r="G55" s="400"/>
      <c r="H55" s="165"/>
      <c r="I55" s="339" t="str">
        <f>IF(OR(G55="", H55="",H55=0,AND(G55&gt;=0, H55&lt;=0), AND(G55&lt;=0, H55&gt;=0)),"",G55/H55-1)</f>
        <v/>
      </c>
    </row>
    <row r="56" spans="1:12" x14ac:dyDescent="0.35">
      <c r="A56" s="384" t="s">
        <v>290</v>
      </c>
      <c r="B56" s="160" t="s">
        <v>291</v>
      </c>
      <c r="C56" s="536">
        <v>0</v>
      </c>
      <c r="D56" s="536">
        <v>0</v>
      </c>
      <c r="E56" s="385" t="str">
        <f>IF(OR(C56="", D56="",D56=0,AND(C56&gt;=0, D56&lt;=0), AND(C56&lt;=0, D56&gt;=0)),"",C56/D56-1)</f>
        <v/>
      </c>
      <c r="G56" s="399"/>
      <c r="H56" s="164"/>
      <c r="I56" s="385" t="str">
        <f>IF(OR(G56="", H56="",H56=0,AND(G56&gt;=0, H56&lt;=0), AND(G56&lt;=0, H56&gt;=0)),"",G56/H56-1)</f>
        <v/>
      </c>
    </row>
    <row r="57" spans="1:12" x14ac:dyDescent="0.35">
      <c r="A57" s="387" t="s">
        <v>29</v>
      </c>
      <c r="B57" s="326"/>
      <c r="C57" s="328">
        <f>ROUND(IF(C54="",0,C54)-IF(C55="",0,C55)-IF(C56="",0,C56),1)</f>
        <v>0</v>
      </c>
      <c r="D57" s="328">
        <f>ROUND(IF(D54="",0,D54)-IF(D55="",0,D55)-IF(D56="",0,D56),1)</f>
        <v>0</v>
      </c>
      <c r="E57" s="342"/>
      <c r="G57" s="449">
        <f>ROUND(IF(G54="",0,G54)-IF(G55="",0,G55)-IF(G56="",0,G56),1)</f>
        <v>0</v>
      </c>
      <c r="H57" s="328">
        <f>ROUND(IF(H54="",0,H54)-IF(H55="",0,H55)-IF(H56="",0,H56),1)</f>
        <v>0</v>
      </c>
      <c r="I57" s="339"/>
    </row>
    <row r="58" spans="1:12" x14ac:dyDescent="0.35">
      <c r="A58" s="384" t="s">
        <v>292</v>
      </c>
      <c r="B58" s="160" t="s">
        <v>293</v>
      </c>
      <c r="C58" s="536">
        <v>15.82</v>
      </c>
      <c r="D58" s="536">
        <v>19.5</v>
      </c>
      <c r="E58" s="385">
        <f>IF(OR(C58="", D58="",D58=0,AND(C58&gt;=0, D58&lt;=0), AND(C58&lt;=0, D58&gt;=0)),"",C58/D58-1)</f>
        <v>-0.18871794871794867</v>
      </c>
      <c r="G58" s="399"/>
      <c r="H58" s="164"/>
      <c r="I58" s="385" t="str">
        <f>IF(OR(G58="", H58="",H58=0,AND(G58&gt;=0, H58&lt;=0), AND(G58&lt;=0, H58&gt;=0)),"",G58/H58-1)</f>
        <v/>
      </c>
    </row>
    <row r="59" spans="1:12" x14ac:dyDescent="0.35">
      <c r="A59" s="386" t="s">
        <v>294</v>
      </c>
      <c r="B59" s="448" t="s">
        <v>295</v>
      </c>
      <c r="C59" s="533">
        <v>0</v>
      </c>
      <c r="D59" s="533">
        <v>0</v>
      </c>
      <c r="E59" s="339" t="str">
        <f>IF(OR(C59="", D59="",D59=0,AND(C59&gt;=0, D59&lt;=0), AND(C59&lt;=0, D59&gt;=0)),"",C59/D59-1)</f>
        <v/>
      </c>
      <c r="G59" s="400"/>
      <c r="H59" s="165"/>
      <c r="I59" s="339" t="str">
        <f>IF(OR(G59="", H59="",H59=0,AND(G59&gt;=0, H59&lt;=0), AND(G59&lt;=0, H59&gt;=0)),"",G59/H59-1)</f>
        <v/>
      </c>
    </row>
    <row r="60" spans="1:12" ht="15.75" customHeight="1" thickBot="1" x14ac:dyDescent="0.4">
      <c r="A60" s="452" t="s">
        <v>296</v>
      </c>
      <c r="B60" s="430" t="s">
        <v>297</v>
      </c>
      <c r="C60" s="544">
        <v>15.82</v>
      </c>
      <c r="D60" s="544">
        <v>19.5</v>
      </c>
      <c r="E60" s="407">
        <f>IF(OR(C60="", D60="",D60=0,AND(C60&gt;=0, D60&lt;=0), AND(C60&lt;=0, D60&gt;=0)),"",C60/D60-1)</f>
        <v>-0.18871794871794867</v>
      </c>
      <c r="G60" s="453"/>
      <c r="H60" s="429"/>
      <c r="I60" s="407" t="str">
        <f>IF(OR(G60="", H60="",H60=0,AND(G60&gt;=0, H60&lt;=0), AND(G60&lt;=0, H60&gt;=0)),"",G60/H60-1)</f>
        <v/>
      </c>
    </row>
    <row r="61" spans="1:12" x14ac:dyDescent="0.35">
      <c r="A61" s="387" t="s">
        <v>29</v>
      </c>
      <c r="B61" s="326"/>
      <c r="C61" s="328">
        <f>ROUND(IF(C52="",0,C52)-IF(C54="",0,C54)-IF(C59="",0,C59)-IF(C60="",0,C60),1)</f>
        <v>0</v>
      </c>
      <c r="D61" s="328">
        <f>ROUND(IF(D52="",0,D52)-IF(D54="",0,D54)-IF(D59="",0,D59)-IF(D60="",0,D60),1)</f>
        <v>0</v>
      </c>
      <c r="E61" s="342"/>
      <c r="G61" s="454">
        <f>ROUND(IF(G52="",0,G52)-IF(G54="",0,G54)-IF(G59="",0,G59)-IF(G60="",0,G60),1)</f>
        <v>0</v>
      </c>
      <c r="H61" s="328">
        <f>ROUND(IF(H52="",0,H52)-IF(H54="",0,H54)-IF(H59="",0,H59)-IF(H60="",0,H60),1)</f>
        <v>0</v>
      </c>
      <c r="I61" s="339"/>
    </row>
    <row r="62" spans="1:12" x14ac:dyDescent="0.35">
      <c r="A62" s="384" t="s">
        <v>298</v>
      </c>
      <c r="B62" s="160" t="s">
        <v>299</v>
      </c>
      <c r="C62" s="536">
        <v>0</v>
      </c>
      <c r="D62" s="536">
        <v>0</v>
      </c>
      <c r="E62" s="385" t="str">
        <f>IF(OR(C62="", D62="",D62=0,AND(C62&gt;=0, D62&lt;=0), AND(C62&lt;=0, D62&gt;=0)),"",C62/D62-1)</f>
        <v/>
      </c>
      <c r="G62" s="399"/>
      <c r="H62" s="164"/>
      <c r="I62" s="385" t="str">
        <f>IF(OR(G62="", H62="",H62=0,AND(G62&gt;=0, H62&lt;=0), AND(G62&lt;=0, H62&gt;=0)),"",G62/H62-1)</f>
        <v/>
      </c>
      <c r="K62" s="573" t="s">
        <v>494</v>
      </c>
      <c r="L62" s="574"/>
    </row>
    <row r="63" spans="1:12" x14ac:dyDescent="0.35">
      <c r="A63" s="386" t="s">
        <v>300</v>
      </c>
      <c r="B63" s="448" t="s">
        <v>301</v>
      </c>
      <c r="C63" s="533">
        <v>0</v>
      </c>
      <c r="D63" s="533">
        <v>0</v>
      </c>
      <c r="E63" s="339" t="str">
        <f>IF(OR(C63="", D63="",D63=0,AND(C63&gt;=0, D63&lt;=0), AND(C63&lt;=0, D63&gt;=0)),"",C63/D63-1)</f>
        <v/>
      </c>
      <c r="G63" s="400"/>
      <c r="H63" s="165"/>
      <c r="I63" s="339" t="str">
        <f>IF(OR(G63="", H63="",H63=0,AND(G63&gt;=0, H63&lt;=0), AND(G63&lt;=0, H63&gt;=0)),"",G63/H63-1)</f>
        <v/>
      </c>
      <c r="K63" s="517" t="str">
        <f>K31</f>
        <v>CQ3 2026</v>
      </c>
      <c r="L63" s="517" t="str">
        <f>L31</f>
        <v>CQ3 2025</v>
      </c>
    </row>
    <row r="64" spans="1:12" ht="15.75" customHeight="1" thickBot="1" x14ac:dyDescent="0.4">
      <c r="A64" s="452" t="s">
        <v>302</v>
      </c>
      <c r="B64" s="430" t="s">
        <v>303</v>
      </c>
      <c r="C64" s="544">
        <v>15.82</v>
      </c>
      <c r="D64" s="544">
        <v>19.5</v>
      </c>
      <c r="E64" s="407">
        <f>IF(OR(C64="", D64="",D64=0,AND(C64&gt;=0, D64&lt;=0), AND(C64&lt;=0, D64&gt;=0)),"",C64/D64-1)</f>
        <v>-0.18871794871794867</v>
      </c>
      <c r="G64" s="453"/>
      <c r="H64" s="429"/>
      <c r="I64" s="407" t="str">
        <f>IF(OR(G64="", H64="",H64=0,AND(G64&gt;=0, H64&lt;=0), AND(G64&lt;=0, H64&gt;=0)),"",G64/H64-1)</f>
        <v/>
      </c>
      <c r="K64" s="516" t="e">
        <f>G64/G11</f>
        <v>#DIV/0!</v>
      </c>
      <c r="L64" s="516" t="e">
        <f>H64/H11</f>
        <v>#DIV/0!</v>
      </c>
    </row>
    <row r="65" spans="1:9" x14ac:dyDescent="0.35">
      <c r="A65" s="387" t="s">
        <v>29</v>
      </c>
      <c r="B65" s="326"/>
      <c r="C65" s="328">
        <f>ROUND(IF(C60="",0,C60)-IF(C62="",0,C62)-IF(C63="",0,C63)-IF(C64="",0,C64),1)</f>
        <v>0</v>
      </c>
      <c r="D65" s="328">
        <f>ROUND(IF(D60="",0,D60)-IF(D62="",0,D62)-IF(D63="",0,D63)-IF(D64="",0,D64),1)</f>
        <v>0</v>
      </c>
      <c r="E65" s="342"/>
      <c r="G65" s="449">
        <f>ROUND(IF(G60="",0,G60)-IF(G62="",0,G62)-IF(G63="",0,G63)-IF(G64="",0,G64),1)</f>
        <v>0</v>
      </c>
      <c r="H65" s="328">
        <f>ROUND(IF(H60="",0,H60)-IF(H62="",0,H62)-IF(H63="",0,H63)-IF(H64="",0,H64),1)</f>
        <v>0</v>
      </c>
      <c r="I65" s="339"/>
    </row>
    <row r="66" spans="1:9" x14ac:dyDescent="0.35">
      <c r="A66" s="384" t="s">
        <v>304</v>
      </c>
      <c r="B66" s="160" t="s">
        <v>305</v>
      </c>
      <c r="C66" s="334">
        <v>10.298999999999999</v>
      </c>
      <c r="D66" s="334">
        <v>10.862</v>
      </c>
      <c r="E66" s="385">
        <f t="shared" ref="E66:E75" si="4">IF(OR(C66="", D66="",D66=0,AND(C66&gt;=0, D66&lt;=0), AND(C66&lt;=0, D66&gt;=0)),"",C66/D66-1)</f>
        <v>-5.1832075124286558E-2</v>
      </c>
      <c r="G66" s="403"/>
      <c r="H66" s="334"/>
      <c r="I66" s="385" t="str">
        <f t="shared" ref="I66:I75" si="5">IF(OR(G66="", H66="",H66=0,AND(G66&gt;=0, H66&lt;=0), AND(G66&lt;=0, H66&gt;=0)),"",G66/H66-1)</f>
        <v/>
      </c>
    </row>
    <row r="67" spans="1:9" x14ac:dyDescent="0.35">
      <c r="A67" s="386" t="s">
        <v>306</v>
      </c>
      <c r="B67" s="159" t="s">
        <v>307</v>
      </c>
      <c r="C67" s="533">
        <v>1.54</v>
      </c>
      <c r="D67" s="533">
        <v>1.8</v>
      </c>
      <c r="E67" s="339">
        <f t="shared" si="4"/>
        <v>-0.14444444444444449</v>
      </c>
      <c r="G67" s="400"/>
      <c r="H67" s="165"/>
      <c r="I67" s="339" t="str">
        <f t="shared" si="5"/>
        <v/>
      </c>
    </row>
    <row r="68" spans="1:9" x14ac:dyDescent="0.35">
      <c r="A68" s="384" t="s">
        <v>308</v>
      </c>
      <c r="B68" s="160" t="s">
        <v>309</v>
      </c>
      <c r="C68" s="536">
        <v>1.54</v>
      </c>
      <c r="D68" s="536">
        <v>1.8</v>
      </c>
      <c r="E68" s="385">
        <f t="shared" si="4"/>
        <v>-0.14444444444444449</v>
      </c>
      <c r="G68" s="399"/>
      <c r="H68" s="164"/>
      <c r="I68" s="385" t="str">
        <f t="shared" si="5"/>
        <v/>
      </c>
    </row>
    <row r="69" spans="1:9" x14ac:dyDescent="0.35">
      <c r="A69" s="386" t="s">
        <v>310</v>
      </c>
      <c r="B69" s="159" t="s">
        <v>311</v>
      </c>
      <c r="C69" s="533">
        <v>1.54</v>
      </c>
      <c r="D69" s="533">
        <v>1.8</v>
      </c>
      <c r="E69" s="339">
        <f t="shared" si="4"/>
        <v>-0.14444444444444449</v>
      </c>
      <c r="G69" s="400"/>
      <c r="H69" s="165"/>
      <c r="I69" s="339" t="str">
        <f t="shared" si="5"/>
        <v/>
      </c>
    </row>
    <row r="70" spans="1:9" x14ac:dyDescent="0.35">
      <c r="A70" s="384" t="s">
        <v>312</v>
      </c>
      <c r="B70" s="160" t="s">
        <v>313</v>
      </c>
      <c r="C70" s="334">
        <v>10.340999999999999</v>
      </c>
      <c r="D70" s="334">
        <v>10.930999999999999</v>
      </c>
      <c r="E70" s="385">
        <f t="shared" si="4"/>
        <v>-5.3974933674869607E-2</v>
      </c>
      <c r="G70" s="403"/>
      <c r="H70" s="334"/>
      <c r="I70" s="385" t="str">
        <f t="shared" si="5"/>
        <v/>
      </c>
    </row>
    <row r="71" spans="1:9" ht="15.75" customHeight="1" thickBot="1" x14ac:dyDescent="0.4">
      <c r="A71" s="389" t="s">
        <v>314</v>
      </c>
      <c r="B71" s="161" t="s">
        <v>315</v>
      </c>
      <c r="C71" s="537">
        <v>1.53</v>
      </c>
      <c r="D71" s="537">
        <v>1.78</v>
      </c>
      <c r="E71" s="341">
        <f t="shared" si="4"/>
        <v>-0.1404494382022472</v>
      </c>
      <c r="G71" s="404"/>
      <c r="H71" s="166"/>
      <c r="I71" s="341" t="str">
        <f t="shared" si="5"/>
        <v/>
      </c>
    </row>
    <row r="72" spans="1:9" x14ac:dyDescent="0.35">
      <c r="A72" s="384" t="s">
        <v>316</v>
      </c>
      <c r="B72" s="160" t="s">
        <v>317</v>
      </c>
      <c r="C72" s="536">
        <v>1.53</v>
      </c>
      <c r="D72" s="536">
        <v>1.78</v>
      </c>
      <c r="E72" s="385">
        <f t="shared" si="4"/>
        <v>-0.1404494382022472</v>
      </c>
      <c r="G72" s="399"/>
      <c r="H72" s="164"/>
      <c r="I72" s="385" t="str">
        <f t="shared" si="5"/>
        <v/>
      </c>
    </row>
    <row r="73" spans="1:9" x14ac:dyDescent="0.35">
      <c r="A73" s="386" t="s">
        <v>318</v>
      </c>
      <c r="B73" s="159" t="s">
        <v>319</v>
      </c>
      <c r="C73" s="533">
        <v>1.53</v>
      </c>
      <c r="D73" s="533">
        <v>1.78</v>
      </c>
      <c r="E73" s="339">
        <f t="shared" si="4"/>
        <v>-0.1404494382022472</v>
      </c>
      <c r="G73" s="400"/>
      <c r="H73" s="165"/>
      <c r="I73" s="339" t="str">
        <f t="shared" si="5"/>
        <v/>
      </c>
    </row>
    <row r="74" spans="1:9" x14ac:dyDescent="0.35">
      <c r="A74" s="384" t="s">
        <v>316</v>
      </c>
      <c r="B74" s="160" t="s">
        <v>317</v>
      </c>
      <c r="C74" s="536">
        <v>1.53</v>
      </c>
      <c r="D74" s="536">
        <v>1.78</v>
      </c>
      <c r="E74" s="385">
        <f t="shared" si="4"/>
        <v>-0.1404494382022472</v>
      </c>
      <c r="G74" s="399"/>
      <c r="H74" s="164"/>
      <c r="I74" s="385" t="str">
        <f t="shared" si="5"/>
        <v/>
      </c>
    </row>
    <row r="75" spans="1:9" x14ac:dyDescent="0.35">
      <c r="A75" s="390" t="s">
        <v>318</v>
      </c>
      <c r="B75" s="391" t="s">
        <v>319</v>
      </c>
      <c r="C75" s="545">
        <v>1.53</v>
      </c>
      <c r="D75" s="545">
        <v>1.78</v>
      </c>
      <c r="E75" s="393">
        <f t="shared" si="4"/>
        <v>-0.1404494382022472</v>
      </c>
      <c r="G75" s="405"/>
      <c r="H75" s="392"/>
      <c r="I75" s="393" t="str">
        <f t="shared" si="5"/>
        <v/>
      </c>
    </row>
  </sheetData>
  <mergeCells count="4">
    <mergeCell ref="K62:L62"/>
    <mergeCell ref="K19:L19"/>
    <mergeCell ref="K30:L30"/>
    <mergeCell ref="C7:D7"/>
  </mergeCells>
  <conditionalFormatting sqref="C15:D15">
    <cfRule type="containsErrors" dxfId="88" priority="81">
      <formula>ISERROR(C15)</formula>
    </cfRule>
    <cfRule type="expression" dxfId="87" priority="71">
      <formula>NOT(ROUND(C15, 1) = 0)</formula>
    </cfRule>
  </conditionalFormatting>
  <conditionalFormatting sqref="C20:D20">
    <cfRule type="containsErrors" dxfId="86" priority="84">
      <formula>ISERROR(C20)</formula>
    </cfRule>
    <cfRule type="expression" dxfId="85" priority="63">
      <formula>NOT(ROUND(C20, 1) = 0)</formula>
    </cfRule>
  </conditionalFormatting>
  <conditionalFormatting sqref="C22:D22">
    <cfRule type="containsErrors" dxfId="84" priority="82">
      <formula>ISERROR(C22)</formula>
    </cfRule>
    <cfRule type="expression" dxfId="83" priority="59">
      <formula>NOT(ROUND(C22, 1) = 0)</formula>
    </cfRule>
  </conditionalFormatting>
  <conditionalFormatting sqref="C31:D31">
    <cfRule type="containsErrors" dxfId="82" priority="85">
      <formula>ISERROR(C31)</formula>
    </cfRule>
    <cfRule type="expression" dxfId="81" priority="57">
      <formula>NOT(ROUND(C31, 1) = 0)</formula>
    </cfRule>
  </conditionalFormatting>
  <conditionalFormatting sqref="C38:D38">
    <cfRule type="expression" dxfId="80" priority="21">
      <formula>NOT(ROUND(C38, 1) = 0)</formula>
    </cfRule>
    <cfRule type="containsErrors" dxfId="79" priority="86">
      <formula>ISERROR(C38)</formula>
    </cfRule>
  </conditionalFormatting>
  <conditionalFormatting sqref="C43:D43">
    <cfRule type="expression" dxfId="78" priority="15">
      <formula>NOT(ROUND(C43,1)=0)</formula>
    </cfRule>
    <cfRule type="containsErrors" dxfId="77" priority="87">
      <formula>ISERROR(C43)</formula>
    </cfRule>
  </conditionalFormatting>
  <conditionalFormatting sqref="C51:D51">
    <cfRule type="containsErrors" dxfId="76" priority="88">
      <formula>ISERROR(C51)</formula>
    </cfRule>
    <cfRule type="expression" dxfId="75" priority="51">
      <formula>NOT(ROUND(C51,1)=0)</formula>
    </cfRule>
  </conditionalFormatting>
  <conditionalFormatting sqref="C53:D53">
    <cfRule type="containsErrors" dxfId="74" priority="89">
      <formula>ISERROR(C53)</formula>
    </cfRule>
    <cfRule type="expression" dxfId="73" priority="47">
      <formula>NOT(ROUND(C53,1)=0)</formula>
    </cfRule>
  </conditionalFormatting>
  <conditionalFormatting sqref="C57:D57">
    <cfRule type="containsErrors" dxfId="72" priority="90">
      <formula>ISERROR(C57)</formula>
    </cfRule>
    <cfRule type="expression" dxfId="71" priority="43">
      <formula>NOT(ROUND(C57,1)=0)</formula>
    </cfRule>
  </conditionalFormatting>
  <conditionalFormatting sqref="C61:D61">
    <cfRule type="containsErrors" dxfId="70" priority="83">
      <formula>ISERROR(C61)</formula>
    </cfRule>
    <cfRule type="expression" dxfId="69" priority="37">
      <formula>NOT(ROUND(C61,1)=0)</formula>
    </cfRule>
  </conditionalFormatting>
  <conditionalFormatting sqref="C65:D65">
    <cfRule type="containsErrors" dxfId="68" priority="78">
      <formula>ISERROR(C65)</formula>
    </cfRule>
    <cfRule type="expression" dxfId="67" priority="27">
      <formula>NOT(ROUND(C65,1)=0)</formula>
    </cfRule>
  </conditionalFormatting>
  <conditionalFormatting sqref="G15:H15">
    <cfRule type="expression" dxfId="66" priority="65">
      <formula>NOT(ROUND(G15, 1) = 0)</formula>
    </cfRule>
    <cfRule type="containsErrors" dxfId="65" priority="91">
      <formula>ISERROR(G15)</formula>
    </cfRule>
  </conditionalFormatting>
  <conditionalFormatting sqref="G20:H20">
    <cfRule type="expression" dxfId="64" priority="61">
      <formula>NOT(ROUND(G20, 1) = 0)</formula>
    </cfRule>
    <cfRule type="containsErrors" dxfId="63" priority="101">
      <formula>ISERROR(G20)</formula>
    </cfRule>
  </conditionalFormatting>
  <conditionalFormatting sqref="G22:H22 C33:D33 G33:H33 C45:D45 G45:H45">
    <cfRule type="expression" dxfId="62" priority="73">
      <formula>NOT(ROUND(C22,1)=0)</formula>
    </cfRule>
    <cfRule type="containsErrors" dxfId="61" priority="93">
      <formula>ISERROR(C22)</formula>
    </cfRule>
  </conditionalFormatting>
  <conditionalFormatting sqref="G31:H31">
    <cfRule type="expression" dxfId="60" priority="53">
      <formula>NOT(ROUND(G31, 1) = 0)</formula>
    </cfRule>
    <cfRule type="containsErrors" dxfId="59" priority="94">
      <formula>ISERROR(G31)</formula>
    </cfRule>
  </conditionalFormatting>
  <conditionalFormatting sqref="G38:H38">
    <cfRule type="containsErrors" dxfId="58" priority="2">
      <formula>ISERROR(G38)</formula>
    </cfRule>
    <cfRule type="expression" dxfId="57" priority="1">
      <formula>NOT(ROUND(G38, 1) = 0)</formula>
    </cfRule>
  </conditionalFormatting>
  <conditionalFormatting sqref="G43:H43">
    <cfRule type="expression" dxfId="56" priority="11">
      <formula>NOT(ROUND(G43,1)=0)</formula>
    </cfRule>
    <cfRule type="containsErrors" dxfId="55" priority="95">
      <formula>ISERROR(G43)</formula>
    </cfRule>
  </conditionalFormatting>
  <conditionalFormatting sqref="G51:H51">
    <cfRule type="expression" dxfId="54" priority="5">
      <formula>NOT(ROUND(G51,1)=0)</formula>
    </cfRule>
    <cfRule type="containsErrors" dxfId="53" priority="6">
      <formula>ISERROR(G51)</formula>
    </cfRule>
  </conditionalFormatting>
  <conditionalFormatting sqref="G57:H57">
    <cfRule type="expression" dxfId="52" priority="39">
      <formula>NOT(ROUND(G57,1)=0)</formula>
    </cfRule>
    <cfRule type="containsErrors" dxfId="51" priority="97">
      <formula>ISERROR(G57)</formula>
    </cfRule>
  </conditionalFormatting>
  <conditionalFormatting sqref="G61:H61">
    <cfRule type="expression" dxfId="50" priority="29">
      <formula>NOT(ROUND(G61,1)=0)</formula>
    </cfRule>
    <cfRule type="containsErrors" dxfId="49" priority="98">
      <formula>ISERROR(G61)</formula>
    </cfRule>
  </conditionalFormatting>
  <conditionalFormatting sqref="G65:H65">
    <cfRule type="expression" dxfId="48" priority="23">
      <formula>NOT(ROUND(G65,1)=0)</formula>
    </cfRule>
    <cfRule type="containsErrors" dxfId="47" priority="99">
      <formula>ISERROR(G65)</formula>
    </cfRule>
  </conditionalFormatting>
  <conditionalFormatting sqref="G53:I53">
    <cfRule type="expression" dxfId="46" priority="45">
      <formula>NOT(ROUND(G53,1)=0)</formula>
    </cfRule>
    <cfRule type="containsErrors" dxfId="45" priority="100">
      <formula>ISERROR(G53)</formula>
    </cfRule>
  </conditionalFormatting>
  <conditionalFormatting sqref="L1">
    <cfRule type="cellIs" dxfId="44" priority="77" operator="equal">
      <formula>0</formula>
    </cfRule>
    <cfRule type="containsErrors" dxfId="43" priority="79">
      <formula>ISERROR(L1)</formula>
    </cfRule>
    <cfRule type="cellIs" dxfId="42" priority="75" operator="notEqual">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8"/>
  <sheetViews>
    <sheetView workbookViewId="0">
      <pane xSplit="2" ySplit="10" topLeftCell="C11" activePane="bottomRight" state="frozen"/>
      <selection pane="topRight" activeCell="C1" sqref="C1"/>
      <selection pane="bottomLeft" activeCell="A11" sqref="A11"/>
      <selection pane="bottomRight"/>
    </sheetView>
  </sheetViews>
  <sheetFormatPr defaultRowHeight="14.5" x14ac:dyDescent="0.35"/>
  <cols>
    <col min="1" max="1" width="40.453125" customWidth="1"/>
    <col min="2" max="2" width="32" hidden="1" customWidth="1"/>
    <col min="3" max="4" width="10.453125" bestFit="1" customWidth="1"/>
    <col min="5" max="5" width="13.7265625" bestFit="1" customWidth="1"/>
    <col min="7" max="7" width="19.26953125" bestFit="1" customWidth="1"/>
  </cols>
  <sheetData>
    <row r="1" spans="1:8" x14ac:dyDescent="0.35">
      <c r="A1" t="str">
        <f>'Last Quarter BS Standardized'!A1</f>
        <v>Ticker</v>
      </c>
      <c r="C1" t="str">
        <f>IF('Balance Sheet - Standardized'!C1="","",'Balance Sheet - Standardized'!C1)</f>
        <v>LNN</v>
      </c>
      <c r="D1" t="str">
        <f>'Last Quarter BS Standardized'!D1</f>
        <v>US</v>
      </c>
      <c r="G1" s="180" t="s">
        <v>3</v>
      </c>
      <c r="H1">
        <f t="array" ref="H1">SUM(--ISERROR($C$19:$D$19),--ISERROR($C$25:$D$25),  --ISERROR($C$28:$D$28), --ISERROR($C$37:$D$37),--ISERROR($C$41:$D$41), --ISERROR($C$46:$D$46), --ISERROR($C$50:$D$50), --ISERROR($C$57:$D$57), --ISERROR($C$61:$D$61), --ISERROR($C$65:$D$65), COUNT($C$19:$D$19) - COUNTIFS($C$19:$D$19,"&gt;-.1",$C$19:$D$19,"&lt;.1"),COUNT($C$25:$D$25) - COUNTIFS($C$25:$D$25,"&gt;-.1",$C$25:$D$25,"&lt;.1"),COUNT($C$28:$D$28) - COUNTIFS($C$28:$D$28,"&gt;-.1",$C$28:$D$28,"&lt;.1"),COUNT($C$37:$D$37) - COUNTIFS($C$37:$D$37,"&gt;-.1",$C$37:$D$37,"&lt;.1"),COUNT($C$41:$D$41) - COUNTIFS($C$41:$D$41,"&gt;-.1",$C$41:$D$41,"&lt;.1"),COUNT($C$46:$D$46) - COUNTIFS($C$46:$D$46,"&gt;-.1",$C$46:$D$46,"&lt;.1"),COUNT($C$50:$D$50) - COUNTIFS($C$50:$D$50,"&gt;-.1",$C$50:$D$50,"&lt;.1"),COUNT($C$57:$D$57) - COUNTIFS($C$57:$D$57,"&gt;-.1",$C$57:$D$57,"&lt;.1"),COUNT($C$61:$D$61) - COUNTIFS($C$61:$D$61,"&gt;-.1",$C$61:$D$61,"&lt;.1"),COUNT($C$65:$D$65) - COUNTIFS($C$65:$D$65,"&gt;-.1",$C$65:$D$65,"&lt;.1"))</f>
        <v>0</v>
      </c>
    </row>
    <row r="2" spans="1:8" x14ac:dyDescent="0.35">
      <c r="C2" t="str">
        <f>'Last Quarter BS Standardized'!C2</f>
        <v>FQ3 2026</v>
      </c>
      <c r="D2" t="str">
        <f>LEFT(C2,3)&amp;" "&amp;RIGHT(C2,4)-1</f>
        <v>FQ3 2025</v>
      </c>
    </row>
    <row r="3" spans="1:8" hidden="1" x14ac:dyDescent="0.35">
      <c r="B3" t="s">
        <v>7</v>
      </c>
    </row>
    <row r="4" spans="1:8" hidden="1" x14ac:dyDescent="0.35">
      <c r="B4" t="str">
        <f>'Last Quarter IS Standardized'!B4</f>
        <v>Q3</v>
      </c>
      <c r="C4" s="20">
        <v>46173</v>
      </c>
      <c r="D4" s="20">
        <v>45808</v>
      </c>
    </row>
    <row r="5" spans="1:8" hidden="1" x14ac:dyDescent="0.35">
      <c r="B5" t="s">
        <v>6</v>
      </c>
      <c r="C5" t="s">
        <v>18</v>
      </c>
      <c r="D5" t="s">
        <v>486</v>
      </c>
    </row>
    <row r="6" spans="1:8" ht="15.75" hidden="1" customHeight="1" thickBot="1" x14ac:dyDescent="0.4">
      <c r="B6" t="str">
        <f>'Last Quarter IS Standardized'!B6</f>
        <v>2026 Q3</v>
      </c>
    </row>
    <row r="7" spans="1:8" x14ac:dyDescent="0.35">
      <c r="A7" s="343"/>
      <c r="B7" s="580"/>
      <c r="C7" s="581"/>
      <c r="D7" s="579"/>
      <c r="E7" s="376"/>
    </row>
    <row r="8" spans="1:8" x14ac:dyDescent="0.35">
      <c r="A8" s="153" t="s">
        <v>495</v>
      </c>
      <c r="B8" s="154"/>
      <c r="C8" s="154"/>
      <c r="D8" s="154"/>
      <c r="E8" s="380"/>
    </row>
    <row r="9" spans="1:8" x14ac:dyDescent="0.35">
      <c r="A9" s="158"/>
      <c r="B9" s="154"/>
      <c r="C9" s="167">
        <f>C4</f>
        <v>46173</v>
      </c>
      <c r="D9" s="167">
        <f>D4</f>
        <v>45808</v>
      </c>
      <c r="E9" s="380" t="s">
        <v>490</v>
      </c>
    </row>
    <row r="10" spans="1:8" x14ac:dyDescent="0.35">
      <c r="A10" s="158"/>
      <c r="B10" s="154"/>
      <c r="C10" s="154" t="str">
        <f>"C"&amp;RIGHT(C2,7)</f>
        <v>CQ3 2026</v>
      </c>
      <c r="D10" s="154" t="str">
        <f>"C"&amp;RIGHT(D2,7)</f>
        <v>CQ3 2025</v>
      </c>
      <c r="E10" s="380" t="s">
        <v>491</v>
      </c>
    </row>
    <row r="11" spans="1:8" ht="15.75" customHeight="1" thickBot="1" x14ac:dyDescent="0.4">
      <c r="A11" s="331" t="s">
        <v>347</v>
      </c>
      <c r="B11" s="157"/>
      <c r="C11" s="157"/>
      <c r="D11" s="157"/>
      <c r="E11" s="406" t="str">
        <f>IF(OR(C11="", D11="",D11=0,AND(C11&gt;=0, D11&lt;=0), AND(C11&lt;=0, D11&gt;=0)),"",C11/D11-1)</f>
        <v/>
      </c>
    </row>
    <row r="12" spans="1:8" ht="15" customHeight="1" x14ac:dyDescent="0.35">
      <c r="A12" s="459"/>
      <c r="B12" s="455"/>
      <c r="C12" s="456"/>
      <c r="D12" s="458"/>
      <c r="E12" s="457"/>
    </row>
    <row r="13" spans="1:8" ht="15" customHeight="1" x14ac:dyDescent="0.35">
      <c r="A13" s="331" t="s">
        <v>348</v>
      </c>
      <c r="B13" s="331" t="s">
        <v>349</v>
      </c>
      <c r="C13" s="169"/>
      <c r="D13" s="169"/>
      <c r="E13" s="385" t="str">
        <f t="shared" ref="E13:E18" si="0">IF(OR(C13="", D13="",D13=0,AND(C13&gt;=0, D13&lt;=0), AND(C13&lt;=0, D13&gt;=0)),"",C13/D13-1)</f>
        <v/>
      </c>
    </row>
    <row r="14" spans="1:8" ht="15" customHeight="1" x14ac:dyDescent="0.35">
      <c r="A14" s="460" t="s">
        <v>350</v>
      </c>
      <c r="B14" s="460" t="s">
        <v>351</v>
      </c>
      <c r="C14" s="461"/>
      <c r="D14" s="461"/>
      <c r="E14" s="446" t="str">
        <f t="shared" si="0"/>
        <v/>
      </c>
    </row>
    <row r="15" spans="1:8" ht="15" customHeight="1" x14ac:dyDescent="0.35">
      <c r="A15" s="331" t="s">
        <v>352</v>
      </c>
      <c r="B15" s="331" t="s">
        <v>353</v>
      </c>
      <c r="C15" s="169"/>
      <c r="D15" s="169"/>
      <c r="E15" s="385" t="str">
        <f t="shared" si="0"/>
        <v/>
      </c>
    </row>
    <row r="16" spans="1:8" ht="15" customHeight="1" x14ac:dyDescent="0.35">
      <c r="A16" s="460" t="s">
        <v>354</v>
      </c>
      <c r="B16" s="460" t="s">
        <v>355</v>
      </c>
      <c r="C16" s="461"/>
      <c r="D16" s="461"/>
      <c r="E16" s="446" t="str">
        <f t="shared" si="0"/>
        <v/>
      </c>
    </row>
    <row r="17" spans="1:5" ht="15" customHeight="1" x14ac:dyDescent="0.35">
      <c r="A17" s="331" t="s">
        <v>356</v>
      </c>
      <c r="B17" s="331" t="s">
        <v>357</v>
      </c>
      <c r="C17" s="169"/>
      <c r="D17" s="169"/>
      <c r="E17" s="385" t="str">
        <f t="shared" si="0"/>
        <v/>
      </c>
    </row>
    <row r="18" spans="1:5" ht="15" customHeight="1" x14ac:dyDescent="0.35">
      <c r="A18" s="460" t="s">
        <v>358</v>
      </c>
      <c r="B18" s="460" t="s">
        <v>359</v>
      </c>
      <c r="C18" s="461"/>
      <c r="D18" s="461"/>
      <c r="E18" s="446" t="str">
        <f t="shared" si="0"/>
        <v/>
      </c>
    </row>
    <row r="19" spans="1:5" ht="15" customHeight="1" x14ac:dyDescent="0.35">
      <c r="A19" s="325" t="s">
        <v>29</v>
      </c>
      <c r="B19" s="325"/>
      <c r="C19" s="475">
        <f>ROUND(IF(C15="",0,C15)-IF(C16="",0,C16)-IF(C17="",0,C17)-IF(C18="",0,C18),1)</f>
        <v>0</v>
      </c>
      <c r="D19" s="475">
        <f>ROUND(IF(D15="",0,D15)-IF(D16="",0,D16)-IF(D17="",0,D17)-IF(D18="",0,D18),1)</f>
        <v>0</v>
      </c>
      <c r="E19" s="340"/>
    </row>
    <row r="20" spans="1:5" ht="15" customHeight="1" x14ac:dyDescent="0.35">
      <c r="A20" s="460" t="s">
        <v>360</v>
      </c>
      <c r="B20" s="460" t="s">
        <v>361</v>
      </c>
      <c r="C20" s="461"/>
      <c r="D20" s="461"/>
      <c r="E20" s="446" t="str">
        <f>IF(OR(C20="", D20="",D20=0,AND(C20&gt;=0, D20&lt;=0), AND(C20&lt;=0, D20&gt;=0)),"",C20/D20-1)</f>
        <v/>
      </c>
    </row>
    <row r="21" spans="1:5" ht="15" customHeight="1" x14ac:dyDescent="0.35">
      <c r="A21" s="331" t="s">
        <v>362</v>
      </c>
      <c r="B21" s="331" t="s">
        <v>363</v>
      </c>
      <c r="C21" s="169"/>
      <c r="D21" s="169"/>
      <c r="E21" s="385" t="str">
        <f>IF(OR(C21="", D21="",D21=0,AND(C21&gt;=0, D21&lt;=0), AND(C21&lt;=0, D21&gt;=0)),"",C21/D21-1)</f>
        <v/>
      </c>
    </row>
    <row r="22" spans="1:5" ht="15" customHeight="1" x14ac:dyDescent="0.35">
      <c r="A22" s="460" t="s">
        <v>364</v>
      </c>
      <c r="B22" s="460" t="s">
        <v>365</v>
      </c>
      <c r="C22" s="461"/>
      <c r="D22" s="461"/>
      <c r="E22" s="446" t="str">
        <f>IF(OR(C22="", D22="",D22=0,AND(C22&gt;=0, D22&lt;=0), AND(C22&lt;=0, D22&gt;=0)),"",C22/D22-1)</f>
        <v/>
      </c>
    </row>
    <row r="23" spans="1:5" ht="15" customHeight="1" x14ac:dyDescent="0.35">
      <c r="A23" s="331" t="s">
        <v>366</v>
      </c>
      <c r="B23" s="331" t="s">
        <v>367</v>
      </c>
      <c r="C23" s="169"/>
      <c r="D23" s="169"/>
      <c r="E23" s="385" t="str">
        <f>IF(OR(C23="", D23="",D23=0,AND(C23&gt;=0, D23&lt;=0), AND(C23&lt;=0, D23&gt;=0)),"",C23/D23-1)</f>
        <v/>
      </c>
    </row>
    <row r="24" spans="1:5" ht="15" customHeight="1" x14ac:dyDescent="0.35">
      <c r="A24" s="460" t="s">
        <v>368</v>
      </c>
      <c r="B24" s="460" t="s">
        <v>369</v>
      </c>
      <c r="C24" s="461"/>
      <c r="D24" s="461"/>
      <c r="E24" s="446" t="str">
        <f>IF(OR(C24="", D24="",D24=0,AND(C24&gt;=0, D24&lt;=0), AND(C24&lt;=0, D24&gt;=0)),"",C24/D24-1)</f>
        <v/>
      </c>
    </row>
    <row r="25" spans="1:5" ht="15" customHeight="1" x14ac:dyDescent="0.35">
      <c r="A25" s="325" t="s">
        <v>29</v>
      </c>
      <c r="B25" s="325"/>
      <c r="C25" s="475">
        <f>ROUND(IF(C20="",0,C20)-IF(C21="",0,C21)-IF(C22="",0,C22)-IF(C23="",0,C23)-IF(C24="",0,C24),1)</f>
        <v>0</v>
      </c>
      <c r="D25" s="475">
        <f>ROUND(IF(D20="",0,D20)-IF(D21="",0,D21)-IF(D22="",0,D22)-IF(D23="",0,D23)-IF(D24="",0,D24),1)</f>
        <v>0</v>
      </c>
      <c r="E25" s="340"/>
    </row>
    <row r="26" spans="1:5" ht="15" customHeight="1" x14ac:dyDescent="0.35">
      <c r="A26" s="460" t="s">
        <v>370</v>
      </c>
      <c r="B26" s="460" t="s">
        <v>371</v>
      </c>
      <c r="C26" s="461"/>
      <c r="D26" s="461"/>
      <c r="E26" s="446" t="str">
        <f>IF(OR(C26="", D26="",D26=0,AND(C26&gt;=0, D26&lt;=0), AND(C26&lt;=0, D26&gt;=0)),"",C26/D26-1)</f>
        <v/>
      </c>
    </row>
    <row r="27" spans="1:5" ht="15" customHeight="1" thickBot="1" x14ac:dyDescent="0.4">
      <c r="A27" s="332" t="s">
        <v>347</v>
      </c>
      <c r="B27" s="332" t="s">
        <v>372</v>
      </c>
      <c r="C27" s="170"/>
      <c r="D27" s="170"/>
      <c r="E27" s="407" t="str">
        <f>IF(OR(C27="", D27="",D27=0,AND(C27&gt;=0, D27&lt;=0), AND(C27&lt;=0, D27&gt;=0)),"",C27/D27-1)</f>
        <v/>
      </c>
    </row>
    <row r="28" spans="1:5" ht="15" customHeight="1" x14ac:dyDescent="0.35">
      <c r="A28" s="463" t="s">
        <v>29</v>
      </c>
      <c r="B28" s="464"/>
      <c r="C28" s="465">
        <f>ROUND(IF(C13="",0,C13)+IF(C14="",0,C14)+IF(C15="",0,C15)+IF(C20="",0,C20)+IF(C26="",0,C26)-IF(C27="",0,C27),1)</f>
        <v>0</v>
      </c>
      <c r="D28" s="465">
        <f>ROUND(IF(D13="",0,D13)+IF(D14="",0,D14)+IF(D15="",0,D15)+IF(D20="",0,D20)+IF(D26="",0,D26)-IF(D27="",0,D27),1)</f>
        <v>0</v>
      </c>
      <c r="E28" s="466"/>
    </row>
    <row r="29" spans="1:5" ht="15" customHeight="1" x14ac:dyDescent="0.35">
      <c r="A29" s="331" t="s">
        <v>373</v>
      </c>
      <c r="B29" s="331"/>
      <c r="C29" s="169"/>
      <c r="D29" s="169"/>
      <c r="E29" s="385"/>
    </row>
    <row r="30" spans="1:5" ht="15" customHeight="1" x14ac:dyDescent="0.35">
      <c r="A30" s="460" t="s">
        <v>374</v>
      </c>
      <c r="B30" s="460" t="s">
        <v>375</v>
      </c>
      <c r="C30" s="461"/>
      <c r="D30" s="461"/>
      <c r="E30" s="446" t="str">
        <f t="shared" ref="E30:E36" si="1">IF(OR(C30="", D30="",D30=0,AND(C30&gt;=0, D30&lt;=0), AND(C30&lt;=0, D30&gt;=0)),"",C30/D30-1)</f>
        <v/>
      </c>
    </row>
    <row r="31" spans="1:5" ht="15" customHeight="1" x14ac:dyDescent="0.35">
      <c r="A31" s="331" t="s">
        <v>376</v>
      </c>
      <c r="B31" s="331" t="s">
        <v>377</v>
      </c>
      <c r="C31" s="169"/>
      <c r="D31" s="169"/>
      <c r="E31" s="385" t="str">
        <f t="shared" si="1"/>
        <v/>
      </c>
    </row>
    <row r="32" spans="1:5" ht="15" customHeight="1" x14ac:dyDescent="0.35">
      <c r="A32" s="460" t="s">
        <v>496</v>
      </c>
      <c r="B32" s="460" t="s">
        <v>379</v>
      </c>
      <c r="C32" s="461"/>
      <c r="D32" s="461"/>
      <c r="E32" s="446" t="str">
        <f t="shared" si="1"/>
        <v/>
      </c>
    </row>
    <row r="33" spans="1:5" ht="15" customHeight="1" x14ac:dyDescent="0.35">
      <c r="A33" s="331" t="s">
        <v>497</v>
      </c>
      <c r="B33" s="331" t="s">
        <v>381</v>
      </c>
      <c r="C33" s="169"/>
      <c r="D33" s="169"/>
      <c r="E33" s="385" t="str">
        <f t="shared" si="1"/>
        <v/>
      </c>
    </row>
    <row r="34" spans="1:5" ht="15" customHeight="1" x14ac:dyDescent="0.35">
      <c r="A34" s="460" t="s">
        <v>382</v>
      </c>
      <c r="B34" s="460" t="s">
        <v>383</v>
      </c>
      <c r="C34" s="461"/>
      <c r="D34" s="461"/>
      <c r="E34" s="446" t="str">
        <f t="shared" si="1"/>
        <v/>
      </c>
    </row>
    <row r="35" spans="1:5" ht="15" customHeight="1" x14ac:dyDescent="0.35">
      <c r="A35" s="331" t="s">
        <v>498</v>
      </c>
      <c r="B35" s="331" t="s">
        <v>385</v>
      </c>
      <c r="C35" s="169"/>
      <c r="D35" s="169"/>
      <c r="E35" s="385" t="str">
        <f t="shared" si="1"/>
        <v/>
      </c>
    </row>
    <row r="36" spans="1:5" ht="15" customHeight="1" x14ac:dyDescent="0.35">
      <c r="A36" s="460" t="s">
        <v>499</v>
      </c>
      <c r="B36" s="460" t="s">
        <v>387</v>
      </c>
      <c r="C36" s="461"/>
      <c r="D36" s="461"/>
      <c r="E36" s="446" t="str">
        <f t="shared" si="1"/>
        <v/>
      </c>
    </row>
    <row r="37" spans="1:5" ht="15" customHeight="1" x14ac:dyDescent="0.35">
      <c r="A37" s="325" t="s">
        <v>29</v>
      </c>
      <c r="B37" s="325"/>
      <c r="C37" s="475">
        <f>ROUND(IF(C30="",0,C30)-IF(C31="",0,C31)-IF(C34="",0,C34),1)</f>
        <v>0</v>
      </c>
      <c r="D37" s="475">
        <f>ROUND(IF(D30="",0,D30)-IF(D31="",0,D31)-IF(D34="",0,D34),1)</f>
        <v>0</v>
      </c>
      <c r="E37" s="340"/>
    </row>
    <row r="38" spans="1:5" ht="15" customHeight="1" x14ac:dyDescent="0.35">
      <c r="A38" s="460" t="s">
        <v>388</v>
      </c>
      <c r="B38" s="460" t="s">
        <v>389</v>
      </c>
      <c r="C38" s="461"/>
      <c r="D38" s="461"/>
      <c r="E38" s="446" t="str">
        <f>IF(OR(C38="", D38="",D38=0,AND(C38&gt;=0, D38&lt;=0), AND(C38&lt;=0, D38&gt;=0)),"",C38/D38-1)</f>
        <v/>
      </c>
    </row>
    <row r="39" spans="1:5" ht="15" customHeight="1" x14ac:dyDescent="0.35">
      <c r="A39" s="331" t="s">
        <v>390</v>
      </c>
      <c r="B39" s="331" t="s">
        <v>391</v>
      </c>
      <c r="C39" s="169"/>
      <c r="D39" s="169"/>
      <c r="E39" s="385" t="str">
        <f>IF(OR(C39="", D39="",D39=0,AND(C39&gt;=0, D39&lt;=0), AND(C39&lt;=0, D39&gt;=0)),"",C39/D39-1)</f>
        <v/>
      </c>
    </row>
    <row r="40" spans="1:5" ht="15" customHeight="1" x14ac:dyDescent="0.35">
      <c r="A40" s="460" t="s">
        <v>392</v>
      </c>
      <c r="B40" s="460" t="s">
        <v>393</v>
      </c>
      <c r="C40" s="461"/>
      <c r="D40" s="461"/>
      <c r="E40" s="446" t="str">
        <f>IF(OR(C40="", D40="",D40=0,AND(C40&gt;=0, D40&lt;=0), AND(C40&lt;=0, D40&gt;=0)),"",C40/D40-1)</f>
        <v/>
      </c>
    </row>
    <row r="41" spans="1:5" ht="15" customHeight="1" x14ac:dyDescent="0.35">
      <c r="A41" s="325" t="s">
        <v>29</v>
      </c>
      <c r="B41" s="325"/>
      <c r="C41" s="475">
        <f>IF(AND(C39="",C40=""),0,ROUND(IF(C38="",0,C38)-IF(C39="",0,C39)-IF(C40="",0,C40),1))</f>
        <v>0</v>
      </c>
      <c r="D41" s="475">
        <f>IF(AND(D39="",D40=""),0,ROUND(IF(D38="",0,D38)-IF(D39="",0,D39)-IF(D40="",0,D40),1))</f>
        <v>0</v>
      </c>
      <c r="E41" s="340"/>
    </row>
    <row r="42" spans="1:5" ht="15" customHeight="1" x14ac:dyDescent="0.35">
      <c r="A42" s="460" t="s">
        <v>394</v>
      </c>
      <c r="B42" s="460" t="s">
        <v>395</v>
      </c>
      <c r="C42" s="461"/>
      <c r="D42" s="461"/>
      <c r="E42" s="446" t="str">
        <f>IF(OR(C42="", D42="",D42=0,AND(C42&gt;=0, D42&lt;=0), AND(C42&lt;=0, D42&gt;=0)),"",C42/D42-1)</f>
        <v/>
      </c>
    </row>
    <row r="43" spans="1:5" ht="15" customHeight="1" x14ac:dyDescent="0.35">
      <c r="A43" s="331" t="s">
        <v>396</v>
      </c>
      <c r="B43" s="331" t="s">
        <v>397</v>
      </c>
      <c r="C43" s="169"/>
      <c r="D43" s="169"/>
      <c r="E43" s="385" t="str">
        <f>IF(OR(C43="", D43="",D43=0,AND(C43&gt;=0, D43&lt;=0), AND(C43&lt;=0, D43&gt;=0)),"",C43/D43-1)</f>
        <v/>
      </c>
    </row>
    <row r="44" spans="1:5" ht="15" customHeight="1" x14ac:dyDescent="0.35">
      <c r="A44" s="460" t="s">
        <v>398</v>
      </c>
      <c r="B44" s="460" t="s">
        <v>399</v>
      </c>
      <c r="C44" s="461"/>
      <c r="D44" s="461"/>
      <c r="E44" s="446" t="str">
        <f>IF(OR(C44="", D44="",D44=0,AND(C44&gt;=0, D44&lt;=0), AND(C44&lt;=0, D44&gt;=0)),"",C44/D44-1)</f>
        <v/>
      </c>
    </row>
    <row r="45" spans="1:5" ht="15" customHeight="1" x14ac:dyDescent="0.35">
      <c r="A45" s="331" t="s">
        <v>400</v>
      </c>
      <c r="B45" s="331" t="s">
        <v>401</v>
      </c>
      <c r="C45" s="169"/>
      <c r="D45" s="169"/>
      <c r="E45" s="385" t="str">
        <f>IF(OR(C45="", D45="",D45=0,AND(C45&gt;=0, D45&lt;=0), AND(C45&lt;=0, D45&gt;=0)),"",C45/D45-1)</f>
        <v/>
      </c>
    </row>
    <row r="46" spans="1:5" ht="15" customHeight="1" x14ac:dyDescent="0.35">
      <c r="A46" s="468" t="s">
        <v>29</v>
      </c>
      <c r="B46" s="469"/>
      <c r="C46" s="470">
        <f>ROUND(IF(C42="",0,C42)-IF(C43="",0,C43)-IF(C44="",0,C44)-IF(C45="",0,C45),1)</f>
        <v>0</v>
      </c>
      <c r="D46" s="470">
        <f>ROUND(IF(D42="",0,D42)-IF(D43="",0,D43)-IF(D44="",0,D44)-IF(D45="",0,D45),1)</f>
        <v>0</v>
      </c>
      <c r="E46" s="471"/>
    </row>
    <row r="47" spans="1:5" ht="15" customHeight="1" x14ac:dyDescent="0.35">
      <c r="A47" s="331" t="s">
        <v>402</v>
      </c>
      <c r="B47" s="331" t="s">
        <v>403</v>
      </c>
      <c r="C47" s="169"/>
      <c r="D47" s="169"/>
      <c r="E47" s="385" t="str">
        <f>IF(OR(C47="", D47="",D47=0,AND(C47&gt;=0, D47&lt;=0), AND(C47&lt;=0, D47&gt;=0)),"",C47/D47-1)</f>
        <v/>
      </c>
    </row>
    <row r="48" spans="1:5" ht="15" customHeight="1" x14ac:dyDescent="0.35">
      <c r="A48" s="460" t="s">
        <v>404</v>
      </c>
      <c r="B48" s="460" t="s">
        <v>405</v>
      </c>
      <c r="C48" s="461"/>
      <c r="D48" s="461"/>
      <c r="E48" s="446" t="str">
        <f>IF(OR(C48="", D48="",D48=0,AND(C48&gt;=0, D48&lt;=0), AND(C48&lt;=0, D48&gt;=0)),"",C48/D48-1)</f>
        <v/>
      </c>
    </row>
    <row r="49" spans="1:5" ht="15" customHeight="1" thickBot="1" x14ac:dyDescent="0.4">
      <c r="A49" s="467" t="s">
        <v>373</v>
      </c>
      <c r="B49" s="332" t="s">
        <v>406</v>
      </c>
      <c r="C49" s="170"/>
      <c r="D49" s="170"/>
      <c r="E49" s="407" t="str">
        <f>IF(OR(C49="", D49="",D49=0,AND(C49&gt;=0, D49&lt;=0), AND(C49&lt;=0, D49&gt;=0)),"",C49/D49-1)</f>
        <v/>
      </c>
    </row>
    <row r="50" spans="1:5" ht="15" customHeight="1" x14ac:dyDescent="0.35">
      <c r="A50" s="463" t="s">
        <v>29</v>
      </c>
      <c r="B50" s="464"/>
      <c r="C50" s="465">
        <f>ROUND(IF(C49="",0,C49)-IF(C30="",0,C30)-IF(C38="",0,C38)-IF(C42="",0,C42)-IF(C47="",0,C47)-IF(C48="",0,C48),1)</f>
        <v>0</v>
      </c>
      <c r="D50" s="465">
        <f>ROUND(IF(D49="",0,D49)-IF(D30="",0,D30)-IF(D38="",0,D38)-IF(D42="",0,D42)-IF(D47="",0,D47)-IF(D48="",0,D48),1)</f>
        <v>0</v>
      </c>
      <c r="E50" s="466"/>
    </row>
    <row r="51" spans="1:5" ht="15" customHeight="1" x14ac:dyDescent="0.35">
      <c r="A51" s="331" t="s">
        <v>407</v>
      </c>
      <c r="B51" s="331"/>
      <c r="C51" s="169"/>
      <c r="D51" s="169"/>
      <c r="E51" s="385" t="str">
        <f t="shared" ref="E51:E56" si="2">IF(OR(C51="", D51="",D51=0,AND(C51&gt;=0, D51&lt;=0), AND(C51&lt;=0, D51&gt;=0)),"",C51/D51-1)</f>
        <v/>
      </c>
    </row>
    <row r="52" spans="1:5" ht="15" customHeight="1" x14ac:dyDescent="0.35">
      <c r="A52" s="460" t="s">
        <v>408</v>
      </c>
      <c r="B52" s="460" t="s">
        <v>409</v>
      </c>
      <c r="C52" s="461"/>
      <c r="D52" s="461"/>
      <c r="E52" s="446" t="str">
        <f t="shared" si="2"/>
        <v/>
      </c>
    </row>
    <row r="53" spans="1:5" ht="15" customHeight="1" x14ac:dyDescent="0.35">
      <c r="A53" s="331" t="s">
        <v>410</v>
      </c>
      <c r="B53" s="331" t="s">
        <v>411</v>
      </c>
      <c r="C53" s="169"/>
      <c r="D53" s="169"/>
      <c r="E53" s="385" t="str">
        <f t="shared" si="2"/>
        <v/>
      </c>
    </row>
    <row r="54" spans="1:5" ht="15" customHeight="1" x14ac:dyDescent="0.35">
      <c r="A54" s="460" t="s">
        <v>412</v>
      </c>
      <c r="B54" s="460" t="s">
        <v>413</v>
      </c>
      <c r="C54" s="461"/>
      <c r="D54" s="461"/>
      <c r="E54" s="446" t="str">
        <f t="shared" si="2"/>
        <v/>
      </c>
    </row>
    <row r="55" spans="1:5" ht="15" customHeight="1" x14ac:dyDescent="0.35">
      <c r="A55" s="331" t="s">
        <v>414</v>
      </c>
      <c r="B55" s="331" t="s">
        <v>415</v>
      </c>
      <c r="C55" s="169"/>
      <c r="D55" s="169"/>
      <c r="E55" s="385" t="str">
        <f t="shared" si="2"/>
        <v/>
      </c>
    </row>
    <row r="56" spans="1:5" ht="15" customHeight="1" x14ac:dyDescent="0.35">
      <c r="A56" s="460" t="s">
        <v>416</v>
      </c>
      <c r="B56" s="460" t="s">
        <v>417</v>
      </c>
      <c r="C56" s="461"/>
      <c r="D56" s="461"/>
      <c r="E56" s="446" t="str">
        <f t="shared" si="2"/>
        <v/>
      </c>
    </row>
    <row r="57" spans="1:5" ht="15" customHeight="1" x14ac:dyDescent="0.35">
      <c r="A57" s="325" t="s">
        <v>29</v>
      </c>
      <c r="B57" s="325"/>
      <c r="C57" s="475">
        <f>IF(AND(C54="",C55="",C56=""),0,ROUND(IF(C53="",0,C53)-IF(C54="",0,C54)-IF(C55="",0,C55)-IF(C56="",0,C56),1))</f>
        <v>0</v>
      </c>
      <c r="D57" s="475">
        <f>IF(AND(D54="",D55="",D56=""),0,ROUND(IF(D53="",0,D53)-IF(D54="",0,D54)-IF(D55="",0,D55)-IF(D56="",0,D56),1))</f>
        <v>0</v>
      </c>
      <c r="E57" s="340"/>
    </row>
    <row r="58" spans="1:5" ht="15" customHeight="1" x14ac:dyDescent="0.35">
      <c r="A58" s="460" t="s">
        <v>418</v>
      </c>
      <c r="B58" s="460" t="s">
        <v>419</v>
      </c>
      <c r="C58" s="461"/>
      <c r="D58" s="461"/>
      <c r="E58" s="446" t="str">
        <f>IF(OR(C58="", D58="",D58=0,AND(C58&gt;=0, D58&lt;=0), AND(C58&lt;=0, D58&gt;=0)),"",C58/D58-1)</f>
        <v/>
      </c>
    </row>
    <row r="59" spans="1:5" ht="15" customHeight="1" x14ac:dyDescent="0.35">
      <c r="A59" s="331" t="s">
        <v>420</v>
      </c>
      <c r="B59" s="331" t="s">
        <v>421</v>
      </c>
      <c r="C59" s="169"/>
      <c r="D59" s="169"/>
      <c r="E59" s="385" t="str">
        <f>IF(OR(C59="", D59="",D59=0,AND(C59&gt;=0, D59&lt;=0), AND(C59&lt;=0, D59&gt;=0)),"",C59/D59-1)</f>
        <v/>
      </c>
    </row>
    <row r="60" spans="1:5" ht="15" customHeight="1" x14ac:dyDescent="0.35">
      <c r="A60" s="460" t="s">
        <v>422</v>
      </c>
      <c r="B60" s="460" t="s">
        <v>423</v>
      </c>
      <c r="C60" s="461"/>
      <c r="D60" s="461"/>
      <c r="E60" s="446" t="str">
        <f>IF(OR(C60="", D60="",D60=0,AND(C60&gt;=0, D60&lt;=0), AND(C60&lt;=0, D60&gt;=0)),"",C60/D60-1)</f>
        <v/>
      </c>
    </row>
    <row r="61" spans="1:5" ht="15" customHeight="1" x14ac:dyDescent="0.35">
      <c r="A61" s="325" t="s">
        <v>29</v>
      </c>
      <c r="B61" s="325"/>
      <c r="C61" s="475">
        <f>ROUND(IF(C58="",0,C58)-IF(C59="",0,C59)-IF(C60="",0,C60),1)</f>
        <v>0</v>
      </c>
      <c r="D61" s="475">
        <f>ROUND(IF(D58="",0,D58)-IF(D59="",0,D59)-IF(D60="",0,D60),1)</f>
        <v>0</v>
      </c>
      <c r="E61" s="340"/>
    </row>
    <row r="62" spans="1:5" ht="15" customHeight="1" x14ac:dyDescent="0.35">
      <c r="A62" s="460" t="s">
        <v>424</v>
      </c>
      <c r="B62" s="460" t="s">
        <v>425</v>
      </c>
      <c r="C62" s="461"/>
      <c r="D62" s="461"/>
      <c r="E62" s="446" t="str">
        <f t="shared" ref="E62:E68" si="3">IF(OR(C62="", D62="",D62=0,AND(C62&gt;=0, D62&lt;=0), AND(C62&lt;=0, D62&gt;=0)),"",C62/D62-1)</f>
        <v/>
      </c>
    </row>
    <row r="63" spans="1:5" ht="15" customHeight="1" x14ac:dyDescent="0.35">
      <c r="A63" s="331" t="s">
        <v>426</v>
      </c>
      <c r="B63" s="331" t="s">
        <v>427</v>
      </c>
      <c r="C63" s="169"/>
      <c r="D63" s="169"/>
      <c r="E63" s="385" t="str">
        <f t="shared" si="3"/>
        <v/>
      </c>
    </row>
    <row r="64" spans="1:5" ht="15" customHeight="1" thickBot="1" x14ac:dyDescent="0.4">
      <c r="A64" s="474" t="s">
        <v>407</v>
      </c>
      <c r="B64" s="462" t="s">
        <v>428</v>
      </c>
      <c r="C64" s="472"/>
      <c r="D64" s="472"/>
      <c r="E64" s="473" t="str">
        <f t="shared" si="3"/>
        <v/>
      </c>
    </row>
    <row r="65" spans="1:5" ht="15" customHeight="1" x14ac:dyDescent="0.35">
      <c r="A65" s="333" t="s">
        <v>29</v>
      </c>
      <c r="B65" s="333"/>
      <c r="C65" s="330">
        <f>ROUND(IF(C52="",0,C52)+IF(C53="",0,C53)+IF(C58="",0,C58)+IF(C62="",0,C62)+IF(C63="",0,C63)-IF(C64="",0,C64),1)</f>
        <v>0</v>
      </c>
      <c r="D65" s="330">
        <f>ROUND(IF(D52="",0,D52)+IF(D53="",0,D53)+IF(D58="",0,D58)+IF(D62="",0,D62)+IF(D63="",0,D63)-IF(D64="",0,D64),1)</f>
        <v>0</v>
      </c>
      <c r="E65" s="388" t="str">
        <f t="shared" si="3"/>
        <v/>
      </c>
    </row>
    <row r="66" spans="1:5" ht="15" customHeight="1" x14ac:dyDescent="0.35">
      <c r="A66" s="460" t="s">
        <v>429</v>
      </c>
      <c r="B66" s="460" t="s">
        <v>430</v>
      </c>
      <c r="C66" s="461"/>
      <c r="D66" s="461"/>
      <c r="E66" s="446" t="str">
        <f t="shared" si="3"/>
        <v/>
      </c>
    </row>
    <row r="67" spans="1:5" ht="15" customHeight="1" x14ac:dyDescent="0.35">
      <c r="A67" s="331"/>
      <c r="B67" s="331"/>
      <c r="C67" s="169"/>
      <c r="D67" s="169"/>
      <c r="E67" s="385" t="str">
        <f t="shared" si="3"/>
        <v/>
      </c>
    </row>
    <row r="68" spans="1:5" ht="15" customHeight="1" thickBot="1" x14ac:dyDescent="0.4">
      <c r="A68" s="474" t="s">
        <v>431</v>
      </c>
      <c r="B68" s="462" t="s">
        <v>432</v>
      </c>
      <c r="C68" s="472"/>
      <c r="D68" s="472"/>
      <c r="E68" s="473" t="str">
        <f t="shared" si="3"/>
        <v/>
      </c>
    </row>
  </sheetData>
  <mergeCells count="1">
    <mergeCell ref="B7:D7"/>
  </mergeCells>
  <conditionalFormatting sqref="C19:D19">
    <cfRule type="expression" dxfId="41" priority="15">
      <formula>NOT(ROUND(C19, 1) = 0)</formula>
    </cfRule>
    <cfRule type="containsErrors" dxfId="40" priority="22">
      <formula>ISERROR(C19)</formula>
    </cfRule>
  </conditionalFormatting>
  <conditionalFormatting sqref="C25:D25">
    <cfRule type="expression" dxfId="39" priority="13">
      <formula>NOT(ROUND(C25, 1) = 0)</formula>
    </cfRule>
    <cfRule type="containsErrors" dxfId="38" priority="23">
      <formula>ISERROR(C25)</formula>
    </cfRule>
  </conditionalFormatting>
  <conditionalFormatting sqref="C28:D28 C65:D65">
    <cfRule type="expression" dxfId="37" priority="17">
      <formula>NOT(ROUND(C28,1)=0)</formula>
    </cfRule>
    <cfRule type="containsErrors" dxfId="36" priority="24">
      <formula>ISERROR(C28)</formula>
    </cfRule>
  </conditionalFormatting>
  <conditionalFormatting sqref="C37:D37">
    <cfRule type="expression" dxfId="35" priority="11">
      <formula>NOT(ROUND(C37, 1) = 0)</formula>
    </cfRule>
    <cfRule type="containsErrors" dxfId="34" priority="25">
      <formula>ISERROR(C37)</formula>
    </cfRule>
  </conditionalFormatting>
  <conditionalFormatting sqref="C41:D41">
    <cfRule type="expression" dxfId="33" priority="9">
      <formula>NOT(ROUND(C41, 1) = 0)</formula>
    </cfRule>
    <cfRule type="containsErrors" dxfId="32" priority="26">
      <formula>ISERROR(C41)</formula>
    </cfRule>
  </conditionalFormatting>
  <conditionalFormatting sqref="C46:D46">
    <cfRule type="expression" dxfId="31" priority="7">
      <formula>NOT(ROUND(C46,1)=0)</formula>
    </cfRule>
    <cfRule type="containsErrors" dxfId="30" priority="27">
      <formula>ISERROR(C46)</formula>
    </cfRule>
  </conditionalFormatting>
  <conditionalFormatting sqref="C50:D50">
    <cfRule type="expression" dxfId="29" priority="5">
      <formula>NOT(ROUND(C50,1)=0)</formula>
    </cfRule>
    <cfRule type="containsErrors" dxfId="28" priority="28">
      <formula>ISERROR(C50)</formula>
    </cfRule>
  </conditionalFormatting>
  <conditionalFormatting sqref="C57:D57">
    <cfRule type="expression" dxfId="27" priority="3">
      <formula>NOT(ROUND(C57, 1) = 0)</formula>
    </cfRule>
    <cfRule type="containsErrors" dxfId="26" priority="29">
      <formula>ISERROR(C57)</formula>
    </cfRule>
  </conditionalFormatting>
  <conditionalFormatting sqref="C61:D61">
    <cfRule type="expression" dxfId="25" priority="1">
      <formula>NOT(ROUND(C61, 1) = 0)</formula>
    </cfRule>
    <cfRule type="containsErrors" dxfId="24" priority="30">
      <formula>ISERROR(C61)</formula>
    </cfRule>
  </conditionalFormatting>
  <conditionalFormatting sqref="H1">
    <cfRule type="cellIs" dxfId="23" priority="19" operator="notEqual">
      <formula>0</formula>
    </cfRule>
    <cfRule type="cellIs" dxfId="22" priority="21" operator="equal">
      <formula>0</formula>
    </cfRule>
    <cfRule type="containsErrors" dxfId="21" priority="31">
      <formula>ISERROR(H1)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67"/>
  <sheetViews>
    <sheetView workbookViewId="0"/>
  </sheetViews>
  <sheetFormatPr defaultRowHeight="14.5" x14ac:dyDescent="0.35"/>
  <cols>
    <col min="1" max="1" width="35.1796875" customWidth="1"/>
    <col min="2" max="2" width="13" hidden="1" customWidth="1"/>
    <col min="3" max="10" width="11.81640625" customWidth="1"/>
  </cols>
  <sheetData>
    <row r="1" spans="1:10" x14ac:dyDescent="0.35">
      <c r="A1" s="546"/>
      <c r="B1" s="546"/>
      <c r="C1" s="546"/>
      <c r="D1" s="546"/>
      <c r="E1" s="546"/>
      <c r="F1" s="546"/>
      <c r="G1" s="546"/>
      <c r="H1" s="546"/>
      <c r="I1" s="546"/>
      <c r="J1" s="546"/>
    </row>
    <row r="2" spans="1:10" ht="20.25" customHeight="1" x14ac:dyDescent="0.35">
      <c r="A2" s="547" t="s">
        <v>500</v>
      </c>
      <c r="B2" s="547"/>
      <c r="C2" s="547"/>
      <c r="D2" s="547"/>
      <c r="E2" s="547"/>
      <c r="F2" s="547"/>
      <c r="G2" s="547"/>
      <c r="H2" s="547"/>
      <c r="I2" s="547"/>
      <c r="J2" s="547"/>
    </row>
    <row r="3" spans="1:10" x14ac:dyDescent="0.35">
      <c r="A3" s="548"/>
      <c r="B3" s="548"/>
      <c r="C3" s="548"/>
      <c r="D3" s="548"/>
      <c r="E3" s="548"/>
      <c r="F3" s="548"/>
      <c r="G3" s="548"/>
      <c r="H3" s="548"/>
      <c r="I3" s="548"/>
      <c r="J3" s="548"/>
    </row>
    <row r="4" spans="1:10" x14ac:dyDescent="0.35">
      <c r="A4" s="549" t="s">
        <v>501</v>
      </c>
      <c r="B4" s="549"/>
      <c r="C4" s="550" t="s">
        <v>502</v>
      </c>
      <c r="D4" s="550" t="s">
        <v>503</v>
      </c>
      <c r="E4" s="550" t="s">
        <v>504</v>
      </c>
      <c r="F4" s="550" t="s">
        <v>505</v>
      </c>
      <c r="G4" s="550" t="s">
        <v>506</v>
      </c>
      <c r="H4" s="550" t="s">
        <v>507</v>
      </c>
      <c r="I4" s="550" t="s">
        <v>508</v>
      </c>
      <c r="J4" s="550" t="s">
        <v>509</v>
      </c>
    </row>
    <row r="5" spans="1:10" x14ac:dyDescent="0.35">
      <c r="A5" s="551" t="s">
        <v>510</v>
      </c>
      <c r="B5" s="551"/>
      <c r="C5" s="552" t="s">
        <v>511</v>
      </c>
      <c r="D5" s="552" t="s">
        <v>512</v>
      </c>
      <c r="E5" s="552" t="s">
        <v>513</v>
      </c>
      <c r="F5" s="552" t="s">
        <v>514</v>
      </c>
      <c r="G5" s="552" t="s">
        <v>515</v>
      </c>
      <c r="H5" s="552" t="s">
        <v>516</v>
      </c>
      <c r="I5" s="552" t="s">
        <v>517</v>
      </c>
      <c r="J5" s="552" t="s">
        <v>518</v>
      </c>
    </row>
    <row r="6" spans="1:10" x14ac:dyDescent="0.35">
      <c r="A6" s="553" t="s">
        <v>519</v>
      </c>
      <c r="B6" s="554"/>
      <c r="C6" s="554"/>
      <c r="D6" s="554"/>
      <c r="E6" s="554"/>
      <c r="F6" s="554"/>
      <c r="G6" s="554"/>
      <c r="H6" s="554"/>
      <c r="I6" s="554"/>
      <c r="J6" s="554"/>
    </row>
    <row r="7" spans="1:10" x14ac:dyDescent="0.35">
      <c r="A7" s="555" t="s">
        <v>520</v>
      </c>
      <c r="B7" s="556"/>
      <c r="C7" s="556"/>
      <c r="D7" s="556"/>
      <c r="E7" s="556"/>
      <c r="F7" s="556"/>
      <c r="G7" s="556"/>
      <c r="H7" s="556"/>
      <c r="I7" s="556"/>
      <c r="J7" s="556"/>
    </row>
    <row r="8" spans="1:10" x14ac:dyDescent="0.35">
      <c r="A8" s="555" t="s">
        <v>521</v>
      </c>
      <c r="B8" s="555" t="s">
        <v>522</v>
      </c>
      <c r="C8" s="557">
        <v>1079.1343999999999</v>
      </c>
      <c r="D8" s="557">
        <v>1171.8675000000001</v>
      </c>
      <c r="E8" s="557">
        <v>1012.6854</v>
      </c>
      <c r="F8" s="557">
        <v>1120.1222</v>
      </c>
      <c r="G8" s="557">
        <v>1360.2964999999999</v>
      </c>
      <c r="H8" s="557">
        <v>1065.4425000000001</v>
      </c>
      <c r="I8" s="557">
        <v>956.10799999999995</v>
      </c>
      <c r="J8" s="557">
        <v>781.78560000000004</v>
      </c>
    </row>
    <row r="9" spans="1:10" x14ac:dyDescent="0.35">
      <c r="A9" s="555" t="s">
        <v>523</v>
      </c>
      <c r="B9" s="555" t="s">
        <v>524</v>
      </c>
      <c r="C9" s="557">
        <v>0</v>
      </c>
      <c r="D9" s="557">
        <v>0</v>
      </c>
      <c r="E9" s="557">
        <v>86.385900000000007</v>
      </c>
      <c r="F9" s="557">
        <v>83.822000000000003</v>
      </c>
      <c r="G9" s="557" t="s">
        <v>525</v>
      </c>
      <c r="H9" s="557" t="s">
        <v>525</v>
      </c>
      <c r="I9" s="557">
        <v>0</v>
      </c>
      <c r="J9" s="557">
        <v>0</v>
      </c>
    </row>
    <row r="10" spans="1:10" x14ac:dyDescent="0.35">
      <c r="A10" s="555" t="s">
        <v>526</v>
      </c>
      <c r="B10" s="555" t="s">
        <v>527</v>
      </c>
      <c r="C10" s="557">
        <v>659.2038</v>
      </c>
      <c r="D10" s="557">
        <v>729.90369999999996</v>
      </c>
      <c r="E10" s="557">
        <v>914.95090000000005</v>
      </c>
      <c r="F10" s="557">
        <v>844.43389999999999</v>
      </c>
      <c r="G10" s="557">
        <v>613.58969999999999</v>
      </c>
      <c r="H10" s="557">
        <v>688.58640000000003</v>
      </c>
      <c r="I10" s="557">
        <v>688.68589999999995</v>
      </c>
      <c r="J10" s="557">
        <v>694.3374</v>
      </c>
    </row>
    <row r="11" spans="1:10" x14ac:dyDescent="0.35">
      <c r="A11" s="555" t="s">
        <v>528</v>
      </c>
      <c r="B11" s="555" t="s">
        <v>529</v>
      </c>
      <c r="C11" s="557">
        <v>873.2</v>
      </c>
      <c r="D11" s="557">
        <v>955.62279999999998</v>
      </c>
      <c r="E11" s="557">
        <v>910.03599999999994</v>
      </c>
      <c r="F11" s="557">
        <v>859.36369999999999</v>
      </c>
      <c r="G11" s="557">
        <v>742.9665</v>
      </c>
      <c r="H11" s="557">
        <v>781.31669999999997</v>
      </c>
      <c r="I11" s="557">
        <v>742.75599999999997</v>
      </c>
      <c r="J11" s="557">
        <v>737.25580000000002</v>
      </c>
    </row>
    <row r="12" spans="1:10" x14ac:dyDescent="0.35">
      <c r="A12" s="555" t="s">
        <v>530</v>
      </c>
      <c r="B12" s="555" t="s">
        <v>531</v>
      </c>
      <c r="C12" s="557">
        <v>176.83580000000001</v>
      </c>
      <c r="D12" s="557">
        <v>174.80250000000001</v>
      </c>
      <c r="E12" s="557">
        <v>176.10919999999999</v>
      </c>
      <c r="F12" s="557">
        <v>217.8537</v>
      </c>
      <c r="G12" s="557">
        <v>175.36330000000001</v>
      </c>
      <c r="H12" s="557">
        <v>170.65479999999999</v>
      </c>
      <c r="I12" s="557">
        <v>177.04679999999999</v>
      </c>
      <c r="J12" s="557">
        <v>213.16739999999999</v>
      </c>
    </row>
    <row r="13" spans="1:10" x14ac:dyDescent="0.35">
      <c r="A13" s="555" t="s">
        <v>532</v>
      </c>
      <c r="B13" s="555" t="s">
        <v>533</v>
      </c>
      <c r="C13" s="557">
        <v>29.121200000000002</v>
      </c>
      <c r="D13" s="557" t="s">
        <v>525</v>
      </c>
      <c r="E13" s="557" t="s">
        <v>525</v>
      </c>
      <c r="F13" s="557">
        <v>36.130899999999997</v>
      </c>
      <c r="G13" s="557">
        <v>33.055399999999999</v>
      </c>
      <c r="H13" s="557" t="s">
        <v>525</v>
      </c>
      <c r="I13" s="557" t="s">
        <v>525</v>
      </c>
      <c r="J13" s="557">
        <v>30.304500000000001</v>
      </c>
    </row>
    <row r="14" spans="1:10" x14ac:dyDescent="0.35">
      <c r="A14" s="553" t="s">
        <v>64</v>
      </c>
      <c r="B14" s="553" t="s">
        <v>534</v>
      </c>
      <c r="C14" s="558">
        <v>2788.3739999999998</v>
      </c>
      <c r="D14" s="558">
        <v>3032.1965</v>
      </c>
      <c r="E14" s="558">
        <v>3100.1673999999998</v>
      </c>
      <c r="F14" s="558">
        <v>3125.5954999999999</v>
      </c>
      <c r="G14" s="558">
        <v>2892.2159000000001</v>
      </c>
      <c r="H14" s="558">
        <v>2706.0003999999999</v>
      </c>
      <c r="I14" s="558">
        <v>2564.5967000000001</v>
      </c>
      <c r="J14" s="558">
        <v>2426.5462000000002</v>
      </c>
    </row>
    <row r="15" spans="1:10" x14ac:dyDescent="0.35">
      <c r="A15" s="555" t="s">
        <v>535</v>
      </c>
      <c r="B15" s="556"/>
      <c r="C15" s="556"/>
      <c r="D15" s="556"/>
      <c r="E15" s="556"/>
      <c r="F15" s="556"/>
      <c r="G15" s="556"/>
      <c r="H15" s="556"/>
      <c r="I15" s="556"/>
      <c r="J15" s="556"/>
    </row>
    <row r="16" spans="1:10" x14ac:dyDescent="0.35">
      <c r="A16" s="555" t="s">
        <v>536</v>
      </c>
      <c r="B16" s="555" t="s">
        <v>537</v>
      </c>
      <c r="C16" s="557" t="s">
        <v>525</v>
      </c>
      <c r="D16" s="557" t="s">
        <v>525</v>
      </c>
      <c r="E16" s="557" t="s">
        <v>525</v>
      </c>
      <c r="F16" s="557" t="s">
        <v>525</v>
      </c>
      <c r="G16" s="557" t="s">
        <v>525</v>
      </c>
      <c r="H16" s="557">
        <v>43.269500000000001</v>
      </c>
      <c r="I16" s="557" t="s">
        <v>525</v>
      </c>
      <c r="J16" s="557">
        <v>42.549599999999998</v>
      </c>
    </row>
    <row r="17" spans="1:10" x14ac:dyDescent="0.35">
      <c r="A17" s="555" t="s">
        <v>538</v>
      </c>
      <c r="B17" s="555" t="s">
        <v>539</v>
      </c>
      <c r="C17" s="557" t="s">
        <v>525</v>
      </c>
      <c r="D17" s="557">
        <v>1731.0568000000001</v>
      </c>
      <c r="E17" s="557" t="s">
        <v>525</v>
      </c>
      <c r="F17" s="557">
        <v>1739.8657000000001</v>
      </c>
      <c r="G17" s="557" t="s">
        <v>525</v>
      </c>
      <c r="H17" s="557">
        <v>1763.7375</v>
      </c>
      <c r="I17" s="557" t="s">
        <v>525</v>
      </c>
      <c r="J17" s="557">
        <v>1757.8558</v>
      </c>
    </row>
    <row r="18" spans="1:10" x14ac:dyDescent="0.35">
      <c r="A18" s="555" t="s">
        <v>540</v>
      </c>
      <c r="B18" s="555" t="s">
        <v>541</v>
      </c>
      <c r="C18" s="557" t="s">
        <v>525</v>
      </c>
      <c r="D18" s="557">
        <v>1018.6224999999999</v>
      </c>
      <c r="E18" s="557" t="s">
        <v>525</v>
      </c>
      <c r="F18" s="557">
        <v>993.88099999999997</v>
      </c>
      <c r="G18" s="557" t="s">
        <v>525</v>
      </c>
      <c r="H18" s="557">
        <v>935.71939999999995</v>
      </c>
      <c r="I18" s="557" t="s">
        <v>525</v>
      </c>
      <c r="J18" s="557">
        <v>917.2998</v>
      </c>
    </row>
    <row r="19" spans="1:10" x14ac:dyDescent="0.35">
      <c r="A19" s="555" t="s">
        <v>542</v>
      </c>
      <c r="B19" s="555" t="s">
        <v>67</v>
      </c>
      <c r="C19" s="557">
        <v>637.79960000000005</v>
      </c>
      <c r="D19" s="557">
        <v>712.43430000000001</v>
      </c>
      <c r="E19" s="557">
        <v>734.34469999999999</v>
      </c>
      <c r="F19" s="557">
        <v>745.98469999999998</v>
      </c>
      <c r="G19" s="557">
        <v>772.54200000000003</v>
      </c>
      <c r="H19" s="557">
        <v>828.01800000000003</v>
      </c>
      <c r="I19" s="557">
        <v>835.40719999999999</v>
      </c>
      <c r="J19" s="557">
        <v>840.55589999999995</v>
      </c>
    </row>
    <row r="20" spans="1:10" x14ac:dyDescent="0.35">
      <c r="A20" s="555" t="s">
        <v>543</v>
      </c>
      <c r="B20" s="555" t="s">
        <v>544</v>
      </c>
      <c r="C20" s="557">
        <v>81.585700000000003</v>
      </c>
      <c r="D20" s="557">
        <v>74.726399999999998</v>
      </c>
      <c r="E20" s="557">
        <v>70.222399999999993</v>
      </c>
      <c r="F20" s="557">
        <v>108.20440000000001</v>
      </c>
      <c r="G20" s="557">
        <v>105.9954</v>
      </c>
      <c r="H20" s="557">
        <v>99.1297</v>
      </c>
      <c r="I20" s="557">
        <v>117.5055</v>
      </c>
      <c r="J20" s="557">
        <v>117.0607</v>
      </c>
    </row>
    <row r="21" spans="1:10" x14ac:dyDescent="0.35">
      <c r="A21" s="555" t="s">
        <v>545</v>
      </c>
      <c r="B21" s="555" t="s">
        <v>546</v>
      </c>
      <c r="C21" s="557" t="s">
        <v>525</v>
      </c>
      <c r="D21" s="557" t="s">
        <v>525</v>
      </c>
      <c r="E21" s="557" t="s">
        <v>525</v>
      </c>
      <c r="F21" s="557">
        <v>616.88199999999995</v>
      </c>
      <c r="G21" s="557" t="s">
        <v>525</v>
      </c>
      <c r="H21" s="557" t="s">
        <v>525</v>
      </c>
      <c r="I21" s="557" t="s">
        <v>525</v>
      </c>
      <c r="J21" s="557" t="s">
        <v>525</v>
      </c>
    </row>
    <row r="22" spans="1:10" x14ac:dyDescent="0.35">
      <c r="A22" s="555" t="s">
        <v>547</v>
      </c>
      <c r="B22" s="555" t="s">
        <v>548</v>
      </c>
      <c r="C22" s="557">
        <v>143.4067</v>
      </c>
      <c r="D22" s="557">
        <v>148.49279999999999</v>
      </c>
      <c r="E22" s="557">
        <v>141.8398</v>
      </c>
      <c r="F22" s="557">
        <v>135.37970000000001</v>
      </c>
      <c r="G22" s="557">
        <v>126.657</v>
      </c>
      <c r="H22" s="557">
        <v>124.642</v>
      </c>
      <c r="I22" s="557">
        <v>118.199</v>
      </c>
      <c r="J22" s="557">
        <v>114.0449</v>
      </c>
    </row>
    <row r="23" spans="1:10" x14ac:dyDescent="0.35">
      <c r="A23" s="555" t="s">
        <v>549</v>
      </c>
      <c r="B23" s="555" t="s">
        <v>550</v>
      </c>
      <c r="C23" s="557">
        <v>475.99079999999998</v>
      </c>
      <c r="D23" s="557">
        <v>506.8777</v>
      </c>
      <c r="E23" s="557">
        <v>493.71679999999998</v>
      </c>
      <c r="F23" s="557">
        <v>481.50229999999999</v>
      </c>
      <c r="G23" s="557">
        <v>458.50259999999997</v>
      </c>
      <c r="H23" s="557">
        <v>450.58019999999999</v>
      </c>
      <c r="I23" s="557">
        <v>434.31760000000003</v>
      </c>
      <c r="J23" s="557">
        <v>426.72379999999998</v>
      </c>
    </row>
    <row r="24" spans="1:10" x14ac:dyDescent="0.35">
      <c r="A24" s="555" t="s">
        <v>551</v>
      </c>
      <c r="B24" s="555" t="s">
        <v>552</v>
      </c>
      <c r="C24" s="557">
        <v>82.094499999999996</v>
      </c>
      <c r="D24" s="557">
        <v>90.329899999999995</v>
      </c>
      <c r="E24" s="557">
        <v>148.6678</v>
      </c>
      <c r="F24" s="557">
        <v>109.4038</v>
      </c>
      <c r="G24" s="557">
        <v>110.4958</v>
      </c>
      <c r="H24" s="557">
        <v>76.024500000000003</v>
      </c>
      <c r="I24" s="557">
        <v>129.01820000000001</v>
      </c>
      <c r="J24" s="557">
        <v>82.669399999999996</v>
      </c>
    </row>
    <row r="25" spans="1:10" x14ac:dyDescent="0.35">
      <c r="A25" s="555" t="s">
        <v>553</v>
      </c>
      <c r="B25" s="555" t="s">
        <v>554</v>
      </c>
      <c r="C25" s="557" t="s">
        <v>525</v>
      </c>
      <c r="D25" s="557" t="s">
        <v>525</v>
      </c>
      <c r="E25" s="557" t="s">
        <v>525</v>
      </c>
      <c r="F25" s="557" t="s">
        <v>525</v>
      </c>
      <c r="G25" s="557" t="s">
        <v>525</v>
      </c>
      <c r="H25" s="557" t="s">
        <v>525</v>
      </c>
      <c r="I25" s="557" t="s">
        <v>525</v>
      </c>
      <c r="J25" s="557" t="s">
        <v>525</v>
      </c>
    </row>
    <row r="26" spans="1:10" x14ac:dyDescent="0.35">
      <c r="A26" s="553" t="s">
        <v>22</v>
      </c>
      <c r="B26" s="553" t="s">
        <v>555</v>
      </c>
      <c r="C26" s="558">
        <v>4297.9715999999999</v>
      </c>
      <c r="D26" s="558">
        <v>4655.6895000000004</v>
      </c>
      <c r="E26" s="558">
        <v>4792.4557000000004</v>
      </c>
      <c r="F26" s="558">
        <v>4802.5889999999999</v>
      </c>
      <c r="G26" s="558">
        <v>4564.6463999999996</v>
      </c>
      <c r="H26" s="558">
        <v>4421.4192999999996</v>
      </c>
      <c r="I26" s="558">
        <v>4303.4186</v>
      </c>
      <c r="J26" s="558">
        <v>4150.6117999999997</v>
      </c>
    </row>
    <row r="27" spans="1:10" x14ac:dyDescent="0.35">
      <c r="A27" s="555" t="s">
        <v>556</v>
      </c>
      <c r="B27" s="556"/>
      <c r="C27" s="556"/>
      <c r="D27" s="556"/>
      <c r="E27" s="556"/>
      <c r="F27" s="556"/>
      <c r="G27" s="556"/>
      <c r="H27" s="556"/>
      <c r="I27" s="556"/>
      <c r="J27" s="556"/>
    </row>
    <row r="28" spans="1:10" x14ac:dyDescent="0.35">
      <c r="A28" s="555" t="s">
        <v>557</v>
      </c>
      <c r="B28" s="555" t="s">
        <v>558</v>
      </c>
      <c r="C28" s="557">
        <v>211.53700000000001</v>
      </c>
      <c r="D28" s="557">
        <v>321.1576</v>
      </c>
      <c r="E28" s="557">
        <v>339.11579999999998</v>
      </c>
      <c r="F28" s="557">
        <v>268.44049999999999</v>
      </c>
      <c r="G28" s="557">
        <v>264.21480000000003</v>
      </c>
      <c r="H28" s="557">
        <v>305.5498</v>
      </c>
      <c r="I28" s="557">
        <v>283.73820000000001</v>
      </c>
      <c r="J28" s="557">
        <v>296.58949999999999</v>
      </c>
    </row>
    <row r="29" spans="1:10" x14ac:dyDescent="0.35">
      <c r="A29" s="555" t="s">
        <v>559</v>
      </c>
      <c r="B29" s="555" t="s">
        <v>560</v>
      </c>
      <c r="C29" s="557">
        <v>1.2889999999999999</v>
      </c>
      <c r="D29" s="557">
        <v>1.3828</v>
      </c>
      <c r="E29" s="557">
        <v>1.3596999999999999</v>
      </c>
      <c r="F29" s="557">
        <v>1.3250999999999999</v>
      </c>
      <c r="G29" s="557">
        <v>1.2648999999999999</v>
      </c>
      <c r="H29" s="557">
        <v>0.99270000000000003</v>
      </c>
      <c r="I29" s="557">
        <v>0.76029999999999998</v>
      </c>
      <c r="J29" s="557">
        <v>0.4496</v>
      </c>
    </row>
    <row r="30" spans="1:10" x14ac:dyDescent="0.35">
      <c r="A30" s="555" t="s">
        <v>561</v>
      </c>
      <c r="B30" s="555" t="s">
        <v>562</v>
      </c>
      <c r="C30" s="557">
        <v>498.47469999999998</v>
      </c>
      <c r="D30" s="557">
        <v>461.55270000000002</v>
      </c>
      <c r="E30" s="557">
        <v>512.35839999999996</v>
      </c>
      <c r="F30" s="557">
        <v>588.35299999999995</v>
      </c>
      <c r="G30" s="557">
        <v>514.03819999999996</v>
      </c>
      <c r="H30" s="557">
        <v>485.6463</v>
      </c>
      <c r="I30" s="557">
        <v>564.63040000000001</v>
      </c>
      <c r="J30" s="557">
        <v>529.77139999999997</v>
      </c>
    </row>
    <row r="31" spans="1:10" x14ac:dyDescent="0.35">
      <c r="A31" s="553" t="s">
        <v>141</v>
      </c>
      <c r="B31" s="553" t="s">
        <v>563</v>
      </c>
      <c r="C31" s="558">
        <v>711.30079999999998</v>
      </c>
      <c r="D31" s="558">
        <v>784.09320000000002</v>
      </c>
      <c r="E31" s="558">
        <v>852.83389999999997</v>
      </c>
      <c r="F31" s="558">
        <v>858.11860000000001</v>
      </c>
      <c r="G31" s="558">
        <v>779.51790000000005</v>
      </c>
      <c r="H31" s="558">
        <v>792.18880000000001</v>
      </c>
      <c r="I31" s="558">
        <v>849.12890000000004</v>
      </c>
      <c r="J31" s="558">
        <v>826.81050000000005</v>
      </c>
    </row>
    <row r="32" spans="1:10" x14ac:dyDescent="0.35">
      <c r="A32" s="555" t="s">
        <v>564</v>
      </c>
      <c r="B32" s="556"/>
      <c r="C32" s="556"/>
      <c r="D32" s="556"/>
      <c r="E32" s="556"/>
      <c r="F32" s="556"/>
      <c r="G32" s="556"/>
      <c r="H32" s="556"/>
      <c r="I32" s="556"/>
      <c r="J32" s="556"/>
    </row>
    <row r="33" spans="1:10" x14ac:dyDescent="0.35">
      <c r="A33" s="555" t="s">
        <v>175</v>
      </c>
      <c r="B33" s="555" t="s">
        <v>565</v>
      </c>
      <c r="C33" s="557" t="s">
        <v>525</v>
      </c>
      <c r="D33" s="557" t="s">
        <v>525</v>
      </c>
      <c r="E33" s="557" t="s">
        <v>525</v>
      </c>
      <c r="F33" s="557" t="s">
        <v>525</v>
      </c>
      <c r="G33" s="557" t="s">
        <v>525</v>
      </c>
      <c r="H33" s="557" t="s">
        <v>525</v>
      </c>
      <c r="I33" s="557" t="s">
        <v>525</v>
      </c>
      <c r="J33" s="557" t="s">
        <v>525</v>
      </c>
    </row>
    <row r="34" spans="1:10" x14ac:dyDescent="0.35">
      <c r="A34" s="555" t="s">
        <v>566</v>
      </c>
      <c r="B34" s="555" t="s">
        <v>567</v>
      </c>
      <c r="C34" s="557">
        <v>650.11860000000001</v>
      </c>
      <c r="D34" s="557">
        <v>694.11350000000004</v>
      </c>
      <c r="E34" s="557">
        <v>676.34199999999998</v>
      </c>
      <c r="F34" s="557">
        <v>656</v>
      </c>
      <c r="G34" s="557">
        <v>623.26900000000001</v>
      </c>
      <c r="H34" s="557">
        <v>612.67930000000001</v>
      </c>
      <c r="I34" s="557">
        <v>589.7826</v>
      </c>
      <c r="J34" s="557">
        <v>580.00450000000001</v>
      </c>
    </row>
    <row r="35" spans="1:10" x14ac:dyDescent="0.35">
      <c r="A35" s="555" t="s">
        <v>568</v>
      </c>
      <c r="B35" s="555" t="s">
        <v>569</v>
      </c>
      <c r="C35" s="557">
        <v>3.8331</v>
      </c>
      <c r="D35" s="557">
        <v>3.9009</v>
      </c>
      <c r="E35" s="557">
        <v>3.7494999999999998</v>
      </c>
      <c r="F35" s="557">
        <v>3.9581</v>
      </c>
      <c r="G35" s="557">
        <v>5.5590000000000002</v>
      </c>
      <c r="H35" s="557">
        <v>9.6925000000000008</v>
      </c>
      <c r="I35" s="557">
        <v>11.1839</v>
      </c>
      <c r="J35" s="557">
        <v>5.875</v>
      </c>
    </row>
    <row r="36" spans="1:10" x14ac:dyDescent="0.35">
      <c r="A36" s="555" t="s">
        <v>570</v>
      </c>
      <c r="B36" s="555" t="s">
        <v>571</v>
      </c>
      <c r="C36" s="557">
        <v>23.5581</v>
      </c>
      <c r="D36" s="557">
        <v>24.7639</v>
      </c>
      <c r="E36" s="557">
        <v>23.780200000000001</v>
      </c>
      <c r="F36" s="557">
        <v>22.726099999999999</v>
      </c>
      <c r="G36" s="557">
        <v>18.555299999999999</v>
      </c>
      <c r="H36" s="557">
        <v>17.88</v>
      </c>
      <c r="I36" s="557">
        <v>16.8658</v>
      </c>
      <c r="J36" s="557">
        <v>16.2409</v>
      </c>
    </row>
    <row r="37" spans="1:10" x14ac:dyDescent="0.35">
      <c r="A37" s="555" t="s">
        <v>572</v>
      </c>
      <c r="B37" s="555" t="s">
        <v>573</v>
      </c>
      <c r="C37" s="557">
        <v>102.5715</v>
      </c>
      <c r="D37" s="557">
        <v>109.7437</v>
      </c>
      <c r="E37" s="557">
        <v>95.568299999999994</v>
      </c>
      <c r="F37" s="557">
        <v>147.03110000000001</v>
      </c>
      <c r="G37" s="557">
        <v>150.8527</v>
      </c>
      <c r="H37" s="557">
        <v>134.14240000000001</v>
      </c>
      <c r="I37" s="557">
        <v>127.6054</v>
      </c>
      <c r="J37" s="557">
        <v>105.49760000000001</v>
      </c>
    </row>
    <row r="38" spans="1:10" x14ac:dyDescent="0.35">
      <c r="A38" s="555" t="s">
        <v>574</v>
      </c>
      <c r="B38" s="555" t="s">
        <v>575</v>
      </c>
      <c r="C38" s="557">
        <v>15.541</v>
      </c>
      <c r="D38" s="557">
        <v>14.824</v>
      </c>
      <c r="E38" s="557">
        <v>17.062999999999999</v>
      </c>
      <c r="F38" s="557">
        <v>16.571999999999999</v>
      </c>
      <c r="G38" s="557">
        <v>17.353999999999999</v>
      </c>
      <c r="H38" s="557">
        <v>16.722000000000001</v>
      </c>
      <c r="I38" s="557">
        <v>19.527999999999999</v>
      </c>
      <c r="J38" s="557">
        <v>18.795999999999999</v>
      </c>
    </row>
    <row r="39" spans="1:10" x14ac:dyDescent="0.35">
      <c r="A39" s="553" t="s">
        <v>177</v>
      </c>
      <c r="B39" s="553" t="s">
        <v>576</v>
      </c>
      <c r="C39" s="558">
        <v>1579.2429999999999</v>
      </c>
      <c r="D39" s="558">
        <v>1706.1298999999999</v>
      </c>
      <c r="E39" s="558">
        <v>1752.7102</v>
      </c>
      <c r="F39" s="558">
        <v>1782.4848999999999</v>
      </c>
      <c r="G39" s="558">
        <v>1671.9636</v>
      </c>
      <c r="H39" s="558">
        <v>1655.8333</v>
      </c>
      <c r="I39" s="558">
        <v>1694.8877</v>
      </c>
      <c r="J39" s="558">
        <v>1629.3784000000001</v>
      </c>
    </row>
    <row r="40" spans="1:10" x14ac:dyDescent="0.35">
      <c r="A40" s="555" t="s">
        <v>577</v>
      </c>
      <c r="B40" s="556"/>
      <c r="C40" s="556"/>
      <c r="D40" s="556"/>
      <c r="E40" s="556"/>
      <c r="F40" s="556"/>
      <c r="G40" s="556"/>
      <c r="H40" s="556"/>
      <c r="I40" s="556"/>
      <c r="J40" s="556"/>
    </row>
    <row r="41" spans="1:10" x14ac:dyDescent="0.35">
      <c r="A41" s="555" t="s">
        <v>578</v>
      </c>
      <c r="B41" s="555" t="s">
        <v>579</v>
      </c>
      <c r="C41" s="557">
        <v>0</v>
      </c>
      <c r="D41" s="557">
        <v>0</v>
      </c>
      <c r="E41" s="557">
        <v>0</v>
      </c>
      <c r="F41" s="557">
        <v>0</v>
      </c>
      <c r="G41" s="557">
        <v>0</v>
      </c>
      <c r="H41" s="557">
        <v>0</v>
      </c>
      <c r="I41" s="557">
        <v>0</v>
      </c>
      <c r="J41" s="557">
        <v>0</v>
      </c>
    </row>
    <row r="42" spans="1:10" x14ac:dyDescent="0.35">
      <c r="A42" s="555" t="s">
        <v>580</v>
      </c>
      <c r="B42" s="555" t="s">
        <v>581</v>
      </c>
      <c r="C42" s="557">
        <v>108.11750000000001</v>
      </c>
      <c r="D42" s="557">
        <v>115.6071</v>
      </c>
      <c r="E42" s="557">
        <v>112.75020000000001</v>
      </c>
      <c r="F42" s="557">
        <v>109.4438</v>
      </c>
      <c r="G42" s="557">
        <v>104.0519</v>
      </c>
      <c r="H42" s="557">
        <v>102.4121</v>
      </c>
      <c r="I42" s="557">
        <v>98.625900000000001</v>
      </c>
      <c r="J42" s="557">
        <v>96.985699999999994</v>
      </c>
    </row>
    <row r="43" spans="1:10" x14ac:dyDescent="0.35">
      <c r="A43" s="555" t="s">
        <v>582</v>
      </c>
      <c r="B43" s="555" t="s">
        <v>583</v>
      </c>
      <c r="C43" s="557">
        <v>590.05010000000004</v>
      </c>
      <c r="D43" s="557">
        <v>634.01229999999998</v>
      </c>
      <c r="E43" s="557">
        <v>634.93849999999998</v>
      </c>
      <c r="F43" s="557">
        <v>631.25210000000004</v>
      </c>
      <c r="G43" s="557">
        <v>613.67110000000002</v>
      </c>
      <c r="H43" s="557">
        <v>604.5453</v>
      </c>
      <c r="I43" s="557">
        <v>595.93709999999999</v>
      </c>
      <c r="J43" s="557">
        <v>595.95749999999998</v>
      </c>
    </row>
    <row r="44" spans="1:10" x14ac:dyDescent="0.35">
      <c r="A44" s="555" t="s">
        <v>584</v>
      </c>
      <c r="B44" s="555" t="s">
        <v>585</v>
      </c>
      <c r="C44" s="557">
        <v>-1694.3087</v>
      </c>
      <c r="D44" s="557">
        <v>-1809.7565999999999</v>
      </c>
      <c r="E44" s="557">
        <v>-1772.4467</v>
      </c>
      <c r="F44" s="557">
        <v>-1726.9691</v>
      </c>
      <c r="G44" s="557">
        <v>-1689.5417</v>
      </c>
      <c r="H44" s="557">
        <v>-1822.5599</v>
      </c>
      <c r="I44" s="557">
        <v>-1883.9147</v>
      </c>
      <c r="J44" s="557">
        <v>-1980.0352</v>
      </c>
    </row>
    <row r="45" spans="1:10" x14ac:dyDescent="0.35">
      <c r="A45" s="555" t="s">
        <v>586</v>
      </c>
      <c r="B45" s="555" t="s">
        <v>587</v>
      </c>
      <c r="C45" s="557">
        <v>-169.61070000000001</v>
      </c>
      <c r="D45" s="557">
        <v>-219.3364</v>
      </c>
      <c r="E45" s="557">
        <v>-191.2662</v>
      </c>
      <c r="F45" s="557">
        <v>-212.1251</v>
      </c>
      <c r="G45" s="557">
        <v>-182.0352</v>
      </c>
      <c r="H45" s="557">
        <v>-164.5009</v>
      </c>
      <c r="I45" s="557">
        <v>-138.3218</v>
      </c>
      <c r="J45" s="557">
        <v>-123.12260000000001</v>
      </c>
    </row>
    <row r="46" spans="1:10" x14ac:dyDescent="0.35">
      <c r="A46" s="555" t="s">
        <v>588</v>
      </c>
      <c r="B46" s="555" t="s">
        <v>589</v>
      </c>
      <c r="C46" s="557">
        <v>3884.4803000000002</v>
      </c>
      <c r="D46" s="557">
        <v>4229.0333000000001</v>
      </c>
      <c r="E46" s="557">
        <v>4255.7696999999998</v>
      </c>
      <c r="F46" s="557">
        <v>4218.5024999999996</v>
      </c>
      <c r="G46" s="557">
        <v>4046.5367000000001</v>
      </c>
      <c r="H46" s="557">
        <v>4045.6894000000002</v>
      </c>
      <c r="I46" s="557">
        <v>3936.2044000000001</v>
      </c>
      <c r="J46" s="557">
        <v>3931.4481000000001</v>
      </c>
    </row>
    <row r="47" spans="1:10" x14ac:dyDescent="0.35">
      <c r="A47" s="555" t="s">
        <v>590</v>
      </c>
      <c r="B47" s="555" t="s">
        <v>591</v>
      </c>
      <c r="C47" s="557">
        <v>10.847</v>
      </c>
      <c r="D47" s="557">
        <v>10.868</v>
      </c>
      <c r="E47" s="557">
        <v>10.866</v>
      </c>
      <c r="F47" s="557">
        <v>10.862</v>
      </c>
      <c r="G47" s="557">
        <v>10.804</v>
      </c>
      <c r="H47" s="557">
        <v>10.593</v>
      </c>
      <c r="I47" s="557">
        <v>10.396000000000001</v>
      </c>
      <c r="J47" s="557">
        <v>10.169</v>
      </c>
    </row>
    <row r="48" spans="1:10" x14ac:dyDescent="0.35">
      <c r="A48" s="555" t="s">
        <v>592</v>
      </c>
      <c r="B48" s="555" t="s">
        <v>593</v>
      </c>
      <c r="C48" s="559">
        <v>5.6535000000000002</v>
      </c>
      <c r="D48" s="559">
        <v>6.0385</v>
      </c>
      <c r="E48" s="559">
        <v>5.8861999999999997</v>
      </c>
      <c r="F48" s="559">
        <v>5.7115</v>
      </c>
      <c r="G48" s="559">
        <v>5.4287000000000001</v>
      </c>
      <c r="H48" s="559">
        <v>5.3372999999999999</v>
      </c>
      <c r="I48" s="559">
        <v>5.1372999999999998</v>
      </c>
      <c r="J48" s="559">
        <v>5.0515999999999996</v>
      </c>
    </row>
    <row r="49" spans="1:10" x14ac:dyDescent="0.35">
      <c r="A49" s="555" t="s">
        <v>594</v>
      </c>
      <c r="B49" s="555" t="s">
        <v>595</v>
      </c>
      <c r="C49" s="557">
        <v>8.2769999999999992</v>
      </c>
      <c r="D49" s="557">
        <v>8.2769999999999992</v>
      </c>
      <c r="E49" s="557">
        <v>8.2889999999999997</v>
      </c>
      <c r="F49" s="557">
        <v>8.3000000000000007</v>
      </c>
      <c r="G49" s="557">
        <v>8.3629999999999995</v>
      </c>
      <c r="H49" s="557">
        <v>8.5950000000000006</v>
      </c>
      <c r="I49" s="557">
        <v>8.8019999999999996</v>
      </c>
      <c r="J49" s="557">
        <v>9.0299999999999994</v>
      </c>
    </row>
    <row r="50" spans="1:10" x14ac:dyDescent="0.35">
      <c r="A50" s="555" t="s">
        <v>596</v>
      </c>
      <c r="B50" s="555" t="s">
        <v>597</v>
      </c>
      <c r="C50" s="557">
        <v>19.123999999999999</v>
      </c>
      <c r="D50" s="557">
        <v>19.145</v>
      </c>
      <c r="E50" s="557">
        <v>19.155000000000001</v>
      </c>
      <c r="F50" s="557">
        <v>19.161999999999999</v>
      </c>
      <c r="G50" s="557">
        <v>19.167000000000002</v>
      </c>
      <c r="H50" s="557">
        <v>19.187999999999999</v>
      </c>
      <c r="I50" s="557">
        <v>19.198</v>
      </c>
      <c r="J50" s="557">
        <v>19.199000000000002</v>
      </c>
    </row>
    <row r="51" spans="1:10" x14ac:dyDescent="0.35">
      <c r="A51" s="555" t="s">
        <v>598</v>
      </c>
      <c r="B51" s="555" t="s">
        <v>599</v>
      </c>
      <c r="C51" s="557">
        <v>2718.7285999999999</v>
      </c>
      <c r="D51" s="557">
        <v>2949.5596999999998</v>
      </c>
      <c r="E51" s="557">
        <v>3039.7455</v>
      </c>
      <c r="F51" s="557">
        <v>3020.1041</v>
      </c>
      <c r="G51" s="557">
        <v>2892.6828</v>
      </c>
      <c r="H51" s="557">
        <v>2765.5859999999998</v>
      </c>
      <c r="I51" s="557">
        <v>2608.5309000000002</v>
      </c>
      <c r="J51" s="557">
        <v>2521.2334000000001</v>
      </c>
    </row>
    <row r="52" spans="1:10" x14ac:dyDescent="0.35">
      <c r="A52" s="555" t="s">
        <v>600</v>
      </c>
      <c r="B52" s="555" t="s">
        <v>601</v>
      </c>
      <c r="C52" s="557">
        <v>141.33750000000001</v>
      </c>
      <c r="D52" s="557">
        <v>150.96250000000001</v>
      </c>
      <c r="E52" s="557">
        <v>147.155</v>
      </c>
      <c r="F52" s="557">
        <v>142.78749999999999</v>
      </c>
      <c r="G52" s="557">
        <v>135.7175</v>
      </c>
      <c r="H52" s="557">
        <v>133.4325</v>
      </c>
      <c r="I52" s="557">
        <v>128.4325</v>
      </c>
      <c r="J52" s="557">
        <v>126.29</v>
      </c>
    </row>
    <row r="53" spans="1:10" x14ac:dyDescent="0.35">
      <c r="A53" s="555" t="s">
        <v>602</v>
      </c>
      <c r="B53" s="555" t="s">
        <v>603</v>
      </c>
      <c r="C53" s="557" t="s">
        <v>525</v>
      </c>
      <c r="D53" s="557" t="s">
        <v>525</v>
      </c>
      <c r="E53" s="557" t="s">
        <v>525</v>
      </c>
      <c r="F53" s="557">
        <v>0</v>
      </c>
      <c r="G53" s="557" t="s">
        <v>525</v>
      </c>
      <c r="H53" s="557" t="s">
        <v>525</v>
      </c>
      <c r="I53" s="557" t="s">
        <v>525</v>
      </c>
      <c r="J53" s="557" t="s">
        <v>525</v>
      </c>
    </row>
    <row r="54" spans="1:10" x14ac:dyDescent="0.35">
      <c r="A54" s="555" t="s">
        <v>604</v>
      </c>
      <c r="B54" s="555" t="s">
        <v>605</v>
      </c>
      <c r="C54" s="557">
        <v>2718.7285999999999</v>
      </c>
      <c r="D54" s="557">
        <v>2949.5596999999998</v>
      </c>
      <c r="E54" s="557">
        <v>3039.7455</v>
      </c>
      <c r="F54" s="557">
        <v>3020.1041</v>
      </c>
      <c r="G54" s="557">
        <v>2892.6828</v>
      </c>
      <c r="H54" s="557">
        <v>2765.5859999999998</v>
      </c>
      <c r="I54" s="557">
        <v>2608.5309000000002</v>
      </c>
      <c r="J54" s="557">
        <v>2521.2334000000001</v>
      </c>
    </row>
    <row r="55" spans="1:10" x14ac:dyDescent="0.35">
      <c r="A55" s="553" t="s">
        <v>606</v>
      </c>
      <c r="B55" s="553" t="s">
        <v>607</v>
      </c>
      <c r="C55" s="558">
        <v>4297.9715999999999</v>
      </c>
      <c r="D55" s="558">
        <v>4655.6895000000004</v>
      </c>
      <c r="E55" s="558">
        <v>4792.4557000000004</v>
      </c>
      <c r="F55" s="558">
        <v>4802.5889999999999</v>
      </c>
      <c r="G55" s="558">
        <v>4564.6463999999996</v>
      </c>
      <c r="H55" s="558">
        <v>4421.4192999999996</v>
      </c>
      <c r="I55" s="558">
        <v>4303.4186</v>
      </c>
      <c r="J55" s="558">
        <v>4150.6117999999997</v>
      </c>
    </row>
    <row r="56" spans="1:10" x14ac:dyDescent="0.35">
      <c r="A56" s="555" t="s">
        <v>608</v>
      </c>
      <c r="B56" s="556"/>
      <c r="C56" s="556"/>
      <c r="D56" s="556"/>
      <c r="E56" s="556"/>
      <c r="F56" s="556"/>
      <c r="G56" s="556"/>
      <c r="H56" s="556"/>
      <c r="I56" s="556"/>
      <c r="J56" s="556"/>
    </row>
    <row r="57" spans="1:10" x14ac:dyDescent="0.35">
      <c r="A57" s="555" t="s">
        <v>528</v>
      </c>
      <c r="B57" s="555" t="s">
        <v>609</v>
      </c>
      <c r="C57" s="557">
        <v>873.2</v>
      </c>
      <c r="D57" s="557">
        <v>955.62279999999998</v>
      </c>
      <c r="E57" s="557">
        <v>910.03599999999994</v>
      </c>
      <c r="F57" s="557">
        <v>859.36369999999999</v>
      </c>
      <c r="G57" s="557">
        <v>742.9665</v>
      </c>
      <c r="H57" s="557">
        <v>781.31669999999997</v>
      </c>
      <c r="I57" s="557">
        <v>742.75599999999997</v>
      </c>
      <c r="J57" s="557">
        <v>737.25580000000002</v>
      </c>
    </row>
    <row r="58" spans="1:10" x14ac:dyDescent="0.35">
      <c r="A58" s="555" t="s">
        <v>610</v>
      </c>
      <c r="B58" s="555" t="s">
        <v>611</v>
      </c>
      <c r="C58" s="557">
        <v>41.219700000000003</v>
      </c>
      <c r="D58" s="557" t="s">
        <v>525</v>
      </c>
      <c r="E58" s="557" t="s">
        <v>525</v>
      </c>
      <c r="F58" s="557" t="s">
        <v>525</v>
      </c>
      <c r="G58" s="557">
        <v>40.090899999999998</v>
      </c>
      <c r="H58" s="557" t="s">
        <v>525</v>
      </c>
      <c r="I58" s="557" t="s">
        <v>525</v>
      </c>
      <c r="J58" s="557" t="s">
        <v>525</v>
      </c>
    </row>
    <row r="59" spans="1:10" x14ac:dyDescent="0.35">
      <c r="A59" s="555" t="s">
        <v>612</v>
      </c>
      <c r="B59" s="555" t="s">
        <v>613</v>
      </c>
      <c r="C59" s="557">
        <v>328.72280000000001</v>
      </c>
      <c r="D59" s="557" t="s">
        <v>525</v>
      </c>
      <c r="E59" s="557" t="s">
        <v>525</v>
      </c>
      <c r="F59" s="557" t="s">
        <v>525</v>
      </c>
      <c r="G59" s="557">
        <v>331.90530000000001</v>
      </c>
      <c r="H59" s="557" t="s">
        <v>525</v>
      </c>
      <c r="I59" s="557" t="s">
        <v>525</v>
      </c>
      <c r="J59" s="557" t="s">
        <v>525</v>
      </c>
    </row>
    <row r="60" spans="1:10" x14ac:dyDescent="0.35">
      <c r="A60" s="555" t="s">
        <v>614</v>
      </c>
      <c r="B60" s="555" t="s">
        <v>615</v>
      </c>
      <c r="C60" s="557">
        <v>140.5121</v>
      </c>
      <c r="D60" s="557" t="s">
        <v>525</v>
      </c>
      <c r="E60" s="557" t="s">
        <v>525</v>
      </c>
      <c r="F60" s="557" t="s">
        <v>525</v>
      </c>
      <c r="G60" s="557">
        <v>252.62459999999999</v>
      </c>
      <c r="H60" s="557" t="s">
        <v>525</v>
      </c>
      <c r="I60" s="557" t="s">
        <v>525</v>
      </c>
      <c r="J60" s="557" t="s">
        <v>525</v>
      </c>
    </row>
    <row r="61" spans="1:10" x14ac:dyDescent="0.35">
      <c r="A61" s="555" t="s">
        <v>616</v>
      </c>
      <c r="B61" s="555" t="s">
        <v>617</v>
      </c>
      <c r="C61" s="557">
        <v>735.70129999999995</v>
      </c>
      <c r="D61" s="557" t="s">
        <v>525</v>
      </c>
      <c r="E61" s="557" t="s">
        <v>525</v>
      </c>
      <c r="F61" s="557" t="s">
        <v>525</v>
      </c>
      <c r="G61" s="557">
        <v>763.49239999999998</v>
      </c>
      <c r="H61" s="557" t="s">
        <v>525</v>
      </c>
      <c r="I61" s="557" t="s">
        <v>525</v>
      </c>
      <c r="J61" s="557" t="s">
        <v>525</v>
      </c>
    </row>
    <row r="62" spans="1:10" x14ac:dyDescent="0.35">
      <c r="A62" s="555" t="s">
        <v>538</v>
      </c>
      <c r="B62" s="555" t="s">
        <v>618</v>
      </c>
      <c r="C62" s="557">
        <v>1586.4568999999999</v>
      </c>
      <c r="D62" s="557">
        <v>1731.0568000000001</v>
      </c>
      <c r="E62" s="557">
        <v>1739.6723</v>
      </c>
      <c r="F62" s="557">
        <v>1739.8657000000001</v>
      </c>
      <c r="G62" s="557">
        <v>1710.3661999999999</v>
      </c>
      <c r="H62" s="557">
        <v>1763.7375</v>
      </c>
      <c r="I62" s="557">
        <v>1755.0608999999999</v>
      </c>
      <c r="J62" s="557">
        <v>1757.8558</v>
      </c>
    </row>
    <row r="63" spans="1:10" x14ac:dyDescent="0.35">
      <c r="A63" s="555" t="s">
        <v>540</v>
      </c>
      <c r="B63" s="555" t="s">
        <v>619</v>
      </c>
      <c r="C63" s="557">
        <v>948.65729999999996</v>
      </c>
      <c r="D63" s="557">
        <v>1018.6224999999999</v>
      </c>
      <c r="E63" s="557">
        <v>1005.3276</v>
      </c>
      <c r="F63" s="557">
        <v>993.88099999999997</v>
      </c>
      <c r="G63" s="557">
        <v>937.82420000000002</v>
      </c>
      <c r="H63" s="557">
        <v>935.71939999999995</v>
      </c>
      <c r="I63" s="557">
        <v>919.65380000000005</v>
      </c>
      <c r="J63" s="557">
        <v>917.2998</v>
      </c>
    </row>
    <row r="64" spans="1:10" x14ac:dyDescent="0.35">
      <c r="A64" s="555" t="s">
        <v>542</v>
      </c>
      <c r="B64" s="555" t="s">
        <v>620</v>
      </c>
      <c r="C64" s="557">
        <v>637.79960000000005</v>
      </c>
      <c r="D64" s="557">
        <v>712.43430000000001</v>
      </c>
      <c r="E64" s="557">
        <v>734.34469999999999</v>
      </c>
      <c r="F64" s="557">
        <v>745.98469999999998</v>
      </c>
      <c r="G64" s="557">
        <v>772.54200000000003</v>
      </c>
      <c r="H64" s="557">
        <v>828.01800000000003</v>
      </c>
      <c r="I64" s="557">
        <v>835.40719999999999</v>
      </c>
      <c r="J64" s="557">
        <v>840.55589999999995</v>
      </c>
    </row>
    <row r="65" spans="1:10" x14ac:dyDescent="0.35">
      <c r="A65" s="555" t="s">
        <v>621</v>
      </c>
      <c r="B65" s="555" t="s">
        <v>622</v>
      </c>
      <c r="C65" s="557">
        <v>185.774</v>
      </c>
      <c r="D65" s="557" t="s">
        <v>525</v>
      </c>
      <c r="E65" s="557" t="s">
        <v>525</v>
      </c>
      <c r="F65" s="557" t="s">
        <v>525</v>
      </c>
      <c r="G65" s="557">
        <v>210.32409999999999</v>
      </c>
      <c r="H65" s="557" t="s">
        <v>525</v>
      </c>
      <c r="I65" s="557" t="s">
        <v>525</v>
      </c>
      <c r="J65" s="557" t="s">
        <v>525</v>
      </c>
    </row>
    <row r="66" spans="1:10" x14ac:dyDescent="0.35">
      <c r="A66" s="555" t="s">
        <v>547</v>
      </c>
      <c r="B66" s="555" t="s">
        <v>623</v>
      </c>
      <c r="C66" s="557">
        <v>143.4067</v>
      </c>
      <c r="D66" s="557">
        <v>148.49279999999999</v>
      </c>
      <c r="E66" s="557">
        <v>141.8398</v>
      </c>
      <c r="F66" s="557">
        <v>135.37970000000001</v>
      </c>
      <c r="G66" s="557">
        <v>126.657</v>
      </c>
      <c r="H66" s="557">
        <v>124.642</v>
      </c>
      <c r="I66" s="557">
        <v>118.199</v>
      </c>
      <c r="J66" s="557">
        <v>114.0449</v>
      </c>
    </row>
    <row r="67" spans="1:10" x14ac:dyDescent="0.35">
      <c r="A67" s="555" t="s">
        <v>549</v>
      </c>
      <c r="B67" s="555" t="s">
        <v>624</v>
      </c>
      <c r="C67" s="557">
        <v>475.99079999999998</v>
      </c>
      <c r="D67" s="557">
        <v>506.8777</v>
      </c>
      <c r="E67" s="557">
        <v>493.71679999999998</v>
      </c>
      <c r="F67" s="557">
        <v>481.50229999999999</v>
      </c>
      <c r="G67" s="557">
        <v>458.50259999999997</v>
      </c>
      <c r="H67" s="557">
        <v>450.58019999999999</v>
      </c>
      <c r="I67" s="557">
        <v>434.31760000000003</v>
      </c>
      <c r="J67" s="557">
        <v>426.72379999999998</v>
      </c>
    </row>
    <row r="68" spans="1:10" x14ac:dyDescent="0.35">
      <c r="A68" s="555" t="s">
        <v>559</v>
      </c>
      <c r="B68" s="555" t="s">
        <v>625</v>
      </c>
      <c r="C68" s="557">
        <v>1.2889999999999999</v>
      </c>
      <c r="D68" s="557">
        <v>1.3828</v>
      </c>
      <c r="E68" s="557">
        <v>1.3596999999999999</v>
      </c>
      <c r="F68" s="557">
        <v>1.3250999999999999</v>
      </c>
      <c r="G68" s="557">
        <v>1.2648999999999999</v>
      </c>
      <c r="H68" s="557">
        <v>0.99270000000000003</v>
      </c>
      <c r="I68" s="557">
        <v>0.76029999999999998</v>
      </c>
      <c r="J68" s="557">
        <v>0.4496</v>
      </c>
    </row>
    <row r="69" spans="1:10" x14ac:dyDescent="0.35">
      <c r="A69" s="555" t="s">
        <v>626</v>
      </c>
      <c r="B69" s="555" t="s">
        <v>627</v>
      </c>
      <c r="C69" s="557">
        <v>15.490600000000001</v>
      </c>
      <c r="D69" s="557">
        <v>6.3102</v>
      </c>
      <c r="E69" s="557">
        <v>3.1903000000000001</v>
      </c>
      <c r="F69" s="557">
        <v>27.734999999999999</v>
      </c>
      <c r="G69" s="557">
        <v>24.239100000000001</v>
      </c>
      <c r="H69" s="557">
        <v>16.198699999999999</v>
      </c>
      <c r="I69" s="557">
        <v>9.4321000000000002</v>
      </c>
      <c r="J69" s="557">
        <v>9.0373000000000001</v>
      </c>
    </row>
    <row r="70" spans="1:10" x14ac:dyDescent="0.35">
      <c r="A70" s="555" t="s">
        <v>568</v>
      </c>
      <c r="B70" s="555" t="s">
        <v>628</v>
      </c>
      <c r="C70" s="557">
        <v>108.0214</v>
      </c>
      <c r="D70" s="557" t="s">
        <v>525</v>
      </c>
      <c r="E70" s="557" t="s">
        <v>525</v>
      </c>
      <c r="F70" s="557" t="s">
        <v>525</v>
      </c>
      <c r="G70" s="557">
        <v>109.8877</v>
      </c>
      <c r="H70" s="557" t="s">
        <v>525</v>
      </c>
      <c r="I70" s="557" t="s">
        <v>525</v>
      </c>
      <c r="J70" s="557" t="s">
        <v>525</v>
      </c>
    </row>
    <row r="71" spans="1:10" x14ac:dyDescent="0.35">
      <c r="A71" s="555" t="s">
        <v>580</v>
      </c>
      <c r="B71" s="555" t="s">
        <v>629</v>
      </c>
      <c r="C71" s="557">
        <v>108.11750000000001</v>
      </c>
      <c r="D71" s="557">
        <v>115.6071</v>
      </c>
      <c r="E71" s="557">
        <v>112.75020000000001</v>
      </c>
      <c r="F71" s="557">
        <v>109.4438</v>
      </c>
      <c r="G71" s="557">
        <v>104.0519</v>
      </c>
      <c r="H71" s="557">
        <v>102.4121</v>
      </c>
      <c r="I71" s="557">
        <v>98.625900000000001</v>
      </c>
      <c r="J71" s="557">
        <v>96.985699999999994</v>
      </c>
    </row>
    <row r="72" spans="1:10" x14ac:dyDescent="0.35">
      <c r="A72" s="555" t="s">
        <v>582</v>
      </c>
      <c r="B72" s="555" t="s">
        <v>630</v>
      </c>
      <c r="C72" s="557">
        <v>590.05010000000004</v>
      </c>
      <c r="D72" s="557">
        <v>634.01229999999998</v>
      </c>
      <c r="E72" s="557">
        <v>634.93849999999998</v>
      </c>
      <c r="F72" s="557">
        <v>631.25210000000004</v>
      </c>
      <c r="G72" s="557">
        <v>613.67110000000002</v>
      </c>
      <c r="H72" s="557">
        <v>604.5453</v>
      </c>
      <c r="I72" s="557">
        <v>595.93709999999999</v>
      </c>
      <c r="J72" s="557">
        <v>595.95749999999998</v>
      </c>
    </row>
    <row r="73" spans="1:10" x14ac:dyDescent="0.35">
      <c r="A73" s="555" t="s">
        <v>584</v>
      </c>
      <c r="B73" s="555" t="s">
        <v>631</v>
      </c>
      <c r="C73" s="557">
        <v>-1694.3087</v>
      </c>
      <c r="D73" s="557">
        <v>-1809.7565999999999</v>
      </c>
      <c r="E73" s="557">
        <v>-1772.4467</v>
      </c>
      <c r="F73" s="557">
        <v>-1726.9691</v>
      </c>
      <c r="G73" s="557">
        <v>-1689.5417</v>
      </c>
      <c r="H73" s="557">
        <v>-1822.5599</v>
      </c>
      <c r="I73" s="557">
        <v>-1883.9147</v>
      </c>
      <c r="J73" s="557">
        <v>-1980.0352</v>
      </c>
    </row>
    <row r="74" spans="1:10" x14ac:dyDescent="0.35">
      <c r="A74" s="555" t="s">
        <v>586</v>
      </c>
      <c r="B74" s="555" t="s">
        <v>632</v>
      </c>
      <c r="C74" s="557">
        <v>-169.61070000000001</v>
      </c>
      <c r="D74" s="557">
        <v>-219.3364</v>
      </c>
      <c r="E74" s="557">
        <v>-191.2662</v>
      </c>
      <c r="F74" s="557">
        <v>-212.1251</v>
      </c>
      <c r="G74" s="557">
        <v>-182.0352</v>
      </c>
      <c r="H74" s="557">
        <v>-164.5009</v>
      </c>
      <c r="I74" s="557">
        <v>-138.3218</v>
      </c>
      <c r="J74" s="557">
        <v>-123.12260000000001</v>
      </c>
    </row>
    <row r="75" spans="1:10" x14ac:dyDescent="0.35">
      <c r="A75" s="555" t="s">
        <v>588</v>
      </c>
      <c r="B75" s="555" t="s">
        <v>633</v>
      </c>
      <c r="C75" s="557">
        <v>3884.4803000000002</v>
      </c>
      <c r="D75" s="557">
        <v>4229.0333000000001</v>
      </c>
      <c r="E75" s="557">
        <v>4255.7696999999998</v>
      </c>
      <c r="F75" s="557">
        <v>4218.5024999999996</v>
      </c>
      <c r="G75" s="557">
        <v>4046.5367000000001</v>
      </c>
      <c r="H75" s="557">
        <v>4045.6894000000002</v>
      </c>
      <c r="I75" s="557">
        <v>3936.2044000000001</v>
      </c>
      <c r="J75" s="557">
        <v>3931.4481000000001</v>
      </c>
    </row>
    <row r="76" spans="1:10" x14ac:dyDescent="0.35">
      <c r="A76" s="555" t="s">
        <v>590</v>
      </c>
      <c r="B76" s="555" t="s">
        <v>634</v>
      </c>
      <c r="C76" s="557">
        <v>10.847</v>
      </c>
      <c r="D76" s="557">
        <v>10.868</v>
      </c>
      <c r="E76" s="557">
        <v>10.866</v>
      </c>
      <c r="F76" s="557">
        <v>10.862</v>
      </c>
      <c r="G76" s="557">
        <v>10.804</v>
      </c>
      <c r="H76" s="557">
        <v>10.593</v>
      </c>
      <c r="I76" s="557">
        <v>10.396000000000001</v>
      </c>
      <c r="J76" s="557">
        <v>10.169</v>
      </c>
    </row>
    <row r="77" spans="1:10" x14ac:dyDescent="0.35">
      <c r="A77" s="555" t="s">
        <v>592</v>
      </c>
      <c r="B77" s="555" t="s">
        <v>635</v>
      </c>
      <c r="C77" s="559">
        <v>5.6535000000000002</v>
      </c>
      <c r="D77" s="559">
        <v>6.0385</v>
      </c>
      <c r="E77" s="559">
        <v>5.8861999999999997</v>
      </c>
      <c r="F77" s="559">
        <v>5.7115</v>
      </c>
      <c r="G77" s="559">
        <v>5.4287000000000001</v>
      </c>
      <c r="H77" s="559">
        <v>5.3372999999999999</v>
      </c>
      <c r="I77" s="559">
        <v>5.1372999999999998</v>
      </c>
      <c r="J77" s="559" t="s">
        <v>525</v>
      </c>
    </row>
    <row r="78" spans="1:10" x14ac:dyDescent="0.35">
      <c r="A78" s="555" t="s">
        <v>594</v>
      </c>
      <c r="B78" s="555" t="s">
        <v>636</v>
      </c>
      <c r="C78" s="557">
        <v>8.2769999999999992</v>
      </c>
      <c r="D78" s="557">
        <v>8.2769999999999992</v>
      </c>
      <c r="E78" s="557">
        <v>8.2889999999999997</v>
      </c>
      <c r="F78" s="557">
        <v>8.3000000000000007</v>
      </c>
      <c r="G78" s="557">
        <v>8.3629999999999995</v>
      </c>
      <c r="H78" s="557">
        <v>8.5950000000000006</v>
      </c>
      <c r="I78" s="557">
        <v>8.8019999999999996</v>
      </c>
      <c r="J78" s="557">
        <v>9.0299999999999994</v>
      </c>
    </row>
    <row r="79" spans="1:10" x14ac:dyDescent="0.35">
      <c r="A79" s="555" t="s">
        <v>637</v>
      </c>
      <c r="B79" s="555" t="s">
        <v>638</v>
      </c>
      <c r="C79" s="557">
        <v>478.99279999999999</v>
      </c>
      <c r="D79" s="557">
        <v>530.54859999999996</v>
      </c>
      <c r="E79" s="557">
        <v>509.86849999999998</v>
      </c>
      <c r="F79" s="557">
        <v>482.0677</v>
      </c>
      <c r="G79" s="557">
        <v>382.77760000000001</v>
      </c>
      <c r="H79" s="557">
        <v>367.47309999999999</v>
      </c>
      <c r="I79" s="557">
        <v>367.6046</v>
      </c>
      <c r="J79" s="557">
        <v>371.28750000000002</v>
      </c>
    </row>
    <row r="80" spans="1:10" x14ac:dyDescent="0.35">
      <c r="A80" s="555" t="s">
        <v>639</v>
      </c>
      <c r="B80" s="555" t="s">
        <v>640</v>
      </c>
      <c r="C80" s="557">
        <v>57.6205</v>
      </c>
      <c r="D80" s="557">
        <v>74.690200000000004</v>
      </c>
      <c r="E80" s="557">
        <v>68.168099999999995</v>
      </c>
      <c r="F80" s="557">
        <v>47.576799999999999</v>
      </c>
      <c r="G80" s="557">
        <v>39.010599999999997</v>
      </c>
      <c r="H80" s="557">
        <v>52.230800000000002</v>
      </c>
      <c r="I80" s="557">
        <v>63.810400000000001</v>
      </c>
      <c r="J80" s="557">
        <v>54.8048</v>
      </c>
    </row>
    <row r="81" spans="1:10" x14ac:dyDescent="0.35">
      <c r="A81" s="555" t="s">
        <v>641</v>
      </c>
      <c r="B81" s="555" t="s">
        <v>642</v>
      </c>
      <c r="C81" s="557">
        <v>457.23809999999997</v>
      </c>
      <c r="D81" s="557">
        <v>479.24560000000002</v>
      </c>
      <c r="E81" s="557">
        <v>460.25959999999998</v>
      </c>
      <c r="F81" s="557">
        <v>448.88959999999997</v>
      </c>
      <c r="G81" s="557">
        <v>426.86410000000001</v>
      </c>
      <c r="H81" s="557">
        <v>477.05849999999998</v>
      </c>
      <c r="I81" s="557">
        <v>422.26549999999997</v>
      </c>
      <c r="J81" s="557">
        <v>421.16199999999998</v>
      </c>
    </row>
    <row r="82" spans="1:10" x14ac:dyDescent="0.35">
      <c r="A82" s="555" t="s">
        <v>643</v>
      </c>
      <c r="B82" s="555" t="s">
        <v>644</v>
      </c>
      <c r="C82" s="557">
        <v>36.996499999999997</v>
      </c>
      <c r="D82" s="557">
        <v>32.933999999999997</v>
      </c>
      <c r="E82" s="557">
        <v>50.3035</v>
      </c>
      <c r="F82" s="557">
        <v>95.713300000000004</v>
      </c>
      <c r="G82" s="557">
        <v>41.3504</v>
      </c>
      <c r="H82" s="557">
        <v>60.188699999999997</v>
      </c>
      <c r="I82" s="557">
        <v>76.283799999999999</v>
      </c>
      <c r="J82" s="557">
        <v>55.698900000000002</v>
      </c>
    </row>
    <row r="83" spans="1:10" x14ac:dyDescent="0.35">
      <c r="A83" s="555" t="s">
        <v>596</v>
      </c>
      <c r="B83" s="555" t="s">
        <v>645</v>
      </c>
      <c r="C83" s="557">
        <v>19.123999999999999</v>
      </c>
      <c r="D83" s="557">
        <v>19.145</v>
      </c>
      <c r="E83" s="557">
        <v>19.155000000000001</v>
      </c>
      <c r="F83" s="557">
        <v>19.161999999999999</v>
      </c>
      <c r="G83" s="557">
        <v>19.167000000000002</v>
      </c>
      <c r="H83" s="557">
        <v>19.187999999999999</v>
      </c>
      <c r="I83" s="557">
        <v>19.198</v>
      </c>
      <c r="J83" s="557">
        <v>19.199000000000002</v>
      </c>
    </row>
    <row r="84" spans="1:10" x14ac:dyDescent="0.35">
      <c r="A84" s="555" t="s">
        <v>646</v>
      </c>
      <c r="B84" s="555" t="s">
        <v>647</v>
      </c>
      <c r="C84" s="557">
        <v>182.52889999999999</v>
      </c>
      <c r="D84" s="557" t="s">
        <v>525</v>
      </c>
      <c r="E84" s="557" t="s">
        <v>525</v>
      </c>
      <c r="F84" s="557" t="s">
        <v>525</v>
      </c>
      <c r="G84" s="557">
        <v>174.92359999999999</v>
      </c>
      <c r="H84" s="557" t="s">
        <v>525</v>
      </c>
      <c r="I84" s="557" t="s">
        <v>525</v>
      </c>
      <c r="J84" s="557" t="s">
        <v>525</v>
      </c>
    </row>
    <row r="85" spans="1:10" x14ac:dyDescent="0.35">
      <c r="A85" s="555" t="s">
        <v>648</v>
      </c>
      <c r="B85" s="555" t="s">
        <v>649</v>
      </c>
      <c r="C85" s="557">
        <v>-120.65130000000001</v>
      </c>
      <c r="D85" s="557">
        <v>-128.86160000000001</v>
      </c>
      <c r="E85" s="557">
        <v>-128.2603</v>
      </c>
      <c r="F85" s="557">
        <v>-119.1704</v>
      </c>
      <c r="G85" s="557">
        <v>-105.6859</v>
      </c>
      <c r="H85" s="557">
        <v>-115.44580000000001</v>
      </c>
      <c r="I85" s="557">
        <v>-110.9246</v>
      </c>
      <c r="J85" s="557">
        <v>-109.9986</v>
      </c>
    </row>
    <row r="86" spans="1:10" x14ac:dyDescent="0.35">
      <c r="A86" s="555" t="s">
        <v>650</v>
      </c>
      <c r="B86" s="555" t="s">
        <v>651</v>
      </c>
      <c r="C86" s="557">
        <v>282.67500000000001</v>
      </c>
      <c r="D86" s="557">
        <v>301.92500000000001</v>
      </c>
      <c r="E86" s="557">
        <v>294.31</v>
      </c>
      <c r="F86" s="557">
        <v>285.57499999999999</v>
      </c>
      <c r="G86" s="557">
        <v>271.435</v>
      </c>
      <c r="H86" s="557">
        <v>266.86500000000001</v>
      </c>
      <c r="I86" s="557">
        <v>256.86500000000001</v>
      </c>
      <c r="J86" s="557">
        <v>252.58</v>
      </c>
    </row>
    <row r="87" spans="1:10" x14ac:dyDescent="0.35">
      <c r="A87" s="555" t="s">
        <v>652</v>
      </c>
      <c r="B87" s="555" t="s">
        <v>653</v>
      </c>
      <c r="C87" s="557">
        <v>282.67500000000001</v>
      </c>
      <c r="D87" s="557">
        <v>301.92500000000001</v>
      </c>
      <c r="E87" s="557">
        <v>294.31</v>
      </c>
      <c r="F87" s="557">
        <v>285.57499999999999</v>
      </c>
      <c r="G87" s="557">
        <v>271.435</v>
      </c>
      <c r="H87" s="557">
        <v>266.86500000000001</v>
      </c>
      <c r="I87" s="557">
        <v>256.86500000000001</v>
      </c>
      <c r="J87" s="557">
        <v>252.58</v>
      </c>
    </row>
    <row r="88" spans="1:10" x14ac:dyDescent="0.35">
      <c r="A88" s="555" t="s">
        <v>654</v>
      </c>
      <c r="B88" s="555" t="s">
        <v>655</v>
      </c>
      <c r="C88" s="557">
        <v>126.6893</v>
      </c>
      <c r="D88" s="557" t="s">
        <v>525</v>
      </c>
      <c r="E88" s="557" t="s">
        <v>525</v>
      </c>
      <c r="F88" s="557" t="s">
        <v>525</v>
      </c>
      <c r="G88" s="557">
        <v>134.51779999999999</v>
      </c>
      <c r="H88" s="557" t="s">
        <v>525</v>
      </c>
      <c r="I88" s="557" t="s">
        <v>525</v>
      </c>
      <c r="J88" s="557" t="s">
        <v>525</v>
      </c>
    </row>
    <row r="89" spans="1:10" x14ac:dyDescent="0.35">
      <c r="A89" s="555" t="s">
        <v>208</v>
      </c>
      <c r="B89" s="555" t="s">
        <v>209</v>
      </c>
      <c r="C89" s="557">
        <v>25.361599999999999</v>
      </c>
      <c r="D89" s="557" t="s">
        <v>525</v>
      </c>
      <c r="E89" s="557" t="s">
        <v>525</v>
      </c>
      <c r="F89" s="557" t="s">
        <v>525</v>
      </c>
      <c r="G89" s="557">
        <v>26.578900000000001</v>
      </c>
      <c r="H89" s="557" t="s">
        <v>525</v>
      </c>
      <c r="I89" s="557" t="s">
        <v>525</v>
      </c>
      <c r="J89" s="557" t="s">
        <v>525</v>
      </c>
    </row>
    <row r="90" spans="1:10" x14ac:dyDescent="0.35">
      <c r="A90" s="555" t="s">
        <v>210</v>
      </c>
      <c r="B90" s="555" t="s">
        <v>211</v>
      </c>
      <c r="C90" s="557">
        <v>20.578700000000001</v>
      </c>
      <c r="D90" s="557" t="s">
        <v>525</v>
      </c>
      <c r="E90" s="557" t="s">
        <v>525</v>
      </c>
      <c r="F90" s="557" t="s">
        <v>525</v>
      </c>
      <c r="G90" s="557">
        <v>22.339099999999998</v>
      </c>
      <c r="H90" s="557" t="s">
        <v>525</v>
      </c>
      <c r="I90" s="557" t="s">
        <v>525</v>
      </c>
      <c r="J90" s="557" t="s">
        <v>525</v>
      </c>
    </row>
    <row r="91" spans="1:10" x14ac:dyDescent="0.35">
      <c r="A91" s="555" t="s">
        <v>212</v>
      </c>
      <c r="B91" s="555" t="s">
        <v>213</v>
      </c>
      <c r="C91" s="557">
        <v>16.061599999999999</v>
      </c>
      <c r="D91" s="557" t="s">
        <v>525</v>
      </c>
      <c r="E91" s="557" t="s">
        <v>525</v>
      </c>
      <c r="F91" s="557" t="s">
        <v>525</v>
      </c>
      <c r="G91" s="557">
        <v>16.720400000000001</v>
      </c>
      <c r="H91" s="557" t="s">
        <v>525</v>
      </c>
      <c r="I91" s="557" t="s">
        <v>525</v>
      </c>
      <c r="J91" s="557" t="s">
        <v>525</v>
      </c>
    </row>
    <row r="92" spans="1:10" x14ac:dyDescent="0.35">
      <c r="A92" s="555" t="s">
        <v>214</v>
      </c>
      <c r="B92" s="555" t="s">
        <v>215</v>
      </c>
      <c r="C92" s="557">
        <v>11.465299999999999</v>
      </c>
      <c r="D92" s="557" t="s">
        <v>525</v>
      </c>
      <c r="E92" s="557" t="s">
        <v>525</v>
      </c>
      <c r="F92" s="557" t="s">
        <v>525</v>
      </c>
      <c r="G92" s="557">
        <v>13.4415</v>
      </c>
      <c r="H92" s="557" t="s">
        <v>525</v>
      </c>
      <c r="I92" s="557" t="s">
        <v>525</v>
      </c>
      <c r="J92" s="557" t="s">
        <v>525</v>
      </c>
    </row>
    <row r="93" spans="1:10" x14ac:dyDescent="0.35">
      <c r="A93" s="555" t="s">
        <v>216</v>
      </c>
      <c r="B93" s="555" t="s">
        <v>217</v>
      </c>
      <c r="C93" s="557">
        <v>9.6335999999999995</v>
      </c>
      <c r="D93" s="557" t="s">
        <v>525</v>
      </c>
      <c r="E93" s="557" t="s">
        <v>525</v>
      </c>
      <c r="F93" s="557" t="s">
        <v>525</v>
      </c>
      <c r="G93" s="557">
        <v>12.5837</v>
      </c>
      <c r="H93" s="557" t="s">
        <v>525</v>
      </c>
      <c r="I93" s="557" t="s">
        <v>525</v>
      </c>
      <c r="J93" s="557" t="s">
        <v>525</v>
      </c>
    </row>
    <row r="94" spans="1:10" x14ac:dyDescent="0.35">
      <c r="A94" s="555" t="s">
        <v>218</v>
      </c>
      <c r="B94" s="555" t="s">
        <v>219</v>
      </c>
      <c r="C94" s="557">
        <v>43.588500000000003</v>
      </c>
      <c r="D94" s="557" t="s">
        <v>525</v>
      </c>
      <c r="E94" s="557" t="s">
        <v>525</v>
      </c>
      <c r="F94" s="557" t="s">
        <v>525</v>
      </c>
      <c r="G94" s="557">
        <v>42.854199999999999</v>
      </c>
      <c r="H94" s="557" t="s">
        <v>525</v>
      </c>
      <c r="I94" s="557" t="s">
        <v>525</v>
      </c>
      <c r="J94" s="557" t="s">
        <v>525</v>
      </c>
    </row>
    <row r="95" spans="1:10" x14ac:dyDescent="0.35">
      <c r="A95" s="555" t="s">
        <v>532</v>
      </c>
      <c r="B95" s="555" t="s">
        <v>656</v>
      </c>
      <c r="C95" s="557">
        <v>29.121200000000002</v>
      </c>
      <c r="D95" s="557">
        <v>30.470300000000002</v>
      </c>
      <c r="E95" s="557">
        <v>29.9666</v>
      </c>
      <c r="F95" s="557">
        <v>36.130899999999997</v>
      </c>
      <c r="G95" s="557">
        <v>33.055399999999999</v>
      </c>
      <c r="H95" s="557">
        <v>29.509899999999998</v>
      </c>
      <c r="I95" s="557">
        <v>29.2621</v>
      </c>
      <c r="J95" s="557" t="s">
        <v>525</v>
      </c>
    </row>
    <row r="96" spans="1:10" x14ac:dyDescent="0.35">
      <c r="A96" s="555" t="s">
        <v>598</v>
      </c>
      <c r="B96" s="555" t="s">
        <v>657</v>
      </c>
      <c r="C96" s="557">
        <v>2718.7285999999999</v>
      </c>
      <c r="D96" s="557">
        <v>2949.5596999999998</v>
      </c>
      <c r="E96" s="557">
        <v>3039.7455</v>
      </c>
      <c r="F96" s="557">
        <v>3020.1041</v>
      </c>
      <c r="G96" s="557">
        <v>2892.6828</v>
      </c>
      <c r="H96" s="557">
        <v>2765.5859999999998</v>
      </c>
      <c r="I96" s="557">
        <v>2608.5309000000002</v>
      </c>
      <c r="J96" s="557">
        <v>2521.2334000000001</v>
      </c>
    </row>
    <row r="97" spans="1:10" x14ac:dyDescent="0.35">
      <c r="A97" s="555" t="s">
        <v>658</v>
      </c>
      <c r="B97" s="555" t="s">
        <v>659</v>
      </c>
      <c r="C97" s="557">
        <v>157.7722</v>
      </c>
      <c r="D97" s="557" t="s">
        <v>525</v>
      </c>
      <c r="E97" s="557" t="s">
        <v>525</v>
      </c>
      <c r="F97" s="557" t="s">
        <v>525</v>
      </c>
      <c r="G97" s="557">
        <v>147.3295</v>
      </c>
      <c r="H97" s="557" t="s">
        <v>525</v>
      </c>
      <c r="I97" s="557" t="s">
        <v>525</v>
      </c>
      <c r="J97" s="557" t="s">
        <v>525</v>
      </c>
    </row>
    <row r="98" spans="1:10" x14ac:dyDescent="0.35">
      <c r="A98" s="555" t="s">
        <v>660</v>
      </c>
      <c r="B98" s="555" t="s">
        <v>661</v>
      </c>
      <c r="C98" s="559">
        <v>1280</v>
      </c>
      <c r="D98" s="559" t="s">
        <v>525</v>
      </c>
      <c r="E98" s="559" t="s">
        <v>525</v>
      </c>
      <c r="F98" s="559" t="s">
        <v>525</v>
      </c>
      <c r="G98" s="559">
        <v>1275</v>
      </c>
      <c r="H98" s="559" t="s">
        <v>525</v>
      </c>
      <c r="I98" s="559" t="s">
        <v>525</v>
      </c>
      <c r="J98" s="559" t="s">
        <v>525</v>
      </c>
    </row>
    <row r="99" spans="1:10" x14ac:dyDescent="0.35">
      <c r="A99" s="555" t="s">
        <v>662</v>
      </c>
      <c r="B99" s="555" t="s">
        <v>663</v>
      </c>
      <c r="C99" s="557">
        <v>1316.9766999999999</v>
      </c>
      <c r="D99" s="557">
        <v>10.8673</v>
      </c>
      <c r="E99" s="557">
        <v>10.865500000000001</v>
      </c>
      <c r="F99" s="557">
        <v>10.8622</v>
      </c>
      <c r="G99" s="557">
        <v>1435.5544</v>
      </c>
      <c r="H99" s="557">
        <v>10.454700000000001</v>
      </c>
      <c r="I99" s="557">
        <v>10.3957</v>
      </c>
      <c r="J99" s="557">
        <v>10.168900000000001</v>
      </c>
    </row>
    <row r="100" spans="1:10" x14ac:dyDescent="0.35">
      <c r="A100" s="555" t="s">
        <v>664</v>
      </c>
      <c r="B100" s="555" t="s">
        <v>665</v>
      </c>
      <c r="C100" s="557">
        <v>0.1764</v>
      </c>
      <c r="D100" s="557" t="s">
        <v>525</v>
      </c>
      <c r="E100" s="557" t="s">
        <v>525</v>
      </c>
      <c r="F100" s="557" t="s">
        <v>525</v>
      </c>
      <c r="G100" s="557">
        <v>0.23350000000000001</v>
      </c>
      <c r="H100" s="557" t="s">
        <v>525</v>
      </c>
      <c r="I100" s="557" t="s">
        <v>525</v>
      </c>
      <c r="J100" s="557" t="s">
        <v>525</v>
      </c>
    </row>
    <row r="101" spans="1:10" x14ac:dyDescent="0.35">
      <c r="A101" s="555" t="s">
        <v>666</v>
      </c>
      <c r="B101" s="555" t="s">
        <v>667</v>
      </c>
      <c r="C101" s="557">
        <v>0.14219999999999999</v>
      </c>
      <c r="D101" s="557">
        <v>4.2999999999999997E-2</v>
      </c>
      <c r="E101" s="557" t="s">
        <v>525</v>
      </c>
      <c r="F101" s="557" t="s">
        <v>525</v>
      </c>
      <c r="G101" s="557">
        <v>0.16719999999999999</v>
      </c>
      <c r="H101" s="557">
        <v>5.1900000000000002E-2</v>
      </c>
      <c r="I101" s="557" t="s">
        <v>525</v>
      </c>
      <c r="J101" s="557" t="s">
        <v>525</v>
      </c>
    </row>
    <row r="102" spans="1:10" x14ac:dyDescent="0.35">
      <c r="A102" s="555" t="s">
        <v>668</v>
      </c>
      <c r="B102" s="555" t="s">
        <v>669</v>
      </c>
      <c r="C102" s="557" t="s">
        <v>525</v>
      </c>
      <c r="D102" s="557">
        <v>2949.5596999999998</v>
      </c>
      <c r="E102" s="557">
        <v>3039.7455</v>
      </c>
      <c r="F102" s="557">
        <v>3020.1041</v>
      </c>
      <c r="G102" s="557" t="s">
        <v>525</v>
      </c>
      <c r="H102" s="557">
        <v>2765.5859999999998</v>
      </c>
      <c r="I102" s="557">
        <v>2608.5309000000002</v>
      </c>
      <c r="J102" s="557">
        <v>2521.2334000000001</v>
      </c>
    </row>
    <row r="103" spans="1:10" x14ac:dyDescent="0.35">
      <c r="A103" s="555" t="s">
        <v>670</v>
      </c>
      <c r="B103" s="555" t="s">
        <v>671</v>
      </c>
      <c r="C103" s="557">
        <v>2.9499999999999998E-2</v>
      </c>
      <c r="D103" s="557" t="s">
        <v>525</v>
      </c>
      <c r="E103" s="557" t="s">
        <v>525</v>
      </c>
      <c r="F103" s="557" t="s">
        <v>525</v>
      </c>
      <c r="G103" s="557">
        <v>9.7799999999999998E-2</v>
      </c>
      <c r="H103" s="557" t="s">
        <v>525</v>
      </c>
      <c r="I103" s="557" t="s">
        <v>525</v>
      </c>
      <c r="J103" s="557" t="s">
        <v>525</v>
      </c>
    </row>
    <row r="104" spans="1:10" x14ac:dyDescent="0.35">
      <c r="A104" s="555" t="s">
        <v>672</v>
      </c>
      <c r="B104" s="555" t="s">
        <v>673</v>
      </c>
      <c r="C104" s="557">
        <v>0</v>
      </c>
      <c r="D104" s="557">
        <v>0</v>
      </c>
      <c r="E104" s="557" t="s">
        <v>525</v>
      </c>
      <c r="F104" s="557">
        <v>0</v>
      </c>
      <c r="G104" s="557">
        <v>0</v>
      </c>
      <c r="H104" s="557">
        <v>0</v>
      </c>
      <c r="I104" s="557" t="s">
        <v>525</v>
      </c>
      <c r="J104" s="557">
        <v>0</v>
      </c>
    </row>
    <row r="105" spans="1:10" x14ac:dyDescent="0.35">
      <c r="A105" s="555" t="s">
        <v>674</v>
      </c>
      <c r="B105" s="555" t="s">
        <v>675</v>
      </c>
      <c r="C105" s="557">
        <v>1079.1343999999999</v>
      </c>
      <c r="D105" s="557">
        <v>1171.8675000000001</v>
      </c>
      <c r="E105" s="557">
        <v>1012.6854</v>
      </c>
      <c r="F105" s="557">
        <v>1120.1222</v>
      </c>
      <c r="G105" s="557">
        <v>1360.2964999999999</v>
      </c>
      <c r="H105" s="557">
        <v>1065.4425000000001</v>
      </c>
      <c r="I105" s="557">
        <v>956.10799999999995</v>
      </c>
      <c r="J105" s="557">
        <v>781.78560000000004</v>
      </c>
    </row>
    <row r="106" spans="1:10" x14ac:dyDescent="0.35">
      <c r="A106" s="555" t="s">
        <v>676</v>
      </c>
      <c r="B106" s="555" t="s">
        <v>677</v>
      </c>
      <c r="C106" s="557">
        <v>1.2889999999999999</v>
      </c>
      <c r="D106" s="557">
        <v>1.3828</v>
      </c>
      <c r="E106" s="557">
        <v>1.3596999999999999</v>
      </c>
      <c r="F106" s="557">
        <v>1.3250999999999999</v>
      </c>
      <c r="G106" s="557">
        <v>1.2648999999999999</v>
      </c>
      <c r="H106" s="557">
        <v>0.99270000000000003</v>
      </c>
      <c r="I106" s="557">
        <v>0.76029999999999998</v>
      </c>
      <c r="J106" s="557">
        <v>0.4496</v>
      </c>
    </row>
    <row r="107" spans="1:10" x14ac:dyDescent="0.35">
      <c r="A107" s="555" t="s">
        <v>678</v>
      </c>
      <c r="B107" s="555" t="s">
        <v>679</v>
      </c>
      <c r="C107" s="557">
        <v>1.3172999999999999</v>
      </c>
      <c r="D107" s="557">
        <v>1.2379</v>
      </c>
      <c r="E107" s="557">
        <v>0.85940000000000005</v>
      </c>
      <c r="F107" s="557">
        <v>0.50829999999999997</v>
      </c>
      <c r="G107" s="557">
        <v>0.16289999999999999</v>
      </c>
      <c r="H107" s="557" t="s">
        <v>525</v>
      </c>
      <c r="I107" s="557" t="s">
        <v>525</v>
      </c>
      <c r="J107" s="557" t="s">
        <v>525</v>
      </c>
    </row>
    <row r="108" spans="1:10" x14ac:dyDescent="0.35">
      <c r="A108" s="555" t="s">
        <v>680</v>
      </c>
      <c r="B108" s="555" t="s">
        <v>681</v>
      </c>
      <c r="C108" s="557">
        <v>0.17530000000000001</v>
      </c>
      <c r="D108" s="557" t="s">
        <v>525</v>
      </c>
      <c r="E108" s="557" t="s">
        <v>525</v>
      </c>
      <c r="F108" s="557" t="s">
        <v>525</v>
      </c>
      <c r="G108" s="557" t="s">
        <v>525</v>
      </c>
      <c r="H108" s="557" t="s">
        <v>525</v>
      </c>
      <c r="I108" s="557" t="s">
        <v>525</v>
      </c>
      <c r="J108" s="557" t="s">
        <v>525</v>
      </c>
    </row>
    <row r="109" spans="1:10" x14ac:dyDescent="0.35">
      <c r="A109" s="555" t="s">
        <v>682</v>
      </c>
      <c r="B109" s="555" t="s">
        <v>683</v>
      </c>
      <c r="C109" s="557">
        <v>650.15250000000003</v>
      </c>
      <c r="D109" s="557" t="s">
        <v>525</v>
      </c>
      <c r="E109" s="557" t="s">
        <v>525</v>
      </c>
      <c r="F109" s="557" t="s">
        <v>525</v>
      </c>
      <c r="G109" s="557" t="s">
        <v>525</v>
      </c>
      <c r="H109" s="557" t="s">
        <v>525</v>
      </c>
      <c r="I109" s="557" t="s">
        <v>525</v>
      </c>
      <c r="J109" s="557" t="s">
        <v>525</v>
      </c>
    </row>
    <row r="110" spans="1:10" x14ac:dyDescent="0.35">
      <c r="A110" s="555" t="s">
        <v>684</v>
      </c>
      <c r="B110" s="555" t="s">
        <v>685</v>
      </c>
      <c r="C110" s="557" t="s">
        <v>525</v>
      </c>
      <c r="D110" s="557">
        <v>694.42750000000001</v>
      </c>
      <c r="E110" s="557">
        <v>676.91300000000001</v>
      </c>
      <c r="F110" s="557">
        <v>656.82249999999999</v>
      </c>
      <c r="G110" s="557">
        <v>624.30050000000006</v>
      </c>
      <c r="H110" s="557">
        <v>613.78949999999998</v>
      </c>
      <c r="I110" s="557">
        <v>590.78949999999998</v>
      </c>
      <c r="J110" s="557">
        <v>580.93399999999997</v>
      </c>
    </row>
    <row r="111" spans="1:10" x14ac:dyDescent="0.35">
      <c r="A111" s="555" t="s">
        <v>686</v>
      </c>
      <c r="B111" s="555" t="s">
        <v>687</v>
      </c>
      <c r="C111" s="557">
        <v>652.93399999999997</v>
      </c>
      <c r="D111" s="557">
        <v>697.04819999999995</v>
      </c>
      <c r="E111" s="557">
        <v>679.13210000000004</v>
      </c>
      <c r="F111" s="557">
        <v>658.65589999999997</v>
      </c>
      <c r="G111" s="557">
        <v>625.72820000000002</v>
      </c>
      <c r="H111" s="557">
        <v>614.78219999999999</v>
      </c>
      <c r="I111" s="557">
        <v>591.5498</v>
      </c>
      <c r="J111" s="557">
        <v>581.3836</v>
      </c>
    </row>
    <row r="112" spans="1:10" x14ac:dyDescent="0.35">
      <c r="A112" s="555" t="s">
        <v>688</v>
      </c>
      <c r="B112" s="555" t="s">
        <v>689</v>
      </c>
      <c r="C112" s="557">
        <v>652.93399999999997</v>
      </c>
      <c r="D112" s="557">
        <v>694.11350000000004</v>
      </c>
      <c r="E112" s="557">
        <v>676.34199999999998</v>
      </c>
      <c r="F112" s="557">
        <v>656</v>
      </c>
      <c r="G112" s="557">
        <v>625.72820000000002</v>
      </c>
      <c r="H112" s="557">
        <v>612.67930000000001</v>
      </c>
      <c r="I112" s="557">
        <v>589.7826</v>
      </c>
      <c r="J112" s="557">
        <v>580.00450000000001</v>
      </c>
    </row>
    <row r="113" spans="1:10" x14ac:dyDescent="0.35">
      <c r="A113" s="555" t="s">
        <v>690</v>
      </c>
      <c r="B113" s="555" t="s">
        <v>691</v>
      </c>
      <c r="C113" s="557">
        <v>4.07E-2</v>
      </c>
      <c r="D113" s="557">
        <v>1E-4</v>
      </c>
      <c r="E113" s="557">
        <v>1E-4</v>
      </c>
      <c r="F113" s="557">
        <v>1.06E-2</v>
      </c>
      <c r="G113" s="557">
        <v>6.3100000000000003E-2</v>
      </c>
      <c r="H113" s="557">
        <v>0.2319</v>
      </c>
      <c r="I113" s="557">
        <v>0.20699999999999999</v>
      </c>
      <c r="J113" s="557">
        <v>0.22789999999999999</v>
      </c>
    </row>
    <row r="114" spans="1:10" x14ac:dyDescent="0.35">
      <c r="A114" s="555" t="s">
        <v>692</v>
      </c>
      <c r="B114" s="555" t="s">
        <v>693</v>
      </c>
      <c r="C114" s="557">
        <v>19.164000000000001</v>
      </c>
      <c r="D114" s="557">
        <v>18.413</v>
      </c>
      <c r="E114" s="557">
        <v>20.884</v>
      </c>
      <c r="F114" s="557">
        <v>20.289000000000001</v>
      </c>
      <c r="G114" s="557">
        <v>21.466999999999999</v>
      </c>
      <c r="H114" s="557">
        <v>20.896000000000001</v>
      </c>
      <c r="I114" s="557">
        <v>23.625</v>
      </c>
      <c r="J114" s="557">
        <v>22.927</v>
      </c>
    </row>
    <row r="115" spans="1:10" x14ac:dyDescent="0.35">
      <c r="A115" s="555" t="s">
        <v>694</v>
      </c>
      <c r="B115" s="555" t="s">
        <v>695</v>
      </c>
      <c r="C115" s="557">
        <v>1079.1343999999999</v>
      </c>
      <c r="D115" s="557">
        <v>1171.8675000000001</v>
      </c>
      <c r="E115" s="557">
        <v>1012.6854</v>
      </c>
      <c r="F115" s="557">
        <v>1120.1222</v>
      </c>
      <c r="G115" s="557">
        <v>1360.2964999999999</v>
      </c>
      <c r="H115" s="557">
        <v>1065.4425000000001</v>
      </c>
      <c r="I115" s="557">
        <v>956.10799999999995</v>
      </c>
      <c r="J115" s="557">
        <v>781.78560000000004</v>
      </c>
    </row>
    <row r="116" spans="1:10" x14ac:dyDescent="0.35">
      <c r="A116" s="555" t="s">
        <v>696</v>
      </c>
      <c r="B116" s="555" t="s">
        <v>697</v>
      </c>
      <c r="C116" s="557">
        <v>3.4091</v>
      </c>
      <c r="D116" s="557">
        <v>11.455</v>
      </c>
      <c r="E116" s="557">
        <v>116.96469999999999</v>
      </c>
      <c r="F116" s="557">
        <v>83.822000000000003</v>
      </c>
      <c r="G116" s="557">
        <v>0</v>
      </c>
      <c r="H116" s="557">
        <v>0</v>
      </c>
      <c r="I116" s="557">
        <v>84.703800000000001</v>
      </c>
      <c r="J116" s="557">
        <v>0</v>
      </c>
    </row>
    <row r="117" spans="1:10" x14ac:dyDescent="0.35">
      <c r="A117" s="555" t="s">
        <v>698</v>
      </c>
      <c r="B117" s="555" t="s">
        <v>699</v>
      </c>
      <c r="C117" s="557">
        <v>0</v>
      </c>
      <c r="D117" s="557">
        <v>0</v>
      </c>
      <c r="E117" s="557" t="s">
        <v>525</v>
      </c>
      <c r="F117" s="557">
        <v>0</v>
      </c>
      <c r="G117" s="557">
        <v>0</v>
      </c>
      <c r="H117" s="557">
        <v>0</v>
      </c>
      <c r="I117" s="557">
        <v>0</v>
      </c>
      <c r="J117" s="557">
        <v>0</v>
      </c>
    </row>
    <row r="118" spans="1:10" x14ac:dyDescent="0.35">
      <c r="A118" s="555" t="s">
        <v>700</v>
      </c>
      <c r="B118" s="555" t="s">
        <v>701</v>
      </c>
      <c r="C118" s="557">
        <v>1082.5435</v>
      </c>
      <c r="D118" s="557">
        <v>1183.3226</v>
      </c>
      <c r="E118" s="557">
        <v>1129.6501000000001</v>
      </c>
      <c r="F118" s="557">
        <v>1203.9441999999999</v>
      </c>
      <c r="G118" s="557">
        <v>1360.2964999999999</v>
      </c>
      <c r="H118" s="557">
        <v>1065.4425000000001</v>
      </c>
      <c r="I118" s="557">
        <v>1040.8117999999999</v>
      </c>
      <c r="J118" s="557">
        <v>781.78560000000004</v>
      </c>
    </row>
    <row r="119" spans="1:10" x14ac:dyDescent="0.35">
      <c r="A119" s="555" t="s">
        <v>702</v>
      </c>
      <c r="B119" s="555" t="s">
        <v>703</v>
      </c>
      <c r="C119" s="557">
        <v>0</v>
      </c>
      <c r="D119" s="557">
        <v>0</v>
      </c>
      <c r="E119" s="557" t="s">
        <v>525</v>
      </c>
      <c r="F119" s="557">
        <v>0</v>
      </c>
      <c r="G119" s="557">
        <v>0</v>
      </c>
      <c r="H119" s="557">
        <v>0</v>
      </c>
      <c r="I119" s="557" t="s">
        <v>525</v>
      </c>
      <c r="J119" s="557">
        <v>0</v>
      </c>
    </row>
    <row r="120" spans="1:10" x14ac:dyDescent="0.35">
      <c r="A120" s="555" t="s">
        <v>704</v>
      </c>
      <c r="B120" s="555" t="s">
        <v>705</v>
      </c>
      <c r="C120" s="557">
        <v>4.3928000000000003</v>
      </c>
      <c r="D120" s="557">
        <v>0.94199999999999995</v>
      </c>
      <c r="E120" s="557" t="s">
        <v>525</v>
      </c>
      <c r="F120" s="557">
        <v>58.971200000000003</v>
      </c>
      <c r="G120" s="557">
        <v>79.378500000000003</v>
      </c>
      <c r="H120" s="557">
        <v>69.352900000000005</v>
      </c>
      <c r="I120" s="557" t="s">
        <v>525</v>
      </c>
      <c r="J120" s="557">
        <v>64.3523</v>
      </c>
    </row>
    <row r="121" spans="1:10" x14ac:dyDescent="0.35">
      <c r="A121" s="555" t="s">
        <v>706</v>
      </c>
      <c r="B121" s="555" t="s">
        <v>707</v>
      </c>
      <c r="C121" s="557">
        <v>0</v>
      </c>
      <c r="D121" s="557">
        <v>0</v>
      </c>
      <c r="E121" s="557" t="s">
        <v>525</v>
      </c>
      <c r="F121" s="557">
        <v>0</v>
      </c>
      <c r="G121" s="557">
        <v>0</v>
      </c>
      <c r="H121" s="557">
        <v>0</v>
      </c>
      <c r="I121" s="557" t="s">
        <v>525</v>
      </c>
      <c r="J121" s="557">
        <v>0</v>
      </c>
    </row>
    <row r="122" spans="1:10" x14ac:dyDescent="0.35">
      <c r="A122" s="555" t="s">
        <v>708</v>
      </c>
      <c r="B122" s="555" t="s">
        <v>709</v>
      </c>
      <c r="C122" s="557">
        <v>4.3928000000000003</v>
      </c>
      <c r="D122" s="557">
        <v>0.94199999999999995</v>
      </c>
      <c r="E122" s="557" t="s">
        <v>525</v>
      </c>
      <c r="F122" s="557">
        <v>58.971200000000003</v>
      </c>
      <c r="G122" s="557">
        <v>79.378500000000003</v>
      </c>
      <c r="H122" s="557">
        <v>69.352900000000005</v>
      </c>
      <c r="I122" s="557" t="s">
        <v>525</v>
      </c>
      <c r="J122" s="557">
        <v>64.3523</v>
      </c>
    </row>
    <row r="123" spans="1:10" x14ac:dyDescent="0.35">
      <c r="A123" s="555" t="s">
        <v>710</v>
      </c>
      <c r="B123" s="555" t="s">
        <v>711</v>
      </c>
      <c r="C123" s="557">
        <v>1.2500000000000001E-2</v>
      </c>
      <c r="D123" s="557" t="s">
        <v>525</v>
      </c>
      <c r="E123" s="557" t="s">
        <v>525</v>
      </c>
      <c r="F123" s="557" t="s">
        <v>525</v>
      </c>
      <c r="G123" s="557" t="s">
        <v>525</v>
      </c>
      <c r="H123" s="557" t="s">
        <v>525</v>
      </c>
      <c r="I123" s="557" t="s">
        <v>525</v>
      </c>
      <c r="J123" s="557" t="s">
        <v>525</v>
      </c>
    </row>
    <row r="124" spans="1:10" x14ac:dyDescent="0.35">
      <c r="A124" s="555" t="s">
        <v>712</v>
      </c>
      <c r="B124" s="555" t="s">
        <v>713</v>
      </c>
      <c r="C124" s="557">
        <v>108.3437</v>
      </c>
      <c r="D124" s="557" t="s">
        <v>525</v>
      </c>
      <c r="E124" s="557" t="s">
        <v>525</v>
      </c>
      <c r="F124" s="557" t="s">
        <v>525</v>
      </c>
      <c r="G124" s="557">
        <v>116.53789999999999</v>
      </c>
      <c r="H124" s="557" t="s">
        <v>525</v>
      </c>
      <c r="I124" s="557" t="s">
        <v>525</v>
      </c>
      <c r="J124" s="557" t="s">
        <v>525</v>
      </c>
    </row>
    <row r="125" spans="1:10" x14ac:dyDescent="0.35">
      <c r="A125" s="555" t="s">
        <v>714</v>
      </c>
      <c r="B125" s="555" t="s">
        <v>715</v>
      </c>
      <c r="C125" s="557" t="s">
        <v>525</v>
      </c>
      <c r="D125" s="557" t="s">
        <v>525</v>
      </c>
      <c r="E125" s="557" t="s">
        <v>525</v>
      </c>
      <c r="F125" s="557" t="s">
        <v>525</v>
      </c>
      <c r="G125" s="557" t="s">
        <v>525</v>
      </c>
      <c r="H125" s="557" t="s">
        <v>525</v>
      </c>
      <c r="I125" s="557">
        <v>589.7826</v>
      </c>
      <c r="J125" s="557">
        <v>580.00450000000001</v>
      </c>
    </row>
    <row r="126" spans="1:10" x14ac:dyDescent="0.35">
      <c r="A126" s="555" t="s">
        <v>716</v>
      </c>
      <c r="B126" s="555" t="s">
        <v>717</v>
      </c>
      <c r="C126" s="559" t="s">
        <v>525</v>
      </c>
      <c r="D126" s="559">
        <v>4.0999999999999996</v>
      </c>
      <c r="E126" s="559" t="s">
        <v>525</v>
      </c>
      <c r="F126" s="559" t="s">
        <v>525</v>
      </c>
      <c r="G126" s="559" t="s">
        <v>525</v>
      </c>
      <c r="H126" s="559">
        <v>3.6</v>
      </c>
      <c r="I126" s="559" t="s">
        <v>525</v>
      </c>
      <c r="J126" s="559" t="s">
        <v>525</v>
      </c>
    </row>
    <row r="127" spans="1:10" x14ac:dyDescent="0.35">
      <c r="A127" s="555" t="s">
        <v>718</v>
      </c>
      <c r="B127" s="555" t="s">
        <v>719</v>
      </c>
      <c r="C127" s="559" t="s">
        <v>525</v>
      </c>
      <c r="D127" s="559">
        <v>5</v>
      </c>
      <c r="E127" s="559" t="s">
        <v>525</v>
      </c>
      <c r="F127" s="559" t="s">
        <v>525</v>
      </c>
      <c r="G127" s="559" t="s">
        <v>525</v>
      </c>
      <c r="H127" s="559">
        <v>5</v>
      </c>
      <c r="I127" s="559" t="s">
        <v>525</v>
      </c>
      <c r="J127" s="559" t="s">
        <v>525</v>
      </c>
    </row>
    <row r="128" spans="1:10" x14ac:dyDescent="0.35">
      <c r="A128" s="555" t="s">
        <v>720</v>
      </c>
      <c r="B128" s="555" t="s">
        <v>721</v>
      </c>
      <c r="C128" s="559" t="s">
        <v>525</v>
      </c>
      <c r="D128" s="559">
        <v>36.799999999999997</v>
      </c>
      <c r="E128" s="559" t="s">
        <v>525</v>
      </c>
      <c r="F128" s="559" t="s">
        <v>525</v>
      </c>
      <c r="G128" s="559" t="s">
        <v>525</v>
      </c>
      <c r="H128" s="559">
        <v>32.700000000000003</v>
      </c>
      <c r="I128" s="559" t="s">
        <v>525</v>
      </c>
      <c r="J128" s="559" t="s">
        <v>525</v>
      </c>
    </row>
    <row r="129" spans="1:10" x14ac:dyDescent="0.35">
      <c r="A129" s="555" t="s">
        <v>722</v>
      </c>
      <c r="B129" s="555" t="s">
        <v>723</v>
      </c>
      <c r="C129" s="559" t="s">
        <v>525</v>
      </c>
      <c r="D129" s="559">
        <v>1.2</v>
      </c>
      <c r="E129" s="559" t="s">
        <v>525</v>
      </c>
      <c r="F129" s="559" t="s">
        <v>525</v>
      </c>
      <c r="G129" s="559" t="s">
        <v>525</v>
      </c>
      <c r="H129" s="559">
        <v>1.3</v>
      </c>
      <c r="I129" s="559" t="s">
        <v>525</v>
      </c>
      <c r="J129" s="559" t="s">
        <v>525</v>
      </c>
    </row>
    <row r="130" spans="1:10" x14ac:dyDescent="0.35">
      <c r="A130" s="555" t="s">
        <v>724</v>
      </c>
      <c r="B130" s="555" t="s">
        <v>725</v>
      </c>
      <c r="C130" s="559">
        <v>108.34</v>
      </c>
      <c r="D130" s="559" t="s">
        <v>525</v>
      </c>
      <c r="E130" s="559" t="s">
        <v>525</v>
      </c>
      <c r="F130" s="559" t="s">
        <v>525</v>
      </c>
      <c r="G130" s="559">
        <v>120.29</v>
      </c>
      <c r="H130" s="559" t="s">
        <v>525</v>
      </c>
      <c r="I130" s="559" t="s">
        <v>525</v>
      </c>
      <c r="J130" s="559" t="s">
        <v>525</v>
      </c>
    </row>
    <row r="131" spans="1:10" x14ac:dyDescent="0.35">
      <c r="A131" s="555" t="s">
        <v>726</v>
      </c>
      <c r="B131" s="555" t="s">
        <v>727</v>
      </c>
      <c r="C131" s="559">
        <v>117.44</v>
      </c>
      <c r="D131" s="559">
        <v>42.19</v>
      </c>
      <c r="E131" s="559" t="s">
        <v>525</v>
      </c>
      <c r="F131" s="559" t="s">
        <v>525</v>
      </c>
      <c r="G131" s="559">
        <v>122.04</v>
      </c>
      <c r="H131" s="559">
        <v>35.07</v>
      </c>
      <c r="I131" s="559" t="s">
        <v>525</v>
      </c>
      <c r="J131" s="559" t="s">
        <v>525</v>
      </c>
    </row>
    <row r="132" spans="1:10" x14ac:dyDescent="0.35">
      <c r="A132" s="555" t="s">
        <v>728</v>
      </c>
      <c r="B132" s="555" t="s">
        <v>729</v>
      </c>
      <c r="C132" s="557">
        <v>9.0999999999999998E-2</v>
      </c>
      <c r="D132" s="557" t="s">
        <v>525</v>
      </c>
      <c r="E132" s="557" t="s">
        <v>525</v>
      </c>
      <c r="F132" s="557" t="s">
        <v>525</v>
      </c>
      <c r="G132" s="557">
        <v>9.69E-2</v>
      </c>
      <c r="H132" s="557" t="s">
        <v>525</v>
      </c>
      <c r="I132" s="557" t="s">
        <v>525</v>
      </c>
      <c r="J132" s="557" t="s">
        <v>525</v>
      </c>
    </row>
    <row r="133" spans="1:10" x14ac:dyDescent="0.35">
      <c r="A133" s="555" t="s">
        <v>730</v>
      </c>
      <c r="B133" s="555" t="s">
        <v>731</v>
      </c>
      <c r="C133" s="557">
        <v>1.5264</v>
      </c>
      <c r="D133" s="557">
        <v>1.5519000000000001</v>
      </c>
      <c r="E133" s="557">
        <v>1.4302999999999999</v>
      </c>
      <c r="F133" s="557">
        <v>1.3308</v>
      </c>
      <c r="G133" s="557">
        <v>1.1942999999999999</v>
      </c>
      <c r="H133" s="557">
        <v>1.1102000000000001</v>
      </c>
      <c r="I133" s="557">
        <v>1.0068999999999999</v>
      </c>
      <c r="J133" s="557">
        <v>0.92949999999999999</v>
      </c>
    </row>
    <row r="134" spans="1:10" x14ac:dyDescent="0.35">
      <c r="A134" s="555" t="s">
        <v>732</v>
      </c>
      <c r="B134" s="555" t="s">
        <v>733</v>
      </c>
      <c r="C134" s="557">
        <v>7.5926999999999998</v>
      </c>
      <c r="D134" s="557" t="s">
        <v>525</v>
      </c>
      <c r="E134" s="557" t="s">
        <v>525</v>
      </c>
      <c r="F134" s="557" t="s">
        <v>525</v>
      </c>
      <c r="G134" s="557">
        <v>9.3428000000000004</v>
      </c>
      <c r="H134" s="557" t="s">
        <v>525</v>
      </c>
      <c r="I134" s="557" t="s">
        <v>525</v>
      </c>
      <c r="J134" s="557" t="s">
        <v>525</v>
      </c>
    </row>
    <row r="135" spans="1:10" x14ac:dyDescent="0.35">
      <c r="A135" s="555" t="s">
        <v>734</v>
      </c>
      <c r="B135" s="555" t="s">
        <v>735</v>
      </c>
      <c r="C135" s="557">
        <v>848.02499999999998</v>
      </c>
      <c r="D135" s="557">
        <v>905.77499999999998</v>
      </c>
      <c r="E135" s="557">
        <v>1471.55</v>
      </c>
      <c r="F135" s="557">
        <v>1427.875</v>
      </c>
      <c r="G135" s="557">
        <v>814.30499999999995</v>
      </c>
      <c r="H135" s="557">
        <v>1334.325</v>
      </c>
      <c r="I135" s="557">
        <v>1284.325</v>
      </c>
      <c r="J135" s="557">
        <v>757.74</v>
      </c>
    </row>
    <row r="136" spans="1:10" x14ac:dyDescent="0.35">
      <c r="A136" s="555" t="s">
        <v>736</v>
      </c>
      <c r="B136" s="555" t="s">
        <v>737</v>
      </c>
      <c r="C136" s="557">
        <v>234.22450000000001</v>
      </c>
      <c r="D136" s="557">
        <v>250.1086</v>
      </c>
      <c r="E136" s="557">
        <v>235.44800000000001</v>
      </c>
      <c r="F136" s="557">
        <v>221.5034</v>
      </c>
      <c r="G136" s="557">
        <v>162.92609999999999</v>
      </c>
      <c r="H136" s="557">
        <v>800.59500000000003</v>
      </c>
      <c r="I136" s="557">
        <v>642.16250000000002</v>
      </c>
      <c r="J136" s="557">
        <v>505.16</v>
      </c>
    </row>
    <row r="137" spans="1:10" x14ac:dyDescent="0.35">
      <c r="A137" s="555" t="s">
        <v>738</v>
      </c>
      <c r="B137" s="555" t="s">
        <v>739</v>
      </c>
      <c r="C137" s="557">
        <v>1079.1343999999999</v>
      </c>
      <c r="D137" s="557">
        <v>1171.8675000000001</v>
      </c>
      <c r="E137" s="557">
        <v>1012.6854</v>
      </c>
      <c r="F137" s="557">
        <v>1120.1222</v>
      </c>
      <c r="G137" s="557">
        <v>1360.2964999999999</v>
      </c>
      <c r="H137" s="557">
        <v>1065.4425000000001</v>
      </c>
      <c r="I137" s="557">
        <v>956.10799999999995</v>
      </c>
      <c r="J137" s="557">
        <v>781.78560000000004</v>
      </c>
    </row>
    <row r="138" spans="1:10" x14ac:dyDescent="0.35">
      <c r="A138" s="555" t="s">
        <v>740</v>
      </c>
      <c r="B138" s="555" t="s">
        <v>741</v>
      </c>
      <c r="C138" s="557">
        <v>0</v>
      </c>
      <c r="D138" s="557">
        <v>0</v>
      </c>
      <c r="E138" s="557">
        <v>0</v>
      </c>
      <c r="F138" s="557">
        <v>0</v>
      </c>
      <c r="G138" s="557" t="s">
        <v>525</v>
      </c>
      <c r="H138" s="557">
        <v>0</v>
      </c>
      <c r="I138" s="557">
        <v>0</v>
      </c>
      <c r="J138" s="557">
        <v>0</v>
      </c>
    </row>
    <row r="139" spans="1:10" x14ac:dyDescent="0.35">
      <c r="A139" s="555" t="s">
        <v>742</v>
      </c>
      <c r="B139" s="555" t="s">
        <v>743</v>
      </c>
      <c r="C139" s="557">
        <v>0</v>
      </c>
      <c r="D139" s="557">
        <v>0</v>
      </c>
      <c r="E139" s="557" t="s">
        <v>525</v>
      </c>
      <c r="F139" s="557" t="s">
        <v>525</v>
      </c>
      <c r="G139" s="557" t="s">
        <v>525</v>
      </c>
      <c r="H139" s="557">
        <v>0</v>
      </c>
      <c r="I139" s="557" t="s">
        <v>525</v>
      </c>
      <c r="J139" s="557" t="s">
        <v>525</v>
      </c>
    </row>
    <row r="140" spans="1:10" x14ac:dyDescent="0.35">
      <c r="A140" s="555" t="s">
        <v>744</v>
      </c>
      <c r="B140" s="555" t="s">
        <v>745</v>
      </c>
      <c r="C140" s="557">
        <v>0</v>
      </c>
      <c r="D140" s="557">
        <v>0</v>
      </c>
      <c r="E140" s="557">
        <v>0</v>
      </c>
      <c r="F140" s="557" t="s">
        <v>525</v>
      </c>
      <c r="G140" s="557" t="s">
        <v>525</v>
      </c>
      <c r="H140" s="557">
        <v>0</v>
      </c>
      <c r="I140" s="557">
        <v>0</v>
      </c>
      <c r="J140" s="557" t="s">
        <v>525</v>
      </c>
    </row>
    <row r="141" spans="1:10" x14ac:dyDescent="0.35">
      <c r="A141" s="555" t="s">
        <v>746</v>
      </c>
      <c r="B141" s="555" t="s">
        <v>747</v>
      </c>
      <c r="C141" s="557">
        <v>0</v>
      </c>
      <c r="D141" s="557">
        <v>0</v>
      </c>
      <c r="E141" s="557" t="s">
        <v>525</v>
      </c>
      <c r="F141" s="557">
        <v>0</v>
      </c>
      <c r="G141" s="557">
        <v>0</v>
      </c>
      <c r="H141" s="557">
        <v>0</v>
      </c>
      <c r="I141" s="557">
        <v>0</v>
      </c>
      <c r="J141" s="557">
        <v>0</v>
      </c>
    </row>
    <row r="142" spans="1:10" x14ac:dyDescent="0.35">
      <c r="A142" s="555" t="s">
        <v>748</v>
      </c>
      <c r="B142" s="555" t="s">
        <v>749</v>
      </c>
      <c r="C142" s="557">
        <v>0</v>
      </c>
      <c r="D142" s="557">
        <v>0</v>
      </c>
      <c r="E142" s="557">
        <v>86.385900000000007</v>
      </c>
      <c r="F142" s="557">
        <v>83.822000000000003</v>
      </c>
      <c r="G142" s="557" t="s">
        <v>525</v>
      </c>
      <c r="H142" s="557">
        <v>0</v>
      </c>
      <c r="I142" s="557" t="s">
        <v>525</v>
      </c>
      <c r="J142" s="557" t="s">
        <v>525</v>
      </c>
    </row>
    <row r="143" spans="1:10" x14ac:dyDescent="0.35">
      <c r="A143" s="555" t="s">
        <v>750</v>
      </c>
      <c r="B143" s="555" t="s">
        <v>751</v>
      </c>
      <c r="C143" s="557">
        <v>0</v>
      </c>
      <c r="D143" s="557">
        <v>0</v>
      </c>
      <c r="E143" s="557" t="s">
        <v>525</v>
      </c>
      <c r="F143" s="557" t="s">
        <v>525</v>
      </c>
      <c r="G143" s="557" t="s">
        <v>525</v>
      </c>
      <c r="H143" s="557">
        <v>0</v>
      </c>
      <c r="I143" s="557" t="s">
        <v>525</v>
      </c>
      <c r="J143" s="557" t="s">
        <v>525</v>
      </c>
    </row>
    <row r="144" spans="1:10" x14ac:dyDescent="0.35">
      <c r="A144" s="555" t="s">
        <v>752</v>
      </c>
      <c r="B144" s="555" t="s">
        <v>753</v>
      </c>
      <c r="C144" s="557">
        <v>3.4091</v>
      </c>
      <c r="D144" s="557">
        <v>11.455</v>
      </c>
      <c r="E144" s="557">
        <v>30.578800000000001</v>
      </c>
      <c r="F144" s="557" t="s">
        <v>525</v>
      </c>
      <c r="G144" s="557" t="s">
        <v>525</v>
      </c>
      <c r="H144" s="557">
        <v>0</v>
      </c>
      <c r="I144" s="557">
        <v>84.703800000000001</v>
      </c>
      <c r="J144" s="557" t="s">
        <v>525</v>
      </c>
    </row>
    <row r="145" spans="1:10" x14ac:dyDescent="0.35">
      <c r="A145" s="555" t="s">
        <v>754</v>
      </c>
      <c r="B145" s="555" t="s">
        <v>755</v>
      </c>
      <c r="C145" s="557">
        <v>0</v>
      </c>
      <c r="D145" s="557">
        <v>0</v>
      </c>
      <c r="E145" s="557">
        <v>0</v>
      </c>
      <c r="F145" s="557">
        <v>0</v>
      </c>
      <c r="G145" s="557">
        <v>0</v>
      </c>
      <c r="H145" s="557">
        <v>0</v>
      </c>
      <c r="I145" s="557">
        <v>0</v>
      </c>
      <c r="J145" s="557">
        <v>0</v>
      </c>
    </row>
    <row r="146" spans="1:10" x14ac:dyDescent="0.35">
      <c r="A146" s="555" t="s">
        <v>756</v>
      </c>
      <c r="B146" s="555" t="s">
        <v>757</v>
      </c>
      <c r="C146" s="557">
        <v>0</v>
      </c>
      <c r="D146" s="557">
        <v>0</v>
      </c>
      <c r="E146" s="557" t="s">
        <v>525</v>
      </c>
      <c r="F146" s="557">
        <v>0</v>
      </c>
      <c r="G146" s="557" t="s">
        <v>525</v>
      </c>
      <c r="H146" s="557">
        <v>0</v>
      </c>
      <c r="I146" s="557" t="s">
        <v>525</v>
      </c>
      <c r="J146" s="557" t="s">
        <v>525</v>
      </c>
    </row>
    <row r="147" spans="1:10" x14ac:dyDescent="0.35">
      <c r="A147" s="555" t="s">
        <v>758</v>
      </c>
      <c r="B147" s="555" t="s">
        <v>759</v>
      </c>
      <c r="C147" s="557">
        <v>0</v>
      </c>
      <c r="D147" s="557">
        <v>0</v>
      </c>
      <c r="E147" s="557" t="s">
        <v>525</v>
      </c>
      <c r="F147" s="557" t="s">
        <v>525</v>
      </c>
      <c r="G147" s="557" t="s">
        <v>525</v>
      </c>
      <c r="H147" s="557">
        <v>0</v>
      </c>
      <c r="I147" s="557" t="s">
        <v>525</v>
      </c>
      <c r="J147" s="557" t="s">
        <v>525</v>
      </c>
    </row>
    <row r="148" spans="1:10" x14ac:dyDescent="0.35">
      <c r="A148" s="555" t="s">
        <v>760</v>
      </c>
      <c r="B148" s="555" t="s">
        <v>761</v>
      </c>
      <c r="C148" s="557">
        <v>0</v>
      </c>
      <c r="D148" s="557">
        <v>0</v>
      </c>
      <c r="E148" s="557" t="s">
        <v>525</v>
      </c>
      <c r="F148" s="557" t="s">
        <v>525</v>
      </c>
      <c r="G148" s="557" t="s">
        <v>525</v>
      </c>
      <c r="H148" s="557">
        <v>0</v>
      </c>
      <c r="I148" s="557">
        <v>0</v>
      </c>
      <c r="J148" s="557" t="s">
        <v>525</v>
      </c>
    </row>
    <row r="149" spans="1:10" x14ac:dyDescent="0.35">
      <c r="A149" s="555" t="s">
        <v>762</v>
      </c>
      <c r="B149" s="555" t="s">
        <v>763</v>
      </c>
      <c r="C149" s="557">
        <v>1079.1343999999999</v>
      </c>
      <c r="D149" s="557">
        <v>1171.8675000000001</v>
      </c>
      <c r="E149" s="557" t="s">
        <v>525</v>
      </c>
      <c r="F149" s="557">
        <v>1120.1222</v>
      </c>
      <c r="G149" s="557">
        <v>1360.2964999999999</v>
      </c>
      <c r="H149" s="557">
        <v>1065.4425000000001</v>
      </c>
      <c r="I149" s="557">
        <v>956.10799999999995</v>
      </c>
      <c r="J149" s="557">
        <v>781.78560000000004</v>
      </c>
    </row>
    <row r="150" spans="1:10" x14ac:dyDescent="0.35">
      <c r="A150" s="555" t="s">
        <v>764</v>
      </c>
      <c r="B150" s="555" t="s">
        <v>765</v>
      </c>
      <c r="C150" s="557">
        <v>0</v>
      </c>
      <c r="D150" s="557">
        <v>0</v>
      </c>
      <c r="E150" s="557" t="s">
        <v>525</v>
      </c>
      <c r="F150" s="557">
        <v>83.822000000000003</v>
      </c>
      <c r="G150" s="557" t="s">
        <v>525</v>
      </c>
      <c r="H150" s="557">
        <v>0</v>
      </c>
      <c r="I150" s="557" t="s">
        <v>525</v>
      </c>
      <c r="J150" s="557" t="s">
        <v>525</v>
      </c>
    </row>
    <row r="151" spans="1:10" x14ac:dyDescent="0.35">
      <c r="A151" s="555" t="s">
        <v>766</v>
      </c>
      <c r="B151" s="555" t="s">
        <v>767</v>
      </c>
      <c r="C151" s="557">
        <v>0</v>
      </c>
      <c r="D151" s="557">
        <v>0</v>
      </c>
      <c r="E151" s="557" t="s">
        <v>525</v>
      </c>
      <c r="F151" s="557" t="s">
        <v>525</v>
      </c>
      <c r="G151" s="557" t="s">
        <v>525</v>
      </c>
      <c r="H151" s="557">
        <v>0</v>
      </c>
      <c r="I151" s="557" t="s">
        <v>525</v>
      </c>
      <c r="J151" s="557" t="s">
        <v>525</v>
      </c>
    </row>
    <row r="152" spans="1:10" x14ac:dyDescent="0.35">
      <c r="A152" s="555" t="s">
        <v>768</v>
      </c>
      <c r="B152" s="555" t="s">
        <v>769</v>
      </c>
      <c r="C152" s="557">
        <v>3.4091</v>
      </c>
      <c r="D152" s="557">
        <v>11.455</v>
      </c>
      <c r="E152" s="557" t="s">
        <v>525</v>
      </c>
      <c r="F152" s="557" t="s">
        <v>525</v>
      </c>
      <c r="G152" s="557" t="s">
        <v>525</v>
      </c>
      <c r="H152" s="557">
        <v>0</v>
      </c>
      <c r="I152" s="557">
        <v>84.703800000000001</v>
      </c>
      <c r="J152" s="557" t="s">
        <v>525</v>
      </c>
    </row>
    <row r="153" spans="1:10" x14ac:dyDescent="0.35">
      <c r="A153" s="555" t="s">
        <v>770</v>
      </c>
      <c r="B153" s="555" t="s">
        <v>771</v>
      </c>
      <c r="C153" s="557" t="s">
        <v>525</v>
      </c>
      <c r="D153" s="557" t="s">
        <v>525</v>
      </c>
      <c r="E153" s="557" t="s">
        <v>525</v>
      </c>
      <c r="F153" s="557" t="s">
        <v>525</v>
      </c>
      <c r="G153" s="557" t="s">
        <v>525</v>
      </c>
      <c r="H153" s="557">
        <v>0</v>
      </c>
      <c r="I153" s="557" t="s">
        <v>525</v>
      </c>
      <c r="J153" s="557" t="s">
        <v>525</v>
      </c>
    </row>
    <row r="154" spans="1:10" x14ac:dyDescent="0.35">
      <c r="A154" s="555" t="s">
        <v>772</v>
      </c>
      <c r="B154" s="555" t="s">
        <v>773</v>
      </c>
      <c r="C154" s="557">
        <v>0</v>
      </c>
      <c r="D154" s="557">
        <v>0</v>
      </c>
      <c r="E154" s="557" t="s">
        <v>525</v>
      </c>
      <c r="F154" s="557">
        <v>0</v>
      </c>
      <c r="G154" s="557">
        <v>0</v>
      </c>
      <c r="H154" s="557">
        <v>0</v>
      </c>
      <c r="I154" s="557" t="s">
        <v>525</v>
      </c>
      <c r="J154" s="557">
        <v>0</v>
      </c>
    </row>
    <row r="155" spans="1:10" x14ac:dyDescent="0.35">
      <c r="A155" s="555" t="s">
        <v>774</v>
      </c>
      <c r="B155" s="555" t="s">
        <v>775</v>
      </c>
      <c r="C155" s="557">
        <v>4.3928000000000003</v>
      </c>
      <c r="D155" s="557">
        <v>0.94199999999999995</v>
      </c>
      <c r="E155" s="557" t="s">
        <v>525</v>
      </c>
      <c r="F155" s="557">
        <v>58.971200000000003</v>
      </c>
      <c r="G155" s="557">
        <v>79.378500000000003</v>
      </c>
      <c r="H155" s="557">
        <v>69.352900000000005</v>
      </c>
      <c r="I155" s="557" t="s">
        <v>525</v>
      </c>
      <c r="J155" s="557">
        <v>64.3523</v>
      </c>
    </row>
    <row r="156" spans="1:10" x14ac:dyDescent="0.35">
      <c r="A156" s="555" t="s">
        <v>776</v>
      </c>
      <c r="B156" s="555" t="s">
        <v>777</v>
      </c>
      <c r="C156" s="557">
        <v>0</v>
      </c>
      <c r="D156" s="557">
        <v>0</v>
      </c>
      <c r="E156" s="557" t="s">
        <v>525</v>
      </c>
      <c r="F156" s="557">
        <v>0</v>
      </c>
      <c r="G156" s="557">
        <v>0</v>
      </c>
      <c r="H156" s="557">
        <v>0</v>
      </c>
      <c r="I156" s="557" t="s">
        <v>525</v>
      </c>
      <c r="J156" s="557">
        <v>0</v>
      </c>
    </row>
    <row r="157" spans="1:10" x14ac:dyDescent="0.35">
      <c r="A157" s="555" t="s">
        <v>778</v>
      </c>
      <c r="B157" s="555" t="s">
        <v>779</v>
      </c>
      <c r="C157" s="557" t="s">
        <v>525</v>
      </c>
      <c r="D157" s="557">
        <v>0.94199999999999995</v>
      </c>
      <c r="E157" s="557" t="s">
        <v>525</v>
      </c>
      <c r="F157" s="557">
        <v>58.971200000000003</v>
      </c>
      <c r="G157" s="557" t="s">
        <v>525</v>
      </c>
      <c r="H157" s="557">
        <v>69.352900000000005</v>
      </c>
      <c r="I157" s="557" t="s">
        <v>525</v>
      </c>
      <c r="J157" s="557">
        <v>64.3523</v>
      </c>
    </row>
    <row r="158" spans="1:10" x14ac:dyDescent="0.35">
      <c r="A158" s="555" t="s">
        <v>780</v>
      </c>
      <c r="B158" s="555" t="s">
        <v>781</v>
      </c>
      <c r="C158" s="559" t="s">
        <v>525</v>
      </c>
      <c r="D158" s="559">
        <v>28280</v>
      </c>
      <c r="E158" s="559" t="s">
        <v>525</v>
      </c>
      <c r="F158" s="559" t="s">
        <v>525</v>
      </c>
      <c r="G158" s="559" t="s">
        <v>525</v>
      </c>
      <c r="H158" s="559">
        <v>30045</v>
      </c>
      <c r="I158" s="559" t="s">
        <v>525</v>
      </c>
      <c r="J158" s="559" t="s">
        <v>525</v>
      </c>
    </row>
    <row r="159" spans="1:10" x14ac:dyDescent="0.35">
      <c r="A159" s="555" t="s">
        <v>782</v>
      </c>
      <c r="B159" s="555" t="s">
        <v>783</v>
      </c>
      <c r="C159" s="557">
        <v>7.1459999999999999</v>
      </c>
      <c r="D159" s="557" t="s">
        <v>525</v>
      </c>
      <c r="E159" s="557" t="s">
        <v>525</v>
      </c>
      <c r="F159" s="557" t="s">
        <v>525</v>
      </c>
      <c r="G159" s="557">
        <v>1.9218</v>
      </c>
      <c r="H159" s="557" t="s">
        <v>525</v>
      </c>
      <c r="I159" s="557" t="s">
        <v>525</v>
      </c>
      <c r="J159" s="557" t="s">
        <v>525</v>
      </c>
    </row>
    <row r="160" spans="1:10" x14ac:dyDescent="0.35">
      <c r="A160" s="555" t="s">
        <v>784</v>
      </c>
      <c r="B160" s="555" t="s">
        <v>785</v>
      </c>
      <c r="C160" s="557">
        <v>0.11849999999999999</v>
      </c>
      <c r="D160" s="557">
        <v>0.14219999999999999</v>
      </c>
      <c r="E160" s="557" t="s">
        <v>525</v>
      </c>
      <c r="F160" s="557" t="s">
        <v>525</v>
      </c>
      <c r="G160" s="557">
        <v>0.14219999999999999</v>
      </c>
      <c r="H160" s="557">
        <v>0.16719999999999999</v>
      </c>
      <c r="I160" s="557" t="s">
        <v>525</v>
      </c>
      <c r="J160" s="557" t="s">
        <v>525</v>
      </c>
    </row>
    <row r="161" spans="1:10" x14ac:dyDescent="0.35">
      <c r="A161" s="555" t="s">
        <v>786</v>
      </c>
      <c r="B161" s="555" t="s">
        <v>787</v>
      </c>
      <c r="C161" s="557" t="s">
        <v>525</v>
      </c>
      <c r="D161" s="557">
        <v>-9.9199999999999997E-2</v>
      </c>
      <c r="E161" s="557" t="s">
        <v>525</v>
      </c>
      <c r="F161" s="557" t="s">
        <v>525</v>
      </c>
      <c r="G161" s="557" t="s">
        <v>525</v>
      </c>
      <c r="H161" s="557">
        <v>-0.1153</v>
      </c>
      <c r="I161" s="557" t="s">
        <v>525</v>
      </c>
      <c r="J161" s="557" t="s">
        <v>525</v>
      </c>
    </row>
    <row r="162" spans="1:10" x14ac:dyDescent="0.35">
      <c r="A162" s="555" t="s">
        <v>788</v>
      </c>
      <c r="B162" s="555" t="s">
        <v>789</v>
      </c>
      <c r="C162" s="559">
        <v>613.94489999999996</v>
      </c>
      <c r="D162" s="559">
        <v>639.31470000000002</v>
      </c>
      <c r="E162" s="559">
        <v>701.10090000000002</v>
      </c>
      <c r="F162" s="559">
        <v>667.51070000000004</v>
      </c>
      <c r="G162" s="559">
        <v>765.42129999999997</v>
      </c>
      <c r="H162" s="559">
        <v>694.70209999999997</v>
      </c>
      <c r="I162" s="559">
        <v>645.49490000000003</v>
      </c>
      <c r="J162" s="559">
        <v>557.80079999999998</v>
      </c>
    </row>
    <row r="163" spans="1:10" x14ac:dyDescent="0.35">
      <c r="A163" s="555" t="s">
        <v>790</v>
      </c>
      <c r="B163" s="555" t="s">
        <v>791</v>
      </c>
      <c r="C163" s="557">
        <v>27.148099999999999</v>
      </c>
      <c r="D163" s="557" t="s">
        <v>525</v>
      </c>
      <c r="E163" s="557" t="s">
        <v>525</v>
      </c>
      <c r="F163" s="557" t="s">
        <v>525</v>
      </c>
      <c r="G163" s="557">
        <v>25.878599999999999</v>
      </c>
      <c r="H163" s="557" t="s">
        <v>525</v>
      </c>
      <c r="I163" s="557" t="s">
        <v>525</v>
      </c>
      <c r="J163" s="557" t="s">
        <v>525</v>
      </c>
    </row>
    <row r="164" spans="1:10" x14ac:dyDescent="0.35">
      <c r="A164" s="555" t="s">
        <v>792</v>
      </c>
      <c r="B164" s="555" t="s">
        <v>793</v>
      </c>
      <c r="C164" s="557">
        <v>5.2600000000000001E-2</v>
      </c>
      <c r="D164" s="557">
        <v>3.15E-2</v>
      </c>
      <c r="E164" s="557" t="s">
        <v>525</v>
      </c>
      <c r="F164" s="557" t="s">
        <v>525</v>
      </c>
      <c r="G164" s="557">
        <v>6.6400000000000001E-2</v>
      </c>
      <c r="H164" s="557">
        <v>3.2599999999999997E-2</v>
      </c>
      <c r="I164" s="557" t="s">
        <v>525</v>
      </c>
      <c r="J164" s="557" t="s">
        <v>525</v>
      </c>
    </row>
    <row r="165" spans="1:10" x14ac:dyDescent="0.35">
      <c r="A165" s="555" t="s">
        <v>794</v>
      </c>
      <c r="B165" s="555" t="s">
        <v>795</v>
      </c>
      <c r="C165" s="559">
        <v>131.12</v>
      </c>
      <c r="D165" s="559">
        <v>117.11</v>
      </c>
      <c r="E165" s="559" t="s">
        <v>525</v>
      </c>
      <c r="F165" s="559" t="s">
        <v>525</v>
      </c>
      <c r="G165" s="559">
        <v>123.63</v>
      </c>
      <c r="H165" s="559">
        <v>110.21</v>
      </c>
      <c r="I165" s="559" t="s">
        <v>525</v>
      </c>
      <c r="J165" s="559" t="s">
        <v>525</v>
      </c>
    </row>
    <row r="166" spans="1:10" x14ac:dyDescent="0.35">
      <c r="A166" s="555" t="s">
        <v>796</v>
      </c>
      <c r="B166" s="555" t="s">
        <v>797</v>
      </c>
      <c r="C166" s="557" t="s">
        <v>525</v>
      </c>
      <c r="D166" s="557">
        <v>1E-4</v>
      </c>
      <c r="E166" s="557" t="s">
        <v>525</v>
      </c>
      <c r="F166" s="557">
        <v>1.06E-2</v>
      </c>
      <c r="G166" s="557">
        <v>0</v>
      </c>
      <c r="H166" s="557">
        <v>0.2319</v>
      </c>
      <c r="I166" s="557">
        <v>0.20699999999999999</v>
      </c>
      <c r="J166" s="557">
        <v>0.22789999999999999</v>
      </c>
    </row>
    <row r="167" spans="1:10" x14ac:dyDescent="0.35">
      <c r="A167" s="560" t="s">
        <v>798</v>
      </c>
      <c r="B167" s="560"/>
      <c r="C167" s="560" t="s">
        <v>799</v>
      </c>
      <c r="D167" s="560"/>
      <c r="E167" s="560"/>
      <c r="F167" s="560"/>
      <c r="G167" s="560"/>
      <c r="H167" s="560"/>
      <c r="I167" s="560"/>
      <c r="J167" s="56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9"/>
  <sheetViews>
    <sheetView workbookViewId="0"/>
  </sheetViews>
  <sheetFormatPr defaultColWidth="9.1796875" defaultRowHeight="14.5" x14ac:dyDescent="0.35"/>
  <cols>
    <col min="1" max="1" width="35.1796875" customWidth="1"/>
    <col min="2" max="2" width="13" hidden="1" customWidth="1"/>
    <col min="3" max="10" width="11.81640625" customWidth="1"/>
  </cols>
  <sheetData>
    <row r="1" spans="1:10" x14ac:dyDescent="0.35">
      <c r="A1" s="546"/>
      <c r="B1" s="546"/>
      <c r="C1" s="546"/>
      <c r="D1" s="546"/>
      <c r="E1" s="546"/>
      <c r="F1" s="546"/>
      <c r="G1" s="546"/>
      <c r="H1" s="546"/>
      <c r="I1" s="546"/>
      <c r="J1" s="546"/>
    </row>
    <row r="2" spans="1:10" ht="20.25" customHeight="1" x14ac:dyDescent="0.35">
      <c r="A2" s="547" t="s">
        <v>500</v>
      </c>
      <c r="B2" s="547"/>
      <c r="C2" s="547"/>
      <c r="D2" s="547"/>
      <c r="E2" s="547"/>
      <c r="F2" s="547"/>
      <c r="G2" s="547"/>
      <c r="H2" s="547"/>
      <c r="I2" s="547"/>
      <c r="J2" s="547"/>
    </row>
    <row r="3" spans="1:10" x14ac:dyDescent="0.35">
      <c r="A3" s="548"/>
      <c r="B3" s="548"/>
      <c r="C3" s="548"/>
      <c r="D3" s="548"/>
      <c r="E3" s="548"/>
      <c r="F3" s="548"/>
      <c r="G3" s="548"/>
      <c r="H3" s="548"/>
      <c r="I3" s="548"/>
      <c r="J3" s="548"/>
    </row>
    <row r="4" spans="1:10" x14ac:dyDescent="0.35">
      <c r="A4" s="549" t="s">
        <v>501</v>
      </c>
      <c r="B4" s="549"/>
      <c r="C4" s="550" t="s">
        <v>502</v>
      </c>
      <c r="D4" s="550" t="s">
        <v>503</v>
      </c>
      <c r="E4" s="550" t="s">
        <v>504</v>
      </c>
      <c r="F4" s="550" t="s">
        <v>505</v>
      </c>
      <c r="G4" s="550" t="s">
        <v>506</v>
      </c>
      <c r="H4" s="550" t="s">
        <v>507</v>
      </c>
      <c r="I4" s="550" t="s">
        <v>508</v>
      </c>
      <c r="J4" s="550" t="s">
        <v>509</v>
      </c>
    </row>
    <row r="5" spans="1:10" x14ac:dyDescent="0.35">
      <c r="A5" s="551" t="s">
        <v>510</v>
      </c>
      <c r="B5" s="551"/>
      <c r="C5" s="552" t="s">
        <v>511</v>
      </c>
      <c r="D5" s="552" t="s">
        <v>512</v>
      </c>
      <c r="E5" s="552" t="s">
        <v>513</v>
      </c>
      <c r="F5" s="552" t="s">
        <v>514</v>
      </c>
      <c r="G5" s="552" t="s">
        <v>515</v>
      </c>
      <c r="H5" s="552" t="s">
        <v>516</v>
      </c>
      <c r="I5" s="552" t="s">
        <v>517</v>
      </c>
      <c r="J5" s="552" t="s">
        <v>518</v>
      </c>
    </row>
    <row r="6" spans="1:10" x14ac:dyDescent="0.35">
      <c r="A6" s="553" t="s">
        <v>800</v>
      </c>
      <c r="B6" s="554"/>
      <c r="C6" s="554"/>
      <c r="D6" s="554"/>
      <c r="E6" s="554"/>
      <c r="F6" s="554"/>
      <c r="G6" s="554"/>
      <c r="H6" s="554"/>
      <c r="I6" s="554"/>
      <c r="J6" s="554"/>
    </row>
    <row r="7" spans="1:10" x14ac:dyDescent="0.35">
      <c r="A7" s="555" t="s">
        <v>801</v>
      </c>
      <c r="B7" s="556"/>
      <c r="C7" s="556"/>
      <c r="D7" s="556"/>
      <c r="E7" s="556"/>
      <c r="F7" s="556"/>
      <c r="G7" s="556"/>
      <c r="H7" s="556"/>
      <c r="I7" s="556"/>
      <c r="J7" s="556"/>
    </row>
    <row r="8" spans="1:10" x14ac:dyDescent="0.35">
      <c r="A8" s="555" t="s">
        <v>802</v>
      </c>
      <c r="B8" s="555" t="s">
        <v>803</v>
      </c>
      <c r="C8" s="557">
        <v>852.53750000000002</v>
      </c>
      <c r="D8" s="557">
        <v>940.76</v>
      </c>
      <c r="E8" s="557">
        <v>1116.6516999999999</v>
      </c>
      <c r="F8" s="557">
        <v>971.64610000000005</v>
      </c>
      <c r="G8" s="557">
        <v>845.65309999999999</v>
      </c>
      <c r="H8" s="557">
        <v>835.88480000000004</v>
      </c>
      <c r="I8" s="557">
        <v>842.75019999999995</v>
      </c>
      <c r="J8" s="557">
        <v>817.37559999999996</v>
      </c>
    </row>
    <row r="9" spans="1:10" x14ac:dyDescent="0.35">
      <c r="A9" s="553" t="s">
        <v>804</v>
      </c>
      <c r="B9" s="553" t="s">
        <v>805</v>
      </c>
      <c r="C9" s="558">
        <v>852.53750000000002</v>
      </c>
      <c r="D9" s="558">
        <v>940.76</v>
      </c>
      <c r="E9" s="558">
        <v>1116.6516999999999</v>
      </c>
      <c r="F9" s="558">
        <v>971.64610000000005</v>
      </c>
      <c r="G9" s="558">
        <v>845.65309999999999</v>
      </c>
      <c r="H9" s="558">
        <v>835.88480000000004</v>
      </c>
      <c r="I9" s="558">
        <v>842.75019999999995</v>
      </c>
      <c r="J9" s="558">
        <v>817.37559999999996</v>
      </c>
    </row>
    <row r="10" spans="1:10" x14ac:dyDescent="0.35">
      <c r="A10" s="555" t="s">
        <v>806</v>
      </c>
      <c r="B10" s="556"/>
      <c r="C10" s="556"/>
      <c r="D10" s="556"/>
      <c r="E10" s="556"/>
      <c r="F10" s="556"/>
      <c r="G10" s="556"/>
      <c r="H10" s="556"/>
      <c r="I10" s="556"/>
      <c r="J10" s="556"/>
    </row>
    <row r="11" spans="1:10" x14ac:dyDescent="0.35">
      <c r="A11" s="555" t="s">
        <v>807</v>
      </c>
      <c r="B11" s="555" t="s">
        <v>808</v>
      </c>
      <c r="C11" s="557">
        <v>177.1046</v>
      </c>
      <c r="D11" s="557">
        <v>164.54150000000001</v>
      </c>
      <c r="E11" s="557">
        <v>181.2535</v>
      </c>
      <c r="F11" s="557">
        <v>171.02879999999999</v>
      </c>
      <c r="G11" s="557">
        <v>183.8245</v>
      </c>
      <c r="H11" s="557">
        <v>163.601</v>
      </c>
      <c r="I11" s="557">
        <v>156.7516</v>
      </c>
      <c r="J11" s="557">
        <v>149.06720000000001</v>
      </c>
    </row>
    <row r="12" spans="1:10" x14ac:dyDescent="0.35">
      <c r="A12" s="555" t="s">
        <v>809</v>
      </c>
      <c r="B12" s="555" t="s">
        <v>810</v>
      </c>
      <c r="C12" s="557">
        <v>601.17870000000005</v>
      </c>
      <c r="D12" s="557">
        <v>658.06979999999999</v>
      </c>
      <c r="E12" s="557">
        <v>743.6386</v>
      </c>
      <c r="F12" s="557">
        <v>664.19669999999996</v>
      </c>
      <c r="G12" s="557">
        <v>599.46159999999998</v>
      </c>
      <c r="H12" s="557">
        <v>567.11289999999997</v>
      </c>
      <c r="I12" s="557">
        <v>616.45830000000001</v>
      </c>
      <c r="J12" s="557">
        <v>574.18240000000003</v>
      </c>
    </row>
    <row r="13" spans="1:10" x14ac:dyDescent="0.35">
      <c r="A13" s="555" t="s">
        <v>811</v>
      </c>
      <c r="B13" s="555" t="s">
        <v>812</v>
      </c>
      <c r="C13" s="557">
        <v>25.257400000000001</v>
      </c>
      <c r="D13" s="557">
        <v>21.8612</v>
      </c>
      <c r="E13" s="557">
        <v>24.8445</v>
      </c>
      <c r="F13" s="557">
        <v>26.999700000000001</v>
      </c>
      <c r="G13" s="557">
        <v>28.609000000000002</v>
      </c>
      <c r="H13" s="557">
        <v>24.891300000000001</v>
      </c>
      <c r="I13" s="557">
        <v>21.780100000000001</v>
      </c>
      <c r="J13" s="557">
        <v>23.642099999999999</v>
      </c>
    </row>
    <row r="14" spans="1:10" x14ac:dyDescent="0.35">
      <c r="A14" s="555" t="s">
        <v>813</v>
      </c>
      <c r="B14" s="555" t="s">
        <v>814</v>
      </c>
      <c r="C14" s="557">
        <v>60.563899999999997</v>
      </c>
      <c r="D14" s="557">
        <v>57.770299999999999</v>
      </c>
      <c r="E14" s="557">
        <v>64.767499999999998</v>
      </c>
      <c r="F14" s="557">
        <v>58.580599999999997</v>
      </c>
      <c r="G14" s="557">
        <v>57.6145</v>
      </c>
      <c r="H14" s="557">
        <v>59.111400000000003</v>
      </c>
      <c r="I14" s="557">
        <v>56.197600000000001</v>
      </c>
      <c r="J14" s="557">
        <v>52.470199999999998</v>
      </c>
    </row>
    <row r="15" spans="1:10" x14ac:dyDescent="0.35">
      <c r="A15" s="555" t="s">
        <v>815</v>
      </c>
      <c r="B15" s="555" t="s">
        <v>816</v>
      </c>
      <c r="C15" s="557">
        <v>91.283199999999994</v>
      </c>
      <c r="D15" s="557">
        <v>84.91</v>
      </c>
      <c r="E15" s="557">
        <v>91.641599999999997</v>
      </c>
      <c r="F15" s="557">
        <v>85.448499999999996</v>
      </c>
      <c r="G15" s="557">
        <v>97.600999999999999</v>
      </c>
      <c r="H15" s="557">
        <v>79.598399999999998</v>
      </c>
      <c r="I15" s="557">
        <v>78.773899999999998</v>
      </c>
      <c r="J15" s="557">
        <v>72.954899999999995</v>
      </c>
    </row>
    <row r="16" spans="1:10" x14ac:dyDescent="0.35">
      <c r="A16" s="555" t="s">
        <v>236</v>
      </c>
      <c r="B16" s="555" t="s">
        <v>817</v>
      </c>
      <c r="C16" s="557">
        <v>251.3588</v>
      </c>
      <c r="D16" s="557">
        <v>282.6902</v>
      </c>
      <c r="E16" s="557">
        <v>373.01319999999998</v>
      </c>
      <c r="F16" s="557">
        <v>307.44940000000003</v>
      </c>
      <c r="G16" s="557">
        <v>246.19149999999999</v>
      </c>
      <c r="H16" s="557">
        <v>268.77190000000002</v>
      </c>
      <c r="I16" s="557">
        <v>226.2919</v>
      </c>
      <c r="J16" s="557">
        <v>243.19319999999999</v>
      </c>
    </row>
    <row r="17" spans="1:10" x14ac:dyDescent="0.35">
      <c r="A17" s="555" t="s">
        <v>818</v>
      </c>
      <c r="B17" s="555" t="s">
        <v>819</v>
      </c>
      <c r="C17" s="557">
        <v>74.254199999999997</v>
      </c>
      <c r="D17" s="557">
        <v>118.14870000000001</v>
      </c>
      <c r="E17" s="557">
        <v>191.75960000000001</v>
      </c>
      <c r="F17" s="557">
        <v>136.42060000000001</v>
      </c>
      <c r="G17" s="557">
        <v>62.366999999999997</v>
      </c>
      <c r="H17" s="557">
        <v>105.1709</v>
      </c>
      <c r="I17" s="557">
        <v>69.540300000000002</v>
      </c>
      <c r="J17" s="557">
        <v>94.126000000000005</v>
      </c>
    </row>
    <row r="18" spans="1:10" x14ac:dyDescent="0.35">
      <c r="A18" s="555" t="s">
        <v>820</v>
      </c>
      <c r="B18" s="556"/>
      <c r="C18" s="556"/>
      <c r="D18" s="556"/>
      <c r="E18" s="556"/>
      <c r="F18" s="556"/>
      <c r="G18" s="556"/>
      <c r="H18" s="556"/>
      <c r="I18" s="556"/>
      <c r="J18" s="556"/>
    </row>
    <row r="19" spans="1:10" x14ac:dyDescent="0.35">
      <c r="A19" s="555" t="s">
        <v>821</v>
      </c>
      <c r="B19" s="555" t="s">
        <v>822</v>
      </c>
      <c r="C19" s="557">
        <v>4.1802000000000001</v>
      </c>
      <c r="D19" s="557">
        <v>4.2545999999999999</v>
      </c>
      <c r="E19" s="557">
        <v>2.3997000000000002</v>
      </c>
      <c r="F19" s="557">
        <v>1.9781</v>
      </c>
      <c r="G19" s="557">
        <v>1.8449</v>
      </c>
      <c r="H19" s="557" t="s">
        <v>525</v>
      </c>
      <c r="I19" s="557" t="s">
        <v>525</v>
      </c>
      <c r="J19" s="557" t="s">
        <v>525</v>
      </c>
    </row>
    <row r="20" spans="1:10" x14ac:dyDescent="0.35">
      <c r="A20" s="555" t="s">
        <v>823</v>
      </c>
      <c r="B20" s="555" t="s">
        <v>824</v>
      </c>
      <c r="C20" s="557">
        <v>-10.258100000000001</v>
      </c>
      <c r="D20" s="557">
        <v>-7.0438000000000001</v>
      </c>
      <c r="E20" s="557">
        <v>-11.0015</v>
      </c>
      <c r="F20" s="557">
        <v>-12.854799999999999</v>
      </c>
      <c r="G20" s="557">
        <v>-13.1508</v>
      </c>
      <c r="H20" s="557" t="s">
        <v>525</v>
      </c>
      <c r="I20" s="557">
        <v>-10.6015</v>
      </c>
      <c r="J20" s="557" t="s">
        <v>525</v>
      </c>
    </row>
    <row r="21" spans="1:10" x14ac:dyDescent="0.35">
      <c r="A21" s="555" t="s">
        <v>825</v>
      </c>
      <c r="B21" s="555" t="s">
        <v>826</v>
      </c>
      <c r="C21" s="557" t="s">
        <v>525</v>
      </c>
      <c r="D21" s="557" t="s">
        <v>525</v>
      </c>
      <c r="E21" s="557" t="s">
        <v>525</v>
      </c>
      <c r="F21" s="557" t="s">
        <v>525</v>
      </c>
      <c r="G21" s="557" t="s">
        <v>525</v>
      </c>
      <c r="H21" s="557">
        <v>-17.8048</v>
      </c>
      <c r="I21" s="557" t="s">
        <v>525</v>
      </c>
      <c r="J21" s="557">
        <v>-11.770200000000001</v>
      </c>
    </row>
    <row r="22" spans="1:10" x14ac:dyDescent="0.35">
      <c r="A22" s="555" t="s">
        <v>827</v>
      </c>
      <c r="B22" s="555" t="s">
        <v>828</v>
      </c>
      <c r="C22" s="557">
        <v>13.4703</v>
      </c>
      <c r="D22" s="557">
        <v>27.552800000000001</v>
      </c>
      <c r="E22" s="557">
        <v>39.624600000000001</v>
      </c>
      <c r="F22" s="557">
        <v>35.628900000000002</v>
      </c>
      <c r="G22" s="557">
        <v>15.469200000000001</v>
      </c>
      <c r="H22" s="557">
        <v>28.764399999999998</v>
      </c>
      <c r="I22" s="557">
        <v>18.819800000000001</v>
      </c>
      <c r="J22" s="557">
        <v>24.191199999999998</v>
      </c>
    </row>
    <row r="23" spans="1:10" x14ac:dyDescent="0.35">
      <c r="A23" s="555" t="s">
        <v>829</v>
      </c>
      <c r="B23" s="555" t="s">
        <v>830</v>
      </c>
      <c r="C23" s="557">
        <v>83.522300000000001</v>
      </c>
      <c r="D23" s="557">
        <v>124.66070000000001</v>
      </c>
      <c r="E23" s="557">
        <v>198.2662</v>
      </c>
      <c r="F23" s="557">
        <v>147.4349</v>
      </c>
      <c r="G23" s="557">
        <v>75.0167</v>
      </c>
      <c r="H23" s="557">
        <v>117.40730000000001</v>
      </c>
      <c r="I23" s="557">
        <v>83.182299999999998</v>
      </c>
      <c r="J23" s="557">
        <v>104.6251</v>
      </c>
    </row>
    <row r="24" spans="1:10" x14ac:dyDescent="0.35">
      <c r="A24" s="555" t="s">
        <v>831</v>
      </c>
      <c r="B24" s="555" t="s">
        <v>832</v>
      </c>
      <c r="C24" s="557">
        <v>-3.1901999999999999</v>
      </c>
      <c r="D24" s="557">
        <v>-3.7227000000000001</v>
      </c>
      <c r="E24" s="557">
        <v>2.0952000000000002</v>
      </c>
      <c r="F24" s="557">
        <v>-0.1376</v>
      </c>
      <c r="G24" s="557">
        <v>-1.3436999999999999</v>
      </c>
      <c r="H24" s="557">
        <v>5.5682999999999998</v>
      </c>
      <c r="I24" s="557">
        <v>-3.0405000000000002</v>
      </c>
      <c r="J24" s="557">
        <v>1.2710999999999999</v>
      </c>
    </row>
    <row r="25" spans="1:10" x14ac:dyDescent="0.35">
      <c r="A25" s="555" t="s">
        <v>833</v>
      </c>
      <c r="B25" s="556"/>
      <c r="C25" s="556"/>
      <c r="D25" s="556"/>
      <c r="E25" s="556"/>
      <c r="F25" s="556"/>
      <c r="G25" s="556"/>
      <c r="H25" s="556"/>
      <c r="I25" s="556"/>
      <c r="J25" s="556"/>
    </row>
    <row r="26" spans="1:10" x14ac:dyDescent="0.35">
      <c r="A26" s="555" t="s">
        <v>834</v>
      </c>
      <c r="B26" s="555" t="s">
        <v>835</v>
      </c>
      <c r="C26" s="559">
        <v>1.9801</v>
      </c>
      <c r="D26" s="559">
        <v>2.0367999999999999</v>
      </c>
      <c r="E26" s="559">
        <v>2.149</v>
      </c>
      <c r="F26" s="559">
        <v>2.0640999999999998</v>
      </c>
      <c r="G26" s="559">
        <v>2.0375999999999999</v>
      </c>
      <c r="H26" s="559">
        <v>1.9849000000000001</v>
      </c>
      <c r="I26" s="559">
        <v>1.9771000000000001</v>
      </c>
      <c r="J26" s="559">
        <v>1.8812</v>
      </c>
    </row>
    <row r="27" spans="1:10" x14ac:dyDescent="0.35">
      <c r="A27" s="555" t="s">
        <v>836</v>
      </c>
      <c r="B27" s="555" t="s">
        <v>837</v>
      </c>
      <c r="C27" s="559">
        <v>6.4904000000000002</v>
      </c>
      <c r="D27" s="559">
        <v>8.9390999999999998</v>
      </c>
      <c r="E27" s="559">
        <v>14.6249</v>
      </c>
      <c r="F27" s="559">
        <v>10.320600000000001</v>
      </c>
      <c r="G27" s="559">
        <v>5.5069999999999997</v>
      </c>
      <c r="H27" s="559">
        <v>8.3149999999999995</v>
      </c>
      <c r="I27" s="559">
        <v>6.1449999999999996</v>
      </c>
      <c r="J27" s="559">
        <v>7.8299000000000003</v>
      </c>
    </row>
    <row r="28" spans="1:10" x14ac:dyDescent="0.35">
      <c r="A28" s="555" t="s">
        <v>838</v>
      </c>
      <c r="B28" s="555" t="s">
        <v>839</v>
      </c>
      <c r="C28" s="557">
        <v>10.859</v>
      </c>
      <c r="D28" s="557">
        <v>10.853</v>
      </c>
      <c r="E28" s="557">
        <v>10.863</v>
      </c>
      <c r="F28" s="557">
        <v>10.862</v>
      </c>
      <c r="G28" s="557">
        <v>10.856999999999999</v>
      </c>
      <c r="H28" s="557">
        <v>10.673</v>
      </c>
      <c r="I28" s="557">
        <v>10.449</v>
      </c>
      <c r="J28" s="557">
        <v>10.298999999999999</v>
      </c>
    </row>
    <row r="29" spans="1:10" x14ac:dyDescent="0.35">
      <c r="A29" s="555" t="s">
        <v>840</v>
      </c>
      <c r="B29" s="555" t="s">
        <v>841</v>
      </c>
      <c r="C29" s="559">
        <v>6.4353999999999996</v>
      </c>
      <c r="D29" s="559">
        <v>8.8825000000000003</v>
      </c>
      <c r="E29" s="559">
        <v>14.565200000000001</v>
      </c>
      <c r="F29" s="559">
        <v>10.2059</v>
      </c>
      <c r="G29" s="559">
        <v>5.452</v>
      </c>
      <c r="H29" s="559">
        <v>8.2613000000000003</v>
      </c>
      <c r="I29" s="559">
        <v>6.1449999999999996</v>
      </c>
      <c r="J29" s="559">
        <v>7.7789999999999999</v>
      </c>
    </row>
    <row r="30" spans="1:10" x14ac:dyDescent="0.35">
      <c r="A30" s="555" t="s">
        <v>842</v>
      </c>
      <c r="B30" s="555" t="s">
        <v>843</v>
      </c>
      <c r="C30" s="557">
        <v>10.903</v>
      </c>
      <c r="D30" s="557">
        <v>10.903</v>
      </c>
      <c r="E30" s="557">
        <v>10.909000000000001</v>
      </c>
      <c r="F30" s="557">
        <v>10.930999999999999</v>
      </c>
      <c r="G30" s="557">
        <v>10.928000000000001</v>
      </c>
      <c r="H30" s="557">
        <v>10.699</v>
      </c>
      <c r="I30" s="557">
        <v>10.486000000000001</v>
      </c>
      <c r="J30" s="557">
        <v>10.340999999999999</v>
      </c>
    </row>
    <row r="31" spans="1:10" x14ac:dyDescent="0.35">
      <c r="A31" s="555" t="s">
        <v>844</v>
      </c>
      <c r="B31" s="555" t="s">
        <v>845</v>
      </c>
      <c r="C31" s="557">
        <v>70.052000000000007</v>
      </c>
      <c r="D31" s="557">
        <v>97.107900000000001</v>
      </c>
      <c r="E31" s="557">
        <v>158.64160000000001</v>
      </c>
      <c r="F31" s="557">
        <v>111.806</v>
      </c>
      <c r="G31" s="557">
        <v>59.547499999999999</v>
      </c>
      <c r="H31" s="557">
        <v>88.642899999999997</v>
      </c>
      <c r="I31" s="557">
        <v>64.362499999999997</v>
      </c>
      <c r="J31" s="557">
        <v>80.433899999999994</v>
      </c>
    </row>
    <row r="32" spans="1:10" x14ac:dyDescent="0.35">
      <c r="A32" s="555" t="s">
        <v>846</v>
      </c>
      <c r="B32" s="555" t="s">
        <v>847</v>
      </c>
      <c r="C32" s="557">
        <v>70.052000000000007</v>
      </c>
      <c r="D32" s="557">
        <v>97.107900000000001</v>
      </c>
      <c r="E32" s="557">
        <v>158.64160000000001</v>
      </c>
      <c r="F32" s="557">
        <v>111.806</v>
      </c>
      <c r="G32" s="557">
        <v>59.547499999999999</v>
      </c>
      <c r="H32" s="557">
        <v>88.642899999999997</v>
      </c>
      <c r="I32" s="557">
        <v>64.362499999999997</v>
      </c>
      <c r="J32" s="557">
        <v>80.433899999999994</v>
      </c>
    </row>
    <row r="33" spans="1:10" x14ac:dyDescent="0.35">
      <c r="A33" s="555" t="s">
        <v>848</v>
      </c>
      <c r="B33" s="555" t="s">
        <v>849</v>
      </c>
      <c r="C33" s="557">
        <v>364.43419999999998</v>
      </c>
      <c r="D33" s="557">
        <v>97.107900000000001</v>
      </c>
      <c r="E33" s="557">
        <v>261.09370000000001</v>
      </c>
      <c r="F33" s="557">
        <v>362.58980000000003</v>
      </c>
      <c r="G33" s="557">
        <v>407.80610000000001</v>
      </c>
      <c r="H33" s="557">
        <v>88.642899999999997</v>
      </c>
      <c r="I33" s="557">
        <v>152.6585</v>
      </c>
      <c r="J33" s="557">
        <v>225.68790000000001</v>
      </c>
    </row>
    <row r="34" spans="1:10" x14ac:dyDescent="0.35">
      <c r="A34" s="553" t="s">
        <v>850</v>
      </c>
      <c r="B34" s="553" t="s">
        <v>851</v>
      </c>
      <c r="C34" s="558">
        <v>70.052000000000007</v>
      </c>
      <c r="D34" s="558">
        <v>97.107900000000001</v>
      </c>
      <c r="E34" s="558">
        <v>158.64160000000001</v>
      </c>
      <c r="F34" s="558">
        <v>111.806</v>
      </c>
      <c r="G34" s="558">
        <v>59.547499999999999</v>
      </c>
      <c r="H34" s="558">
        <v>88.642899999999997</v>
      </c>
      <c r="I34" s="558">
        <v>64.362499999999997</v>
      </c>
      <c r="J34" s="558">
        <v>80.433899999999994</v>
      </c>
    </row>
    <row r="35" spans="1:10" x14ac:dyDescent="0.35">
      <c r="A35" s="555" t="s">
        <v>852</v>
      </c>
      <c r="B35" s="556"/>
      <c r="C35" s="556"/>
      <c r="D35" s="556"/>
      <c r="E35" s="556"/>
      <c r="F35" s="556"/>
      <c r="G35" s="556"/>
      <c r="H35" s="556"/>
      <c r="I35" s="556"/>
      <c r="J35" s="556"/>
    </row>
    <row r="36" spans="1:10" x14ac:dyDescent="0.35">
      <c r="A36" s="555" t="s">
        <v>853</v>
      </c>
      <c r="B36" s="555" t="s">
        <v>854</v>
      </c>
      <c r="C36" s="557">
        <v>70.052000000000007</v>
      </c>
      <c r="D36" s="557">
        <v>97.107900000000001</v>
      </c>
      <c r="E36" s="557">
        <v>158.64160000000001</v>
      </c>
      <c r="F36" s="557">
        <v>111.806</v>
      </c>
      <c r="G36" s="557">
        <v>59.547499999999999</v>
      </c>
      <c r="H36" s="557">
        <v>88.642899999999997</v>
      </c>
      <c r="I36" s="557">
        <v>64.362499999999997</v>
      </c>
      <c r="J36" s="557">
        <v>80.433899999999994</v>
      </c>
    </row>
    <row r="37" spans="1:10" x14ac:dyDescent="0.35">
      <c r="A37" s="555" t="s">
        <v>855</v>
      </c>
      <c r="B37" s="556"/>
      <c r="C37" s="556"/>
      <c r="D37" s="556"/>
      <c r="E37" s="556"/>
      <c r="F37" s="556"/>
      <c r="G37" s="556"/>
      <c r="H37" s="556"/>
      <c r="I37" s="556"/>
      <c r="J37" s="556"/>
    </row>
    <row r="38" spans="1:10" x14ac:dyDescent="0.35">
      <c r="A38" s="555" t="s">
        <v>608</v>
      </c>
      <c r="B38" s="556"/>
      <c r="C38" s="556"/>
      <c r="D38" s="556"/>
      <c r="E38" s="556"/>
      <c r="F38" s="556"/>
      <c r="G38" s="556"/>
      <c r="H38" s="556"/>
      <c r="I38" s="556"/>
      <c r="J38" s="556"/>
    </row>
    <row r="39" spans="1:10" x14ac:dyDescent="0.35">
      <c r="A39" s="555" t="s">
        <v>856</v>
      </c>
      <c r="B39" s="555" t="s">
        <v>857</v>
      </c>
      <c r="C39" s="557">
        <v>29.443200000000001</v>
      </c>
      <c r="D39" s="557">
        <v>30.619199999999999</v>
      </c>
      <c r="E39" s="557">
        <v>31.0168</v>
      </c>
      <c r="F39" s="557">
        <v>29.235800000000001</v>
      </c>
      <c r="G39" s="557">
        <v>28.575900000000001</v>
      </c>
      <c r="H39" s="557">
        <v>28.496200000000002</v>
      </c>
      <c r="I39" s="557">
        <v>31.259499999999999</v>
      </c>
      <c r="J39" s="557">
        <v>29.921199999999999</v>
      </c>
    </row>
    <row r="40" spans="1:10" x14ac:dyDescent="0.35">
      <c r="A40" s="555" t="s">
        <v>827</v>
      </c>
      <c r="B40" s="555" t="s">
        <v>858</v>
      </c>
      <c r="C40" s="557">
        <v>13.4703</v>
      </c>
      <c r="D40" s="557">
        <v>27.552800000000001</v>
      </c>
      <c r="E40" s="557">
        <v>39.624600000000001</v>
      </c>
      <c r="F40" s="557">
        <v>35.628900000000002</v>
      </c>
      <c r="G40" s="557">
        <v>-15.469200000000001</v>
      </c>
      <c r="H40" s="557">
        <v>28.764399999999998</v>
      </c>
      <c r="I40" s="557">
        <v>18.819800000000001</v>
      </c>
      <c r="J40" s="557">
        <v>24.191199999999998</v>
      </c>
    </row>
    <row r="41" spans="1:10" x14ac:dyDescent="0.35">
      <c r="A41" s="555" t="s">
        <v>859</v>
      </c>
      <c r="B41" s="555" t="s">
        <v>860</v>
      </c>
      <c r="C41" s="557">
        <v>-27.358599999999999</v>
      </c>
      <c r="D41" s="557">
        <v>-35.976999999999997</v>
      </c>
      <c r="E41" s="557">
        <v>22.6358</v>
      </c>
      <c r="F41" s="557">
        <v>-26.8506</v>
      </c>
      <c r="G41" s="557">
        <v>17.336099999999998</v>
      </c>
      <c r="H41" s="557">
        <v>14.409000000000001</v>
      </c>
      <c r="I41" s="557">
        <v>20.679300000000001</v>
      </c>
      <c r="J41" s="557">
        <v>12.848100000000001</v>
      </c>
    </row>
    <row r="42" spans="1:10" x14ac:dyDescent="0.35">
      <c r="A42" s="555" t="s">
        <v>861</v>
      </c>
      <c r="B42" s="555" t="s">
        <v>862</v>
      </c>
      <c r="C42" s="557">
        <v>5.4999999999999997E-3</v>
      </c>
      <c r="D42" s="557">
        <v>0</v>
      </c>
      <c r="E42" s="557">
        <v>0</v>
      </c>
      <c r="F42" s="557">
        <v>0</v>
      </c>
      <c r="G42" s="557">
        <v>0</v>
      </c>
      <c r="H42" s="557" t="s">
        <v>525</v>
      </c>
      <c r="I42" s="557">
        <v>0</v>
      </c>
      <c r="J42" s="557">
        <v>0</v>
      </c>
    </row>
    <row r="43" spans="1:10" x14ac:dyDescent="0.35">
      <c r="A43" s="555" t="s">
        <v>863</v>
      </c>
      <c r="B43" s="555" t="s">
        <v>864</v>
      </c>
      <c r="C43" s="557">
        <v>-0.14299999999999999</v>
      </c>
      <c r="D43" s="557">
        <v>0.20930000000000001</v>
      </c>
      <c r="E43" s="557">
        <v>0.22090000000000001</v>
      </c>
      <c r="F43" s="557">
        <v>0.21210000000000001</v>
      </c>
      <c r="G43" s="557">
        <v>2.5331999999999999</v>
      </c>
      <c r="H43" s="557">
        <v>0.1341</v>
      </c>
      <c r="I43" s="557">
        <v>0.1389</v>
      </c>
      <c r="J43" s="557">
        <v>0.12709999999999999</v>
      </c>
    </row>
    <row r="44" spans="1:10" x14ac:dyDescent="0.35">
      <c r="A44" s="555" t="s">
        <v>865</v>
      </c>
      <c r="B44" s="555" t="s">
        <v>866</v>
      </c>
      <c r="C44" s="557">
        <v>26.554500000000001</v>
      </c>
      <c r="D44" s="557" t="s">
        <v>525</v>
      </c>
      <c r="E44" s="557" t="s">
        <v>525</v>
      </c>
      <c r="F44" s="557" t="s">
        <v>525</v>
      </c>
      <c r="G44" s="557">
        <v>21.128499999999999</v>
      </c>
      <c r="H44" s="557" t="s">
        <v>525</v>
      </c>
      <c r="I44" s="557" t="s">
        <v>525</v>
      </c>
      <c r="J44" s="557" t="s">
        <v>525</v>
      </c>
    </row>
    <row r="45" spans="1:10" x14ac:dyDescent="0.35">
      <c r="A45" s="555" t="s">
        <v>834</v>
      </c>
      <c r="B45" s="555" t="s">
        <v>867</v>
      </c>
      <c r="C45" s="559">
        <v>1.9801</v>
      </c>
      <c r="D45" s="559">
        <v>2.0367999999999999</v>
      </c>
      <c r="E45" s="559">
        <v>2.149</v>
      </c>
      <c r="F45" s="559">
        <v>2.0640999999999998</v>
      </c>
      <c r="G45" s="559">
        <v>2.0375999999999999</v>
      </c>
      <c r="H45" s="559">
        <v>1.9849000000000001</v>
      </c>
      <c r="I45" s="559">
        <v>1.9771000000000001</v>
      </c>
      <c r="J45" s="559">
        <v>1.8812</v>
      </c>
    </row>
    <row r="46" spans="1:10" x14ac:dyDescent="0.35">
      <c r="A46" s="555" t="s">
        <v>836</v>
      </c>
      <c r="B46" s="555" t="s">
        <v>868</v>
      </c>
      <c r="C46" s="559">
        <v>6.4904000000000002</v>
      </c>
      <c r="D46" s="559">
        <v>8.9390999999999998</v>
      </c>
      <c r="E46" s="559">
        <v>14.6249</v>
      </c>
      <c r="F46" s="559">
        <v>10.320600000000001</v>
      </c>
      <c r="G46" s="559">
        <v>5.5069999999999997</v>
      </c>
      <c r="H46" s="559">
        <v>8.3149999999999995</v>
      </c>
      <c r="I46" s="559">
        <v>6.1449999999999996</v>
      </c>
      <c r="J46" s="559">
        <v>7.8299000000000003</v>
      </c>
    </row>
    <row r="47" spans="1:10" x14ac:dyDescent="0.35">
      <c r="A47" s="555" t="s">
        <v>838</v>
      </c>
      <c r="B47" s="555" t="s">
        <v>869</v>
      </c>
      <c r="C47" s="557">
        <v>10.859</v>
      </c>
      <c r="D47" s="557">
        <v>10.853</v>
      </c>
      <c r="E47" s="557">
        <v>10.863</v>
      </c>
      <c r="F47" s="557">
        <v>10.862</v>
      </c>
      <c r="G47" s="557">
        <v>10.856999999999999</v>
      </c>
      <c r="H47" s="557">
        <v>10.673</v>
      </c>
      <c r="I47" s="557">
        <v>10.449</v>
      </c>
      <c r="J47" s="557">
        <v>10.298999999999999</v>
      </c>
    </row>
    <row r="48" spans="1:10" x14ac:dyDescent="0.35">
      <c r="A48" s="555" t="s">
        <v>840</v>
      </c>
      <c r="B48" s="555" t="s">
        <v>870</v>
      </c>
      <c r="C48" s="559">
        <v>6.4353999999999996</v>
      </c>
      <c r="D48" s="559">
        <v>8.8825000000000003</v>
      </c>
      <c r="E48" s="559">
        <v>14.565200000000001</v>
      </c>
      <c r="F48" s="559">
        <v>10.2059</v>
      </c>
      <c r="G48" s="559">
        <v>5.452</v>
      </c>
      <c r="H48" s="559">
        <v>8.2613000000000003</v>
      </c>
      <c r="I48" s="559">
        <v>6.1449999999999996</v>
      </c>
      <c r="J48" s="559">
        <v>7.7789999999999999</v>
      </c>
    </row>
    <row r="49" spans="1:10" x14ac:dyDescent="0.35">
      <c r="A49" s="555" t="s">
        <v>842</v>
      </c>
      <c r="B49" s="555" t="s">
        <v>871</v>
      </c>
      <c r="C49" s="557">
        <v>10.903</v>
      </c>
      <c r="D49" s="557">
        <v>10.903</v>
      </c>
      <c r="E49" s="557">
        <v>10.909000000000001</v>
      </c>
      <c r="F49" s="557">
        <v>10.930999999999999</v>
      </c>
      <c r="G49" s="557">
        <v>10.928000000000001</v>
      </c>
      <c r="H49" s="557">
        <v>10.699</v>
      </c>
      <c r="I49" s="557">
        <v>10.486000000000001</v>
      </c>
      <c r="J49" s="557">
        <v>10.340999999999999</v>
      </c>
    </row>
    <row r="50" spans="1:10" x14ac:dyDescent="0.35">
      <c r="A50" s="555" t="s">
        <v>872</v>
      </c>
      <c r="B50" s="555" t="s">
        <v>873</v>
      </c>
      <c r="C50" s="557">
        <v>-26.554500000000001</v>
      </c>
      <c r="D50" s="557" t="s">
        <v>525</v>
      </c>
      <c r="E50" s="557" t="s">
        <v>525</v>
      </c>
      <c r="F50" s="557" t="s">
        <v>525</v>
      </c>
      <c r="G50" s="557">
        <v>-21.128499999999999</v>
      </c>
      <c r="H50" s="557" t="s">
        <v>525</v>
      </c>
      <c r="I50" s="557" t="s">
        <v>525</v>
      </c>
      <c r="J50" s="557" t="s">
        <v>525</v>
      </c>
    </row>
    <row r="51" spans="1:10" x14ac:dyDescent="0.35">
      <c r="A51" s="555" t="s">
        <v>874</v>
      </c>
      <c r="B51" s="555" t="s">
        <v>875</v>
      </c>
      <c r="C51" s="559">
        <v>5.0999999999999996</v>
      </c>
      <c r="D51" s="559" t="s">
        <v>525</v>
      </c>
      <c r="E51" s="559" t="s">
        <v>525</v>
      </c>
      <c r="F51" s="559" t="s">
        <v>525</v>
      </c>
      <c r="G51" s="559">
        <v>5.4</v>
      </c>
      <c r="H51" s="559" t="s">
        <v>525</v>
      </c>
      <c r="I51" s="559" t="s">
        <v>525</v>
      </c>
      <c r="J51" s="559" t="s">
        <v>525</v>
      </c>
    </row>
    <row r="52" spans="1:10" x14ac:dyDescent="0.35">
      <c r="A52" s="555" t="s">
        <v>876</v>
      </c>
      <c r="B52" s="555" t="s">
        <v>877</v>
      </c>
      <c r="C52" s="557">
        <v>8.2780000000000005</v>
      </c>
      <c r="D52" s="557">
        <v>11.1852</v>
      </c>
      <c r="E52" s="557">
        <v>11.801399999999999</v>
      </c>
      <c r="F52" s="557">
        <v>11.5648</v>
      </c>
      <c r="G52" s="557">
        <v>11.498699999999999</v>
      </c>
      <c r="H52" s="557">
        <v>7.3494000000000002</v>
      </c>
      <c r="I52" s="557">
        <v>8.8328000000000007</v>
      </c>
      <c r="J52" s="557">
        <v>9.4923999999999999</v>
      </c>
    </row>
    <row r="53" spans="1:10" x14ac:dyDescent="0.35">
      <c r="A53" s="555" t="s">
        <v>878</v>
      </c>
      <c r="B53" s="555" t="s">
        <v>879</v>
      </c>
      <c r="C53" s="557">
        <v>42.555900000000001</v>
      </c>
      <c r="D53" s="557">
        <v>61.340299999999999</v>
      </c>
      <c r="E53" s="557">
        <v>181.4983</v>
      </c>
      <c r="F53" s="557">
        <v>85.167500000000004</v>
      </c>
      <c r="G53" s="557">
        <v>79.416799999999995</v>
      </c>
      <c r="H53" s="557">
        <v>103.1861</v>
      </c>
      <c r="I53" s="557">
        <v>85.180700000000002</v>
      </c>
      <c r="J53" s="557">
        <v>93.409099999999995</v>
      </c>
    </row>
    <row r="54" spans="1:10" x14ac:dyDescent="0.35">
      <c r="A54" s="555" t="s">
        <v>804</v>
      </c>
      <c r="B54" s="555" t="s">
        <v>880</v>
      </c>
      <c r="C54" s="557">
        <v>852.53750000000002</v>
      </c>
      <c r="D54" s="557">
        <v>940.76</v>
      </c>
      <c r="E54" s="557">
        <v>1116.6516999999999</v>
      </c>
      <c r="F54" s="557">
        <v>971.64610000000005</v>
      </c>
      <c r="G54" s="557">
        <v>845.65309999999999</v>
      </c>
      <c r="H54" s="557">
        <v>835.88480000000004</v>
      </c>
      <c r="I54" s="557">
        <v>842.75019999999995</v>
      </c>
      <c r="J54" s="557">
        <v>817.37559999999996</v>
      </c>
    </row>
    <row r="55" spans="1:10" x14ac:dyDescent="0.35">
      <c r="A55" s="555" t="s">
        <v>881</v>
      </c>
      <c r="B55" s="555" t="s">
        <v>882</v>
      </c>
      <c r="C55" s="557">
        <v>70.052000000000007</v>
      </c>
      <c r="D55" s="557">
        <v>97.107900000000001</v>
      </c>
      <c r="E55" s="557">
        <v>158.64160000000001</v>
      </c>
      <c r="F55" s="557">
        <v>111.806</v>
      </c>
      <c r="G55" s="557">
        <v>59.547499999999999</v>
      </c>
      <c r="H55" s="557">
        <v>88.642899999999997</v>
      </c>
      <c r="I55" s="557">
        <v>64.362499999999997</v>
      </c>
      <c r="J55" s="557">
        <v>80.433899999999994</v>
      </c>
    </row>
    <row r="56" spans="1:10" x14ac:dyDescent="0.35">
      <c r="A56" s="555" t="s">
        <v>883</v>
      </c>
      <c r="B56" s="555" t="s">
        <v>884</v>
      </c>
      <c r="C56" s="559" t="s">
        <v>525</v>
      </c>
      <c r="D56" s="559">
        <v>22.1</v>
      </c>
      <c r="E56" s="559">
        <v>20</v>
      </c>
      <c r="F56" s="559">
        <v>24.2</v>
      </c>
      <c r="G56" s="559" t="s">
        <v>525</v>
      </c>
      <c r="H56" s="559">
        <v>24.5</v>
      </c>
      <c r="I56" s="559">
        <v>22.6</v>
      </c>
      <c r="J56" s="559">
        <v>23.1</v>
      </c>
    </row>
    <row r="57" spans="1:10" x14ac:dyDescent="0.35">
      <c r="A57" s="555" t="s">
        <v>885</v>
      </c>
      <c r="B57" s="555" t="s">
        <v>886</v>
      </c>
      <c r="C57" s="557">
        <v>1022.7182</v>
      </c>
      <c r="D57" s="557">
        <v>1015.6757</v>
      </c>
      <c r="E57" s="557">
        <v>747.54740000000004</v>
      </c>
      <c r="F57" s="557">
        <v>668.81669999999997</v>
      </c>
      <c r="G57" s="557">
        <v>600.95709999999997</v>
      </c>
      <c r="H57" s="557">
        <v>636.20619999999997</v>
      </c>
      <c r="I57" s="557">
        <v>779.84209999999996</v>
      </c>
      <c r="J57" s="557">
        <v>687.52279999999996</v>
      </c>
    </row>
    <row r="58" spans="1:10" x14ac:dyDescent="0.35">
      <c r="A58" s="555" t="s">
        <v>887</v>
      </c>
      <c r="B58" s="555" t="s">
        <v>888</v>
      </c>
      <c r="C58" s="557">
        <v>2.8216999999999999</v>
      </c>
      <c r="D58" s="557" t="s">
        <v>525</v>
      </c>
      <c r="E58" s="557" t="s">
        <v>525</v>
      </c>
      <c r="F58" s="557" t="s">
        <v>525</v>
      </c>
      <c r="G58" s="557">
        <v>2.4946999999999999</v>
      </c>
      <c r="H58" s="557" t="s">
        <v>525</v>
      </c>
      <c r="I58" s="557" t="s">
        <v>525</v>
      </c>
      <c r="J58" s="557" t="s">
        <v>525</v>
      </c>
    </row>
    <row r="59" spans="1:10" x14ac:dyDescent="0.35">
      <c r="A59" s="555" t="s">
        <v>889</v>
      </c>
      <c r="B59" s="555" t="s">
        <v>890</v>
      </c>
      <c r="C59" s="557">
        <v>2.7557</v>
      </c>
      <c r="D59" s="557" t="s">
        <v>525</v>
      </c>
      <c r="E59" s="557" t="s">
        <v>525</v>
      </c>
      <c r="F59" s="557" t="s">
        <v>525</v>
      </c>
      <c r="G59" s="557">
        <v>2.4230999999999998</v>
      </c>
      <c r="H59" s="557" t="s">
        <v>525</v>
      </c>
      <c r="I59" s="557" t="s">
        <v>525</v>
      </c>
      <c r="J59" s="557" t="s">
        <v>525</v>
      </c>
    </row>
    <row r="60" spans="1:10" x14ac:dyDescent="0.35">
      <c r="A60" s="555" t="s">
        <v>891</v>
      </c>
      <c r="B60" s="555" t="s">
        <v>892</v>
      </c>
      <c r="C60" s="557">
        <v>2.6787000000000001</v>
      </c>
      <c r="D60" s="557" t="s">
        <v>525</v>
      </c>
      <c r="E60" s="557" t="s">
        <v>525</v>
      </c>
      <c r="F60" s="557" t="s">
        <v>525</v>
      </c>
      <c r="G60" s="557">
        <v>2.3460000000000001</v>
      </c>
      <c r="H60" s="557" t="s">
        <v>525</v>
      </c>
      <c r="I60" s="557" t="s">
        <v>525</v>
      </c>
      <c r="J60" s="557" t="s">
        <v>525</v>
      </c>
    </row>
    <row r="61" spans="1:10" x14ac:dyDescent="0.35">
      <c r="A61" s="555" t="s">
        <v>893</v>
      </c>
      <c r="B61" s="555" t="s">
        <v>894</v>
      </c>
      <c r="C61" s="557">
        <v>2.5960999999999999</v>
      </c>
      <c r="D61" s="557" t="s">
        <v>525</v>
      </c>
      <c r="E61" s="557" t="s">
        <v>525</v>
      </c>
      <c r="F61" s="557" t="s">
        <v>525</v>
      </c>
      <c r="G61" s="557">
        <v>2.2578999999999998</v>
      </c>
      <c r="H61" s="557" t="s">
        <v>525</v>
      </c>
      <c r="I61" s="557" t="s">
        <v>525</v>
      </c>
      <c r="J61" s="557" t="s">
        <v>525</v>
      </c>
    </row>
    <row r="62" spans="1:10" x14ac:dyDescent="0.35">
      <c r="A62" s="555" t="s">
        <v>895</v>
      </c>
      <c r="B62" s="555" t="s">
        <v>896</v>
      </c>
      <c r="C62" s="557">
        <v>2.5026000000000002</v>
      </c>
      <c r="D62" s="557" t="s">
        <v>525</v>
      </c>
      <c r="E62" s="557" t="s">
        <v>525</v>
      </c>
      <c r="F62" s="557" t="s">
        <v>525</v>
      </c>
      <c r="G62" s="557">
        <v>2.1642999999999999</v>
      </c>
      <c r="H62" s="557" t="s">
        <v>525</v>
      </c>
      <c r="I62" s="557" t="s">
        <v>525</v>
      </c>
      <c r="J62" s="557" t="s">
        <v>525</v>
      </c>
    </row>
    <row r="63" spans="1:10" x14ac:dyDescent="0.35">
      <c r="A63" s="555" t="s">
        <v>897</v>
      </c>
      <c r="B63" s="555" t="s">
        <v>898</v>
      </c>
      <c r="C63" s="557">
        <v>12.4802</v>
      </c>
      <c r="D63" s="557" t="s">
        <v>525</v>
      </c>
      <c r="E63" s="557" t="s">
        <v>525</v>
      </c>
      <c r="F63" s="557" t="s">
        <v>525</v>
      </c>
      <c r="G63" s="557">
        <v>9.7474000000000007</v>
      </c>
      <c r="H63" s="557" t="s">
        <v>525</v>
      </c>
      <c r="I63" s="557" t="s">
        <v>525</v>
      </c>
      <c r="J63" s="557" t="s">
        <v>525</v>
      </c>
    </row>
    <row r="64" spans="1:10" x14ac:dyDescent="0.35">
      <c r="A64" s="555" t="s">
        <v>899</v>
      </c>
      <c r="B64" s="555" t="s">
        <v>900</v>
      </c>
      <c r="C64" s="559">
        <v>19.2</v>
      </c>
      <c r="D64" s="559">
        <v>12.6</v>
      </c>
      <c r="E64" s="559">
        <v>17.2</v>
      </c>
      <c r="F64" s="559">
        <v>14</v>
      </c>
      <c r="G64" s="559">
        <v>7.4</v>
      </c>
      <c r="H64" s="559">
        <v>12.6</v>
      </c>
      <c r="I64" s="559">
        <v>8.3000000000000007</v>
      </c>
      <c r="J64" s="559">
        <v>11.5</v>
      </c>
    </row>
    <row r="65" spans="1:10" x14ac:dyDescent="0.35">
      <c r="A65" s="555" t="s">
        <v>901</v>
      </c>
      <c r="B65" s="555" t="s">
        <v>902</v>
      </c>
      <c r="C65" s="559" t="s">
        <v>525</v>
      </c>
      <c r="D65" s="559">
        <v>30</v>
      </c>
      <c r="E65" s="559">
        <v>33.4</v>
      </c>
      <c r="F65" s="559">
        <v>31.6</v>
      </c>
      <c r="G65" s="559" t="s">
        <v>525</v>
      </c>
      <c r="H65" s="559">
        <v>32.200000000000003</v>
      </c>
      <c r="I65" s="559">
        <v>26.9</v>
      </c>
      <c r="J65" s="559">
        <v>29.8</v>
      </c>
    </row>
    <row r="66" spans="1:10" x14ac:dyDescent="0.35">
      <c r="A66" s="555" t="s">
        <v>903</v>
      </c>
      <c r="B66" s="555" t="s">
        <v>904</v>
      </c>
      <c r="C66" s="559">
        <v>24</v>
      </c>
      <c r="D66" s="559">
        <v>3</v>
      </c>
      <c r="E66" s="559">
        <v>23</v>
      </c>
      <c r="F66" s="559">
        <v>22</v>
      </c>
      <c r="G66" s="559">
        <v>-1</v>
      </c>
      <c r="H66" s="559">
        <v>-6</v>
      </c>
      <c r="I66" s="559">
        <v>-16</v>
      </c>
      <c r="J66" s="559">
        <v>-5</v>
      </c>
    </row>
    <row r="67" spans="1:10" x14ac:dyDescent="0.35">
      <c r="A67" s="555" t="s">
        <v>905</v>
      </c>
      <c r="B67" s="555" t="s">
        <v>906</v>
      </c>
      <c r="C67" s="557" t="s">
        <v>525</v>
      </c>
      <c r="D67" s="557">
        <v>51.722299999999997</v>
      </c>
      <c r="E67" s="557" t="s">
        <v>525</v>
      </c>
      <c r="F67" s="557" t="s">
        <v>525</v>
      </c>
      <c r="G67" s="557" t="s">
        <v>525</v>
      </c>
      <c r="H67" s="557">
        <v>77.656400000000005</v>
      </c>
      <c r="I67" s="557" t="s">
        <v>525</v>
      </c>
      <c r="J67" s="557">
        <v>40.944000000000003</v>
      </c>
    </row>
    <row r="68" spans="1:10" x14ac:dyDescent="0.35">
      <c r="A68" s="555" t="s">
        <v>907</v>
      </c>
      <c r="B68" s="555" t="s">
        <v>908</v>
      </c>
      <c r="C68" s="557">
        <v>8.2780000000000005</v>
      </c>
      <c r="D68" s="557">
        <v>11.1852</v>
      </c>
      <c r="E68" s="557">
        <v>11.801399999999999</v>
      </c>
      <c r="F68" s="557">
        <v>11.5648</v>
      </c>
      <c r="G68" s="557">
        <v>11.498699999999999</v>
      </c>
      <c r="H68" s="557">
        <v>7.3494000000000002</v>
      </c>
      <c r="I68" s="557">
        <v>8.8328000000000007</v>
      </c>
      <c r="J68" s="557">
        <v>9.4923999999999999</v>
      </c>
    </row>
    <row r="69" spans="1:10" x14ac:dyDescent="0.35">
      <c r="A69" s="560" t="s">
        <v>798</v>
      </c>
      <c r="B69" s="560"/>
      <c r="C69" s="560" t="s">
        <v>799</v>
      </c>
      <c r="D69" s="560"/>
      <c r="E69" s="560"/>
      <c r="F69" s="560"/>
      <c r="G69" s="560"/>
      <c r="H69" s="560"/>
      <c r="I69" s="560"/>
      <c r="J69" s="56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8"/>
  <sheetViews>
    <sheetView workbookViewId="0"/>
  </sheetViews>
  <sheetFormatPr defaultRowHeight="14.5" x14ac:dyDescent="0.35"/>
  <cols>
    <col min="1" max="1" width="35.1796875" customWidth="1"/>
    <col min="2" max="2" width="13" hidden="1" customWidth="1"/>
    <col min="3" max="10" width="11.81640625" customWidth="1"/>
  </cols>
  <sheetData>
    <row r="1" spans="1:10" x14ac:dyDescent="0.35">
      <c r="A1" s="546"/>
      <c r="B1" s="546"/>
      <c r="C1" s="546"/>
      <c r="D1" s="546"/>
      <c r="E1" s="546"/>
      <c r="F1" s="546"/>
      <c r="G1" s="546"/>
      <c r="H1" s="546"/>
      <c r="I1" s="546"/>
      <c r="J1" s="546"/>
    </row>
    <row r="2" spans="1:10" ht="20.25" customHeight="1" x14ac:dyDescent="0.35">
      <c r="A2" s="547" t="s">
        <v>500</v>
      </c>
      <c r="B2" s="547"/>
      <c r="C2" s="547"/>
      <c r="D2" s="547"/>
      <c r="E2" s="547"/>
      <c r="F2" s="547"/>
      <c r="G2" s="547"/>
      <c r="H2" s="547"/>
      <c r="I2" s="547"/>
      <c r="J2" s="547"/>
    </row>
    <row r="3" spans="1:10" x14ac:dyDescent="0.35">
      <c r="A3" s="548"/>
      <c r="B3" s="548"/>
      <c r="C3" s="548"/>
      <c r="D3" s="548"/>
      <c r="E3" s="548"/>
      <c r="F3" s="548"/>
      <c r="G3" s="548"/>
      <c r="H3" s="548"/>
      <c r="I3" s="548"/>
      <c r="J3" s="548"/>
    </row>
    <row r="4" spans="1:10" x14ac:dyDescent="0.35">
      <c r="A4" s="549" t="s">
        <v>501</v>
      </c>
      <c r="B4" s="549"/>
      <c r="C4" s="550" t="s">
        <v>502</v>
      </c>
      <c r="D4" s="550" t="s">
        <v>503</v>
      </c>
      <c r="E4" s="550" t="s">
        <v>504</v>
      </c>
      <c r="F4" s="550" t="s">
        <v>505</v>
      </c>
      <c r="G4" s="550" t="s">
        <v>506</v>
      </c>
      <c r="H4" s="550" t="s">
        <v>507</v>
      </c>
      <c r="I4" s="550" t="s">
        <v>508</v>
      </c>
      <c r="J4" s="550" t="s">
        <v>509</v>
      </c>
    </row>
    <row r="5" spans="1:10" x14ac:dyDescent="0.35">
      <c r="A5" s="551" t="s">
        <v>510</v>
      </c>
      <c r="B5" s="551"/>
      <c r="C5" s="552" t="s">
        <v>511</v>
      </c>
      <c r="D5" s="552" t="s">
        <v>512</v>
      </c>
      <c r="E5" s="552" t="s">
        <v>513</v>
      </c>
      <c r="F5" s="552" t="s">
        <v>514</v>
      </c>
      <c r="G5" s="552" t="s">
        <v>515</v>
      </c>
      <c r="H5" s="552" t="s">
        <v>516</v>
      </c>
      <c r="I5" s="552" t="s">
        <v>517</v>
      </c>
      <c r="J5" s="552" t="s">
        <v>518</v>
      </c>
    </row>
    <row r="6" spans="1:10" x14ac:dyDescent="0.35">
      <c r="A6" s="553" t="s">
        <v>909</v>
      </c>
      <c r="B6" s="554"/>
      <c r="C6" s="554"/>
      <c r="D6" s="554"/>
      <c r="E6" s="554"/>
      <c r="F6" s="554"/>
      <c r="G6" s="554"/>
      <c r="H6" s="554"/>
      <c r="I6" s="554"/>
      <c r="J6" s="554"/>
    </row>
    <row r="7" spans="1:10" x14ac:dyDescent="0.35">
      <c r="A7" s="555" t="s">
        <v>910</v>
      </c>
      <c r="B7" s="556"/>
      <c r="C7" s="556"/>
      <c r="D7" s="556"/>
      <c r="E7" s="556"/>
      <c r="F7" s="556"/>
      <c r="G7" s="556"/>
      <c r="H7" s="556"/>
      <c r="I7" s="556"/>
      <c r="J7" s="556"/>
    </row>
    <row r="8" spans="1:10" x14ac:dyDescent="0.35">
      <c r="A8" s="555" t="s">
        <v>911</v>
      </c>
      <c r="B8" s="555" t="s">
        <v>912</v>
      </c>
      <c r="C8" s="557">
        <v>364.43419999999998</v>
      </c>
      <c r="D8" s="557">
        <v>97.107900000000001</v>
      </c>
      <c r="E8" s="557">
        <v>261.09370000000001</v>
      </c>
      <c r="F8" s="557">
        <v>362.58980000000003</v>
      </c>
      <c r="G8" s="557">
        <v>407.80610000000001</v>
      </c>
      <c r="H8" s="557">
        <v>88.642899999999997</v>
      </c>
      <c r="I8" s="557">
        <v>152.6585</v>
      </c>
      <c r="J8" s="557">
        <v>225.68790000000001</v>
      </c>
    </row>
    <row r="9" spans="1:10" x14ac:dyDescent="0.35">
      <c r="A9" s="555" t="s">
        <v>913</v>
      </c>
      <c r="B9" s="555" t="s">
        <v>914</v>
      </c>
      <c r="C9" s="557">
        <v>116.6066</v>
      </c>
      <c r="D9" s="557">
        <v>30.619199999999999</v>
      </c>
      <c r="E9" s="557">
        <v>63.322899999999997</v>
      </c>
      <c r="F9" s="557">
        <v>90.058300000000003</v>
      </c>
      <c r="G9" s="557">
        <v>115.0748</v>
      </c>
      <c r="H9" s="557">
        <v>28.496200000000002</v>
      </c>
      <c r="I9" s="557">
        <v>59.644199999999998</v>
      </c>
      <c r="J9" s="557">
        <v>86.672399999999996</v>
      </c>
    </row>
    <row r="10" spans="1:10" x14ac:dyDescent="0.35">
      <c r="A10" s="555" t="s">
        <v>915</v>
      </c>
      <c r="B10" s="555" t="s">
        <v>916</v>
      </c>
      <c r="C10" s="557">
        <v>-21.4237</v>
      </c>
      <c r="D10" s="557">
        <v>8.99</v>
      </c>
      <c r="E10" s="557">
        <v>4.6859000000000002</v>
      </c>
      <c r="F10" s="557">
        <v>-13.6805</v>
      </c>
      <c r="G10" s="557">
        <v>-7.8916000000000004</v>
      </c>
      <c r="H10" s="557">
        <v>7.9234</v>
      </c>
      <c r="I10" s="557">
        <v>38.1526</v>
      </c>
      <c r="J10" s="557">
        <v>28.207799999999999</v>
      </c>
    </row>
    <row r="11" spans="1:10" x14ac:dyDescent="0.35">
      <c r="A11" s="555" t="s">
        <v>917</v>
      </c>
      <c r="B11" s="555" t="s">
        <v>918</v>
      </c>
      <c r="C11" s="557">
        <v>3.8172000000000001</v>
      </c>
      <c r="D11" s="557">
        <v>0.3508</v>
      </c>
      <c r="E11" s="557">
        <v>0.57899999999999996</v>
      </c>
      <c r="F11" s="557">
        <v>7.0982000000000003</v>
      </c>
      <c r="G11" s="557">
        <v>9.4995999999999992</v>
      </c>
      <c r="H11" s="557">
        <v>-1.3519000000000001</v>
      </c>
      <c r="I11" s="557">
        <v>-0.29920000000000002</v>
      </c>
      <c r="J11" s="557">
        <v>1.0219</v>
      </c>
    </row>
    <row r="12" spans="1:10" x14ac:dyDescent="0.35">
      <c r="A12" s="555" t="s">
        <v>919</v>
      </c>
      <c r="B12" s="555" t="s">
        <v>920</v>
      </c>
      <c r="C12" s="557">
        <v>35.158000000000001</v>
      </c>
      <c r="D12" s="557">
        <v>11.1852</v>
      </c>
      <c r="E12" s="557">
        <v>23.602799999999998</v>
      </c>
      <c r="F12" s="557">
        <v>34.235599999999998</v>
      </c>
      <c r="G12" s="557">
        <v>44.381100000000004</v>
      </c>
      <c r="H12" s="557">
        <v>7.3494000000000002</v>
      </c>
      <c r="I12" s="557">
        <v>16.153400000000001</v>
      </c>
      <c r="J12" s="557">
        <v>24.862300000000001</v>
      </c>
    </row>
    <row r="13" spans="1:10" x14ac:dyDescent="0.35">
      <c r="A13" s="555" t="s">
        <v>921</v>
      </c>
      <c r="B13" s="555" t="s">
        <v>922</v>
      </c>
      <c r="C13" s="557">
        <v>2.4750999999999999</v>
      </c>
      <c r="D13" s="557">
        <v>-1.2277</v>
      </c>
      <c r="E13" s="557">
        <v>-0.72829999999999995</v>
      </c>
      <c r="F13" s="557">
        <v>-14.294</v>
      </c>
      <c r="G13" s="557">
        <v>-14.6982</v>
      </c>
      <c r="H13" s="557">
        <v>2.2155</v>
      </c>
      <c r="I13" s="557">
        <v>-4.4244000000000003</v>
      </c>
      <c r="J13" s="557">
        <v>0.1474</v>
      </c>
    </row>
    <row r="14" spans="1:10" x14ac:dyDescent="0.35">
      <c r="A14" s="555" t="s">
        <v>923</v>
      </c>
      <c r="B14" s="555" t="s">
        <v>924</v>
      </c>
      <c r="C14" s="557">
        <v>-4.2077</v>
      </c>
      <c r="D14" s="557">
        <v>-33.764899999999997</v>
      </c>
      <c r="E14" s="557">
        <v>-14.4399</v>
      </c>
      <c r="F14" s="557">
        <v>22.114699999999999</v>
      </c>
      <c r="G14" s="557">
        <v>105.12909999999999</v>
      </c>
      <c r="H14" s="557">
        <v>-48.242899999999999</v>
      </c>
      <c r="I14" s="557">
        <v>-25.771699999999999</v>
      </c>
      <c r="J14" s="557">
        <v>-31.049900000000001</v>
      </c>
    </row>
    <row r="15" spans="1:10" x14ac:dyDescent="0.35">
      <c r="A15" s="555" t="s">
        <v>925</v>
      </c>
      <c r="B15" s="555" t="s">
        <v>926</v>
      </c>
      <c r="C15" s="557">
        <v>-32.770899999999997</v>
      </c>
      <c r="D15" s="557">
        <v>94.233800000000002</v>
      </c>
      <c r="E15" s="557">
        <v>123.4761</v>
      </c>
      <c r="F15" s="557">
        <v>57.393799999999999</v>
      </c>
      <c r="G15" s="557">
        <v>61.210599999999999</v>
      </c>
      <c r="H15" s="557">
        <v>28.169</v>
      </c>
      <c r="I15" s="557">
        <v>27.054099999999998</v>
      </c>
      <c r="J15" s="557">
        <v>39.815300000000001</v>
      </c>
    </row>
    <row r="16" spans="1:10" x14ac:dyDescent="0.35">
      <c r="A16" s="555" t="s">
        <v>927</v>
      </c>
      <c r="B16" s="555" t="s">
        <v>928</v>
      </c>
      <c r="C16" s="557">
        <v>129.13640000000001</v>
      </c>
      <c r="D16" s="557">
        <v>-36.446599999999997</v>
      </c>
      <c r="E16" s="557">
        <v>-240.00399999999999</v>
      </c>
      <c r="F16" s="557">
        <v>-186.41220000000001</v>
      </c>
      <c r="G16" s="557">
        <v>18.988199999999999</v>
      </c>
      <c r="H16" s="557">
        <v>-81.127300000000005</v>
      </c>
      <c r="I16" s="557">
        <v>-111.2517</v>
      </c>
      <c r="J16" s="557">
        <v>-110.2992</v>
      </c>
    </row>
    <row r="17" spans="1:10" x14ac:dyDescent="0.35">
      <c r="A17" s="555" t="s">
        <v>929</v>
      </c>
      <c r="B17" s="555" t="s">
        <v>930</v>
      </c>
      <c r="C17" s="557">
        <v>-52.4895</v>
      </c>
      <c r="D17" s="557">
        <v>7.0777000000000001</v>
      </c>
      <c r="E17" s="557">
        <v>17.155899999999999</v>
      </c>
      <c r="F17" s="557">
        <v>-19.437000000000001</v>
      </c>
      <c r="G17" s="557">
        <v>-4.3174999999999999</v>
      </c>
      <c r="H17" s="557">
        <v>1.6254</v>
      </c>
      <c r="I17" s="557">
        <v>-6.0114000000000001</v>
      </c>
      <c r="J17" s="557">
        <v>-40.598300000000002</v>
      </c>
    </row>
    <row r="18" spans="1:10" x14ac:dyDescent="0.35">
      <c r="A18" s="555" t="s">
        <v>931</v>
      </c>
      <c r="B18" s="555" t="s">
        <v>932</v>
      </c>
      <c r="C18" s="557">
        <v>-45.102600000000002</v>
      </c>
      <c r="D18" s="557">
        <v>-56.452100000000002</v>
      </c>
      <c r="E18" s="557">
        <v>-32.706099999999999</v>
      </c>
      <c r="F18" s="557">
        <v>34.436300000000003</v>
      </c>
      <c r="G18" s="557">
        <v>-24.3521</v>
      </c>
      <c r="H18" s="557">
        <v>-40.351700000000001</v>
      </c>
      <c r="I18" s="557">
        <v>-21.416799999999999</v>
      </c>
      <c r="J18" s="557">
        <v>-38.213799999999999</v>
      </c>
    </row>
    <row r="19" spans="1:10" x14ac:dyDescent="0.35">
      <c r="A19" s="555" t="s">
        <v>933</v>
      </c>
      <c r="B19" s="555" t="s">
        <v>934</v>
      </c>
      <c r="C19" s="557">
        <v>526.71550000000002</v>
      </c>
      <c r="D19" s="557">
        <v>122.2223</v>
      </c>
      <c r="E19" s="557">
        <v>202.24180000000001</v>
      </c>
      <c r="F19" s="557">
        <v>394.89890000000003</v>
      </c>
      <c r="G19" s="557">
        <v>731.93859999999995</v>
      </c>
      <c r="H19" s="557">
        <v>-3.2025999999999999</v>
      </c>
      <c r="I19" s="557">
        <v>128.06229999999999</v>
      </c>
      <c r="J19" s="557">
        <v>155.7124</v>
      </c>
    </row>
    <row r="20" spans="1:10" x14ac:dyDescent="0.35">
      <c r="A20" s="555" t="s">
        <v>935</v>
      </c>
      <c r="B20" s="555" t="s">
        <v>936</v>
      </c>
      <c r="C20" s="557">
        <v>36.423099999999998</v>
      </c>
      <c r="D20" s="557">
        <v>3.4399000000000002</v>
      </c>
      <c r="E20" s="557">
        <v>-0.42980000000000002</v>
      </c>
      <c r="F20" s="557">
        <v>24.4024</v>
      </c>
      <c r="G20" s="557">
        <v>25.0625</v>
      </c>
      <c r="H20" s="557">
        <v>4.7797999999999998</v>
      </c>
      <c r="I20" s="557">
        <v>7.0854999999999997</v>
      </c>
      <c r="J20" s="557">
        <v>-29.077200000000001</v>
      </c>
    </row>
    <row r="21" spans="1:10" x14ac:dyDescent="0.35">
      <c r="A21" s="555" t="s">
        <v>937</v>
      </c>
      <c r="B21" s="555" t="s">
        <v>938</v>
      </c>
      <c r="C21" s="557">
        <v>-5.3407999999999998</v>
      </c>
      <c r="D21" s="557">
        <v>-2.8910999999999998</v>
      </c>
      <c r="E21" s="557">
        <v>-3.3666999999999998</v>
      </c>
      <c r="F21" s="557">
        <v>-3.6065</v>
      </c>
      <c r="G21" s="557">
        <v>-3.9540000000000002</v>
      </c>
      <c r="H21" s="557">
        <v>-1.3304</v>
      </c>
      <c r="I21" s="557">
        <v>-3.5106999999999999</v>
      </c>
      <c r="J21" s="557">
        <v>-1.4642999999999999</v>
      </c>
    </row>
    <row r="22" spans="1:10" x14ac:dyDescent="0.35">
      <c r="A22" s="555" t="s">
        <v>939</v>
      </c>
      <c r="B22" s="556"/>
      <c r="C22" s="556"/>
      <c r="D22" s="556"/>
      <c r="E22" s="556"/>
      <c r="F22" s="556"/>
      <c r="G22" s="556"/>
      <c r="H22" s="556"/>
      <c r="I22" s="556"/>
      <c r="J22" s="556"/>
    </row>
    <row r="23" spans="1:10" x14ac:dyDescent="0.35">
      <c r="A23" s="555" t="s">
        <v>940</v>
      </c>
      <c r="B23" s="555" t="s">
        <v>941</v>
      </c>
      <c r="C23" s="557">
        <v>-159.39359999999999</v>
      </c>
      <c r="D23" s="557">
        <v>-51.722299999999997</v>
      </c>
      <c r="E23" s="557">
        <v>-112.92829999999999</v>
      </c>
      <c r="F23" s="557">
        <v>-161.9811</v>
      </c>
      <c r="G23" s="557">
        <v>-234.0265</v>
      </c>
      <c r="H23" s="557">
        <v>-77.656400000000005</v>
      </c>
      <c r="I23" s="557">
        <v>-146.7379</v>
      </c>
      <c r="J23" s="557">
        <v>-180.56450000000001</v>
      </c>
    </row>
    <row r="24" spans="1:10" x14ac:dyDescent="0.35">
      <c r="A24" s="555" t="s">
        <v>942</v>
      </c>
      <c r="B24" s="555" t="s">
        <v>943</v>
      </c>
      <c r="C24" s="557" t="s">
        <v>525</v>
      </c>
      <c r="D24" s="557" t="s">
        <v>525</v>
      </c>
      <c r="E24" s="557" t="s">
        <v>525</v>
      </c>
      <c r="F24" s="557" t="s">
        <v>525</v>
      </c>
      <c r="G24" s="557">
        <v>-0.53969999999999996</v>
      </c>
      <c r="H24" s="557" t="s">
        <v>525</v>
      </c>
      <c r="I24" s="557" t="s">
        <v>525</v>
      </c>
      <c r="J24" s="557">
        <v>-8.8772000000000002</v>
      </c>
    </row>
    <row r="25" spans="1:10" x14ac:dyDescent="0.35">
      <c r="A25" s="555" t="s">
        <v>944</v>
      </c>
      <c r="B25" s="555" t="s">
        <v>945</v>
      </c>
      <c r="C25" s="557">
        <v>0</v>
      </c>
      <c r="D25" s="557" t="s">
        <v>525</v>
      </c>
      <c r="E25" s="557" t="s">
        <v>525</v>
      </c>
      <c r="F25" s="557" t="s">
        <v>525</v>
      </c>
      <c r="G25" s="557">
        <v>0</v>
      </c>
      <c r="H25" s="557" t="s">
        <v>525</v>
      </c>
      <c r="I25" s="557" t="s">
        <v>525</v>
      </c>
      <c r="J25" s="557" t="s">
        <v>525</v>
      </c>
    </row>
    <row r="26" spans="1:10" x14ac:dyDescent="0.35">
      <c r="A26" s="555" t="s">
        <v>946</v>
      </c>
      <c r="B26" s="555" t="s">
        <v>947</v>
      </c>
      <c r="C26" s="557">
        <v>-15.2029</v>
      </c>
      <c r="D26" s="557">
        <v>1.901</v>
      </c>
      <c r="E26" s="557">
        <v>1.0625</v>
      </c>
      <c r="F26" s="557">
        <v>1.7143999999999999</v>
      </c>
      <c r="G26" s="557">
        <v>-7.3022999999999998</v>
      </c>
      <c r="H26" s="557">
        <v>-6.1798999999999999</v>
      </c>
      <c r="I26" s="557">
        <v>-6.6153000000000004</v>
      </c>
      <c r="J26" s="557">
        <v>-5.6233000000000004</v>
      </c>
    </row>
    <row r="27" spans="1:10" x14ac:dyDescent="0.35">
      <c r="A27" s="555" t="s">
        <v>948</v>
      </c>
      <c r="B27" s="555" t="s">
        <v>949</v>
      </c>
      <c r="C27" s="557" t="s">
        <v>525</v>
      </c>
      <c r="D27" s="557" t="s">
        <v>525</v>
      </c>
      <c r="E27" s="557" t="s">
        <v>525</v>
      </c>
      <c r="F27" s="557" t="s">
        <v>525</v>
      </c>
      <c r="G27" s="557">
        <v>4.5983999999999998</v>
      </c>
      <c r="H27" s="557" t="s">
        <v>525</v>
      </c>
      <c r="I27" s="557" t="s">
        <v>525</v>
      </c>
      <c r="J27" s="557">
        <v>0</v>
      </c>
    </row>
    <row r="28" spans="1:10" x14ac:dyDescent="0.35">
      <c r="A28" s="555" t="s">
        <v>950</v>
      </c>
      <c r="B28" s="555" t="s">
        <v>951</v>
      </c>
      <c r="C28" s="557">
        <v>135.48920000000001</v>
      </c>
      <c r="D28" s="557">
        <v>0</v>
      </c>
      <c r="E28" s="557">
        <v>0</v>
      </c>
      <c r="F28" s="557">
        <v>0</v>
      </c>
      <c r="G28" s="557">
        <v>82.605400000000003</v>
      </c>
      <c r="H28" s="557">
        <v>0</v>
      </c>
      <c r="I28" s="557" t="s">
        <v>525</v>
      </c>
      <c r="J28" s="557">
        <v>0</v>
      </c>
    </row>
    <row r="29" spans="1:10" x14ac:dyDescent="0.35">
      <c r="A29" s="555" t="s">
        <v>952</v>
      </c>
      <c r="B29" s="555" t="s">
        <v>953</v>
      </c>
      <c r="C29" s="557" t="s">
        <v>525</v>
      </c>
      <c r="D29" s="557">
        <v>0</v>
      </c>
      <c r="E29" s="557">
        <v>-34.711799999999997</v>
      </c>
      <c r="F29" s="557">
        <v>-33.341099999999997</v>
      </c>
      <c r="G29" s="557" t="s">
        <v>525</v>
      </c>
      <c r="H29" s="557" t="s">
        <v>525</v>
      </c>
      <c r="I29" s="557">
        <v>0</v>
      </c>
      <c r="J29" s="557">
        <v>0</v>
      </c>
    </row>
    <row r="30" spans="1:10" x14ac:dyDescent="0.35">
      <c r="A30" s="555" t="s">
        <v>954</v>
      </c>
      <c r="B30" s="555" t="s">
        <v>955</v>
      </c>
      <c r="C30" s="557">
        <v>-103.57640000000001</v>
      </c>
      <c r="D30" s="557" t="s">
        <v>525</v>
      </c>
      <c r="E30" s="557">
        <v>-87.606300000000005</v>
      </c>
      <c r="F30" s="557">
        <v>-84.146900000000002</v>
      </c>
      <c r="G30" s="557">
        <v>-112.8334</v>
      </c>
      <c r="H30" s="557" t="s">
        <v>525</v>
      </c>
      <c r="I30" s="557">
        <v>0</v>
      </c>
      <c r="J30" s="557">
        <v>0</v>
      </c>
    </row>
    <row r="31" spans="1:10" x14ac:dyDescent="0.35">
      <c r="A31" s="553" t="s">
        <v>956</v>
      </c>
      <c r="B31" s="553" t="s">
        <v>957</v>
      </c>
      <c r="C31" s="558">
        <v>-142.68360000000001</v>
      </c>
      <c r="D31" s="558">
        <v>-49.821300000000001</v>
      </c>
      <c r="E31" s="558">
        <v>-234.18379999999999</v>
      </c>
      <c r="F31" s="558">
        <v>-277.75490000000002</v>
      </c>
      <c r="G31" s="558">
        <v>-267.4982</v>
      </c>
      <c r="H31" s="558">
        <v>-83.836299999999994</v>
      </c>
      <c r="I31" s="558">
        <v>-153.35310000000001</v>
      </c>
      <c r="J31" s="558">
        <v>-195.065</v>
      </c>
    </row>
    <row r="32" spans="1:10" x14ac:dyDescent="0.35">
      <c r="A32" s="555" t="s">
        <v>958</v>
      </c>
      <c r="B32" s="556"/>
      <c r="C32" s="556"/>
      <c r="D32" s="556"/>
      <c r="E32" s="556"/>
      <c r="F32" s="556"/>
      <c r="G32" s="556"/>
      <c r="H32" s="556"/>
      <c r="I32" s="556"/>
      <c r="J32" s="556"/>
    </row>
    <row r="33" spans="1:10" x14ac:dyDescent="0.35">
      <c r="A33" s="555" t="s">
        <v>959</v>
      </c>
      <c r="B33" s="555" t="s">
        <v>960</v>
      </c>
      <c r="C33" s="557">
        <v>-85.040300000000002</v>
      </c>
      <c r="D33" s="557">
        <v>-22.1327</v>
      </c>
      <c r="E33" s="557">
        <v>-46.7042</v>
      </c>
      <c r="F33" s="557">
        <v>-67.278599999999997</v>
      </c>
      <c r="G33" s="557">
        <v>-86.724599999999995</v>
      </c>
      <c r="H33" s="557">
        <v>-21.0181</v>
      </c>
      <c r="I33" s="557">
        <v>-41.4923</v>
      </c>
      <c r="J33" s="557">
        <v>-58.612000000000002</v>
      </c>
    </row>
    <row r="34" spans="1:10" x14ac:dyDescent="0.35">
      <c r="A34" s="555" t="s">
        <v>961</v>
      </c>
      <c r="B34" s="555" t="s">
        <v>962</v>
      </c>
      <c r="C34" s="557">
        <v>2.0350999999999999</v>
      </c>
      <c r="D34" s="557" t="s">
        <v>525</v>
      </c>
      <c r="E34" s="557" t="s">
        <v>525</v>
      </c>
      <c r="F34" s="557" t="s">
        <v>525</v>
      </c>
      <c r="G34" s="557">
        <v>2.0486</v>
      </c>
      <c r="H34" s="557" t="s">
        <v>525</v>
      </c>
      <c r="I34" s="557" t="s">
        <v>525</v>
      </c>
      <c r="J34" s="557" t="s">
        <v>525</v>
      </c>
    </row>
    <row r="35" spans="1:10" x14ac:dyDescent="0.35">
      <c r="A35" s="555" t="s">
        <v>963</v>
      </c>
      <c r="B35" s="555" t="s">
        <v>964</v>
      </c>
      <c r="C35" s="557">
        <v>-123.504</v>
      </c>
      <c r="D35" s="557" t="s">
        <v>525</v>
      </c>
      <c r="E35" s="557">
        <v>-8.5183</v>
      </c>
      <c r="F35" s="557">
        <v>-15.3375</v>
      </c>
      <c r="G35" s="557">
        <v>-63.506999999999998</v>
      </c>
      <c r="H35" s="557">
        <v>-162.2867</v>
      </c>
      <c r="I35" s="557">
        <v>-296.50549999999998</v>
      </c>
      <c r="J35" s="557">
        <v>-410.49779999999998</v>
      </c>
    </row>
    <row r="36" spans="1:10" x14ac:dyDescent="0.35">
      <c r="A36" s="555" t="s">
        <v>965</v>
      </c>
      <c r="B36" s="555" t="s">
        <v>966</v>
      </c>
      <c r="C36" s="557">
        <v>-5.8028000000000004</v>
      </c>
      <c r="D36" s="557">
        <v>-24.3279</v>
      </c>
      <c r="E36" s="557">
        <v>-22.0807</v>
      </c>
      <c r="F36" s="557">
        <v>-4.7819000000000003</v>
      </c>
      <c r="G36" s="557">
        <v>12.176</v>
      </c>
      <c r="H36" s="557">
        <v>3.4546999999999999</v>
      </c>
      <c r="I36" s="557">
        <v>19.621300000000002</v>
      </c>
      <c r="J36" s="557">
        <v>21.827000000000002</v>
      </c>
    </row>
    <row r="37" spans="1:10" x14ac:dyDescent="0.35">
      <c r="A37" s="555" t="s">
        <v>967</v>
      </c>
      <c r="B37" s="555" t="s">
        <v>968</v>
      </c>
      <c r="C37" s="557">
        <v>-8.6630000000000003</v>
      </c>
      <c r="D37" s="557">
        <v>-7.9093999999999998</v>
      </c>
      <c r="E37" s="557">
        <v>-7.1752000000000002</v>
      </c>
      <c r="F37" s="557">
        <v>-6.5593000000000004</v>
      </c>
      <c r="G37" s="557">
        <v>-7.9851999999999999</v>
      </c>
      <c r="H37" s="557">
        <v>-6.4481000000000002</v>
      </c>
      <c r="I37" s="557">
        <v>-5.0976999999999997</v>
      </c>
      <c r="J37" s="557">
        <v>-4.6115000000000004</v>
      </c>
    </row>
    <row r="38" spans="1:10" x14ac:dyDescent="0.35">
      <c r="A38" s="555" t="s">
        <v>969</v>
      </c>
      <c r="B38" s="555" t="s">
        <v>970</v>
      </c>
      <c r="C38" s="557">
        <v>122.5745</v>
      </c>
      <c r="D38" s="557" t="s">
        <v>525</v>
      </c>
      <c r="E38" s="557" t="s">
        <v>525</v>
      </c>
      <c r="F38" s="557" t="s">
        <v>525</v>
      </c>
      <c r="G38" s="557">
        <v>114.3203</v>
      </c>
      <c r="H38" s="557" t="s">
        <v>525</v>
      </c>
      <c r="I38" s="557" t="s">
        <v>525</v>
      </c>
      <c r="J38" s="557" t="s">
        <v>525</v>
      </c>
    </row>
    <row r="39" spans="1:10" x14ac:dyDescent="0.35">
      <c r="A39" s="555" t="s">
        <v>971</v>
      </c>
      <c r="B39" s="555" t="s">
        <v>972</v>
      </c>
      <c r="C39" s="557">
        <v>18.233499999999999</v>
      </c>
      <c r="D39" s="557" t="s">
        <v>525</v>
      </c>
      <c r="E39" s="557" t="s">
        <v>525</v>
      </c>
      <c r="F39" s="557" t="s">
        <v>525</v>
      </c>
      <c r="G39" s="557">
        <v>10.0503</v>
      </c>
      <c r="H39" s="557" t="s">
        <v>525</v>
      </c>
      <c r="I39" s="557" t="s">
        <v>525</v>
      </c>
      <c r="J39" s="557" t="s">
        <v>525</v>
      </c>
    </row>
    <row r="40" spans="1:10" x14ac:dyDescent="0.35">
      <c r="A40" s="555" t="s">
        <v>973</v>
      </c>
      <c r="B40" s="555" t="s">
        <v>974</v>
      </c>
      <c r="C40" s="557">
        <v>2.6345999999999998</v>
      </c>
      <c r="D40" s="557" t="s">
        <v>525</v>
      </c>
      <c r="E40" s="557">
        <v>3.9874999999999998</v>
      </c>
      <c r="F40" s="557">
        <v>6.8460000000000001</v>
      </c>
      <c r="G40" s="557">
        <v>8.2990999999999993</v>
      </c>
      <c r="H40" s="557" t="s">
        <v>525</v>
      </c>
      <c r="I40" s="557">
        <v>4.3014999999999999</v>
      </c>
      <c r="J40" s="557">
        <v>4.0929000000000002</v>
      </c>
    </row>
    <row r="41" spans="1:10" x14ac:dyDescent="0.35">
      <c r="A41" s="555" t="s">
        <v>975</v>
      </c>
      <c r="B41" s="555" t="s">
        <v>976</v>
      </c>
      <c r="C41" s="557">
        <v>165.69139999999999</v>
      </c>
      <c r="D41" s="557">
        <v>18.030899999999999</v>
      </c>
      <c r="E41" s="557">
        <v>-112.4328</v>
      </c>
      <c r="F41" s="557">
        <v>30.032800000000002</v>
      </c>
      <c r="G41" s="557">
        <v>328.7473</v>
      </c>
      <c r="H41" s="557">
        <v>-273.33710000000002</v>
      </c>
      <c r="I41" s="557">
        <v>-344.46339999999998</v>
      </c>
      <c r="J41" s="557">
        <v>-487.15410000000003</v>
      </c>
    </row>
    <row r="42" spans="1:10" x14ac:dyDescent="0.35">
      <c r="A42" s="555" t="s">
        <v>977</v>
      </c>
      <c r="B42" s="555" t="s">
        <v>978</v>
      </c>
      <c r="C42" s="557">
        <v>1079.1343999999999</v>
      </c>
      <c r="D42" s="557">
        <v>1171.8675000000001</v>
      </c>
      <c r="E42" s="557">
        <v>1012.6854</v>
      </c>
      <c r="F42" s="557">
        <v>1120.1222</v>
      </c>
      <c r="G42" s="557">
        <v>1360.2964999999999</v>
      </c>
      <c r="H42" s="557">
        <v>1065.4425000000001</v>
      </c>
      <c r="I42" s="557">
        <v>956.10799999999995</v>
      </c>
      <c r="J42" s="557">
        <v>781.78560000000004</v>
      </c>
    </row>
    <row r="43" spans="1:10" x14ac:dyDescent="0.35">
      <c r="A43" s="555" t="s">
        <v>979</v>
      </c>
      <c r="B43" s="555" t="s">
        <v>980</v>
      </c>
      <c r="C43" s="557">
        <v>908.82839999999999</v>
      </c>
      <c r="D43" s="557">
        <v>1152.6228000000001</v>
      </c>
      <c r="E43" s="557">
        <v>1123.5519999999999</v>
      </c>
      <c r="F43" s="557">
        <v>1090.2054000000001</v>
      </c>
      <c r="G43" s="557">
        <v>1036.2248</v>
      </c>
      <c r="H43" s="557">
        <v>1337.3939</v>
      </c>
      <c r="I43" s="557">
        <v>1287.2789</v>
      </c>
      <c r="J43" s="557">
        <v>1265.8046999999999</v>
      </c>
    </row>
    <row r="44" spans="1:10" x14ac:dyDescent="0.35">
      <c r="A44" s="553" t="s">
        <v>981</v>
      </c>
      <c r="B44" s="553" t="s">
        <v>982</v>
      </c>
      <c r="C44" s="558">
        <v>-212.5376</v>
      </c>
      <c r="D44" s="558">
        <v>-30.042100000000001</v>
      </c>
      <c r="E44" s="558">
        <v>-58.410200000000003</v>
      </c>
      <c r="F44" s="558">
        <v>-82.329400000000007</v>
      </c>
      <c r="G44" s="558">
        <v>-147.8691</v>
      </c>
      <c r="H44" s="558">
        <v>-189.75290000000001</v>
      </c>
      <c r="I44" s="558">
        <v>-338.79399999999998</v>
      </c>
      <c r="J44" s="558">
        <v>-469.62849999999997</v>
      </c>
    </row>
    <row r="45" spans="1:10" x14ac:dyDescent="0.35">
      <c r="A45" s="555" t="s">
        <v>608</v>
      </c>
      <c r="B45" s="556"/>
      <c r="C45" s="556"/>
      <c r="D45" s="556"/>
      <c r="E45" s="556"/>
      <c r="F45" s="556"/>
      <c r="G45" s="556"/>
      <c r="H45" s="556"/>
      <c r="I45" s="556"/>
      <c r="J45" s="556"/>
    </row>
    <row r="46" spans="1:10" x14ac:dyDescent="0.35">
      <c r="A46" s="555" t="s">
        <v>969</v>
      </c>
      <c r="B46" s="555" t="s">
        <v>983</v>
      </c>
      <c r="C46" s="557">
        <v>122.5745</v>
      </c>
      <c r="D46" s="557" t="s">
        <v>525</v>
      </c>
      <c r="E46" s="557" t="s">
        <v>525</v>
      </c>
      <c r="F46" s="557" t="s">
        <v>525</v>
      </c>
      <c r="G46" s="557">
        <v>114.3203</v>
      </c>
      <c r="H46" s="557" t="s">
        <v>525</v>
      </c>
      <c r="I46" s="557" t="s">
        <v>525</v>
      </c>
      <c r="J46" s="557" t="s">
        <v>525</v>
      </c>
    </row>
    <row r="47" spans="1:10" x14ac:dyDescent="0.35">
      <c r="A47" s="555" t="s">
        <v>971</v>
      </c>
      <c r="B47" s="555" t="s">
        <v>984</v>
      </c>
      <c r="C47" s="557">
        <v>18.233499999999999</v>
      </c>
      <c r="D47" s="557" t="s">
        <v>525</v>
      </c>
      <c r="E47" s="557" t="s">
        <v>525</v>
      </c>
      <c r="F47" s="557" t="s">
        <v>525</v>
      </c>
      <c r="G47" s="557">
        <v>10.0503</v>
      </c>
      <c r="H47" s="557" t="s">
        <v>525</v>
      </c>
      <c r="I47" s="557" t="s">
        <v>525</v>
      </c>
      <c r="J47" s="557" t="s">
        <v>525</v>
      </c>
    </row>
    <row r="48" spans="1:10" x14ac:dyDescent="0.35">
      <c r="A48" s="560" t="s">
        <v>798</v>
      </c>
      <c r="B48" s="560"/>
      <c r="C48" s="560" t="s">
        <v>799</v>
      </c>
      <c r="D48" s="560"/>
      <c r="E48" s="560"/>
      <c r="F48" s="560"/>
      <c r="G48" s="560"/>
      <c r="H48" s="560"/>
      <c r="I48" s="560"/>
      <c r="J48" s="56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52"/>
  <sheetViews>
    <sheetView workbookViewId="0"/>
  </sheetViews>
  <sheetFormatPr defaultRowHeight="14.5" x14ac:dyDescent="0.35"/>
  <cols>
    <col min="1" max="1" width="13.54296875" bestFit="1" customWidth="1"/>
    <col min="2" max="2" width="10.7265625" bestFit="1" customWidth="1"/>
    <col min="3" max="3" width="11.7265625" bestFit="1" customWidth="1"/>
    <col min="4" max="4" width="12.54296875" bestFit="1" customWidth="1"/>
    <col min="5" max="5" width="16.7265625" bestFit="1" customWidth="1"/>
    <col min="6" max="6" width="19" bestFit="1" customWidth="1"/>
    <col min="7" max="7" width="13.81640625" bestFit="1" customWidth="1"/>
    <col min="12" max="12" width="18.7265625" bestFit="1" customWidth="1"/>
  </cols>
  <sheetData>
    <row r="1" spans="1:13" x14ac:dyDescent="0.35">
      <c r="A1" s="20" t="s">
        <v>985</v>
      </c>
      <c r="B1" s="20" t="s">
        <v>986</v>
      </c>
      <c r="C1" s="20" t="s">
        <v>987</v>
      </c>
      <c r="D1" s="20" t="s">
        <v>988</v>
      </c>
      <c r="E1" t="s">
        <v>989</v>
      </c>
      <c r="F1" t="s">
        <v>990</v>
      </c>
      <c r="G1" t="s">
        <v>991</v>
      </c>
      <c r="K1" t="s">
        <v>992</v>
      </c>
      <c r="L1" t="s">
        <v>993</v>
      </c>
      <c r="M1" t="s">
        <v>343</v>
      </c>
    </row>
    <row r="2" spans="1:13" x14ac:dyDescent="0.35">
      <c r="A2" s="20">
        <v>46209</v>
      </c>
      <c r="B2" s="20">
        <v>46251</v>
      </c>
      <c r="C2" s="20">
        <v>46251</v>
      </c>
      <c r="D2" s="20">
        <v>46265</v>
      </c>
      <c r="E2">
        <v>0.38</v>
      </c>
      <c r="F2" t="s">
        <v>994</v>
      </c>
      <c r="G2" t="s">
        <v>995</v>
      </c>
      <c r="K2">
        <f t="array" ref="K2">VALUE(LEFT(INDEX('Balance Sheet - Standardized'!C$5:L$5, ROW()-1), 4))</f>
        <v>2016</v>
      </c>
      <c r="L2" s="20">
        <f>IF(
  A2 = "",
  "",
  IFERROR(
    INDEX('Balance Sheet - Standardized'!C$4:L$4, MATCH(K2 &amp; " A", 'Balance Sheet - Standardized'!C$5:L$5, 0)),
    EDATE('Balance Sheet - Standardized'!L$4, 12)
  )
)</f>
        <v>42613</v>
      </c>
      <c r="M2">
        <f t="array" ref="M2">_xlfn.LET(
  _xlpm.endDate, L2,
  _xlpm.startDate, DATE(YEAR(_xlpm.endDate) - 1, MONTH(_xlpm.endDate), DAY(_xlpm.endDate)) + 1,
  _xlpm.exDates, DividendHelper!B$2:B$1000,
  _xlpm.actions, DividendHelper!G$2:G$1000,
  _xlpm.ratios, DividendHelper!E$2:E$1000,
  _xlpm.parsedDates, IF(ISNUMBER(_xlpm.exDates), _xlpm.exDates, IFERROR(DATEVALUE(_xlpm.exDates), "")),
  _xlpm.isInFY, (_xlpm.parsedDates &gt;= _xlpm.startDate) * (_xlpm.parsedDates &lt;= _xlpm.endDate),
  _xlpm.isSplit, IFERROR(ISNUMBER(SEARCH("Stock Split", _xlpm.actions)), FALSE),
  _xlpm.isValidRatio, ISNUMBER(_xlpm.ratios),
  _xlpm.valid, _xlpm.isInFY * _xlpm.isSplit * _xlpm.isValidRatio,
  _xlpm.filtered, _xlfn._xlws.FILTER(_xlpm.ratios, _xlpm.valid),
  IFERROR(PRODUCT(_xlpm.filtered), 1)
)</f>
        <v>1</v>
      </c>
    </row>
    <row r="3" spans="1:13" x14ac:dyDescent="0.35">
      <c r="A3" s="20">
        <v>46115</v>
      </c>
      <c r="B3" s="20">
        <v>46157</v>
      </c>
      <c r="C3" s="20">
        <v>46157</v>
      </c>
      <c r="D3" s="20">
        <v>46171</v>
      </c>
      <c r="E3">
        <v>0.37</v>
      </c>
      <c r="F3" t="s">
        <v>994</v>
      </c>
      <c r="G3" t="s">
        <v>995</v>
      </c>
      <c r="K3">
        <f t="array" ref="K3">VALUE(LEFT(INDEX('Balance Sheet - Standardized'!C$5:L$5, ROW()-1), 4))</f>
        <v>2017</v>
      </c>
      <c r="L3" s="20">
        <f>IF(
  A3 = "",
  "",
  IFERROR(
    INDEX('Balance Sheet - Standardized'!C$4:L$4, MATCH(K3 &amp; " A", 'Balance Sheet - Standardized'!C$5:L$5, 0)),
    EDATE('Balance Sheet - Standardized'!L$4, 12)
  )
)</f>
        <v>42978</v>
      </c>
      <c r="M3">
        <f t="array" ref="M3">_xlfn.LET(
  _xlpm.endDate, L3,
  _xlpm.startDate, DATE(YEAR(_xlpm.endDate) - 1, MONTH(_xlpm.endDate), DAY(_xlpm.endDate)) + 1,
  _xlpm.exDates, DividendHelper!B$2:B$1000,
  _xlpm.actions, DividendHelper!G$2:G$1000,
  _xlpm.ratios, DividendHelper!E$2:E$1000,
  _xlpm.parsedDates, IF(ISNUMBER(_xlpm.exDates), _xlpm.exDates, IFERROR(DATEVALUE(_xlpm.exDates), "")),
  _xlpm.isInFY, (_xlpm.parsedDates &gt;= _xlpm.startDate) * (_xlpm.parsedDates &lt;= _xlpm.endDate),
  _xlpm.isSplit, IFERROR(ISNUMBER(SEARCH("Stock Split", _xlpm.actions)), FALSE),
  _xlpm.isValidRatio, ISNUMBER(_xlpm.ratios),
  _xlpm.valid, _xlpm.isInFY * _xlpm.isSplit * _xlpm.isValidRatio,
  _xlpm.filtered, _xlfn._xlws.FILTER(_xlpm.ratios, _xlpm.valid),
  IFERROR(PRODUCT(_xlpm.filtered), 1)
)</f>
        <v>1</v>
      </c>
    </row>
    <row r="4" spans="1:13" x14ac:dyDescent="0.35">
      <c r="A4" s="20">
        <v>46031</v>
      </c>
      <c r="B4" s="20">
        <v>46066</v>
      </c>
      <c r="C4" s="20">
        <v>46066</v>
      </c>
      <c r="D4" s="20">
        <v>46080</v>
      </c>
      <c r="E4">
        <v>0.37</v>
      </c>
      <c r="F4" t="s">
        <v>994</v>
      </c>
      <c r="G4" t="s">
        <v>995</v>
      </c>
      <c r="K4">
        <f t="array" ref="K4">VALUE(LEFT(INDEX('Balance Sheet - Standardized'!C$5:L$5, ROW()-1), 4))</f>
        <v>2018</v>
      </c>
      <c r="L4" s="20">
        <f>IF(
  A4 = "",
  "",
  IFERROR(
    INDEX('Balance Sheet - Standardized'!C$4:L$4, MATCH(K4 &amp; " A", 'Balance Sheet - Standardized'!C$5:L$5, 0)),
    EDATE('Balance Sheet - Standardized'!L$4, 12)
  )
)</f>
        <v>43343</v>
      </c>
      <c r="M4">
        <f t="array" ref="M4">_xlfn.LET(
  _xlpm.endDate, L4,
  _xlpm.startDate, DATE(YEAR(_xlpm.endDate) - 1, MONTH(_xlpm.endDate), DAY(_xlpm.endDate)) + 1,
  _xlpm.exDates, DividendHelper!B$2:B$1000,
  _xlpm.actions, DividendHelper!G$2:G$1000,
  _xlpm.ratios, DividendHelper!E$2:E$1000,
  _xlpm.parsedDates, IF(ISNUMBER(_xlpm.exDates), _xlpm.exDates, IFERROR(DATEVALUE(_xlpm.exDates), "")),
  _xlpm.isInFY, (_xlpm.parsedDates &gt;= _xlpm.startDate) * (_xlpm.parsedDates &lt;= _xlpm.endDate),
  _xlpm.isSplit, IFERROR(ISNUMBER(SEARCH("Stock Split", _xlpm.actions)), FALSE),
  _xlpm.isValidRatio, ISNUMBER(_xlpm.ratios),
  _xlpm.valid, _xlpm.isInFY * _xlpm.isSplit * _xlpm.isValidRatio,
  _xlpm.filtered, _xlfn._xlws.FILTER(_xlpm.ratios, _xlpm.valid),
  IFERROR(PRODUCT(_xlpm.filtered), 1)
)</f>
        <v>1</v>
      </c>
    </row>
    <row r="5" spans="1:13" x14ac:dyDescent="0.35">
      <c r="A5" s="20">
        <v>45957</v>
      </c>
      <c r="B5" s="20">
        <v>45975</v>
      </c>
      <c r="C5" s="20">
        <v>45975</v>
      </c>
      <c r="D5" s="20">
        <v>45989</v>
      </c>
      <c r="E5">
        <v>0.37</v>
      </c>
      <c r="F5" t="s">
        <v>994</v>
      </c>
      <c r="G5" t="s">
        <v>995</v>
      </c>
      <c r="K5">
        <f t="array" ref="K5">VALUE(LEFT(INDEX('Balance Sheet - Standardized'!C$5:L$5, ROW()-1), 4))</f>
        <v>2019</v>
      </c>
      <c r="L5" s="20">
        <f>IF(
  A5 = "",
  "",
  IFERROR(
    INDEX('Balance Sheet - Standardized'!C$4:L$4, MATCH(K5 &amp; " A", 'Balance Sheet - Standardized'!C$5:L$5, 0)),
    EDATE('Balance Sheet - Standardized'!L$4, 12)
  )
)</f>
        <v>43708</v>
      </c>
      <c r="M5">
        <f t="array" ref="M5">_xlfn.LET(
  _xlpm.endDate, L5,
  _xlpm.startDate, DATE(YEAR(_xlpm.endDate) - 1, MONTH(_xlpm.endDate), DAY(_xlpm.endDate)) + 1,
  _xlpm.exDates, DividendHelper!B$2:B$1000,
  _xlpm.actions, DividendHelper!G$2:G$1000,
  _xlpm.ratios, DividendHelper!E$2:E$1000,
  _xlpm.parsedDates, IF(ISNUMBER(_xlpm.exDates), _xlpm.exDates, IFERROR(DATEVALUE(_xlpm.exDates), "")),
  _xlpm.isInFY, (_xlpm.parsedDates &gt;= _xlpm.startDate) * (_xlpm.parsedDates &lt;= _xlpm.endDate),
  _xlpm.isSplit, IFERROR(ISNUMBER(SEARCH("Stock Split", _xlpm.actions)), FALSE),
  _xlpm.isValidRatio, ISNUMBER(_xlpm.ratios),
  _xlpm.valid, _xlpm.isInFY * _xlpm.isSplit * _xlpm.isValidRatio,
  _xlpm.filtered, _xlfn._xlws.FILTER(_xlpm.ratios, _xlpm.valid),
  IFERROR(PRODUCT(_xlpm.filtered), 1)
)</f>
        <v>1</v>
      </c>
    </row>
    <row r="6" spans="1:13" x14ac:dyDescent="0.35">
      <c r="A6" s="20">
        <v>45835</v>
      </c>
      <c r="B6" s="20">
        <v>45884</v>
      </c>
      <c r="C6" s="20">
        <v>45884</v>
      </c>
      <c r="D6" s="20">
        <v>45898</v>
      </c>
      <c r="E6">
        <v>0.37</v>
      </c>
      <c r="F6" t="s">
        <v>994</v>
      </c>
      <c r="G6" t="s">
        <v>995</v>
      </c>
      <c r="K6">
        <f t="array" ref="K6">VALUE(LEFT(INDEX('Balance Sheet - Standardized'!C$5:L$5, ROW()-1), 4))</f>
        <v>2020</v>
      </c>
      <c r="L6" s="20">
        <f>IF(
  A6 = "",
  "",
  IFERROR(
    INDEX('Balance Sheet - Standardized'!C$4:L$4, MATCH(K6 &amp; " A", 'Balance Sheet - Standardized'!C$5:L$5, 0)),
    EDATE('Balance Sheet - Standardized'!L$4, 12)
  )
)</f>
        <v>44074</v>
      </c>
      <c r="M6">
        <f t="array" ref="M6">_xlfn.LET(
  _xlpm.endDate, L6,
  _xlpm.startDate, DATE(YEAR(_xlpm.endDate) - 1, MONTH(_xlpm.endDate), DAY(_xlpm.endDate)) + 1,
  _xlpm.exDates, DividendHelper!B$2:B$1000,
  _xlpm.actions, DividendHelper!G$2:G$1000,
  _xlpm.ratios, DividendHelper!E$2:E$1000,
  _xlpm.parsedDates, IF(ISNUMBER(_xlpm.exDates), _xlpm.exDates, IFERROR(DATEVALUE(_xlpm.exDates), "")),
  _xlpm.isInFY, (_xlpm.parsedDates &gt;= _xlpm.startDate) * (_xlpm.parsedDates &lt;= _xlpm.endDate),
  _xlpm.isSplit, IFERROR(ISNUMBER(SEARCH("Stock Split", _xlpm.actions)), FALSE),
  _xlpm.isValidRatio, ISNUMBER(_xlpm.ratios),
  _xlpm.valid, _xlpm.isInFY * _xlpm.isSplit * _xlpm.isValidRatio,
  _xlpm.filtered, _xlfn._xlws.FILTER(_xlpm.ratios, _xlpm.valid),
  IFERROR(PRODUCT(_xlpm.filtered), 1)
)</f>
        <v>1</v>
      </c>
    </row>
    <row r="7" spans="1:13" x14ac:dyDescent="0.35">
      <c r="A7" s="20">
        <v>45751</v>
      </c>
      <c r="B7" s="20">
        <v>45793</v>
      </c>
      <c r="C7" s="20">
        <v>45793</v>
      </c>
      <c r="D7" s="20">
        <v>45807</v>
      </c>
      <c r="E7">
        <v>0.36</v>
      </c>
      <c r="F7" t="s">
        <v>994</v>
      </c>
      <c r="G7" t="s">
        <v>995</v>
      </c>
      <c r="K7">
        <f t="array" ref="K7">VALUE(LEFT(INDEX('Balance Sheet - Standardized'!C$5:L$5, ROW()-1), 4))</f>
        <v>2021</v>
      </c>
      <c r="L7" s="20">
        <f>IF(
  A7 = "",
  "",
  IFERROR(
    INDEX('Balance Sheet - Standardized'!C$4:L$4, MATCH(K7 &amp; " A", 'Balance Sheet - Standardized'!C$5:L$5, 0)),
    EDATE('Balance Sheet - Standardized'!L$4, 12)
  )
)</f>
        <v>44439</v>
      </c>
      <c r="M7">
        <f t="array" ref="M7">_xlfn.LET(
  _xlpm.endDate, L7,
  _xlpm.startDate, DATE(YEAR(_xlpm.endDate) - 1, MONTH(_xlpm.endDate), DAY(_xlpm.endDate)) + 1,
  _xlpm.exDates, DividendHelper!B$2:B$1000,
  _xlpm.actions, DividendHelper!G$2:G$1000,
  _xlpm.ratios, DividendHelper!E$2:E$1000,
  _xlpm.parsedDates, IF(ISNUMBER(_xlpm.exDates), _xlpm.exDates, IFERROR(DATEVALUE(_xlpm.exDates), "")),
  _xlpm.isInFY, (_xlpm.parsedDates &gt;= _xlpm.startDate) * (_xlpm.parsedDates &lt;= _xlpm.endDate),
  _xlpm.isSplit, IFERROR(ISNUMBER(SEARCH("Stock Split", _xlpm.actions)), FALSE),
  _xlpm.isValidRatio, ISNUMBER(_xlpm.ratios),
  _xlpm.valid, _xlpm.isInFY * _xlpm.isSplit * _xlpm.isValidRatio,
  _xlpm.filtered, _xlfn._xlws.FILTER(_xlpm.ratios, _xlpm.valid),
  IFERROR(PRODUCT(_xlpm.filtered), 1)
)</f>
        <v>1</v>
      </c>
    </row>
    <row r="8" spans="1:13" x14ac:dyDescent="0.35">
      <c r="A8" s="20">
        <v>45667</v>
      </c>
      <c r="B8" s="20">
        <v>45702</v>
      </c>
      <c r="C8" s="20">
        <v>45702</v>
      </c>
      <c r="D8" s="20">
        <v>45716</v>
      </c>
      <c r="E8">
        <v>0.36</v>
      </c>
      <c r="F8" t="s">
        <v>994</v>
      </c>
      <c r="G8" t="s">
        <v>995</v>
      </c>
      <c r="K8">
        <f t="array" ref="K8">VALUE(LEFT(INDEX('Balance Sheet - Standardized'!C$5:L$5, ROW()-1), 4))</f>
        <v>2022</v>
      </c>
      <c r="L8" s="20">
        <f>IF(
  A8 = "",
  "",
  IFERROR(
    INDEX('Balance Sheet - Standardized'!C$4:L$4, MATCH(K8 &amp; " A", 'Balance Sheet - Standardized'!C$5:L$5, 0)),
    EDATE('Balance Sheet - Standardized'!L$4, 12)
  )
)</f>
        <v>44804</v>
      </c>
      <c r="M8">
        <f t="array" ref="M8">_xlfn.LET(
  _xlpm.endDate, L8,
  _xlpm.startDate, DATE(YEAR(_xlpm.endDate) - 1, MONTH(_xlpm.endDate), DAY(_xlpm.endDate)) + 1,
  _xlpm.exDates, DividendHelper!B$2:B$1000,
  _xlpm.actions, DividendHelper!G$2:G$1000,
  _xlpm.ratios, DividendHelper!E$2:E$1000,
  _xlpm.parsedDates, IF(ISNUMBER(_xlpm.exDates), _xlpm.exDates, IFERROR(DATEVALUE(_xlpm.exDates), "")),
  _xlpm.isInFY, (_xlpm.parsedDates &gt;= _xlpm.startDate) * (_xlpm.parsedDates &lt;= _xlpm.endDate),
  _xlpm.isSplit, IFERROR(ISNUMBER(SEARCH("Stock Split", _xlpm.actions)), FALSE),
  _xlpm.isValidRatio, ISNUMBER(_xlpm.ratios),
  _xlpm.valid, _xlpm.isInFY * _xlpm.isSplit * _xlpm.isValidRatio,
  _xlpm.filtered, _xlfn._xlws.FILTER(_xlpm.ratios, _xlpm.valid),
  IFERROR(PRODUCT(_xlpm.filtered), 1)
)</f>
        <v>1</v>
      </c>
    </row>
    <row r="9" spans="1:13" x14ac:dyDescent="0.35">
      <c r="A9" s="20">
        <v>45590</v>
      </c>
      <c r="B9" s="20">
        <v>45611</v>
      </c>
      <c r="C9" s="20">
        <v>45611</v>
      </c>
      <c r="D9" s="20">
        <v>45625</v>
      </c>
      <c r="E9">
        <v>0.36</v>
      </c>
      <c r="F9" t="s">
        <v>994</v>
      </c>
      <c r="G9" t="s">
        <v>995</v>
      </c>
      <c r="K9">
        <f t="array" ref="K9">VALUE(LEFT(INDEX('Balance Sheet - Standardized'!C$5:L$5, ROW()-1), 4))</f>
        <v>2023</v>
      </c>
      <c r="L9" s="20">
        <f>IF(
  A9 = "",
  "",
  IFERROR(
    INDEX('Balance Sheet - Standardized'!C$4:L$4, MATCH(K9 &amp; " A", 'Balance Sheet - Standardized'!C$5:L$5, 0)),
    EDATE('Balance Sheet - Standardized'!L$4, 12)
  )
)</f>
        <v>45169</v>
      </c>
      <c r="M9">
        <f t="array" ref="M9">_xlfn.LET(
  _xlpm.endDate, L9,
  _xlpm.startDate, DATE(YEAR(_xlpm.endDate) - 1, MONTH(_xlpm.endDate), DAY(_xlpm.endDate)) + 1,
  _xlpm.exDates, DividendHelper!B$2:B$1000,
  _xlpm.actions, DividendHelper!G$2:G$1000,
  _xlpm.ratios, DividendHelper!E$2:E$1000,
  _xlpm.parsedDates, IF(ISNUMBER(_xlpm.exDates), _xlpm.exDates, IFERROR(DATEVALUE(_xlpm.exDates), "")),
  _xlpm.isInFY, (_xlpm.parsedDates &gt;= _xlpm.startDate) * (_xlpm.parsedDates &lt;= _xlpm.endDate),
  _xlpm.isSplit, IFERROR(ISNUMBER(SEARCH("Stock Split", _xlpm.actions)), FALSE),
  _xlpm.isValidRatio, ISNUMBER(_xlpm.ratios),
  _xlpm.valid, _xlpm.isInFY * _xlpm.isSplit * _xlpm.isValidRatio,
  _xlpm.filtered, _xlfn._xlws.FILTER(_xlpm.ratios, _xlpm.valid),
  IFERROR(PRODUCT(_xlpm.filtered), 1)
)</f>
        <v>1</v>
      </c>
    </row>
    <row r="10" spans="1:13" x14ac:dyDescent="0.35">
      <c r="A10" s="20">
        <v>45471</v>
      </c>
      <c r="B10" s="20">
        <v>45520</v>
      </c>
      <c r="C10" s="20">
        <v>45520</v>
      </c>
      <c r="D10" s="20">
        <v>45534</v>
      </c>
      <c r="E10">
        <v>0.36</v>
      </c>
      <c r="F10" t="s">
        <v>994</v>
      </c>
      <c r="G10" t="s">
        <v>995</v>
      </c>
      <c r="K10">
        <f t="array" ref="K10">VALUE(LEFT(INDEX('Balance Sheet - Standardized'!C$5:L$5, ROW()-1), 4))</f>
        <v>2024</v>
      </c>
      <c r="L10" s="20">
        <f>IF(
  A10 = "",
  "",
  IFERROR(
    INDEX('Balance Sheet - Standardized'!C$4:L$4, MATCH(K10 &amp; " A", 'Balance Sheet - Standardized'!C$5:L$5, 0)),
    EDATE('Balance Sheet - Standardized'!L$4, 12)
  )
)</f>
        <v>45535</v>
      </c>
      <c r="M10">
        <f t="array" ref="M10">_xlfn.LET(
  _xlpm.endDate, L10,
  _xlpm.startDate, DATE(YEAR(_xlpm.endDate) - 1, MONTH(_xlpm.endDate), DAY(_xlpm.endDate)) + 1,
  _xlpm.exDates, DividendHelper!B$2:B$1000,
  _xlpm.actions, DividendHelper!G$2:G$1000,
  _xlpm.ratios, DividendHelper!E$2:E$1000,
  _xlpm.parsedDates, IF(ISNUMBER(_xlpm.exDates), _xlpm.exDates, IFERROR(DATEVALUE(_xlpm.exDates), "")),
  _xlpm.isInFY, (_xlpm.parsedDates &gt;= _xlpm.startDate) * (_xlpm.parsedDates &lt;= _xlpm.endDate),
  _xlpm.isSplit, IFERROR(ISNUMBER(SEARCH("Stock Split", _xlpm.actions)), FALSE),
  _xlpm.isValidRatio, ISNUMBER(_xlpm.ratios),
  _xlpm.valid, _xlpm.isInFY * _xlpm.isSplit * _xlpm.isValidRatio,
  _xlpm.filtered, _xlfn._xlws.FILTER(_xlpm.ratios, _xlpm.valid),
  IFERROR(PRODUCT(_xlpm.filtered), 1)
)</f>
        <v>1</v>
      </c>
    </row>
    <row r="11" spans="1:13" x14ac:dyDescent="0.35">
      <c r="A11" s="20">
        <v>45387</v>
      </c>
      <c r="B11" s="20">
        <v>45428</v>
      </c>
      <c r="C11" s="20">
        <v>45429</v>
      </c>
      <c r="D11" s="20">
        <v>45443</v>
      </c>
      <c r="E11">
        <v>0.35</v>
      </c>
      <c r="F11" t="s">
        <v>994</v>
      </c>
      <c r="G11" t="s">
        <v>995</v>
      </c>
      <c r="K11">
        <f t="array" ref="K11">VALUE(LEFT(INDEX('Balance Sheet - Standardized'!C$5:L$5, ROW()-1), 4))</f>
        <v>2025</v>
      </c>
      <c r="L11" s="20">
        <f>IF(
  A11 = "",
  "",
  IFERROR(
    INDEX('Balance Sheet - Standardized'!C$4:L$4, MATCH(K11 &amp; " A", 'Balance Sheet - Standardized'!C$5:L$5, 0)),
    EDATE('Balance Sheet - Standardized'!L$4, 12)
  )
)</f>
        <v>45900</v>
      </c>
      <c r="M11">
        <f t="array" ref="M11">_xlfn.LET(
  _xlpm.endDate, L11,
  _xlpm.startDate, DATE(YEAR(_xlpm.endDate) - 1, MONTH(_xlpm.endDate), DAY(_xlpm.endDate)) + 1,
  _xlpm.exDates, DividendHelper!B$2:B$1000,
  _xlpm.actions, DividendHelper!G$2:G$1000,
  _xlpm.ratios, DividendHelper!E$2:E$1000,
  _xlpm.parsedDates, IF(ISNUMBER(_xlpm.exDates), _xlpm.exDates, IFERROR(DATEVALUE(_xlpm.exDates), "")),
  _xlpm.isInFY, (_xlpm.parsedDates &gt;= _xlpm.startDate) * (_xlpm.parsedDates &lt;= _xlpm.endDate),
  _xlpm.isSplit, IFERROR(ISNUMBER(SEARCH("Stock Split", _xlpm.actions)), FALSE),
  _xlpm.isValidRatio, ISNUMBER(_xlpm.ratios),
  _xlpm.valid, _xlpm.isInFY * _xlpm.isSplit * _xlpm.isValidRatio,
  _xlpm.filtered, _xlfn._xlws.FILTER(_xlpm.ratios, _xlpm.valid),
  IFERROR(PRODUCT(_xlpm.filtered), 1)
)</f>
        <v>1</v>
      </c>
    </row>
    <row r="12" spans="1:13" x14ac:dyDescent="0.35">
      <c r="A12" s="20">
        <v>45303</v>
      </c>
      <c r="B12" s="20">
        <v>45336</v>
      </c>
      <c r="C12" s="20">
        <v>45337</v>
      </c>
      <c r="D12" s="20">
        <v>45351</v>
      </c>
      <c r="E12">
        <v>0.35</v>
      </c>
      <c r="F12" t="s">
        <v>994</v>
      </c>
      <c r="G12" t="s">
        <v>995</v>
      </c>
      <c r="K12">
        <f ca="1">IF(
  AND(
    TODAY() &gt; 'Balance Sheet - Standardized'!L4,
    COUNTIFS(DividendHelper!B:B, "&gt;" &amp; 'Balance Sheet - Standardized'!L4) &gt; 0
  ),
  VALUE(LEFT('Balance Sheet - Standardized'!L5, 4)) + 1,
  ""
)</f>
        <v>2026</v>
      </c>
      <c r="L12" s="20">
        <f ca="1">IF(
  A12 = "",
  "",
  IFERROR(
    INDEX('Balance Sheet - Standardized'!C$4:L$4, MATCH(K12 &amp; " A", 'Balance Sheet - Standardized'!C$5:L$5, 0)),
    EDATE('Balance Sheet - Standardized'!L$4, 12)
  )
)</f>
        <v>46265</v>
      </c>
      <c r="M12">
        <f t="array" aca="1" ref="M12" ca="1">_xlfn.LET(
  _xlpm.endDate, L12,
  _xlpm.startDate, DATE(YEAR(_xlpm.endDate) - 1, MONTH(_xlpm.endDate), DAY(_xlpm.endDate)) + 1,
  _xlpm.exDates, DividendHelper!B$2:B$1000,
  _xlpm.actions, DividendHelper!G$2:G$1000,
  _xlpm.ratios, DividendHelper!E$2:E$1000,
  _xlpm.parsedDates, IF(ISNUMBER(_xlpm.exDates), _xlpm.exDates, IFERROR(DATEVALUE(_xlpm.exDates), "")),
  _xlpm.isInFY, (_xlpm.parsedDates &gt;= _xlpm.startDate) * (_xlpm.parsedDates &lt;= _xlpm.endDate),
  _xlpm.isSplit, IFERROR(ISNUMBER(SEARCH("Stock Split", _xlpm.actions)), FALSE),
  _xlpm.isValidRatio, ISNUMBER(_xlpm.ratios),
  _xlpm.valid, _xlpm.isInFY * _xlpm.isSplit * _xlpm.isValidRatio,
  _xlpm.filtered, _xlfn._xlws.FILTER(_xlpm.ratios, _xlpm.valid),
  IFERROR(PRODUCT(_xlpm.filtered), 1)
)</f>
        <v>1</v>
      </c>
    </row>
    <row r="13" spans="1:13" x14ac:dyDescent="0.35">
      <c r="A13" s="20">
        <v>45219</v>
      </c>
      <c r="B13" s="20">
        <v>45245</v>
      </c>
      <c r="C13" s="20">
        <v>45246</v>
      </c>
      <c r="D13" s="20">
        <v>45260</v>
      </c>
      <c r="E13">
        <v>0.35</v>
      </c>
      <c r="F13" t="s">
        <v>994</v>
      </c>
      <c r="G13" t="s">
        <v>995</v>
      </c>
    </row>
    <row r="14" spans="1:13" x14ac:dyDescent="0.35">
      <c r="A14" s="20">
        <v>45114</v>
      </c>
      <c r="B14" s="20">
        <v>45154</v>
      </c>
      <c r="C14" s="20">
        <v>45155</v>
      </c>
      <c r="D14" s="20">
        <v>45169</v>
      </c>
      <c r="E14">
        <v>0.35</v>
      </c>
      <c r="F14" t="s">
        <v>994</v>
      </c>
      <c r="G14" t="s">
        <v>995</v>
      </c>
    </row>
    <row r="15" spans="1:13" x14ac:dyDescent="0.35">
      <c r="A15" s="20">
        <v>45021</v>
      </c>
      <c r="B15" s="20">
        <v>45062</v>
      </c>
      <c r="C15" s="20">
        <v>45063</v>
      </c>
      <c r="D15" s="20">
        <v>45077</v>
      </c>
      <c r="E15">
        <v>0.34</v>
      </c>
      <c r="F15" t="s">
        <v>994</v>
      </c>
      <c r="G15" t="s">
        <v>995</v>
      </c>
    </row>
    <row r="16" spans="1:13" x14ac:dyDescent="0.35">
      <c r="A16" s="20">
        <v>44939</v>
      </c>
      <c r="B16" s="20">
        <v>44970</v>
      </c>
      <c r="C16" s="20">
        <v>44971</v>
      </c>
      <c r="D16" s="20">
        <v>44985</v>
      </c>
      <c r="E16">
        <v>0.34</v>
      </c>
      <c r="F16" t="s">
        <v>994</v>
      </c>
      <c r="G16" t="s">
        <v>995</v>
      </c>
    </row>
    <row r="17" spans="1:7" x14ac:dyDescent="0.35">
      <c r="A17" s="20">
        <v>44855</v>
      </c>
      <c r="B17" s="20">
        <v>44880</v>
      </c>
      <c r="C17" s="20">
        <v>44881</v>
      </c>
      <c r="D17" s="20">
        <v>44895</v>
      </c>
      <c r="E17">
        <v>0.34</v>
      </c>
      <c r="F17" t="s">
        <v>994</v>
      </c>
      <c r="G17" t="s">
        <v>995</v>
      </c>
    </row>
    <row r="18" spans="1:7" x14ac:dyDescent="0.35">
      <c r="A18" s="20">
        <v>44743</v>
      </c>
      <c r="B18" s="20">
        <v>44789</v>
      </c>
      <c r="C18" s="20">
        <v>44790</v>
      </c>
      <c r="D18" s="20">
        <v>44804</v>
      </c>
      <c r="E18">
        <v>0.34</v>
      </c>
      <c r="F18" t="s">
        <v>994</v>
      </c>
      <c r="G18" t="s">
        <v>995</v>
      </c>
    </row>
    <row r="19" spans="1:7" x14ac:dyDescent="0.35">
      <c r="A19" s="20">
        <v>44657</v>
      </c>
      <c r="B19" s="20">
        <v>44697</v>
      </c>
      <c r="C19" s="20">
        <v>44698</v>
      </c>
      <c r="D19" s="20">
        <v>44712</v>
      </c>
      <c r="E19">
        <v>0.33</v>
      </c>
      <c r="F19" t="s">
        <v>994</v>
      </c>
      <c r="G19" t="s">
        <v>995</v>
      </c>
    </row>
    <row r="20" spans="1:7" x14ac:dyDescent="0.35">
      <c r="A20" s="20">
        <v>44568</v>
      </c>
      <c r="B20" s="20">
        <v>44603</v>
      </c>
      <c r="C20" s="20">
        <v>44606</v>
      </c>
      <c r="D20" s="20">
        <v>44620</v>
      </c>
      <c r="E20">
        <v>0.33</v>
      </c>
      <c r="F20" t="s">
        <v>994</v>
      </c>
      <c r="G20" t="s">
        <v>995</v>
      </c>
    </row>
    <row r="21" spans="1:7" x14ac:dyDescent="0.35">
      <c r="A21" s="20">
        <v>44494</v>
      </c>
      <c r="B21" s="20">
        <v>44515</v>
      </c>
      <c r="C21" s="20">
        <v>44516</v>
      </c>
      <c r="D21" s="20">
        <v>44530</v>
      </c>
      <c r="E21">
        <v>0.33</v>
      </c>
      <c r="F21" t="s">
        <v>994</v>
      </c>
      <c r="G21" t="s">
        <v>995</v>
      </c>
    </row>
    <row r="22" spans="1:7" x14ac:dyDescent="0.35">
      <c r="A22" s="20">
        <v>44378</v>
      </c>
      <c r="B22" s="20">
        <v>44424</v>
      </c>
      <c r="C22" s="20">
        <v>44425</v>
      </c>
      <c r="D22" s="20">
        <v>44439</v>
      </c>
      <c r="E22">
        <v>0.33</v>
      </c>
      <c r="F22" t="s">
        <v>994</v>
      </c>
      <c r="G22" t="s">
        <v>995</v>
      </c>
    </row>
    <row r="23" spans="1:7" x14ac:dyDescent="0.35">
      <c r="A23" s="20">
        <v>44291</v>
      </c>
      <c r="B23" s="20">
        <v>44329</v>
      </c>
      <c r="C23" s="20">
        <v>44330</v>
      </c>
      <c r="D23" s="20">
        <v>44344</v>
      </c>
      <c r="E23">
        <v>0.33</v>
      </c>
      <c r="F23" t="s">
        <v>994</v>
      </c>
      <c r="G23" t="s">
        <v>995</v>
      </c>
    </row>
    <row r="24" spans="1:7" x14ac:dyDescent="0.35">
      <c r="A24" s="20">
        <v>44204</v>
      </c>
      <c r="B24" s="20">
        <v>44238</v>
      </c>
      <c r="C24" s="20">
        <v>44239</v>
      </c>
      <c r="D24" s="20">
        <v>44253</v>
      </c>
      <c r="E24">
        <v>0.32</v>
      </c>
      <c r="F24" t="s">
        <v>994</v>
      </c>
      <c r="G24" t="s">
        <v>995</v>
      </c>
    </row>
    <row r="25" spans="1:7" x14ac:dyDescent="0.35">
      <c r="A25" s="20">
        <v>44125</v>
      </c>
      <c r="B25" s="20">
        <v>44148</v>
      </c>
      <c r="C25" s="20">
        <v>44151</v>
      </c>
      <c r="D25" s="20">
        <v>44165</v>
      </c>
      <c r="E25">
        <v>0.32</v>
      </c>
      <c r="F25" t="s">
        <v>994</v>
      </c>
      <c r="G25" t="s">
        <v>995</v>
      </c>
    </row>
    <row r="26" spans="1:7" x14ac:dyDescent="0.35">
      <c r="A26" s="20">
        <v>44018</v>
      </c>
      <c r="B26" s="20">
        <v>44057</v>
      </c>
      <c r="C26" s="20">
        <v>44060</v>
      </c>
      <c r="D26" s="20">
        <v>44074</v>
      </c>
      <c r="E26">
        <v>0.32</v>
      </c>
      <c r="F26" t="s">
        <v>994</v>
      </c>
      <c r="G26" t="s">
        <v>995</v>
      </c>
    </row>
    <row r="27" spans="1:7" x14ac:dyDescent="0.35">
      <c r="A27" s="20">
        <v>43927</v>
      </c>
      <c r="B27" s="20">
        <v>43965</v>
      </c>
      <c r="C27" s="20">
        <v>43966</v>
      </c>
      <c r="D27" s="20">
        <v>43980</v>
      </c>
      <c r="E27">
        <v>0.32</v>
      </c>
      <c r="F27" t="s">
        <v>994</v>
      </c>
      <c r="G27" t="s">
        <v>995</v>
      </c>
    </row>
    <row r="28" spans="1:7" x14ac:dyDescent="0.35">
      <c r="A28" s="20">
        <v>43843</v>
      </c>
      <c r="B28" s="20">
        <v>43874</v>
      </c>
      <c r="C28" s="20">
        <v>43875</v>
      </c>
      <c r="D28" s="20">
        <v>43889</v>
      </c>
      <c r="E28">
        <v>0.31</v>
      </c>
      <c r="F28" t="s">
        <v>994</v>
      </c>
      <c r="G28" t="s">
        <v>995</v>
      </c>
    </row>
    <row r="29" spans="1:7" x14ac:dyDescent="0.35">
      <c r="A29" s="20">
        <v>43768</v>
      </c>
      <c r="B29" s="20">
        <v>43783</v>
      </c>
      <c r="C29" s="20">
        <v>43784</v>
      </c>
      <c r="D29" s="20">
        <v>43798</v>
      </c>
      <c r="E29">
        <v>0.31</v>
      </c>
      <c r="F29" t="s">
        <v>994</v>
      </c>
      <c r="G29" t="s">
        <v>995</v>
      </c>
    </row>
    <row r="30" spans="1:7" x14ac:dyDescent="0.35">
      <c r="A30" s="20">
        <v>43647</v>
      </c>
      <c r="B30" s="20">
        <v>43692</v>
      </c>
      <c r="C30" s="20">
        <v>43693</v>
      </c>
      <c r="D30" s="20">
        <v>43707</v>
      </c>
      <c r="E30">
        <v>0.31</v>
      </c>
      <c r="F30" t="s">
        <v>994</v>
      </c>
      <c r="G30" t="s">
        <v>995</v>
      </c>
    </row>
    <row r="31" spans="1:7" x14ac:dyDescent="0.35">
      <c r="A31" s="20">
        <v>43556</v>
      </c>
      <c r="B31" s="20">
        <v>43601</v>
      </c>
      <c r="C31" s="20">
        <v>43602</v>
      </c>
      <c r="D31" s="20">
        <v>43616</v>
      </c>
      <c r="E31">
        <v>0.31</v>
      </c>
      <c r="F31" t="s">
        <v>994</v>
      </c>
      <c r="G31" t="s">
        <v>995</v>
      </c>
    </row>
    <row r="32" spans="1:7" x14ac:dyDescent="0.35">
      <c r="A32" s="20">
        <v>43472</v>
      </c>
      <c r="B32" s="20">
        <v>43509</v>
      </c>
      <c r="C32" s="20">
        <v>43510</v>
      </c>
      <c r="D32" s="20">
        <v>43524</v>
      </c>
      <c r="E32">
        <v>0.31</v>
      </c>
      <c r="F32" t="s">
        <v>994</v>
      </c>
      <c r="G32" t="s">
        <v>995</v>
      </c>
    </row>
    <row r="33" spans="1:7" x14ac:dyDescent="0.35">
      <c r="A33" s="20">
        <v>43392</v>
      </c>
      <c r="B33" s="20">
        <v>43419</v>
      </c>
      <c r="C33" s="20">
        <v>43420</v>
      </c>
      <c r="D33" s="20">
        <v>43434</v>
      </c>
      <c r="E33">
        <v>0.31</v>
      </c>
      <c r="F33" t="s">
        <v>994</v>
      </c>
      <c r="G33" t="s">
        <v>995</v>
      </c>
    </row>
    <row r="34" spans="1:7" x14ac:dyDescent="0.35">
      <c r="A34" s="20">
        <v>43278</v>
      </c>
      <c r="B34" s="20">
        <v>43328</v>
      </c>
      <c r="C34" s="20">
        <v>43329</v>
      </c>
      <c r="D34" s="20">
        <v>43343</v>
      </c>
      <c r="E34">
        <v>0.31</v>
      </c>
      <c r="F34" t="s">
        <v>994</v>
      </c>
      <c r="G34" t="s">
        <v>995</v>
      </c>
    </row>
    <row r="35" spans="1:7" x14ac:dyDescent="0.35">
      <c r="A35" s="20">
        <v>43224</v>
      </c>
      <c r="B35" s="20">
        <v>43236</v>
      </c>
      <c r="C35" s="20">
        <v>43237</v>
      </c>
      <c r="D35" s="20">
        <v>43251</v>
      </c>
      <c r="E35">
        <v>0.3</v>
      </c>
      <c r="F35" t="s">
        <v>994</v>
      </c>
      <c r="G35" t="s">
        <v>995</v>
      </c>
    </row>
    <row r="36" spans="1:7" x14ac:dyDescent="0.35">
      <c r="A36" s="20">
        <v>43077</v>
      </c>
      <c r="B36" s="20">
        <v>43144</v>
      </c>
      <c r="C36" s="20">
        <v>43145</v>
      </c>
      <c r="D36" s="20">
        <v>43159</v>
      </c>
      <c r="E36">
        <v>0.3</v>
      </c>
      <c r="F36" t="s">
        <v>994</v>
      </c>
      <c r="G36" t="s">
        <v>995</v>
      </c>
    </row>
    <row r="37" spans="1:7" x14ac:dyDescent="0.35">
      <c r="A37" s="20">
        <v>43020</v>
      </c>
      <c r="B37" s="20">
        <v>43054</v>
      </c>
      <c r="C37" s="20">
        <v>43055</v>
      </c>
      <c r="D37" s="20">
        <v>43069</v>
      </c>
      <c r="E37">
        <v>0.3</v>
      </c>
      <c r="F37" t="s">
        <v>994</v>
      </c>
      <c r="G37" t="s">
        <v>995</v>
      </c>
    </row>
    <row r="38" spans="1:7" x14ac:dyDescent="0.35">
      <c r="A38" s="20">
        <v>42935</v>
      </c>
      <c r="B38" s="20">
        <v>42962</v>
      </c>
      <c r="C38" s="20">
        <v>42964</v>
      </c>
      <c r="D38" s="20">
        <v>42978</v>
      </c>
      <c r="E38">
        <v>0.3</v>
      </c>
      <c r="F38" t="s">
        <v>994</v>
      </c>
      <c r="G38" t="s">
        <v>995</v>
      </c>
    </row>
    <row r="39" spans="1:7" x14ac:dyDescent="0.35">
      <c r="A39" s="20">
        <v>42853</v>
      </c>
      <c r="B39" s="20">
        <v>42870</v>
      </c>
      <c r="C39" s="20">
        <v>42872</v>
      </c>
      <c r="D39" s="20">
        <v>42886</v>
      </c>
      <c r="E39">
        <v>0.28999999999999998</v>
      </c>
      <c r="F39" t="s">
        <v>994</v>
      </c>
      <c r="G39" t="s">
        <v>995</v>
      </c>
    </row>
    <row r="40" spans="1:7" x14ac:dyDescent="0.35">
      <c r="A40" s="20">
        <v>42706</v>
      </c>
      <c r="B40" s="20">
        <v>42776</v>
      </c>
      <c r="C40" s="20">
        <v>42780</v>
      </c>
      <c r="D40" s="20">
        <v>42794</v>
      </c>
      <c r="E40">
        <v>0.28999999999999998</v>
      </c>
      <c r="F40" t="s">
        <v>994</v>
      </c>
      <c r="G40" t="s">
        <v>995</v>
      </c>
    </row>
    <row r="41" spans="1:7" x14ac:dyDescent="0.35">
      <c r="A41" s="20">
        <v>42636</v>
      </c>
      <c r="B41" s="20">
        <v>42688</v>
      </c>
      <c r="C41" s="20">
        <v>42690</v>
      </c>
      <c r="D41" s="20">
        <v>42704</v>
      </c>
      <c r="E41">
        <v>0.28999999999999998</v>
      </c>
      <c r="F41" t="s">
        <v>994</v>
      </c>
      <c r="G41" t="s">
        <v>995</v>
      </c>
    </row>
    <row r="42" spans="1:7" x14ac:dyDescent="0.35">
      <c r="A42" s="20">
        <v>42572</v>
      </c>
      <c r="B42" s="20">
        <v>42597</v>
      </c>
      <c r="C42" s="20">
        <v>42599</v>
      </c>
      <c r="D42" s="20">
        <v>42613</v>
      </c>
      <c r="E42">
        <v>0.28999999999999998</v>
      </c>
      <c r="F42" t="s">
        <v>994</v>
      </c>
      <c r="G42" t="s">
        <v>995</v>
      </c>
    </row>
    <row r="43" spans="1:7" x14ac:dyDescent="0.35">
      <c r="A43" s="20">
        <v>42492</v>
      </c>
      <c r="B43" s="20">
        <v>42503</v>
      </c>
      <c r="C43" s="20">
        <v>42507</v>
      </c>
      <c r="D43" s="20">
        <v>42521</v>
      </c>
      <c r="E43">
        <v>0.28000000000000003</v>
      </c>
      <c r="F43" t="s">
        <v>994</v>
      </c>
      <c r="G43" t="s">
        <v>995</v>
      </c>
    </row>
    <row r="44" spans="1:7" x14ac:dyDescent="0.35">
      <c r="A44" s="20">
        <v>42347</v>
      </c>
      <c r="B44" s="20">
        <v>42410</v>
      </c>
      <c r="C44" s="20">
        <v>42415</v>
      </c>
      <c r="D44" s="20">
        <v>42429</v>
      </c>
      <c r="E44">
        <v>0.28000000000000003</v>
      </c>
      <c r="F44" t="s">
        <v>994</v>
      </c>
      <c r="G44" t="s">
        <v>995</v>
      </c>
    </row>
    <row r="45" spans="1:7" x14ac:dyDescent="0.35">
      <c r="A45" s="20">
        <v>42272</v>
      </c>
      <c r="B45" s="20">
        <v>42320</v>
      </c>
      <c r="C45" s="20">
        <v>42324</v>
      </c>
      <c r="D45" s="20">
        <v>42338</v>
      </c>
      <c r="E45">
        <v>0.28000000000000003</v>
      </c>
      <c r="F45" t="s">
        <v>994</v>
      </c>
      <c r="G45" t="s">
        <v>995</v>
      </c>
    </row>
    <row r="46" spans="1:7" x14ac:dyDescent="0.35">
      <c r="A46" s="20"/>
      <c r="B46" s="20"/>
      <c r="C46" s="20"/>
      <c r="D46" s="20"/>
    </row>
    <row r="47" spans="1:7" x14ac:dyDescent="0.35">
      <c r="A47" s="20"/>
      <c r="B47" s="20"/>
      <c r="C47" s="20"/>
      <c r="D47" s="20"/>
    </row>
    <row r="48" spans="1:7" x14ac:dyDescent="0.35">
      <c r="A48" s="20"/>
      <c r="B48" s="20"/>
      <c r="C48" s="20"/>
      <c r="D48" s="20"/>
    </row>
    <row r="49" spans="1:4" x14ac:dyDescent="0.35">
      <c r="A49" s="20"/>
      <c r="B49" s="20"/>
      <c r="C49" s="20"/>
      <c r="D49" s="20"/>
    </row>
    <row r="50" spans="1:4" x14ac:dyDescent="0.35">
      <c r="A50" s="20"/>
      <c r="B50" s="20"/>
      <c r="C50" s="20"/>
      <c r="D50" s="20"/>
    </row>
    <row r="51" spans="1:4" x14ac:dyDescent="0.35">
      <c r="A51" s="20"/>
      <c r="B51" s="20"/>
      <c r="C51" s="20"/>
      <c r="D51" s="20"/>
    </row>
    <row r="52" spans="1:4" x14ac:dyDescent="0.35">
      <c r="A52" s="20"/>
      <c r="B52" s="20"/>
      <c r="C52" s="20"/>
      <c r="D52" s="2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O119"/>
  <sheetViews>
    <sheetView workbookViewId="0">
      <pane xSplit="1" ySplit="2" topLeftCell="B3" activePane="bottomRight" state="frozen"/>
      <selection pane="topRight" activeCell="B1" sqref="B1"/>
      <selection pane="bottomLeft" activeCell="A3" sqref="A3"/>
      <selection pane="bottomRight" activeCell="A120" sqref="A120"/>
    </sheetView>
  </sheetViews>
  <sheetFormatPr defaultColWidth="8.7265625" defaultRowHeight="14.5" x14ac:dyDescent="0.35"/>
  <cols>
    <col min="1" max="1" width="51.7265625" customWidth="1"/>
    <col min="2" max="2" width="9.81640625" customWidth="1"/>
    <col min="3" max="5" width="10.54296875" bestFit="1" customWidth="1"/>
    <col min="6" max="13" width="11.54296875" bestFit="1" customWidth="1"/>
    <col min="14" max="14" width="9.7265625" customWidth="1"/>
  </cols>
  <sheetData>
    <row r="1" spans="1:14" x14ac:dyDescent="0.35">
      <c r="B1" t="s">
        <v>452</v>
      </c>
      <c r="C1" t="str">
        <f>'Balance Sheet - Standardized'!C7</f>
        <v>FY 2016</v>
      </c>
      <c r="D1" t="str">
        <f>'Balance Sheet - Standardized'!D7</f>
        <v>FY 2017</v>
      </c>
      <c r="E1" t="str">
        <f>'Balance Sheet - Standardized'!E7</f>
        <v>FY 2018</v>
      </c>
      <c r="F1" t="str">
        <f>'Balance Sheet - Standardized'!F7</f>
        <v>FY 2019</v>
      </c>
      <c r="G1" t="str">
        <f>'Balance Sheet - Standardized'!G7</f>
        <v>FY 2020</v>
      </c>
      <c r="H1" t="str">
        <f>'Balance Sheet - Standardized'!H7</f>
        <v>FY 2021</v>
      </c>
      <c r="I1" t="str">
        <f>'Balance Sheet - Standardized'!I7</f>
        <v>FY 2022</v>
      </c>
      <c r="J1" t="str">
        <f>'Balance Sheet - Standardized'!J7</f>
        <v>FY 2023</v>
      </c>
      <c r="K1" t="str">
        <f>'Balance Sheet - Standardized'!K7</f>
        <v>FY 2024</v>
      </c>
      <c r="L1" t="str">
        <f>'Balance Sheet - Standardized'!L7</f>
        <v>FY 2025</v>
      </c>
    </row>
    <row r="2" spans="1:14" x14ac:dyDescent="0.35">
      <c r="C2" s="20">
        <f>'Balance Sheet - Standardized'!C8</f>
        <v>42613</v>
      </c>
      <c r="D2" s="20">
        <f>'Balance Sheet - Standardized'!D8</f>
        <v>42978</v>
      </c>
      <c r="E2" s="20">
        <f>'Balance Sheet - Standardized'!E8</f>
        <v>43343</v>
      </c>
      <c r="F2" s="20">
        <f>'Balance Sheet - Standardized'!F8</f>
        <v>43708</v>
      </c>
      <c r="G2" s="20">
        <f>'Balance Sheet - Standardized'!G8</f>
        <v>44074</v>
      </c>
      <c r="H2" s="20">
        <f>'Balance Sheet - Standardized'!H8</f>
        <v>44439</v>
      </c>
      <c r="I2" s="20">
        <f>'Balance Sheet - Standardized'!I8</f>
        <v>44804</v>
      </c>
      <c r="J2" s="20">
        <f>'Balance Sheet - Standardized'!J8</f>
        <v>45169</v>
      </c>
      <c r="K2" s="20">
        <f>'Balance Sheet - Standardized'!K8</f>
        <v>45535</v>
      </c>
      <c r="L2" s="20">
        <f>'Balance Sheet - Standardized'!L8</f>
        <v>45900</v>
      </c>
      <c r="M2" s="20"/>
      <c r="N2" s="20"/>
    </row>
    <row r="3" spans="1:14" x14ac:dyDescent="0.35">
      <c r="A3" s="30" t="s">
        <v>996</v>
      </c>
      <c r="B3" s="87"/>
      <c r="C3" s="88"/>
      <c r="D3" s="88"/>
      <c r="E3" s="88"/>
      <c r="F3" s="88"/>
      <c r="G3" s="88"/>
      <c r="H3" s="88"/>
      <c r="I3" s="88"/>
      <c r="J3" s="88"/>
      <c r="K3" s="88"/>
      <c r="L3" s="88"/>
      <c r="M3" s="88"/>
      <c r="N3" s="88"/>
    </row>
    <row r="4" spans="1:14" x14ac:dyDescent="0.35">
      <c r="A4" s="240" t="s">
        <v>997</v>
      </c>
      <c r="B4" s="89"/>
      <c r="C4" s="88"/>
      <c r="D4" s="88"/>
      <c r="E4" s="88"/>
      <c r="F4" s="88"/>
      <c r="G4" s="88"/>
      <c r="H4" s="88"/>
      <c r="I4" s="88"/>
      <c r="J4" s="88"/>
      <c r="K4" s="88"/>
      <c r="L4" s="88"/>
      <c r="M4" s="88"/>
      <c r="N4" s="88"/>
    </row>
    <row r="5" spans="1:14" x14ac:dyDescent="0.35">
      <c r="A5" s="241" t="s">
        <v>998</v>
      </c>
      <c r="C5" s="88">
        <f>'Balance Sheet - Standardized'!C11</f>
        <v>101.246</v>
      </c>
      <c r="D5" s="88">
        <f>'Balance Sheet - Standardized'!D11</f>
        <v>121.62</v>
      </c>
      <c r="E5" s="88">
        <f>'Balance Sheet - Standardized'!E11</f>
        <v>160.78700000000001</v>
      </c>
      <c r="F5" s="88">
        <f>'Balance Sheet - Standardized'!F11</f>
        <v>127.20399999999999</v>
      </c>
      <c r="G5" s="88">
        <f>'Balance Sheet - Standardized'!G11</f>
        <v>121.40300000000001</v>
      </c>
      <c r="H5" s="88">
        <f>'Balance Sheet - Standardized'!H11</f>
        <v>127.107</v>
      </c>
      <c r="I5" s="88">
        <f>'Balance Sheet - Standardized'!I11</f>
        <v>105.048</v>
      </c>
      <c r="J5" s="88">
        <f>'Balance Sheet - Standardized'!J11</f>
        <v>160.755</v>
      </c>
      <c r="K5" s="88">
        <f>'Balance Sheet - Standardized'!K11</f>
        <v>190.87899999999999</v>
      </c>
      <c r="L5" s="88">
        <f>'Balance Sheet - Standardized'!L11</f>
        <v>250.57499999999999</v>
      </c>
      <c r="M5" s="88"/>
      <c r="N5" s="88"/>
    </row>
    <row r="6" spans="1:14" x14ac:dyDescent="0.35">
      <c r="A6" s="241" t="s">
        <v>999</v>
      </c>
      <c r="C6" s="88">
        <f>'Balance Sheet - Standardized'!C12</f>
        <v>0</v>
      </c>
      <c r="D6" s="88">
        <f>'Balance Sheet - Standardized'!D12</f>
        <v>0</v>
      </c>
      <c r="E6" s="88">
        <f>'Balance Sheet - Standardized'!E12</f>
        <v>0</v>
      </c>
      <c r="F6" s="88">
        <f>'Balance Sheet - Standardized'!F12</f>
        <v>0</v>
      </c>
      <c r="G6" s="88">
        <f>'Balance Sheet - Standardized'!G12</f>
        <v>19.510999999999999</v>
      </c>
      <c r="H6" s="88">
        <f>'Balance Sheet - Standardized'!H12</f>
        <v>19.603999999999999</v>
      </c>
      <c r="I6" s="88">
        <f>'Balance Sheet - Standardized'!I12</f>
        <v>11.46</v>
      </c>
      <c r="J6" s="88">
        <f>'Balance Sheet - Standardized'!J12</f>
        <v>5.556</v>
      </c>
      <c r="K6" s="88">
        <f>'Balance Sheet - Standardized'!K12</f>
        <v>0</v>
      </c>
      <c r="L6" s="88">
        <f>'Balance Sheet - Standardized'!L12</f>
        <v>0</v>
      </c>
      <c r="M6" s="88"/>
      <c r="N6" s="88"/>
    </row>
    <row r="7" spans="1:14" x14ac:dyDescent="0.35">
      <c r="A7" s="241" t="s">
        <v>1000</v>
      </c>
      <c r="C7" s="88">
        <f>'Balance Sheet - Standardized'!C14</f>
        <v>80.61</v>
      </c>
      <c r="D7" s="88">
        <f>'Balance Sheet - Standardized'!D14</f>
        <v>73.849999999999994</v>
      </c>
      <c r="E7" s="88">
        <f>'Balance Sheet - Standardized'!E14</f>
        <v>69.106999999999999</v>
      </c>
      <c r="F7" s="88">
        <f>'Balance Sheet - Standardized'!F14</f>
        <v>75.551000000000002</v>
      </c>
      <c r="G7" s="88">
        <f>'Balance Sheet - Standardized'!G14</f>
        <v>84.603999999999999</v>
      </c>
      <c r="H7" s="88">
        <f>'Balance Sheet - Standardized'!H14</f>
        <v>93.608999999999995</v>
      </c>
      <c r="I7" s="88">
        <f>'Balance Sheet - Standardized'!I14</f>
        <v>138.19999999999999</v>
      </c>
      <c r="J7" s="88">
        <f>'Balance Sheet - Standardized'!J14</f>
        <v>144.774</v>
      </c>
      <c r="K7" s="88">
        <f>'Balance Sheet - Standardized'!K14</f>
        <v>116.601</v>
      </c>
      <c r="L7" s="88">
        <f>'Balance Sheet - Standardized'!L14</f>
        <v>113.027</v>
      </c>
      <c r="M7" s="88"/>
      <c r="N7" s="88"/>
    </row>
    <row r="8" spans="1:14" x14ac:dyDescent="0.35">
      <c r="A8" s="241" t="s">
        <v>1001</v>
      </c>
      <c r="C8" s="88">
        <f>'Balance Sheet - Standardized'!C20</f>
        <v>74.75</v>
      </c>
      <c r="D8" s="88">
        <f>'Balance Sheet - Standardized'!D20</f>
        <v>86.155000000000001</v>
      </c>
      <c r="E8" s="88">
        <f>'Balance Sheet - Standardized'!E20</f>
        <v>79.233000000000004</v>
      </c>
      <c r="F8" s="88">
        <f>'Balance Sheet - Standardized'!F20</f>
        <v>92.287000000000006</v>
      </c>
      <c r="G8" s="88">
        <f>'Balance Sheet - Standardized'!G20</f>
        <v>104.792</v>
      </c>
      <c r="H8" s="88">
        <f>'Balance Sheet - Standardized'!H20</f>
        <v>145.244</v>
      </c>
      <c r="I8" s="88">
        <f>'Balance Sheet - Standardized'!I20</f>
        <v>193.77600000000001</v>
      </c>
      <c r="J8" s="88">
        <f>'Balance Sheet - Standardized'!J20</f>
        <v>155.93199999999999</v>
      </c>
      <c r="K8" s="88">
        <f>'Balance Sheet - Standardized'!K20</f>
        <v>154.453</v>
      </c>
      <c r="L8" s="88">
        <f>'Balance Sheet - Standardized'!L20</f>
        <v>136.85900000000001</v>
      </c>
      <c r="M8" s="88"/>
      <c r="N8" s="88"/>
    </row>
    <row r="9" spans="1:14" x14ac:dyDescent="0.35">
      <c r="A9" s="241" t="s">
        <v>1002</v>
      </c>
      <c r="C9" s="88">
        <f>'Balance Sheet - Standardized'!C27</f>
        <v>3.6709999999999998</v>
      </c>
      <c r="D9" s="88">
        <f>'Balance Sheet - Standardized'!D27</f>
        <v>4.3840000000000003</v>
      </c>
      <c r="E9" s="88">
        <f>'Balance Sheet - Standardized'!E27</f>
        <v>3.883</v>
      </c>
      <c r="F9" s="88">
        <f>'Balance Sheet - Standardized'!F27</f>
        <v>0</v>
      </c>
      <c r="G9" s="88">
        <f>'Balance Sheet - Standardized'!G27</f>
        <v>0</v>
      </c>
      <c r="H9" s="88">
        <f>'Balance Sheet - Standardized'!H27</f>
        <v>0</v>
      </c>
      <c r="I9" s="88">
        <f>'Balance Sheet - Standardized'!I27</f>
        <v>0</v>
      </c>
      <c r="J9" s="88">
        <f>'Balance Sheet - Standardized'!J27</f>
        <v>0</v>
      </c>
      <c r="K9" s="88">
        <f>'Balance Sheet - Standardized'!K27</f>
        <v>0</v>
      </c>
      <c r="L9" s="88">
        <f>'Balance Sheet - Standardized'!L27</f>
        <v>0</v>
      </c>
      <c r="M9" s="88"/>
      <c r="N9" s="88"/>
    </row>
    <row r="10" spans="1:14" x14ac:dyDescent="0.35">
      <c r="A10" s="241" t="s">
        <v>64</v>
      </c>
      <c r="C10" s="88">
        <f>'Balance Sheet - Standardized'!C35</f>
        <v>276.77499999999998</v>
      </c>
      <c r="D10" s="88">
        <f>'Balance Sheet - Standardized'!D35</f>
        <v>292.93400000000003</v>
      </c>
      <c r="E10" s="88">
        <f>'Balance Sheet - Standardized'!E35</f>
        <v>331.05099999999999</v>
      </c>
      <c r="F10" s="88">
        <f>'Balance Sheet - Standardized'!F35</f>
        <v>313.49</v>
      </c>
      <c r="G10" s="88">
        <f>'Balance Sheet - Standardized'!G35</f>
        <v>347.935</v>
      </c>
      <c r="H10" s="88">
        <f>'Balance Sheet - Standardized'!H35</f>
        <v>416.10300000000001</v>
      </c>
      <c r="I10" s="88">
        <f>'Balance Sheet - Standardized'!I35</f>
        <v>477.101</v>
      </c>
      <c r="J10" s="88">
        <f>'Balance Sheet - Standardized'!J35</f>
        <v>487.48399999999998</v>
      </c>
      <c r="K10" s="88">
        <f>'Balance Sheet - Standardized'!K35</f>
        <v>493.21199999999999</v>
      </c>
      <c r="L10" s="88">
        <f>'Balance Sheet - Standardized'!L35</f>
        <v>532.76400000000001</v>
      </c>
      <c r="M10" s="88"/>
      <c r="N10" s="88"/>
    </row>
    <row r="11" spans="1:14" x14ac:dyDescent="0.35">
      <c r="A11" s="241" t="s">
        <v>1003</v>
      </c>
      <c r="C11" s="88">
        <f>'Balance Sheet - Standardized'!C38</f>
        <v>77.626999999999995</v>
      </c>
      <c r="D11" s="88">
        <f>'Balance Sheet - Standardized'!D38</f>
        <v>74.498000000000005</v>
      </c>
      <c r="E11" s="88">
        <f>'Balance Sheet - Standardized'!E38</f>
        <v>57.247999999999998</v>
      </c>
      <c r="F11" s="88">
        <f>'Balance Sheet - Standardized'!F38</f>
        <v>68.968000000000004</v>
      </c>
      <c r="G11" s="88">
        <f>'Balance Sheet - Standardized'!G38</f>
        <v>107.038</v>
      </c>
      <c r="H11" s="88">
        <f>'Balance Sheet - Standardized'!H38</f>
        <v>110.27800000000001</v>
      </c>
      <c r="I11" s="88">
        <f>'Balance Sheet - Standardized'!I38</f>
        <v>113.65300000000001</v>
      </c>
      <c r="J11" s="88">
        <f>'Balance Sheet - Standardized'!J38</f>
        <v>116.717</v>
      </c>
      <c r="K11" s="88">
        <f>'Balance Sheet - Standardized'!K38</f>
        <v>128.50800000000001</v>
      </c>
      <c r="L11" s="88">
        <f>'Balance Sheet - Standardized'!L38</f>
        <v>160.40299999999999</v>
      </c>
      <c r="M11" s="88"/>
      <c r="N11" s="88"/>
    </row>
    <row r="12" spans="1:14" x14ac:dyDescent="0.35">
      <c r="A12" s="241" t="s">
        <v>1004</v>
      </c>
      <c r="C12" s="88">
        <f>'Balance Sheet - Standardized'!C43</f>
        <v>0</v>
      </c>
      <c r="D12" s="88">
        <f>'Balance Sheet - Standardized'!D43</f>
        <v>0</v>
      </c>
      <c r="E12" s="88">
        <f>'Balance Sheet - Standardized'!E43</f>
        <v>0</v>
      </c>
      <c r="F12" s="88">
        <f>'Balance Sheet - Standardized'!F43</f>
        <v>0</v>
      </c>
      <c r="G12" s="88">
        <f>'Balance Sheet - Standardized'!G43</f>
        <v>0</v>
      </c>
      <c r="H12" s="88">
        <f>'Balance Sheet - Standardized'!H43</f>
        <v>0</v>
      </c>
      <c r="I12" s="88">
        <f>'Balance Sheet - Standardized'!I43</f>
        <v>0</v>
      </c>
      <c r="J12" s="88">
        <f>'Balance Sheet - Standardized'!J43</f>
        <v>0</v>
      </c>
      <c r="K12" s="88">
        <f>'Balance Sheet - Standardized'!K43</f>
        <v>0</v>
      </c>
      <c r="L12" s="88">
        <f>'Balance Sheet - Standardized'!L43</f>
        <v>0</v>
      </c>
      <c r="M12" s="88"/>
      <c r="N12" s="88"/>
    </row>
    <row r="13" spans="1:14" x14ac:dyDescent="0.35">
      <c r="A13" s="241" t="s">
        <v>549</v>
      </c>
      <c r="C13" s="88">
        <f>'Balance Sheet - Standardized'!C49</f>
        <v>76.802999999999997</v>
      </c>
      <c r="D13" s="88">
        <f>'Balance Sheet - Standardized'!D49</f>
        <v>77.131</v>
      </c>
      <c r="E13" s="88">
        <f>'Balance Sheet - Standardized'!E49</f>
        <v>64.671000000000006</v>
      </c>
      <c r="F13" s="88">
        <f>'Balance Sheet - Standardized'!F49</f>
        <v>64.387</v>
      </c>
      <c r="G13" s="88">
        <f>'Balance Sheet - Standardized'!G49</f>
        <v>68.004000000000005</v>
      </c>
      <c r="H13" s="88">
        <f>'Balance Sheet - Standardized'!H49</f>
        <v>67.968000000000004</v>
      </c>
      <c r="I13" s="88">
        <f>'Balance Sheet - Standardized'!I49</f>
        <v>67.13</v>
      </c>
      <c r="J13" s="88">
        <f>'Balance Sheet - Standardized'!J49</f>
        <v>83.120999999999995</v>
      </c>
      <c r="K13" s="88">
        <f>'Balance Sheet - Standardized'!K49</f>
        <v>84.194000000000003</v>
      </c>
      <c r="L13" s="88">
        <f>'Balance Sheet - Standardized'!L49</f>
        <v>84.459000000000003</v>
      </c>
      <c r="M13" s="88"/>
      <c r="N13" s="88"/>
    </row>
    <row r="14" spans="1:14" x14ac:dyDescent="0.35">
      <c r="A14" s="241" t="s">
        <v>1005</v>
      </c>
      <c r="C14" s="88">
        <f>'Balance Sheet - Standardized'!C48</f>
        <v>124.003</v>
      </c>
      <c r="D14" s="88">
        <f>'Balance Sheet - Standardized'!D48</f>
        <v>119.93899999999999</v>
      </c>
      <c r="E14" s="88">
        <f>'Balance Sheet - Standardized'!E48</f>
        <v>92.048000000000002</v>
      </c>
      <c r="F14" s="88">
        <f>'Balance Sheet - Standardized'!F48</f>
        <v>88.769000000000005</v>
      </c>
      <c r="G14" s="88">
        <f>'Balance Sheet - Standardized'!G48</f>
        <v>91.480999999999995</v>
      </c>
      <c r="H14" s="88">
        <f>'Balance Sheet - Standardized'!H48</f>
        <v>88.334999999999994</v>
      </c>
      <c r="I14" s="88">
        <f>'Balance Sheet - Standardized'!I48</f>
        <v>85.337999999999994</v>
      </c>
      <c r="J14" s="88">
        <f>'Balance Sheet - Standardized'!J48</f>
        <v>110.84</v>
      </c>
      <c r="K14" s="88">
        <f>'Balance Sheet - Standardized'!K48</f>
        <v>109.56</v>
      </c>
      <c r="L14" s="88">
        <f>'Balance Sheet - Standardized'!L48</f>
        <v>107.79</v>
      </c>
      <c r="M14" s="88"/>
      <c r="N14" s="88"/>
    </row>
    <row r="15" spans="1:14" x14ac:dyDescent="0.35">
      <c r="A15" s="241" t="s">
        <v>1006</v>
      </c>
      <c r="C15" s="88">
        <f>'Balance Sheet - Standardized'!C61</f>
        <v>487.51499999999999</v>
      </c>
      <c r="D15" s="88">
        <f>'Balance Sheet - Standardized'!D61</f>
        <v>506.03199999999998</v>
      </c>
      <c r="E15" s="88">
        <f>'Balance Sheet - Standardized'!E61</f>
        <v>500.25599999999997</v>
      </c>
      <c r="F15" s="88">
        <f>'Balance Sheet - Standardized'!F61</f>
        <v>500.31400000000002</v>
      </c>
      <c r="G15" s="88">
        <f>'Balance Sheet - Standardized'!G61</f>
        <v>570.52599999999995</v>
      </c>
      <c r="H15" s="88">
        <f>'Balance Sheet - Standardized'!H61</f>
        <v>637.18499999999995</v>
      </c>
      <c r="I15" s="88">
        <f>'Balance Sheet - Standardized'!I61</f>
        <v>710.65300000000002</v>
      </c>
      <c r="J15" s="88">
        <f>'Balance Sheet - Standardized'!J61</f>
        <v>745.66</v>
      </c>
      <c r="K15" s="88">
        <f>'Balance Sheet - Standardized'!K61</f>
        <v>760.23199999999997</v>
      </c>
      <c r="L15" s="88">
        <f>'Balance Sheet - Standardized'!L61</f>
        <v>840.83600000000001</v>
      </c>
      <c r="M15" s="88"/>
      <c r="N15" s="88"/>
    </row>
    <row r="16" spans="1:14" x14ac:dyDescent="0.35">
      <c r="A16" s="241" t="s">
        <v>1007</v>
      </c>
      <c r="C16" s="88">
        <f>'Balance Sheet - Standardized'!C65</f>
        <v>32.268000000000001</v>
      </c>
      <c r="D16" s="88">
        <f>'Balance Sheet - Standardized'!D65</f>
        <v>36.716999999999999</v>
      </c>
      <c r="E16" s="88">
        <f>'Balance Sheet - Standardized'!E65</f>
        <v>30.53</v>
      </c>
      <c r="F16" s="88">
        <f>'Balance Sheet - Standardized'!F65</f>
        <v>29.434000000000001</v>
      </c>
      <c r="G16" s="88">
        <f>'Balance Sheet - Standardized'!G65</f>
        <v>29.553999999999998</v>
      </c>
      <c r="H16" s="88">
        <f>'Balance Sheet - Standardized'!H65</f>
        <v>45.209000000000003</v>
      </c>
      <c r="I16" s="88">
        <f>'Balance Sheet - Standardized'!I65</f>
        <v>60.036000000000001</v>
      </c>
      <c r="J16" s="88">
        <f>'Balance Sheet - Standardized'!J65</f>
        <v>44.277999999999999</v>
      </c>
      <c r="K16" s="88">
        <f>'Balance Sheet - Standardized'!K65</f>
        <v>37.417000000000002</v>
      </c>
      <c r="L16" s="88">
        <f>'Balance Sheet - Standardized'!L65</f>
        <v>48.67</v>
      </c>
      <c r="M16" s="88"/>
      <c r="N16" s="88"/>
    </row>
    <row r="17" spans="1:14" x14ac:dyDescent="0.35">
      <c r="A17" s="241" t="s">
        <v>1008</v>
      </c>
      <c r="C17" s="88">
        <f>'Balance Sheet - Standardized'!C68</f>
        <v>0</v>
      </c>
      <c r="D17" s="88">
        <f>'Balance Sheet - Standardized'!D68</f>
        <v>0</v>
      </c>
      <c r="E17" s="88">
        <f>'Balance Sheet - Standardized'!E68</f>
        <v>0</v>
      </c>
      <c r="F17" s="88">
        <f>'Balance Sheet - Standardized'!F68</f>
        <v>0</v>
      </c>
      <c r="G17" s="88">
        <f>'Balance Sheet - Standardized'!G68</f>
        <v>0</v>
      </c>
      <c r="H17" s="88">
        <f>'Balance Sheet - Standardized'!H68</f>
        <v>0</v>
      </c>
      <c r="I17" s="88">
        <f>'Balance Sheet - Standardized'!I68</f>
        <v>0</v>
      </c>
      <c r="J17" s="88">
        <f>'Balance Sheet - Standardized'!J68</f>
        <v>0</v>
      </c>
      <c r="K17" s="88">
        <f>'Balance Sheet - Standardized'!K68</f>
        <v>0</v>
      </c>
      <c r="L17" s="88">
        <f>'Balance Sheet - Standardized'!L68</f>
        <v>0</v>
      </c>
      <c r="M17" s="88"/>
      <c r="N17" s="88"/>
    </row>
    <row r="18" spans="1:14" x14ac:dyDescent="0.35">
      <c r="A18" s="241" t="s">
        <v>1009</v>
      </c>
      <c r="C18" s="88">
        <f>'Balance Sheet - Standardized'!C78</f>
        <v>7.5940000000000003</v>
      </c>
      <c r="D18" s="88">
        <f>'Balance Sheet - Standardized'!D78</f>
        <v>6.1660000000000004</v>
      </c>
      <c r="E18" s="88">
        <f>'Balance Sheet - Standardized'!E78</f>
        <v>6.3369999999999997</v>
      </c>
      <c r="F18" s="88">
        <f>'Balance Sheet - Standardized'!F78</f>
        <v>0</v>
      </c>
      <c r="G18" s="88">
        <f>'Balance Sheet - Standardized'!G78</f>
        <v>1.8220000000000001</v>
      </c>
      <c r="H18" s="88">
        <f>'Balance Sheet - Standardized'!H78</f>
        <v>3.456</v>
      </c>
      <c r="I18" s="88">
        <f>'Balance Sheet - Standardized'!I78</f>
        <v>1.0640000000000001</v>
      </c>
      <c r="J18" s="88">
        <f>'Balance Sheet - Standardized'!J78</f>
        <v>2.83</v>
      </c>
      <c r="K18" s="88">
        <f>'Balance Sheet - Standardized'!K78</f>
        <v>23.236000000000001</v>
      </c>
      <c r="L18" s="88">
        <f>'Balance Sheet - Standardized'!L78</f>
        <v>17.939</v>
      </c>
      <c r="M18" s="88"/>
      <c r="N18" s="88"/>
    </row>
    <row r="19" spans="1:14" x14ac:dyDescent="0.35">
      <c r="A19" s="241" t="s">
        <v>1010</v>
      </c>
      <c r="C19" s="88">
        <f>'Balance Sheet - Standardized'!C66</f>
        <v>4.2</v>
      </c>
      <c r="D19" s="88">
        <f>'Balance Sheet - Standardized'!D66</f>
        <v>2.8130000000000002</v>
      </c>
      <c r="E19" s="88">
        <f>'Balance Sheet - Standardized'!E66</f>
        <v>1.2929999999999999</v>
      </c>
      <c r="F19" s="88">
        <f>'Balance Sheet - Standardized'!F66</f>
        <v>3.246</v>
      </c>
      <c r="G19" s="88">
        <f>'Balance Sheet - Standardized'!G66</f>
        <v>3.726</v>
      </c>
      <c r="H19" s="88">
        <f>'Balance Sheet - Standardized'!H66</f>
        <v>1.0720000000000001</v>
      </c>
      <c r="I19" s="88">
        <f>'Balance Sheet - Standardized'!I66</f>
        <v>7.82</v>
      </c>
      <c r="J19" s="88">
        <f>'Balance Sheet - Standardized'!J66</f>
        <v>9.1869999999999994</v>
      </c>
      <c r="K19" s="88">
        <f>'Balance Sheet - Standardized'!K66</f>
        <v>6.5439999999999996</v>
      </c>
      <c r="L19" s="88">
        <f>'Balance Sheet - Standardized'!L66</f>
        <v>7.617</v>
      </c>
      <c r="M19" s="88"/>
      <c r="N19" s="88"/>
    </row>
    <row r="20" spans="1:14" x14ac:dyDescent="0.35">
      <c r="A20" s="241" t="s">
        <v>1011</v>
      </c>
      <c r="C20" s="88">
        <f>IF('Balance Sheet - Standardized'!C74="",0,'Balance Sheet - Standardized'!C74)+IF('Balance Sheet - Standardized'!C72="",0,'Balance Sheet - Standardized'!C72)+IF('Balance Sheet - Standardized'!C75="",0,'Balance Sheet - Standardized'!C75)</f>
        <v>0.19700000000000001</v>
      </c>
      <c r="D20" s="88">
        <f>IF('Balance Sheet - Standardized'!D74="",0,'Balance Sheet - Standardized'!D74)+IF('Balance Sheet - Standardized'!D72="",0,'Balance Sheet - Standardized'!D72)+IF('Balance Sheet - Standardized'!D75="",0,'Balance Sheet - Standardized'!D75)</f>
        <v>0.20100000000000001</v>
      </c>
      <c r="E20" s="88">
        <f>IF('Balance Sheet - Standardized'!E74="",0,'Balance Sheet - Standardized'!E74)+IF('Balance Sheet - Standardized'!E72="",0,'Balance Sheet - Standardized'!E72)+IF('Balance Sheet - Standardized'!E75="",0,'Balance Sheet - Standardized'!E75)</f>
        <v>0.20499999999999999</v>
      </c>
      <c r="F20" s="88">
        <f>IF('Balance Sheet - Standardized'!F74="",0,'Balance Sheet - Standardized'!F74)+IF('Balance Sheet - Standardized'!F72="",0,'Balance Sheet - Standardized'!F72)+IF('Balance Sheet - Standardized'!F75="",0,'Balance Sheet - Standardized'!F75)</f>
        <v>0.20899999999999999</v>
      </c>
      <c r="G20" s="88">
        <f>IF('Balance Sheet - Standardized'!G74="",0,'Balance Sheet - Standardized'!G74)+IF('Balance Sheet - Standardized'!G72="",0,'Balance Sheet - Standardized'!G72)+IF('Balance Sheet - Standardized'!G75="",0,'Balance Sheet - Standardized'!G75)</f>
        <v>0.19500000000000001</v>
      </c>
      <c r="H20" s="88">
        <f>IF('Balance Sheet - Standardized'!H74="",0,'Balance Sheet - Standardized'!H74)+IF('Balance Sheet - Standardized'!H72="",0,'Balance Sheet - Standardized'!H72)+IF('Balance Sheet - Standardized'!H75="",0,'Balance Sheet - Standardized'!H75)</f>
        <v>0.217</v>
      </c>
      <c r="I20" s="88">
        <f>IF('Balance Sheet - Standardized'!I74="",0,'Balance Sheet - Standardized'!I74)+IF('Balance Sheet - Standardized'!I72="",0,'Balance Sheet - Standardized'!I72)+IF('Balance Sheet - Standardized'!I75="",0,'Balance Sheet - Standardized'!I75)</f>
        <v>0.222</v>
      </c>
      <c r="J20" s="88">
        <f>IF('Balance Sheet - Standardized'!J74="",0,'Balance Sheet - Standardized'!J74)+IF('Balance Sheet - Standardized'!J72="",0,'Balance Sheet - Standardized'!J72)+IF('Balance Sheet - Standardized'!J75="",0,'Balance Sheet - Standardized'!J75)</f>
        <v>0.22600000000000001</v>
      </c>
      <c r="K20" s="88">
        <f>IF('Balance Sheet - Standardized'!K74="",0,'Balance Sheet - Standardized'!K74)+IF('Balance Sheet - Standardized'!K72="",0,'Balance Sheet - Standardized'!K72)+IF('Balance Sheet - Standardized'!K75="",0,'Balance Sheet - Standardized'!K75)</f>
        <v>0.22800000000000001</v>
      </c>
      <c r="L20" s="88">
        <f>IF('Balance Sheet - Standardized'!L74="",0,'Balance Sheet - Standardized'!L74)+IF('Balance Sheet - Standardized'!L72="",0,'Balance Sheet - Standardized'!L72)+IF('Balance Sheet - Standardized'!L75="",0,'Balance Sheet - Standardized'!L75)</f>
        <v>0.23300000000000001</v>
      </c>
      <c r="M20" s="88"/>
      <c r="N20" s="88"/>
    </row>
    <row r="21" spans="1:14" x14ac:dyDescent="0.35">
      <c r="A21" s="241" t="s">
        <v>141</v>
      </c>
      <c r="C21" s="88">
        <f>'Balance Sheet - Standardized'!C84</f>
        <v>87.86</v>
      </c>
      <c r="D21" s="88">
        <f>'Balance Sheet - Standardized'!D84</f>
        <v>92.037000000000006</v>
      </c>
      <c r="E21" s="88">
        <f>'Balance Sheet - Standardized'!E84</f>
        <v>80.093999999999994</v>
      </c>
      <c r="F21" s="88">
        <f>'Balance Sheet - Standardized'!F84</f>
        <v>82.131</v>
      </c>
      <c r="G21" s="88">
        <f>'Balance Sheet - Standardized'!G84</f>
        <v>102.395</v>
      </c>
      <c r="H21" s="88">
        <f>'Balance Sheet - Standardized'!H84</f>
        <v>138.24</v>
      </c>
      <c r="I21" s="88">
        <f>'Balance Sheet - Standardized'!I84</f>
        <v>160.94200000000001</v>
      </c>
      <c r="J21" s="88">
        <f>'Balance Sheet - Standardized'!J84</f>
        <v>136.108</v>
      </c>
      <c r="K21" s="88">
        <f>'Balance Sheet - Standardized'!K84</f>
        <v>125.816</v>
      </c>
      <c r="L21" s="88">
        <f>'Balance Sheet - Standardized'!L84</f>
        <v>143.59200000000001</v>
      </c>
      <c r="M21" s="88"/>
      <c r="N21" s="88"/>
    </row>
    <row r="22" spans="1:14" x14ac:dyDescent="0.35">
      <c r="A22" s="241" t="s">
        <v>1012</v>
      </c>
      <c r="C22" s="88">
        <f>IF('Balance Sheet - Standardized'!C87="",0,'Balance Sheet - Standardized'!C87)+IF('Balance Sheet - Standardized'!C89="",0,'Balance Sheet - Standardized'!C89)</f>
        <v>116.976</v>
      </c>
      <c r="D22" s="88">
        <f>IF('Balance Sheet - Standardized'!D87="",0,'Balance Sheet - Standardized'!D87)+IF('Balance Sheet - Standardized'!D89="",0,'Balance Sheet - Standardized'!D89)</f>
        <v>116.77500000000001</v>
      </c>
      <c r="E22" s="88">
        <f>IF('Balance Sheet - Standardized'!E87="",0,'Balance Sheet - Standardized'!E87)+IF('Balance Sheet - Standardized'!E89="",0,'Balance Sheet - Standardized'!E89)</f>
        <v>116.57</v>
      </c>
      <c r="F22" s="88">
        <f>IF('Balance Sheet - Standardized'!F87="",0,'Balance Sheet - Standardized'!F87)+IF('Balance Sheet - Standardized'!F89="",0,'Balance Sheet - Standardized'!F89)</f>
        <v>115.846</v>
      </c>
      <c r="G22" s="88">
        <f>IF('Balance Sheet - Standardized'!G87="",0,'Balance Sheet - Standardized'!G87)+IF('Balance Sheet - Standardized'!G89="",0,'Balance Sheet - Standardized'!G89)</f>
        <v>115.682</v>
      </c>
      <c r="H22" s="88">
        <f>IF('Balance Sheet - Standardized'!H87="",0,'Balance Sheet - Standardized'!H87)+IF('Balance Sheet - Standardized'!H89="",0,'Balance Sheet - Standardized'!H89)</f>
        <v>115.514</v>
      </c>
      <c r="I22" s="88">
        <f>IF('Balance Sheet - Standardized'!I87="",0,'Balance Sheet - Standardized'!I87)+IF('Balance Sheet - Standardized'!I89="",0,'Balance Sheet - Standardized'!I89)</f>
        <v>115.34099999999999</v>
      </c>
      <c r="J22" s="88">
        <f>IF('Balance Sheet - Standardized'!J87="",0,'Balance Sheet - Standardized'!J87)+IF('Balance Sheet - Standardized'!J89="",0,'Balance Sheet - Standardized'!J89)</f>
        <v>115.164</v>
      </c>
      <c r="K22" s="88">
        <f>IF('Balance Sheet - Standardized'!K87="",0,'Balance Sheet - Standardized'!K87)+IF('Balance Sheet - Standardized'!K89="",0,'Balance Sheet - Standardized'!K89)</f>
        <v>114.994</v>
      </c>
      <c r="L22" s="88">
        <f>IF('Balance Sheet - Standardized'!L87="",0,'Balance Sheet - Standardized'!L87)+IF('Balance Sheet - Standardized'!L89="",0,'Balance Sheet - Standardized'!L89)</f>
        <v>114.81</v>
      </c>
      <c r="M22" s="88"/>
      <c r="N22" s="88"/>
    </row>
    <row r="23" spans="1:14" x14ac:dyDescent="0.35">
      <c r="A23" s="241" t="s">
        <v>1013</v>
      </c>
      <c r="C23" s="88">
        <f>'Balance Sheet - Standardized'!C98</f>
        <v>0</v>
      </c>
      <c r="D23" s="88">
        <f>'Balance Sheet - Standardized'!D98</f>
        <v>0</v>
      </c>
      <c r="E23" s="88">
        <f>'Balance Sheet - Standardized'!E98</f>
        <v>0</v>
      </c>
      <c r="F23" s="88">
        <f>'Balance Sheet - Standardized'!F98</f>
        <v>0</v>
      </c>
      <c r="G23" s="88">
        <f>'Balance Sheet - Standardized'!G98</f>
        <v>0</v>
      </c>
      <c r="H23" s="88">
        <f>'Balance Sheet - Standardized'!H98</f>
        <v>0</v>
      </c>
      <c r="I23" s="88">
        <f>'Balance Sheet - Standardized'!I98</f>
        <v>0</v>
      </c>
      <c r="J23" s="88">
        <f>'Balance Sheet - Standardized'!J98</f>
        <v>0</v>
      </c>
      <c r="K23" s="88">
        <f>'Balance Sheet - Standardized'!K98</f>
        <v>0</v>
      </c>
      <c r="L23" s="88">
        <f>'Balance Sheet - Standardized'!L98</f>
        <v>0</v>
      </c>
      <c r="M23" s="88"/>
      <c r="N23" s="88"/>
    </row>
    <row r="24" spans="1:14" x14ac:dyDescent="0.35">
      <c r="A24" s="241" t="s">
        <v>1014</v>
      </c>
      <c r="C24" s="88">
        <f>'Balance Sheet - Standardized'!C106</f>
        <v>235.94800000000001</v>
      </c>
      <c r="D24" s="88">
        <f>'Balance Sheet - Standardized'!D106</f>
        <v>235.977</v>
      </c>
      <c r="E24" s="88">
        <f>'Balance Sheet - Standardized'!E106</f>
        <v>223.39</v>
      </c>
      <c r="F24" s="88">
        <f>'Balance Sheet - Standardized'!F106</f>
        <v>232.10499999999999</v>
      </c>
      <c r="G24" s="88">
        <f>'Balance Sheet - Standardized'!G106</f>
        <v>272.00799999999998</v>
      </c>
      <c r="H24" s="88">
        <f>'Balance Sheet - Standardized'!H106</f>
        <v>298.74</v>
      </c>
      <c r="I24" s="88">
        <f>'Balance Sheet - Standardized'!I106</f>
        <v>317.29500000000002</v>
      </c>
      <c r="J24" s="88">
        <f>'Balance Sheet - Standardized'!J106</f>
        <v>290.00900000000001</v>
      </c>
      <c r="K24" s="88">
        <f>'Balance Sheet - Standardized'!K106</f>
        <v>279.339</v>
      </c>
      <c r="L24" s="88">
        <f>'Balance Sheet - Standardized'!L106</f>
        <v>307.98599999999999</v>
      </c>
      <c r="M24" s="88"/>
      <c r="N24" s="88"/>
    </row>
    <row r="25" spans="1:14" x14ac:dyDescent="0.35">
      <c r="A25" s="241" t="s">
        <v>197</v>
      </c>
      <c r="C25" s="88">
        <f>'Balance Sheet - Standardized'!C118</f>
        <v>251.56700000000001</v>
      </c>
      <c r="D25" s="88">
        <f>'Balance Sheet - Standardized'!D118</f>
        <v>270.05500000000001</v>
      </c>
      <c r="E25" s="88">
        <f>'Balance Sheet - Standardized'!E118</f>
        <v>276.86599999999999</v>
      </c>
      <c r="F25" s="88">
        <f>'Balance Sheet - Standardized'!F118</f>
        <v>268.209</v>
      </c>
      <c r="G25" s="88">
        <f>'Balance Sheet - Standardized'!G118</f>
        <v>298.51799999999997</v>
      </c>
      <c r="H25" s="88">
        <f>'Balance Sheet - Standardized'!H118</f>
        <v>338.44499999999999</v>
      </c>
      <c r="I25" s="88">
        <f>'Balance Sheet - Standardized'!I118</f>
        <v>393.358</v>
      </c>
      <c r="J25" s="88">
        <f>'Balance Sheet - Standardized'!J118</f>
        <v>455.65100000000001</v>
      </c>
      <c r="K25" s="88">
        <f>'Balance Sheet - Standardized'!K118</f>
        <v>480.89299999999997</v>
      </c>
      <c r="L25" s="88">
        <f>'Balance Sheet - Standardized'!L118</f>
        <v>532.85</v>
      </c>
      <c r="M25" s="88"/>
      <c r="N25" s="88"/>
    </row>
    <row r="26" spans="1:14" x14ac:dyDescent="0.35">
      <c r="A26" s="241" t="s">
        <v>578</v>
      </c>
      <c r="C26" s="88">
        <f>'Balance Sheet - Standardized'!C108</f>
        <v>0</v>
      </c>
      <c r="D26" s="88">
        <f>'Balance Sheet - Standardized'!D108</f>
        <v>0</v>
      </c>
      <c r="E26" s="88">
        <f>'Balance Sheet - Standardized'!E108</f>
        <v>0</v>
      </c>
      <c r="F26" s="88">
        <f>'Balance Sheet - Standardized'!F108</f>
        <v>0</v>
      </c>
      <c r="G26" s="88">
        <f>'Balance Sheet - Standardized'!G108</f>
        <v>0</v>
      </c>
      <c r="H26" s="88">
        <f>'Balance Sheet - Standardized'!H108</f>
        <v>0</v>
      </c>
      <c r="I26" s="88">
        <f>'Balance Sheet - Standardized'!I108</f>
        <v>0</v>
      </c>
      <c r="J26" s="88">
        <f>'Balance Sheet - Standardized'!J108</f>
        <v>0</v>
      </c>
      <c r="K26" s="88">
        <f>'Balance Sheet - Standardized'!K108</f>
        <v>0</v>
      </c>
      <c r="L26" s="88">
        <f>'Balance Sheet - Standardized'!L108</f>
        <v>0</v>
      </c>
      <c r="M26" s="88"/>
      <c r="N26" s="88"/>
    </row>
    <row r="27" spans="1:14" x14ac:dyDescent="0.35">
      <c r="A27" s="241" t="s">
        <v>1015</v>
      </c>
      <c r="C27" s="90">
        <f t="shared" ref="C27:L27" si="0">IF(C20="",0,C20)+IF(C22="",0,C22)</f>
        <v>117.173</v>
      </c>
      <c r="D27" s="90">
        <f t="shared" si="0"/>
        <v>116.976</v>
      </c>
      <c r="E27" s="90">
        <f t="shared" si="0"/>
        <v>116.77499999999999</v>
      </c>
      <c r="F27" s="90">
        <f t="shared" si="0"/>
        <v>116.05500000000001</v>
      </c>
      <c r="G27" s="90">
        <f t="shared" si="0"/>
        <v>115.877</v>
      </c>
      <c r="H27" s="90">
        <f t="shared" si="0"/>
        <v>115.73099999999999</v>
      </c>
      <c r="I27" s="90">
        <f t="shared" si="0"/>
        <v>115.56299999999999</v>
      </c>
      <c r="J27" s="90">
        <f t="shared" si="0"/>
        <v>115.39</v>
      </c>
      <c r="K27" s="90">
        <f t="shared" si="0"/>
        <v>115.22199999999999</v>
      </c>
      <c r="L27" s="90">
        <f t="shared" si="0"/>
        <v>115.04300000000001</v>
      </c>
      <c r="M27" s="90"/>
      <c r="N27" s="90"/>
    </row>
    <row r="28" spans="1:14" x14ac:dyDescent="0.35">
      <c r="A28" s="28"/>
      <c r="C28" s="88"/>
      <c r="D28" s="88"/>
      <c r="E28" s="88"/>
      <c r="F28" s="88"/>
      <c r="G28" s="88"/>
      <c r="H28" s="88"/>
      <c r="I28" s="88"/>
      <c r="J28" s="88"/>
      <c r="K28" s="88"/>
      <c r="L28" s="88"/>
      <c r="M28" s="88"/>
      <c r="N28" s="88"/>
    </row>
    <row r="29" spans="1:14" x14ac:dyDescent="0.35">
      <c r="A29" s="240" t="s">
        <v>1016</v>
      </c>
      <c r="C29" s="88"/>
      <c r="D29" s="88"/>
      <c r="E29" s="88"/>
      <c r="F29" s="88"/>
      <c r="G29" s="88"/>
      <c r="H29" s="88"/>
      <c r="I29" s="88"/>
      <c r="J29" s="88"/>
      <c r="K29" s="88"/>
      <c r="L29" s="88"/>
      <c r="M29" s="88"/>
      <c r="N29" s="88"/>
    </row>
    <row r="30" spans="1:14" x14ac:dyDescent="0.35">
      <c r="A30" s="241" t="s">
        <v>1017</v>
      </c>
      <c r="C30" s="88">
        <f>'Income - GAAP'!C9</f>
        <v>516.41099999999994</v>
      </c>
      <c r="D30" s="88">
        <f>'Income - GAAP'!D9</f>
        <v>517.98500000000001</v>
      </c>
      <c r="E30" s="88">
        <f>'Income - GAAP'!E9</f>
        <v>547.70500000000004</v>
      </c>
      <c r="F30" s="88">
        <f>'Income - GAAP'!F9</f>
        <v>444.072</v>
      </c>
      <c r="G30" s="88">
        <f>'Income - GAAP'!G9</f>
        <v>474.69200000000001</v>
      </c>
      <c r="H30" s="88">
        <f>'Income - GAAP'!H9</f>
        <v>567.64599999999996</v>
      </c>
      <c r="I30" s="88">
        <f>'Income - GAAP'!I9</f>
        <v>770.74300000000005</v>
      </c>
      <c r="J30" s="88">
        <f>'Income - GAAP'!J9</f>
        <v>674.08399999999995</v>
      </c>
      <c r="K30" s="88">
        <f>'Income - GAAP'!K9</f>
        <v>607.07399999999996</v>
      </c>
      <c r="L30" s="88">
        <f>'Income - GAAP'!L9</f>
        <v>676.36800000000005</v>
      </c>
      <c r="M30" s="88"/>
      <c r="N30" s="88"/>
    </row>
    <row r="31" spans="1:14" x14ac:dyDescent="0.35">
      <c r="A31" s="241" t="s">
        <v>804</v>
      </c>
      <c r="C31" s="88">
        <f>'Income - GAAP'!C9</f>
        <v>516.41099999999994</v>
      </c>
      <c r="D31" s="88">
        <f>'Income - GAAP'!D9</f>
        <v>517.98500000000001</v>
      </c>
      <c r="E31" s="88">
        <f>'Income - GAAP'!E9</f>
        <v>547.70500000000004</v>
      </c>
      <c r="F31" s="88">
        <f>'Income - GAAP'!F9</f>
        <v>444.072</v>
      </c>
      <c r="G31" s="88">
        <f>'Income - GAAP'!G9</f>
        <v>474.69200000000001</v>
      </c>
      <c r="H31" s="88">
        <f>'Income - GAAP'!H9</f>
        <v>567.64599999999996</v>
      </c>
      <c r="I31" s="88">
        <f>'Income - GAAP'!I9</f>
        <v>770.74300000000005</v>
      </c>
      <c r="J31" s="88">
        <f>'Income - GAAP'!J9</f>
        <v>674.08399999999995</v>
      </c>
      <c r="K31" s="88">
        <f>'Income - GAAP'!K9</f>
        <v>607.07399999999996</v>
      </c>
      <c r="L31" s="88">
        <f>'Income - GAAP'!L9</f>
        <v>676.36800000000005</v>
      </c>
      <c r="M31" s="88"/>
      <c r="N31" s="88"/>
    </row>
    <row r="32" spans="1:14" x14ac:dyDescent="0.35">
      <c r="A32" s="241" t="s">
        <v>1018</v>
      </c>
      <c r="C32" s="88">
        <f>'Income - GAAP'!C14</f>
        <v>367.798</v>
      </c>
      <c r="D32" s="88">
        <f>'Income - GAAP'!D14</f>
        <v>372.97300000000001</v>
      </c>
      <c r="E32" s="88">
        <f>'Income - GAAP'!E14</f>
        <v>396.24299999999999</v>
      </c>
      <c r="F32" s="88">
        <f>'Income - GAAP'!F14</f>
        <v>329.464</v>
      </c>
      <c r="G32" s="88">
        <f>'Income - GAAP'!G14</f>
        <v>322.149</v>
      </c>
      <c r="H32" s="88">
        <f>'Income - GAAP'!H14</f>
        <v>417.44099999999997</v>
      </c>
      <c r="I32" s="88">
        <f>'Income - GAAP'!I14</f>
        <v>571.56500000000005</v>
      </c>
      <c r="J32" s="88">
        <f>'Income - GAAP'!J14</f>
        <v>461.06900000000002</v>
      </c>
      <c r="K32" s="88">
        <f>'Income - GAAP'!K14</f>
        <v>416.01900000000001</v>
      </c>
      <c r="L32" s="88">
        <f>'Income - GAAP'!L14</f>
        <v>465.58800000000002</v>
      </c>
      <c r="M32" s="88"/>
      <c r="N32" s="88"/>
    </row>
    <row r="33" spans="1:14" x14ac:dyDescent="0.35">
      <c r="A33" s="241" t="s">
        <v>236</v>
      </c>
      <c r="C33" s="88">
        <f t="shared" ref="C33:L33" si="1">IF(C31="",0,C31)-IF(C32="",0,C32)</f>
        <v>148.61299999999994</v>
      </c>
      <c r="D33" s="88">
        <f t="shared" si="1"/>
        <v>145.012</v>
      </c>
      <c r="E33" s="88">
        <f t="shared" si="1"/>
        <v>151.46200000000005</v>
      </c>
      <c r="F33" s="88">
        <f t="shared" si="1"/>
        <v>114.608</v>
      </c>
      <c r="G33" s="88">
        <f t="shared" si="1"/>
        <v>152.54300000000001</v>
      </c>
      <c r="H33" s="88">
        <f t="shared" si="1"/>
        <v>150.20499999999998</v>
      </c>
      <c r="I33" s="88">
        <f t="shared" si="1"/>
        <v>199.178</v>
      </c>
      <c r="J33" s="88">
        <f t="shared" si="1"/>
        <v>213.01499999999993</v>
      </c>
      <c r="K33" s="88">
        <f t="shared" si="1"/>
        <v>191.05499999999995</v>
      </c>
      <c r="L33" s="88">
        <f t="shared" si="1"/>
        <v>210.78000000000003</v>
      </c>
      <c r="M33" s="88"/>
      <c r="N33" s="88"/>
    </row>
    <row r="34" spans="1:14" x14ac:dyDescent="0.35">
      <c r="A34" s="241" t="s">
        <v>1019</v>
      </c>
      <c r="C34" s="88">
        <f>'Income - GAAP'!C30</f>
        <v>34.375</v>
      </c>
      <c r="D34" s="88">
        <f>'Income - GAAP'!D30</f>
        <v>40.201000000000001</v>
      </c>
      <c r="E34" s="88">
        <f>'Income - GAAP'!E30</f>
        <v>38.563000000000002</v>
      </c>
      <c r="F34" s="88">
        <f>'Income - GAAP'!F30</f>
        <v>6.1150000000000002</v>
      </c>
      <c r="G34" s="88">
        <f>'Income - GAAP'!G30</f>
        <v>54.201999999999998</v>
      </c>
      <c r="H34" s="88">
        <f>'Income - GAAP'!H30</f>
        <v>54.106999999999999</v>
      </c>
      <c r="I34" s="88">
        <f>'Income - GAAP'!I30</f>
        <v>94.643000000000001</v>
      </c>
      <c r="J34" s="88">
        <f>'Income - GAAP'!J30</f>
        <v>102.184</v>
      </c>
      <c r="K34" s="88">
        <f>'Income - GAAP'!K30</f>
        <v>76.608000000000004</v>
      </c>
      <c r="L34" s="88">
        <f>'Income - GAAP'!L30</f>
        <v>88.123999999999995</v>
      </c>
      <c r="M34" s="88"/>
      <c r="N34" s="88"/>
    </row>
    <row r="35" spans="1:14" x14ac:dyDescent="0.35">
      <c r="A35" s="241" t="s">
        <v>821</v>
      </c>
      <c r="C35" s="88">
        <f>'Income - GAAP'!C34</f>
        <v>4.7510000000000003</v>
      </c>
      <c r="D35" s="88">
        <f>'Income - GAAP'!D34</f>
        <v>4.7569999999999997</v>
      </c>
      <c r="E35" s="88">
        <f>'Income - GAAP'!E34</f>
        <v>4.6870000000000003</v>
      </c>
      <c r="F35" s="88">
        <f>'Income - GAAP'!F34</f>
        <v>4.7670000000000003</v>
      </c>
      <c r="G35" s="88">
        <f>'Income - GAAP'!G34</f>
        <v>4.7590000000000003</v>
      </c>
      <c r="H35" s="88">
        <f>'Income - GAAP'!H34</f>
        <v>4.7510000000000003</v>
      </c>
      <c r="I35" s="88">
        <f>'Income - GAAP'!I34</f>
        <v>4.2690000000000001</v>
      </c>
      <c r="J35" s="88">
        <f>'Income - GAAP'!J34</f>
        <v>3.7879999999999998</v>
      </c>
      <c r="K35" s="88">
        <f>'Income - GAAP'!K34</f>
        <v>3.234</v>
      </c>
      <c r="L35" s="88">
        <f>'Income - GAAP'!L34</f>
        <v>1.833</v>
      </c>
      <c r="M35" s="88"/>
      <c r="N35" s="88"/>
    </row>
    <row r="36" spans="1:14" x14ac:dyDescent="0.35">
      <c r="A36" s="241" t="s">
        <v>823</v>
      </c>
      <c r="C36" s="88">
        <f>'Income - GAAP'!C35</f>
        <v>0.64500000000000002</v>
      </c>
      <c r="D36" s="88">
        <f>'Income - GAAP'!D35</f>
        <v>1.1779999999999999</v>
      </c>
      <c r="E36" s="88">
        <f>'Income - GAAP'!E35</f>
        <v>1.64</v>
      </c>
      <c r="F36" s="88">
        <f>'Income - GAAP'!F35</f>
        <v>2.4020000000000001</v>
      </c>
      <c r="G36" s="88">
        <f>'Income - GAAP'!G35</f>
        <v>1.956</v>
      </c>
      <c r="H36" s="88">
        <f>'Income - GAAP'!H35</f>
        <v>1.083</v>
      </c>
      <c r="I36" s="88">
        <f>'Income - GAAP'!I35</f>
        <v>0.622</v>
      </c>
      <c r="J36" s="88">
        <f>'Income - GAAP'!J35</f>
        <v>2.7829999999999999</v>
      </c>
      <c r="K36" s="88">
        <f>'Income - GAAP'!K35</f>
        <v>5.1890000000000001</v>
      </c>
      <c r="L36" s="88">
        <f>'Income - GAAP'!L35</f>
        <v>7.718</v>
      </c>
      <c r="M36" s="88"/>
      <c r="N36" s="88"/>
    </row>
    <row r="37" spans="1:14" x14ac:dyDescent="0.35">
      <c r="A37" s="241" t="s">
        <v>1020</v>
      </c>
      <c r="C37" s="88">
        <f>'Income - GAAP'!C42</f>
        <v>29.288</v>
      </c>
      <c r="D37" s="88">
        <f>'Income - GAAP'!D42</f>
        <v>35.715000000000003</v>
      </c>
      <c r="E37" s="88">
        <f>'Income - GAAP'!E42</f>
        <v>33.853000000000002</v>
      </c>
      <c r="F37" s="88">
        <f>'Income - GAAP'!F42</f>
        <v>2.1070000000000002</v>
      </c>
      <c r="G37" s="88">
        <f>'Income - GAAP'!G42</f>
        <v>48.843000000000004</v>
      </c>
      <c r="H37" s="88">
        <f>'Income - GAAP'!H42</f>
        <v>50.386000000000003</v>
      </c>
      <c r="I37" s="88">
        <f>'Income - GAAP'!I42</f>
        <v>87.867999999999995</v>
      </c>
      <c r="J37" s="88">
        <f>'Income - GAAP'!J42</f>
        <v>100.375</v>
      </c>
      <c r="K37" s="88">
        <f>'Income - GAAP'!K42</f>
        <v>79.05</v>
      </c>
      <c r="L37" s="88">
        <f>'Income - GAAP'!L42</f>
        <v>94.582999999999998</v>
      </c>
      <c r="M37" s="88"/>
      <c r="N37" s="88"/>
    </row>
    <row r="38" spans="1:14" x14ac:dyDescent="0.35">
      <c r="A38" s="241" t="s">
        <v>1021</v>
      </c>
      <c r="C38" s="88">
        <f>'Income - GAAP'!C58</f>
        <v>20.266999999999999</v>
      </c>
      <c r="D38" s="88">
        <f>'Income - GAAP'!D58</f>
        <v>23.178999999999998</v>
      </c>
      <c r="E38" s="88">
        <f>'Income - GAAP'!E58</f>
        <v>20.277000000000001</v>
      </c>
      <c r="F38" s="88">
        <f>'Income - GAAP'!F58</f>
        <v>2.1720000000000002</v>
      </c>
      <c r="G38" s="88">
        <f>'Income - GAAP'!G58</f>
        <v>38.628999999999998</v>
      </c>
      <c r="H38" s="88">
        <f>'Income - GAAP'!H58</f>
        <v>42.572000000000003</v>
      </c>
      <c r="I38" s="88">
        <f>'Income - GAAP'!I58</f>
        <v>65.468999999999994</v>
      </c>
      <c r="J38" s="88">
        <f>'Income - GAAP'!J58</f>
        <v>72.379000000000005</v>
      </c>
      <c r="K38" s="88">
        <f>'Income - GAAP'!K58</f>
        <v>66.257000000000005</v>
      </c>
      <c r="L38" s="88">
        <f>'Income - GAAP'!L58</f>
        <v>74.052000000000007</v>
      </c>
      <c r="M38" s="88"/>
      <c r="N38" s="88"/>
    </row>
    <row r="39" spans="1:14" x14ac:dyDescent="0.35">
      <c r="A39" s="241" t="s">
        <v>1022</v>
      </c>
      <c r="C39" s="88">
        <f>'Income - GAAP'!C62</f>
        <v>20.266999999999999</v>
      </c>
      <c r="D39" s="88">
        <f>'Income - GAAP'!D62</f>
        <v>23.178999999999998</v>
      </c>
      <c r="E39" s="88">
        <f>'Income - GAAP'!E62</f>
        <v>20.277000000000001</v>
      </c>
      <c r="F39" s="88">
        <f>'Income - GAAP'!F62</f>
        <v>2.1720000000000002</v>
      </c>
      <c r="G39" s="88">
        <f>'Income - GAAP'!G62</f>
        <v>38.628999999999998</v>
      </c>
      <c r="H39" s="88">
        <f>'Income - GAAP'!H62</f>
        <v>42.572000000000003</v>
      </c>
      <c r="I39" s="88">
        <f>'Income - GAAP'!I62</f>
        <v>65.468999999999994</v>
      </c>
      <c r="J39" s="88">
        <f>'Income - GAAP'!J62</f>
        <v>72.379000000000005</v>
      </c>
      <c r="K39" s="88">
        <f>'Income - GAAP'!K62</f>
        <v>66.257000000000005</v>
      </c>
      <c r="L39" s="88">
        <f>'Income - GAAP'!L62</f>
        <v>74.052000000000007</v>
      </c>
      <c r="M39" s="88"/>
      <c r="N39" s="88"/>
    </row>
    <row r="40" spans="1:14" x14ac:dyDescent="0.35">
      <c r="A40" s="241" t="s">
        <v>1023</v>
      </c>
      <c r="C40" s="88">
        <f>'Income - GAAP'!C70</f>
        <v>10.93</v>
      </c>
      <c r="D40" s="88">
        <f>'Income - GAAP'!D70</f>
        <v>10.694000000000001</v>
      </c>
      <c r="E40" s="88">
        <f>'Income - GAAP'!E70</f>
        <v>10.772</v>
      </c>
      <c r="F40" s="88">
        <f>'Income - GAAP'!F70</f>
        <v>10.81</v>
      </c>
      <c r="G40" s="88">
        <f>'Income - GAAP'!G70</f>
        <v>10.861000000000001</v>
      </c>
      <c r="H40" s="88">
        <f>'Income - GAAP'!H70</f>
        <v>10.984999999999999</v>
      </c>
      <c r="I40" s="88">
        <f>'Income - GAAP'!I70</f>
        <v>11.031000000000001</v>
      </c>
      <c r="J40" s="88">
        <f>'Income - GAAP'!J70</f>
        <v>11.061999999999999</v>
      </c>
      <c r="K40" s="88">
        <f>'Income - GAAP'!K70</f>
        <v>11.016999999999999</v>
      </c>
      <c r="L40" s="88">
        <f>'Income - GAAP'!L70</f>
        <v>10.917999999999999</v>
      </c>
      <c r="M40" s="88"/>
      <c r="N40" s="88"/>
    </row>
    <row r="41" spans="1:14" x14ac:dyDescent="0.35">
      <c r="A41" s="241" t="s">
        <v>1024</v>
      </c>
      <c r="C41" s="88">
        <f>'Income - GAAP'!C71</f>
        <v>1.85</v>
      </c>
      <c r="D41" s="88">
        <f>'Income - GAAP'!D71</f>
        <v>2.17</v>
      </c>
      <c r="E41" s="88">
        <f>'Income - GAAP'!E71</f>
        <v>1.88</v>
      </c>
      <c r="F41" s="88">
        <f>'Income - GAAP'!F71</f>
        <v>0.2</v>
      </c>
      <c r="G41" s="88">
        <f>'Income - GAAP'!G71</f>
        <v>3.56</v>
      </c>
      <c r="H41" s="88">
        <f>'Income - GAAP'!H71</f>
        <v>3.88</v>
      </c>
      <c r="I41" s="88">
        <f>'Income - GAAP'!I71</f>
        <v>5.94</v>
      </c>
      <c r="J41" s="88">
        <f>'Income - GAAP'!J71</f>
        <v>6.54</v>
      </c>
      <c r="K41" s="88">
        <f>'Income - GAAP'!K71</f>
        <v>6.01</v>
      </c>
      <c r="L41" s="88">
        <f>'Income - GAAP'!L71</f>
        <v>6.78</v>
      </c>
      <c r="M41" s="88"/>
      <c r="N41" s="88"/>
    </row>
    <row r="42" spans="1:14" ht="15.5" customHeight="1" x14ac:dyDescent="0.35">
      <c r="A42" s="29"/>
      <c r="C42" s="88"/>
      <c r="D42" s="88"/>
      <c r="E42" s="88"/>
      <c r="F42" s="88"/>
      <c r="G42" s="88"/>
      <c r="H42" s="88"/>
      <c r="I42" s="88"/>
      <c r="J42" s="88"/>
      <c r="K42" s="88"/>
      <c r="L42" s="88"/>
      <c r="M42" s="88"/>
      <c r="N42" s="88"/>
    </row>
    <row r="43" spans="1:14" x14ac:dyDescent="0.35">
      <c r="A43" s="240" t="s">
        <v>1025</v>
      </c>
      <c r="C43" s="88"/>
      <c r="D43" s="88"/>
      <c r="E43" s="88"/>
      <c r="F43" s="88"/>
      <c r="G43" s="88"/>
      <c r="H43" s="88"/>
      <c r="I43" s="88"/>
      <c r="J43" s="88"/>
      <c r="K43" s="88"/>
      <c r="L43" s="88"/>
      <c r="M43" s="88"/>
      <c r="N43" s="88"/>
    </row>
    <row r="44" spans="1:14" x14ac:dyDescent="0.35">
      <c r="A44" s="241" t="s">
        <v>1026</v>
      </c>
      <c r="C44" s="88">
        <f>'Cash Flow - Standardized'!C11</f>
        <v>16.881</v>
      </c>
      <c r="D44" s="88">
        <f>'Cash Flow - Standardized'!D11</f>
        <v>16.678000000000001</v>
      </c>
      <c r="E44" s="88">
        <f>'Cash Flow - Standardized'!E11</f>
        <v>16.513999999999999</v>
      </c>
      <c r="F44" s="88">
        <f>'Cash Flow - Standardized'!F11</f>
        <v>14.018000000000001</v>
      </c>
      <c r="G44" s="88">
        <f>'Cash Flow - Standardized'!G11</f>
        <v>19.396000000000001</v>
      </c>
      <c r="H44" s="88">
        <f>'Cash Flow - Standardized'!H11</f>
        <v>19.177</v>
      </c>
      <c r="I44" s="88">
        <f>'Cash Flow - Standardized'!I11</f>
        <v>20.178000000000001</v>
      </c>
      <c r="J44" s="88">
        <f>'Cash Flow - Standardized'!J11</f>
        <v>19.282</v>
      </c>
      <c r="K44" s="88">
        <f>'Cash Flow - Standardized'!K11</f>
        <v>21.2</v>
      </c>
      <c r="L44" s="88">
        <f>'Cash Flow - Standardized'!L11</f>
        <v>20.896000000000001</v>
      </c>
      <c r="M44" s="88"/>
      <c r="N44" s="88"/>
    </row>
    <row r="45" spans="1:14" x14ac:dyDescent="0.35">
      <c r="A45" s="241" t="s">
        <v>1027</v>
      </c>
      <c r="C45" s="88"/>
      <c r="D45" s="88"/>
      <c r="E45" s="88"/>
      <c r="F45" s="88"/>
      <c r="G45" s="88"/>
      <c r="H45" s="88"/>
      <c r="I45" s="88"/>
      <c r="J45" s="88"/>
      <c r="K45" s="88"/>
      <c r="L45" s="88"/>
      <c r="M45" s="88"/>
      <c r="N45" s="88"/>
    </row>
    <row r="46" spans="1:14" x14ac:dyDescent="0.35">
      <c r="A46" s="241" t="s">
        <v>940</v>
      </c>
      <c r="C46" s="88">
        <f>'Cash Flow - Standardized'!C31</f>
        <v>-11.496</v>
      </c>
      <c r="D46" s="88">
        <f>'Cash Flow - Standardized'!D31</f>
        <v>-8.8629999999999995</v>
      </c>
      <c r="E46" s="88">
        <f>'Cash Flow - Standardized'!E31</f>
        <v>-11.054</v>
      </c>
      <c r="F46" s="88">
        <f>'Cash Flow - Standardized'!F31</f>
        <v>-23.210999999999999</v>
      </c>
      <c r="G46" s="88">
        <f>'Cash Flow - Standardized'!G31</f>
        <v>-21.445</v>
      </c>
      <c r="H46" s="88">
        <f>'Cash Flow - Standardized'!H31</f>
        <v>-26.510999999999999</v>
      </c>
      <c r="I46" s="88">
        <f>'Cash Flow - Standardized'!I31</f>
        <v>-15.595000000000001</v>
      </c>
      <c r="J46" s="88">
        <f>'Cash Flow - Standardized'!J31</f>
        <v>-18.774999999999999</v>
      </c>
      <c r="K46" s="88">
        <f>'Cash Flow - Standardized'!K31</f>
        <v>-28.978999999999999</v>
      </c>
      <c r="L46" s="88">
        <f>'Cash Flow - Standardized'!L31</f>
        <v>-42.496000000000002</v>
      </c>
      <c r="M46" s="88"/>
      <c r="N46" s="88"/>
    </row>
    <row r="47" spans="1:14" ht="30" customHeight="1" x14ac:dyDescent="0.35">
      <c r="A47" s="242" t="s">
        <v>1028</v>
      </c>
      <c r="C47" s="88">
        <f>'Cash Flow - Standardized'!C17</f>
        <v>-12.590999999999999</v>
      </c>
      <c r="D47" s="88">
        <f>'Cash Flow - Standardized'!D17</f>
        <v>2.7029999999999998</v>
      </c>
      <c r="E47" s="88">
        <f>'Cash Flow - Standardized'!E17</f>
        <v>-9.2070000000000007</v>
      </c>
      <c r="F47" s="88">
        <f>'Cash Flow - Standardized'!F17</f>
        <v>-19.234999999999999</v>
      </c>
      <c r="G47" s="88">
        <f>'Cash Flow - Standardized'!G17</f>
        <v>-14.192</v>
      </c>
      <c r="H47" s="88">
        <f>'Cash Flow - Standardized'!H17</f>
        <v>-21.399000000000001</v>
      </c>
      <c r="I47" s="88">
        <f>'Cash Flow - Standardized'!I17</f>
        <v>-86.078999999999994</v>
      </c>
      <c r="J47" s="88">
        <f>'Cash Flow - Standardized'!J17</f>
        <v>16.312000000000001</v>
      </c>
      <c r="K47" s="88">
        <f>'Cash Flow - Standardized'!K17</f>
        <v>-0.98799999999999999</v>
      </c>
      <c r="L47" s="88">
        <f>'Cash Flow - Standardized'!L17</f>
        <v>28.446999999999999</v>
      </c>
      <c r="M47" s="88"/>
      <c r="N47" s="88"/>
    </row>
    <row r="48" spans="1:14" x14ac:dyDescent="0.35">
      <c r="A48" s="241" t="s">
        <v>1029</v>
      </c>
      <c r="C48" s="88">
        <f>'Cash Flow - Standardized'!C24</f>
        <v>33.125</v>
      </c>
      <c r="D48" s="88">
        <f>'Cash Flow - Standardized'!D24</f>
        <v>39.448999999999998</v>
      </c>
      <c r="E48" s="88">
        <f>'Cash Flow - Standardized'!E24</f>
        <v>33.933999999999997</v>
      </c>
      <c r="F48" s="88">
        <f>'Cash Flow - Standardized'!F24</f>
        <v>3.7970000000000002</v>
      </c>
      <c r="G48" s="88">
        <f>'Cash Flow - Standardized'!G24</f>
        <v>46.033999999999999</v>
      </c>
      <c r="H48" s="88">
        <f>'Cash Flow - Standardized'!H24</f>
        <v>43.968000000000004</v>
      </c>
      <c r="I48" s="88">
        <f>'Cash Flow - Standardized'!I24</f>
        <v>3.048</v>
      </c>
      <c r="J48" s="88">
        <f>'Cash Flow - Standardized'!J24</f>
        <v>119.70699999999999</v>
      </c>
      <c r="K48" s="88">
        <f>'Cash Flow - Standardized'!K24</f>
        <v>95.760999999999996</v>
      </c>
      <c r="L48" s="88">
        <f>'Cash Flow - Standardized'!L24</f>
        <v>132.91</v>
      </c>
      <c r="M48" s="88"/>
      <c r="N48" s="88"/>
    </row>
    <row r="51" spans="1:15" x14ac:dyDescent="0.35">
      <c r="A51" s="30" t="s">
        <v>1030</v>
      </c>
      <c r="B51" s="30"/>
    </row>
    <row r="52" spans="1:15" x14ac:dyDescent="0.35">
      <c r="A52" s="53" t="s">
        <v>1031</v>
      </c>
      <c r="B52" s="53"/>
      <c r="C52" s="55">
        <f>'Balance Sheet - Standardized'!C125</f>
        <v>71.959999999999994</v>
      </c>
      <c r="D52" s="55">
        <f>'Balance Sheet - Standardized'!D125</f>
        <v>86.57</v>
      </c>
      <c r="E52" s="55">
        <f>'Balance Sheet - Standardized'!E125</f>
        <v>95.77</v>
      </c>
      <c r="F52" s="55">
        <f>'Balance Sheet - Standardized'!F125</f>
        <v>88.26</v>
      </c>
      <c r="G52" s="55">
        <f>'Balance Sheet - Standardized'!G125</f>
        <v>99.93</v>
      </c>
      <c r="H52" s="55">
        <f>'Balance Sheet - Standardized'!H125</f>
        <v>164.75</v>
      </c>
      <c r="I52" s="55">
        <f>'Balance Sheet - Standardized'!I125</f>
        <v>160.36000000000001</v>
      </c>
      <c r="J52" s="55">
        <f>'Balance Sheet - Standardized'!J125</f>
        <v>124.1</v>
      </c>
      <c r="K52" s="55">
        <f>'Balance Sheet - Standardized'!K125</f>
        <v>124.05</v>
      </c>
      <c r="L52" s="55">
        <f>'Balance Sheet - Standardized'!L125</f>
        <v>137.22999999999999</v>
      </c>
      <c r="M52" s="38"/>
      <c r="N52" s="38"/>
    </row>
    <row r="53" spans="1:15" x14ac:dyDescent="0.35">
      <c r="A53" s="53" t="s">
        <v>1032</v>
      </c>
      <c r="B53" s="53"/>
      <c r="C53" s="103">
        <f>'Income - GAAP'!C82</f>
        <v>1.1299999999999999</v>
      </c>
      <c r="D53" s="103">
        <f>'Income - GAAP'!D82</f>
        <v>1.17</v>
      </c>
      <c r="E53" s="103">
        <f>'Income - GAAP'!E82</f>
        <v>1.21</v>
      </c>
      <c r="F53" s="103">
        <f>'Income - GAAP'!F82</f>
        <v>1.24</v>
      </c>
      <c r="G53" s="103">
        <f>'Income - GAAP'!G82</f>
        <v>1.26</v>
      </c>
      <c r="H53" s="103">
        <f>'Income - GAAP'!H82</f>
        <v>1.3</v>
      </c>
      <c r="I53" s="103">
        <f>'Income - GAAP'!I82</f>
        <v>1.33</v>
      </c>
      <c r="J53" s="103">
        <f>'Income - GAAP'!J82</f>
        <v>1.37</v>
      </c>
      <c r="K53" s="103">
        <f>'Income - GAAP'!K82</f>
        <v>1.41</v>
      </c>
      <c r="L53" s="103">
        <f>'Income - GAAP'!L82</f>
        <v>1.45</v>
      </c>
      <c r="M53" s="148"/>
      <c r="N53" s="148"/>
    </row>
    <row r="54" spans="1:15" x14ac:dyDescent="0.35">
      <c r="A54" s="53" t="s">
        <v>1033</v>
      </c>
      <c r="B54" s="53"/>
      <c r="C54" s="55">
        <f>'Balance Sheet - Standardized'!C126</f>
        <v>6.9375</v>
      </c>
      <c r="D54" s="55">
        <f>'Balance Sheet - Standardized'!D126</f>
        <v>8.5821000000000005</v>
      </c>
      <c r="E54" s="55">
        <f>'Balance Sheet - Standardized'!E126</f>
        <v>8.3143999999999991</v>
      </c>
      <c r="F54" s="55">
        <f>'Balance Sheet - Standardized'!F126</f>
        <v>7.5525000000000002</v>
      </c>
      <c r="G54" s="55">
        <f>'Balance Sheet - Standardized'!G126</f>
        <v>6.1285999999999996</v>
      </c>
      <c r="H54" s="55">
        <f>'Balance Sheet - Standardized'!H126</f>
        <v>8.7287999999999997</v>
      </c>
      <c r="I54" s="55">
        <f>'Balance Sheet - Standardized'!I126</f>
        <v>8.7331000000000003</v>
      </c>
      <c r="J54" s="55">
        <f>'Balance Sheet - Standardized'!J126</f>
        <v>9.0797000000000008</v>
      </c>
      <c r="K54" s="55">
        <f>'Balance Sheet - Standardized'!K126</f>
        <v>8.1777999999999995</v>
      </c>
      <c r="L54" s="55">
        <f>'Balance Sheet - Standardized'!L126</f>
        <v>8.0777999999999999</v>
      </c>
      <c r="M54" s="38"/>
      <c r="N54" s="38"/>
      <c r="O54" s="55">
        <f>'Balance Sheet - Standardized'!O126</f>
        <v>0</v>
      </c>
    </row>
    <row r="55" spans="1:15" x14ac:dyDescent="0.35">
      <c r="A55" s="53" t="s">
        <v>1034</v>
      </c>
      <c r="B55" s="53"/>
      <c r="C55" s="54"/>
      <c r="D55" s="54"/>
      <c r="E55" s="54"/>
      <c r="F55" s="54"/>
      <c r="G55" s="54"/>
      <c r="H55" s="54"/>
      <c r="I55" s="54"/>
      <c r="J55" s="54"/>
      <c r="K55" s="54"/>
      <c r="L55" s="54"/>
      <c r="M55" s="34"/>
      <c r="N55" s="34"/>
    </row>
    <row r="56" spans="1:15" x14ac:dyDescent="0.35">
      <c r="A56" s="53"/>
      <c r="B56" s="53"/>
      <c r="C56" s="53"/>
      <c r="D56" s="53"/>
      <c r="E56" s="53"/>
      <c r="F56" s="53"/>
      <c r="G56" s="53"/>
      <c r="H56" s="53"/>
      <c r="I56" s="53"/>
      <c r="J56" s="53"/>
      <c r="K56" s="53"/>
      <c r="L56" s="54"/>
    </row>
    <row r="57" spans="1:15" x14ac:dyDescent="0.35">
      <c r="A57" s="53" t="s">
        <v>1035</v>
      </c>
      <c r="B57" s="53"/>
      <c r="C57" s="55">
        <v>27.881245718303209</v>
      </c>
      <c r="D57" s="55">
        <v>30.14384647384805</v>
      </c>
      <c r="E57" s="55">
        <v>33.226502349707502</v>
      </c>
      <c r="F57" s="55">
        <v>32.493181705916648</v>
      </c>
      <c r="G57" s="55">
        <v>39.282833330612277</v>
      </c>
      <c r="H57" s="55">
        <v>46.989127024280847</v>
      </c>
      <c r="I57" s="55">
        <v>45.853195174805911</v>
      </c>
      <c r="J57" s="55">
        <v>33.542718895470919</v>
      </c>
      <c r="K57" s="55">
        <v>32.128228119179752</v>
      </c>
      <c r="L57" s="55">
        <v>26.407104545684401</v>
      </c>
      <c r="M57" s="38"/>
      <c r="N57" s="38"/>
    </row>
    <row r="58" spans="1:15" x14ac:dyDescent="0.35">
      <c r="A58" s="53" t="s">
        <v>1036</v>
      </c>
      <c r="B58" s="53"/>
      <c r="C58" s="62">
        <v>2.9053505171574678</v>
      </c>
      <c r="D58" s="62">
        <v>3.024091672611414</v>
      </c>
      <c r="E58" s="62">
        <v>2.9210506503147089</v>
      </c>
      <c r="F58" s="62">
        <v>2.8587159100301349</v>
      </c>
      <c r="G58" s="62">
        <v>3.017784241449665</v>
      </c>
      <c r="H58" s="62">
        <v>3.219343718925185</v>
      </c>
      <c r="I58" s="62">
        <v>3.655780805027407</v>
      </c>
      <c r="J58" s="62">
        <v>3.73147586943962</v>
      </c>
      <c r="K58" s="62">
        <v>3.9000407845460421</v>
      </c>
      <c r="L58" s="62">
        <v>4.4011393203970064</v>
      </c>
      <c r="M58" s="40"/>
      <c r="N58" s="40"/>
    </row>
    <row r="59" spans="1:15" x14ac:dyDescent="0.35">
      <c r="A59" s="53" t="s">
        <v>1037</v>
      </c>
      <c r="B59" s="53"/>
      <c r="C59" s="54">
        <v>0.43721125136413891</v>
      </c>
      <c r="D59" s="54">
        <v>-8.7643550331434339E-3</v>
      </c>
      <c r="E59" s="54">
        <v>-1.1705734484008129E-2</v>
      </c>
      <c r="F59" s="54">
        <v>-0.48527458999301459</v>
      </c>
      <c r="G59" s="54">
        <v>-0.51994342811700744</v>
      </c>
      <c r="H59" s="54">
        <v>-0.40602138719128311</v>
      </c>
      <c r="I59" s="54">
        <v>0.14643985887683761</v>
      </c>
      <c r="J59" s="54">
        <v>1.0298168224760791</v>
      </c>
      <c r="K59" s="54">
        <v>1.9714701835170521</v>
      </c>
      <c r="L59" s="54">
        <v>2.270335588207602</v>
      </c>
      <c r="M59" s="34"/>
      <c r="N59" s="34"/>
    </row>
    <row r="60" spans="1:15" x14ac:dyDescent="0.35">
      <c r="A60" s="53" t="s">
        <v>1038</v>
      </c>
      <c r="B60" s="53"/>
      <c r="C60" s="53"/>
      <c r="D60" s="53"/>
      <c r="E60" s="53"/>
      <c r="F60" s="53"/>
      <c r="G60" s="53"/>
      <c r="H60" s="53"/>
      <c r="I60" s="53"/>
      <c r="J60" s="53"/>
      <c r="K60" s="53"/>
      <c r="L60" s="53"/>
      <c r="M60" s="34"/>
      <c r="N60" s="34"/>
    </row>
    <row r="61" spans="1:15" x14ac:dyDescent="0.35">
      <c r="A61" s="53" t="s">
        <v>1039</v>
      </c>
      <c r="B61" s="53"/>
      <c r="C61" s="54">
        <v>0.55009916097375378</v>
      </c>
      <c r="D61" s="54">
        <v>0.36317177528627798</v>
      </c>
      <c r="E61" s="54">
        <v>0.34812339909915008</v>
      </c>
      <c r="F61" s="54">
        <v>8.7266533917621736E-2</v>
      </c>
      <c r="G61" s="54">
        <v>-0.147893686958633</v>
      </c>
      <c r="H61" s="54">
        <v>-0.2008703057360175</v>
      </c>
      <c r="I61" s="54">
        <v>-2.9898949256324969E-2</v>
      </c>
      <c r="J61" s="54">
        <v>0.1876331125241584</v>
      </c>
      <c r="K61" s="54">
        <v>0.28680019842252791</v>
      </c>
      <c r="L61" s="54">
        <v>0.23729521692989211</v>
      </c>
      <c r="M61" s="34"/>
      <c r="N61" s="34"/>
    </row>
    <row r="62" spans="1:15" x14ac:dyDescent="0.35">
      <c r="A62" s="53"/>
      <c r="B62" s="53"/>
      <c r="C62" s="53"/>
      <c r="D62" s="53"/>
      <c r="E62" s="53"/>
      <c r="F62" s="53"/>
      <c r="G62" s="53"/>
      <c r="H62" s="53"/>
      <c r="I62" s="53"/>
      <c r="J62" s="53"/>
      <c r="K62" s="53"/>
      <c r="L62" s="53"/>
    </row>
    <row r="63" spans="1:15" x14ac:dyDescent="0.35">
      <c r="A63" s="243" t="s">
        <v>478</v>
      </c>
      <c r="B63" s="308">
        <v>115.36</v>
      </c>
    </row>
    <row r="64" spans="1:15" x14ac:dyDescent="0.35">
      <c r="A64" s="244" t="s">
        <v>1040</v>
      </c>
      <c r="B64" s="308">
        <v>4.8237518707314004</v>
      </c>
    </row>
    <row r="65" spans="1:14" x14ac:dyDescent="0.35">
      <c r="A65" s="244" t="s">
        <v>1041</v>
      </c>
      <c r="B65" s="309">
        <v>23.68695634891257</v>
      </c>
    </row>
    <row r="66" spans="1:14" x14ac:dyDescent="0.35">
      <c r="A66" s="244" t="s">
        <v>1042</v>
      </c>
      <c r="B66" s="309">
        <v>29.462582106736129</v>
      </c>
    </row>
    <row r="67" spans="1:14" x14ac:dyDescent="0.35">
      <c r="A67" s="244" t="s">
        <v>479</v>
      </c>
      <c r="B67" s="308">
        <v>142.12018555394579</v>
      </c>
    </row>
    <row r="68" spans="1:14" x14ac:dyDescent="0.35">
      <c r="A68" s="244" t="s">
        <v>1043</v>
      </c>
      <c r="B68" s="308">
        <v>153.075449008162</v>
      </c>
    </row>
    <row r="69" spans="1:14" x14ac:dyDescent="0.35">
      <c r="A69" s="244" t="s">
        <v>1044</v>
      </c>
      <c r="B69" s="310">
        <v>0.3397116139345524</v>
      </c>
    </row>
    <row r="70" spans="1:14" x14ac:dyDescent="0.35">
      <c r="A70" s="244" t="s">
        <v>483</v>
      </c>
      <c r="B70" s="310">
        <v>7.3186630083052373E-2</v>
      </c>
    </row>
    <row r="71" spans="1:14" x14ac:dyDescent="0.35">
      <c r="A71" s="244" t="s">
        <v>484</v>
      </c>
      <c r="B71" s="310">
        <v>5.0023693499823503E-2</v>
      </c>
    </row>
    <row r="72" spans="1:14" x14ac:dyDescent="0.35">
      <c r="A72" s="244" t="s">
        <v>1045</v>
      </c>
      <c r="B72" s="310">
        <v>1.9444444444444441E-2</v>
      </c>
    </row>
    <row r="73" spans="1:14" x14ac:dyDescent="0.35">
      <c r="A73" s="311" t="s">
        <v>480</v>
      </c>
      <c r="B73" s="310">
        <v>2.8793433306053742</v>
      </c>
    </row>
    <row r="74" spans="1:14" x14ac:dyDescent="0.35">
      <c r="A74" s="311" t="s">
        <v>481</v>
      </c>
      <c r="B74" s="310" t="s">
        <v>1046</v>
      </c>
    </row>
    <row r="75" spans="1:14" x14ac:dyDescent="0.35">
      <c r="A75" s="311" t="s">
        <v>482</v>
      </c>
      <c r="B75" s="310">
        <v>0.2492876956646464</v>
      </c>
    </row>
    <row r="78" spans="1:14" x14ac:dyDescent="0.35">
      <c r="A78" s="30" t="s">
        <v>1047</v>
      </c>
      <c r="B78" s="30"/>
    </row>
    <row r="79" spans="1:14" x14ac:dyDescent="0.35">
      <c r="A79" s="44" t="s">
        <v>1048</v>
      </c>
      <c r="B79" s="44"/>
    </row>
    <row r="80" spans="1:14" x14ac:dyDescent="0.35">
      <c r="A80" s="53" t="s">
        <v>1049</v>
      </c>
      <c r="B80" s="53"/>
      <c r="C80" s="58">
        <f t="shared" ref="C80:L80" si="2">IF(C81="",0,C81)+IF(C82="",0,C82)</f>
        <v>461.90699999999998</v>
      </c>
      <c r="D80" s="58">
        <f t="shared" si="2"/>
        <v>480.44600000000003</v>
      </c>
      <c r="E80" s="58">
        <f t="shared" si="2"/>
        <v>462.30599999999998</v>
      </c>
      <c r="F80" s="58">
        <f t="shared" si="2"/>
        <v>452.77900000000005</v>
      </c>
      <c r="G80" s="58">
        <f t="shared" si="2"/>
        <v>481.86099999999999</v>
      </c>
      <c r="H80" s="58">
        <f t="shared" si="2"/>
        <v>546.29200000000003</v>
      </c>
      <c r="I80" s="58">
        <f t="shared" si="2"/>
        <v>616.83400000000006</v>
      </c>
      <c r="J80" s="58">
        <f t="shared" si="2"/>
        <v>671.98199999999997</v>
      </c>
      <c r="K80" s="58">
        <f t="shared" si="2"/>
        <v>684.30799999999999</v>
      </c>
      <c r="L80" s="58">
        <f t="shared" si="2"/>
        <v>750.55799999999999</v>
      </c>
      <c r="M80" s="38"/>
      <c r="N80" s="38"/>
    </row>
    <row r="81" spans="1:14" x14ac:dyDescent="0.35">
      <c r="A81" s="53" t="s">
        <v>1050</v>
      </c>
      <c r="B81" s="56"/>
      <c r="C81" s="58">
        <f>IF('Balance Sheet - Standardized'!C11="",0,'Balance Sheet - Standardized'!C11)+IF('Balance Sheet - Standardized'!C14="",0,'Balance Sheet - Standardized'!C14)+IF('Balance Sheet - Standardized'!C20="",0,'Balance Sheet - Standardized'!C20)+IF('Balance Sheet - Standardized'!C27="",0,'Balance Sheet - Standardized'!C27)</f>
        <v>260.27699999999999</v>
      </c>
      <c r="D81" s="58">
        <f>IF('Balance Sheet - Standardized'!D11="",0,'Balance Sheet - Standardized'!D11)+IF('Balance Sheet - Standardized'!D14="",0,'Balance Sheet - Standardized'!D14)+IF('Balance Sheet - Standardized'!D20="",0,'Balance Sheet - Standardized'!D20)+IF('Balance Sheet - Standardized'!D27="",0,'Balance Sheet - Standardized'!D27)</f>
        <v>286.00900000000001</v>
      </c>
      <c r="E81" s="58">
        <f>IF('Balance Sheet - Standardized'!E11="",0,'Balance Sheet - Standardized'!E11)+IF('Balance Sheet - Standardized'!E14="",0,'Balance Sheet - Standardized'!E14)+IF('Balance Sheet - Standardized'!E20="",0,'Balance Sheet - Standardized'!E20)+IF('Balance Sheet - Standardized'!E27="",0,'Balance Sheet - Standardized'!E27)</f>
        <v>313.01</v>
      </c>
      <c r="F81" s="58">
        <f>IF('Balance Sheet - Standardized'!F11="",0,'Balance Sheet - Standardized'!F11)+IF('Balance Sheet - Standardized'!F14="",0,'Balance Sheet - Standardized'!F14)+IF('Balance Sheet - Standardized'!F20="",0,'Balance Sheet - Standardized'!F20)+IF('Balance Sheet - Standardized'!F27="",0,'Balance Sheet - Standardized'!F27)</f>
        <v>295.04200000000003</v>
      </c>
      <c r="G81" s="58">
        <f>IF('Balance Sheet - Standardized'!G11="",0,'Balance Sheet - Standardized'!G11)+IF('Balance Sheet - Standardized'!G14="",0,'Balance Sheet - Standardized'!G14)+IF('Balance Sheet - Standardized'!G20="",0,'Balance Sheet - Standardized'!G20)+IF('Balance Sheet - Standardized'!G27="",0,'Balance Sheet - Standardized'!G27)</f>
        <v>310.79899999999998</v>
      </c>
      <c r="H81" s="58">
        <f>IF('Balance Sheet - Standardized'!H11="",0,'Balance Sheet - Standardized'!H11)+IF('Balance Sheet - Standardized'!H14="",0,'Balance Sheet - Standardized'!H14)+IF('Balance Sheet - Standardized'!H20="",0,'Balance Sheet - Standardized'!H20)+IF('Balance Sheet - Standardized'!H27="",0,'Balance Sheet - Standardized'!H27)</f>
        <v>365.96000000000004</v>
      </c>
      <c r="I81" s="58">
        <f>IF('Balance Sheet - Standardized'!I11="",0,'Balance Sheet - Standardized'!I11)+IF('Balance Sheet - Standardized'!I14="",0,'Balance Sheet - Standardized'!I14)+IF('Balance Sheet - Standardized'!I20="",0,'Balance Sheet - Standardized'!I20)+IF('Balance Sheet - Standardized'!I27="",0,'Balance Sheet - Standardized'!I27)</f>
        <v>437.024</v>
      </c>
      <c r="J81" s="58">
        <f>IF('Balance Sheet - Standardized'!J11="",0,'Balance Sheet - Standardized'!J11)+IF('Balance Sheet - Standardized'!J14="",0,'Balance Sheet - Standardized'!J14)+IF('Balance Sheet - Standardized'!J20="",0,'Balance Sheet - Standardized'!J20)+IF('Balance Sheet - Standardized'!J27="",0,'Balance Sheet - Standardized'!J27)</f>
        <v>461.46100000000001</v>
      </c>
      <c r="K81" s="58">
        <f>IF('Balance Sheet - Standardized'!K11="",0,'Balance Sheet - Standardized'!K11)+IF('Balance Sheet - Standardized'!K14="",0,'Balance Sheet - Standardized'!K14)+IF('Balance Sheet - Standardized'!K20="",0,'Balance Sheet - Standardized'!K20)+IF('Balance Sheet - Standardized'!K27="",0,'Balance Sheet - Standardized'!K27)</f>
        <v>461.93299999999999</v>
      </c>
      <c r="L81" s="58">
        <f>IF('Balance Sheet - Standardized'!L11="",0,'Balance Sheet - Standardized'!L11)+IF('Balance Sheet - Standardized'!L14="",0,'Balance Sheet - Standardized'!L14)+IF('Balance Sheet - Standardized'!L20="",0,'Balance Sheet - Standardized'!L20)+IF('Balance Sheet - Standardized'!L27="",0,'Balance Sheet - Standardized'!L27)</f>
        <v>500.46100000000001</v>
      </c>
      <c r="M81" s="38"/>
      <c r="N81" s="38"/>
    </row>
    <row r="82" spans="1:14" x14ac:dyDescent="0.35">
      <c r="A82" s="53" t="s">
        <v>1051</v>
      </c>
      <c r="B82" s="57"/>
      <c r="C82" s="58">
        <f>IF('Balance Sheet - Standardized'!C37="",0,'Balance Sheet - Standardized'!C37)+IF('Balance Sheet - Standardized'!C48="",0,'Balance Sheet - Standardized'!C48)+IF('Balance Sheet - Standardized'!C51="",0,'Balance Sheet - Standardized'!C51)</f>
        <v>201.63</v>
      </c>
      <c r="D82" s="58">
        <f>IF('Balance Sheet - Standardized'!D37="",0,'Balance Sheet - Standardized'!D37)+IF('Balance Sheet - Standardized'!D48="",0,'Balance Sheet - Standardized'!D48)+IF('Balance Sheet - Standardized'!D51="",0,'Balance Sheet - Standardized'!D51)</f>
        <v>194.43700000000001</v>
      </c>
      <c r="E82" s="58">
        <f>IF('Balance Sheet - Standardized'!E37="",0,'Balance Sheet - Standardized'!E37)+IF('Balance Sheet - Standardized'!E48="",0,'Balance Sheet - Standardized'!E48)+IF('Balance Sheet - Standardized'!E51="",0,'Balance Sheet - Standardized'!E51)</f>
        <v>149.29599999999999</v>
      </c>
      <c r="F82" s="58">
        <f>IF('Balance Sheet - Standardized'!F37="",0,'Balance Sheet - Standardized'!F37)+IF('Balance Sheet - Standardized'!F48="",0,'Balance Sheet - Standardized'!F48)+IF('Balance Sheet - Standardized'!F51="",0,'Balance Sheet - Standardized'!F51)</f>
        <v>157.73700000000002</v>
      </c>
      <c r="G82" s="58">
        <f>IF('Balance Sheet - Standardized'!G37="",0,'Balance Sheet - Standardized'!G37)+IF('Balance Sheet - Standardized'!G48="",0,'Balance Sheet - Standardized'!G48)+IF('Balance Sheet - Standardized'!G51="",0,'Balance Sheet - Standardized'!G51)</f>
        <v>171.06200000000001</v>
      </c>
      <c r="H82" s="58">
        <f>IF('Balance Sheet - Standardized'!H37="",0,'Balance Sheet - Standardized'!H37)+IF('Balance Sheet - Standardized'!H48="",0,'Balance Sheet - Standardized'!H48)+IF('Balance Sheet - Standardized'!H51="",0,'Balance Sheet - Standardized'!H51)</f>
        <v>180.33199999999999</v>
      </c>
      <c r="I82" s="58">
        <f>IF('Balance Sheet - Standardized'!I37="",0,'Balance Sheet - Standardized'!I37)+IF('Balance Sheet - Standardized'!I48="",0,'Balance Sheet - Standardized'!I48)+IF('Balance Sheet - Standardized'!I51="",0,'Balance Sheet - Standardized'!I51)</f>
        <v>179.81</v>
      </c>
      <c r="J82" s="58">
        <f>IF('Balance Sheet - Standardized'!J37="",0,'Balance Sheet - Standardized'!J37)+IF('Balance Sheet - Standardized'!J48="",0,'Balance Sheet - Standardized'!J48)+IF('Balance Sheet - Standardized'!J51="",0,'Balance Sheet - Standardized'!J51)</f>
        <v>210.52100000000002</v>
      </c>
      <c r="K82" s="58">
        <f>IF('Balance Sheet - Standardized'!K37="",0,'Balance Sheet - Standardized'!K37)+IF('Balance Sheet - Standardized'!K48="",0,'Balance Sheet - Standardized'!K48)+IF('Balance Sheet - Standardized'!K51="",0,'Balance Sheet - Standardized'!K51)</f>
        <v>222.375</v>
      </c>
      <c r="L82" s="58">
        <f>IF('Balance Sheet - Standardized'!L37="",0,'Balance Sheet - Standardized'!L37)+IF('Balance Sheet - Standardized'!L48="",0,'Balance Sheet - Standardized'!L48)+IF('Balance Sheet - Standardized'!L51="",0,'Balance Sheet - Standardized'!L51)</f>
        <v>250.09699999999998</v>
      </c>
      <c r="M82" s="38"/>
      <c r="N82" s="38"/>
    </row>
    <row r="83" spans="1:14" x14ac:dyDescent="0.35">
      <c r="A83" s="53" t="s">
        <v>1052</v>
      </c>
      <c r="B83" s="53"/>
      <c r="C83" s="58">
        <f t="shared" ref="C83:L83" si="3">IF(C84="",0,C84)+IF(C85="",0,C85)</f>
        <v>39.862000000000002</v>
      </c>
      <c r="D83" s="58">
        <f t="shared" si="3"/>
        <v>42.882999999999996</v>
      </c>
      <c r="E83" s="58">
        <f t="shared" si="3"/>
        <v>36.867000000000004</v>
      </c>
      <c r="F83" s="58">
        <f t="shared" si="3"/>
        <v>29.434000000000001</v>
      </c>
      <c r="G83" s="58">
        <f t="shared" si="3"/>
        <v>31.375999999999998</v>
      </c>
      <c r="H83" s="58">
        <f t="shared" si="3"/>
        <v>48.665000000000006</v>
      </c>
      <c r="I83" s="58">
        <f t="shared" si="3"/>
        <v>61.1</v>
      </c>
      <c r="J83" s="58">
        <f t="shared" si="3"/>
        <v>47.107999999999997</v>
      </c>
      <c r="K83" s="58">
        <f t="shared" si="3"/>
        <v>60.653000000000006</v>
      </c>
      <c r="L83" s="58">
        <f t="shared" si="3"/>
        <v>66.609000000000009</v>
      </c>
      <c r="M83" s="38"/>
      <c r="N83" s="38"/>
    </row>
    <row r="84" spans="1:14" x14ac:dyDescent="0.35">
      <c r="A84" s="53" t="s">
        <v>1050</v>
      </c>
      <c r="B84" s="56"/>
      <c r="C84" s="58">
        <f>IF('Balance Sheet - Standardized'!C65="",0,'Balance Sheet - Standardized'!C65)+IF('Balance Sheet - Standardized'!C68="",0,'Balance Sheet - Standardized'!C68)+IF('Balance Sheet - Standardized'!C78="",0,'Balance Sheet - Standardized'!C78)</f>
        <v>39.862000000000002</v>
      </c>
      <c r="D84" s="58">
        <f>IF('Balance Sheet - Standardized'!D65="",0,'Balance Sheet - Standardized'!D65)+IF('Balance Sheet - Standardized'!D68="",0,'Balance Sheet - Standardized'!D68)+IF('Balance Sheet - Standardized'!D78="",0,'Balance Sheet - Standardized'!D78)</f>
        <v>42.882999999999996</v>
      </c>
      <c r="E84" s="58">
        <f>IF('Balance Sheet - Standardized'!E65="",0,'Balance Sheet - Standardized'!E65)+IF('Balance Sheet - Standardized'!E68="",0,'Balance Sheet - Standardized'!E68)+IF('Balance Sheet - Standardized'!E78="",0,'Balance Sheet - Standardized'!E78)</f>
        <v>36.867000000000004</v>
      </c>
      <c r="F84" s="58">
        <f>IF('Balance Sheet - Standardized'!F65="",0,'Balance Sheet - Standardized'!F65)+IF('Balance Sheet - Standardized'!F68="",0,'Balance Sheet - Standardized'!F68)+IF('Balance Sheet - Standardized'!F78="",0,'Balance Sheet - Standardized'!F78)</f>
        <v>29.434000000000001</v>
      </c>
      <c r="G84" s="58">
        <f>IF('Balance Sheet - Standardized'!G65="",0,'Balance Sheet - Standardized'!G65)+IF('Balance Sheet - Standardized'!G68="",0,'Balance Sheet - Standardized'!G68)+IF('Balance Sheet - Standardized'!G78="",0,'Balance Sheet - Standardized'!G78)</f>
        <v>31.375999999999998</v>
      </c>
      <c r="H84" s="58">
        <f>IF('Balance Sheet - Standardized'!H65="",0,'Balance Sheet - Standardized'!H65)+IF('Balance Sheet - Standardized'!H68="",0,'Balance Sheet - Standardized'!H68)+IF('Balance Sheet - Standardized'!H78="",0,'Balance Sheet - Standardized'!H78)</f>
        <v>48.665000000000006</v>
      </c>
      <c r="I84" s="58">
        <f>IF('Balance Sheet - Standardized'!I65="",0,'Balance Sheet - Standardized'!I65)+IF('Balance Sheet - Standardized'!I68="",0,'Balance Sheet - Standardized'!I68)+IF('Balance Sheet - Standardized'!I78="",0,'Balance Sheet - Standardized'!I78)</f>
        <v>61.1</v>
      </c>
      <c r="J84" s="58">
        <f>IF('Balance Sheet - Standardized'!J65="",0,'Balance Sheet - Standardized'!J65)+IF('Balance Sheet - Standardized'!J68="",0,'Balance Sheet - Standardized'!J68)+IF('Balance Sheet - Standardized'!J78="",0,'Balance Sheet - Standardized'!J78)</f>
        <v>47.107999999999997</v>
      </c>
      <c r="K84" s="58">
        <f>IF('Balance Sheet - Standardized'!K65="",0,'Balance Sheet - Standardized'!K65)+IF('Balance Sheet - Standardized'!K68="",0,'Balance Sheet - Standardized'!K68)+IF('Balance Sheet - Standardized'!K78="",0,'Balance Sheet - Standardized'!K78)</f>
        <v>60.653000000000006</v>
      </c>
      <c r="L84" s="58">
        <f>IF('Balance Sheet - Standardized'!L65="",0,'Balance Sheet - Standardized'!L65)+IF('Balance Sheet - Standardized'!L68="",0,'Balance Sheet - Standardized'!L68)+IF('Balance Sheet - Standardized'!L78="",0,'Balance Sheet - Standardized'!L78)</f>
        <v>66.609000000000009</v>
      </c>
      <c r="M84" s="38"/>
      <c r="N84" s="38"/>
    </row>
    <row r="85" spans="1:14" x14ac:dyDescent="0.35">
      <c r="A85" s="53" t="s">
        <v>1051</v>
      </c>
      <c r="B85" s="57"/>
      <c r="C85" s="58">
        <f>'Balance Sheet - Standardized'!C98</f>
        <v>0</v>
      </c>
      <c r="D85" s="58">
        <f>'Balance Sheet - Standardized'!D98</f>
        <v>0</v>
      </c>
      <c r="E85" s="58">
        <f>'Balance Sheet - Standardized'!E98</f>
        <v>0</v>
      </c>
      <c r="F85" s="58">
        <f>'Balance Sheet - Standardized'!F98</f>
        <v>0</v>
      </c>
      <c r="G85" s="58">
        <f>'Balance Sheet - Standardized'!G98</f>
        <v>0</v>
      </c>
      <c r="H85" s="58">
        <f>'Balance Sheet - Standardized'!H98</f>
        <v>0</v>
      </c>
      <c r="I85" s="58">
        <f>'Balance Sheet - Standardized'!I98</f>
        <v>0</v>
      </c>
      <c r="J85" s="58">
        <f>'Balance Sheet - Standardized'!J98</f>
        <v>0</v>
      </c>
      <c r="K85" s="58">
        <f>'Balance Sheet - Standardized'!K98</f>
        <v>0</v>
      </c>
      <c r="L85" s="58">
        <f>'Balance Sheet - Standardized'!L98</f>
        <v>0</v>
      </c>
      <c r="M85" s="38"/>
      <c r="N85" s="38"/>
    </row>
    <row r="86" spans="1:14" x14ac:dyDescent="0.35">
      <c r="A86" s="44" t="s">
        <v>1053</v>
      </c>
      <c r="B86" s="44"/>
      <c r="C86" s="58"/>
      <c r="D86" s="58"/>
      <c r="E86" s="58"/>
      <c r="F86" s="58"/>
      <c r="G86" s="58"/>
      <c r="H86" s="58"/>
      <c r="I86" s="58"/>
      <c r="J86" s="58"/>
      <c r="K86" s="58"/>
      <c r="L86" s="58"/>
      <c r="M86" s="38"/>
      <c r="N86" s="38"/>
    </row>
    <row r="87" spans="1:14" x14ac:dyDescent="0.35">
      <c r="A87" s="53" t="s">
        <v>1054</v>
      </c>
      <c r="B87" s="53"/>
      <c r="C87" s="58">
        <f>'Income - GAAP'!C9</f>
        <v>516.41099999999994</v>
      </c>
      <c r="D87" s="58">
        <f>'Income - GAAP'!D9</f>
        <v>517.98500000000001</v>
      </c>
      <c r="E87" s="58">
        <f>'Income - GAAP'!E9</f>
        <v>547.70500000000004</v>
      </c>
      <c r="F87" s="58">
        <f>'Income - GAAP'!F9</f>
        <v>444.072</v>
      </c>
      <c r="G87" s="58">
        <f>'Income - GAAP'!G9</f>
        <v>474.69200000000001</v>
      </c>
      <c r="H87" s="58">
        <f>'Income - GAAP'!H9</f>
        <v>567.64599999999996</v>
      </c>
      <c r="I87" s="58">
        <f>'Income - GAAP'!I9</f>
        <v>770.74300000000005</v>
      </c>
      <c r="J87" s="58">
        <f>'Income - GAAP'!J9</f>
        <v>674.08399999999995</v>
      </c>
      <c r="K87" s="58">
        <f>'Income - GAAP'!K9</f>
        <v>607.07399999999996</v>
      </c>
      <c r="L87" s="58">
        <f>'Income - GAAP'!L9</f>
        <v>676.36800000000005</v>
      </c>
      <c r="M87" s="38"/>
      <c r="N87" s="38"/>
    </row>
    <row r="88" spans="1:14" x14ac:dyDescent="0.35">
      <c r="A88" s="53" t="s">
        <v>1055</v>
      </c>
      <c r="B88" s="53"/>
      <c r="C88" s="58">
        <f>IF('Income - GAAP'!C14="",0,'Income - GAAP'!C14)+IF('Income - GAAP'!C22="",0,'Income - GAAP'!C22)</f>
        <v>482.036</v>
      </c>
      <c r="D88" s="58">
        <f>IF('Income - GAAP'!D14="",0,'Income - GAAP'!D14)+IF('Income - GAAP'!D22="",0,'Income - GAAP'!D22)</f>
        <v>477.78399999999999</v>
      </c>
      <c r="E88" s="58">
        <f>IF('Income - GAAP'!E14="",0,'Income - GAAP'!E14)+IF('Income - GAAP'!E22="",0,'Income - GAAP'!E22)</f>
        <v>509.142</v>
      </c>
      <c r="F88" s="58">
        <f>IF('Income - GAAP'!F14="",0,'Income - GAAP'!F14)+IF('Income - GAAP'!F22="",0,'Income - GAAP'!F22)</f>
        <v>437.95699999999999</v>
      </c>
      <c r="G88" s="58">
        <f>IF('Income - GAAP'!G14="",0,'Income - GAAP'!G14)+IF('Income - GAAP'!G22="",0,'Income - GAAP'!G22)</f>
        <v>420.49</v>
      </c>
      <c r="H88" s="58">
        <f>IF('Income - GAAP'!H14="",0,'Income - GAAP'!H14)+IF('Income - GAAP'!H22="",0,'Income - GAAP'!H22)</f>
        <v>513.53899999999999</v>
      </c>
      <c r="I88" s="58">
        <f>IF('Income - GAAP'!I14="",0,'Income - GAAP'!I14)+IF('Income - GAAP'!I22="",0,'Income - GAAP'!I22)</f>
        <v>676.1</v>
      </c>
      <c r="J88" s="58">
        <f>IF('Income - GAAP'!J14="",0,'Income - GAAP'!J14)+IF('Income - GAAP'!J22="",0,'Income - GAAP'!J22)</f>
        <v>571.9</v>
      </c>
      <c r="K88" s="58">
        <f>IF('Income - GAAP'!K14="",0,'Income - GAAP'!K14)+IF('Income - GAAP'!K22="",0,'Income - GAAP'!K22)</f>
        <v>530.46600000000001</v>
      </c>
      <c r="L88" s="58">
        <f>IF('Income - GAAP'!L14="",0,'Income - GAAP'!L14)+IF('Income - GAAP'!L22="",0,'Income - GAAP'!L22)</f>
        <v>588.24400000000003</v>
      </c>
      <c r="M88" s="38"/>
      <c r="N88" s="38"/>
    </row>
    <row r="89" spans="1:14" x14ac:dyDescent="0.35">
      <c r="A89" s="53" t="s">
        <v>818</v>
      </c>
      <c r="B89" s="53"/>
      <c r="C89" s="58">
        <f t="shared" ref="C89:L89" si="4">IF(C87="",0,C87)-IF(C88="",0,C88)</f>
        <v>34.374999999999943</v>
      </c>
      <c r="D89" s="58">
        <f t="shared" si="4"/>
        <v>40.201000000000022</v>
      </c>
      <c r="E89" s="58">
        <f t="shared" si="4"/>
        <v>38.563000000000045</v>
      </c>
      <c r="F89" s="58">
        <f t="shared" si="4"/>
        <v>6.1150000000000091</v>
      </c>
      <c r="G89" s="58">
        <f t="shared" si="4"/>
        <v>54.201999999999998</v>
      </c>
      <c r="H89" s="58">
        <f t="shared" si="4"/>
        <v>54.106999999999971</v>
      </c>
      <c r="I89" s="58">
        <f t="shared" si="4"/>
        <v>94.643000000000029</v>
      </c>
      <c r="J89" s="58">
        <f t="shared" si="4"/>
        <v>102.18399999999997</v>
      </c>
      <c r="K89" s="58">
        <f t="shared" si="4"/>
        <v>76.607999999999947</v>
      </c>
      <c r="L89" s="58">
        <f t="shared" si="4"/>
        <v>88.124000000000024</v>
      </c>
      <c r="M89" s="38"/>
      <c r="N89" s="38"/>
    </row>
    <row r="91" spans="1:14" x14ac:dyDescent="0.35">
      <c r="A91" s="30" t="s">
        <v>1056</v>
      </c>
      <c r="B91" s="30"/>
    </row>
    <row r="92" spans="1:14" x14ac:dyDescent="0.35">
      <c r="A92" s="44" t="s">
        <v>1057</v>
      </c>
      <c r="B92" s="58" t="s">
        <v>1058</v>
      </c>
      <c r="E92">
        <v>1</v>
      </c>
    </row>
    <row r="93" spans="1:14" x14ac:dyDescent="0.35">
      <c r="A93" s="59" t="s">
        <v>1059</v>
      </c>
      <c r="B93" s="59"/>
      <c r="C93" s="53"/>
      <c r="D93" s="53"/>
      <c r="E93" s="53"/>
      <c r="F93" s="53"/>
      <c r="G93" s="53"/>
      <c r="H93" s="53"/>
      <c r="I93" s="53"/>
      <c r="J93" s="53"/>
      <c r="K93" s="53"/>
      <c r="L93" s="53"/>
    </row>
    <row r="94" spans="1:14" x14ac:dyDescent="0.35">
      <c r="A94" s="53" t="s">
        <v>1060</v>
      </c>
      <c r="B94" s="53"/>
      <c r="C94" s="53"/>
      <c r="D94" s="53"/>
      <c r="E94" s="53"/>
      <c r="F94" s="53"/>
      <c r="G94" s="53"/>
      <c r="H94" s="53"/>
      <c r="I94" s="53"/>
      <c r="J94" s="53"/>
      <c r="K94" s="53"/>
      <c r="L94" s="53"/>
    </row>
    <row r="95" spans="1:14" x14ac:dyDescent="0.35">
      <c r="A95" s="53" t="s">
        <v>1061</v>
      </c>
      <c r="B95" s="53"/>
      <c r="C95" s="53">
        <f>'Balance Sheet - Standardized'!C127</f>
        <v>3.9209999999999998</v>
      </c>
      <c r="D95" s="53">
        <f>'Balance Sheet - Standardized'!D127</f>
        <v>3.8260000000000001</v>
      </c>
      <c r="E95" s="53">
        <f>'Balance Sheet - Standardized'!E127</f>
        <v>3.964</v>
      </c>
      <c r="F95" s="53">
        <f>'Balance Sheet - Standardized'!F127</f>
        <v>6.0650000000000004</v>
      </c>
      <c r="G95" s="53">
        <f>'Balance Sheet - Standardized'!G127</f>
        <v>5.9109999999999996</v>
      </c>
      <c r="H95" s="53">
        <f>'Balance Sheet - Standardized'!H127</f>
        <v>4.6550000000000002</v>
      </c>
      <c r="I95" s="53">
        <f>'Balance Sheet - Standardized'!I127</f>
        <v>3.8079999999999998</v>
      </c>
      <c r="J95" s="53">
        <f>'Balance Sheet - Standardized'!J127</f>
        <v>3.7149999999999999</v>
      </c>
      <c r="K95" s="53">
        <f>'Balance Sheet - Standardized'!K127</f>
        <v>4.4859999999999998</v>
      </c>
      <c r="L95" s="53">
        <f>'Balance Sheet - Standardized'!L127</f>
        <v>4.8959999999999999</v>
      </c>
    </row>
    <row r="96" spans="1:14" x14ac:dyDescent="0.35">
      <c r="A96" s="53" t="s">
        <v>1062</v>
      </c>
      <c r="B96" s="53"/>
      <c r="C96" s="53">
        <f>'Balance Sheet - Standardized'!C128</f>
        <v>3.069</v>
      </c>
      <c r="D96" s="53">
        <f>'Balance Sheet - Standardized'!D128</f>
        <v>3.15</v>
      </c>
      <c r="E96" s="53">
        <f>'Balance Sheet - Standardized'!E128</f>
        <v>3.996</v>
      </c>
      <c r="F96" s="53">
        <f>'Balance Sheet - Standardized'!F128</f>
        <v>5.266</v>
      </c>
      <c r="G96" s="53">
        <f>'Balance Sheet - Standardized'!G128</f>
        <v>5.734</v>
      </c>
      <c r="H96" s="53">
        <f>'Balance Sheet - Standardized'!H128</f>
        <v>2.9830000000000001</v>
      </c>
      <c r="I96" s="53">
        <f>'Balance Sheet - Standardized'!I128</f>
        <v>3.2749999999999999</v>
      </c>
      <c r="J96" s="53">
        <f>'Balance Sheet - Standardized'!J128</f>
        <v>3.395</v>
      </c>
      <c r="K96" s="53">
        <f>'Balance Sheet - Standardized'!K128</f>
        <v>3.64</v>
      </c>
      <c r="L96" s="53">
        <f>'Balance Sheet - Standardized'!L128</f>
        <v>4.1150000000000002</v>
      </c>
    </row>
    <row r="97" spans="1:14" x14ac:dyDescent="0.35">
      <c r="A97" s="53" t="s">
        <v>1063</v>
      </c>
      <c r="B97" s="53"/>
      <c r="C97" s="53">
        <f>'Balance Sheet - Standardized'!C129</f>
        <v>2.4830000000000001</v>
      </c>
      <c r="D97" s="53">
        <f>'Balance Sheet - Standardized'!D129</f>
        <v>2.6459999999999999</v>
      </c>
      <c r="E97" s="53">
        <f>'Balance Sheet - Standardized'!E129</f>
        <v>3.9710000000000001</v>
      </c>
      <c r="F97" s="53">
        <f>'Balance Sheet - Standardized'!F129</f>
        <v>4.7709999999999999</v>
      </c>
      <c r="G97" s="53">
        <f>'Balance Sheet - Standardized'!G129</f>
        <v>4.0750000000000002</v>
      </c>
      <c r="H97" s="53">
        <f>'Balance Sheet - Standardized'!H129</f>
        <v>2.609</v>
      </c>
      <c r="I97" s="53">
        <f>'Balance Sheet - Standardized'!I129</f>
        <v>3.1360000000000001</v>
      </c>
      <c r="J97" s="53">
        <f>'Balance Sheet - Standardized'!J129</f>
        <v>3.0859999999999999</v>
      </c>
      <c r="K97" s="53">
        <f>'Balance Sheet - Standardized'!K129</f>
        <v>2.8410000000000002</v>
      </c>
      <c r="L97" s="53">
        <f>'Balance Sheet - Standardized'!L129</f>
        <v>3.08</v>
      </c>
    </row>
    <row r="98" spans="1:14" x14ac:dyDescent="0.35">
      <c r="A98" s="53" t="s">
        <v>1064</v>
      </c>
      <c r="B98" s="53"/>
      <c r="C98" s="53">
        <f>'Balance Sheet - Standardized'!C130</f>
        <v>1.78</v>
      </c>
      <c r="D98" s="53">
        <f>'Balance Sheet - Standardized'!D130</f>
        <v>2.5990000000000002</v>
      </c>
      <c r="E98" s="53">
        <f>'Balance Sheet - Standardized'!E130</f>
        <v>3.831</v>
      </c>
      <c r="F98" s="53">
        <f>'Balance Sheet - Standardized'!F130</f>
        <v>3.4140000000000001</v>
      </c>
      <c r="G98" s="53">
        <f>'Balance Sheet - Standardized'!G130</f>
        <v>3.68</v>
      </c>
      <c r="H98" s="53">
        <f>'Balance Sheet - Standardized'!H130</f>
        <v>2.0070000000000001</v>
      </c>
      <c r="I98" s="53">
        <f>'Balance Sheet - Standardized'!I130</f>
        <v>2.9670000000000001</v>
      </c>
      <c r="J98" s="53">
        <f>'Balance Sheet - Standardized'!J130</f>
        <v>2.66</v>
      </c>
      <c r="K98" s="53">
        <f>'Balance Sheet - Standardized'!K130</f>
        <v>2.028</v>
      </c>
      <c r="L98" s="53">
        <f>'Balance Sheet - Standardized'!L130</f>
        <v>2.476</v>
      </c>
    </row>
    <row r="99" spans="1:14" x14ac:dyDescent="0.35">
      <c r="A99" s="53" t="s">
        <v>1065</v>
      </c>
      <c r="B99" s="53"/>
      <c r="C99" s="53">
        <f>'Balance Sheet - Standardized'!C131</f>
        <v>1.6619999999999999</v>
      </c>
      <c r="D99" s="53">
        <f>'Balance Sheet - Standardized'!D131</f>
        <v>2.452</v>
      </c>
      <c r="E99" s="53">
        <f>'Balance Sheet - Standardized'!E131</f>
        <v>3.3180000000000001</v>
      </c>
      <c r="F99" s="53">
        <f>'Balance Sheet - Standardized'!F131</f>
        <v>3.1070000000000002</v>
      </c>
      <c r="G99" s="53">
        <f>'Balance Sheet - Standardized'!G131</f>
        <v>2.7349999999999999</v>
      </c>
      <c r="H99" s="53">
        <f>'Balance Sheet - Standardized'!H131</f>
        <v>1.736</v>
      </c>
      <c r="I99" s="53">
        <f>'Balance Sheet - Standardized'!I131</f>
        <v>2.59</v>
      </c>
      <c r="J99" s="53">
        <f>'Balance Sheet - Standardized'!J131</f>
        <v>1.913</v>
      </c>
      <c r="K99" s="53">
        <f>'Balance Sheet - Standardized'!K131</f>
        <v>1.704</v>
      </c>
      <c r="L99" s="53">
        <f>'Balance Sheet - Standardized'!L131</f>
        <v>2.3180000000000001</v>
      </c>
    </row>
    <row r="100" spans="1:14" x14ac:dyDescent="0.35">
      <c r="A100" s="53" t="s">
        <v>1066</v>
      </c>
      <c r="B100" s="53"/>
      <c r="C100" s="53">
        <f>'Balance Sheet - Standardized'!C132</f>
        <v>4.3710000000000004</v>
      </c>
      <c r="D100" s="53">
        <f>'Balance Sheet - Standardized'!D132</f>
        <v>4.51</v>
      </c>
      <c r="E100" s="53">
        <f>'Balance Sheet - Standardized'!E132</f>
        <v>20.059000000000001</v>
      </c>
      <c r="F100" s="53">
        <f>'Balance Sheet - Standardized'!F132</f>
        <v>20.119</v>
      </c>
      <c r="G100" s="53">
        <f>'Balance Sheet - Standardized'!G132</f>
        <v>14.37</v>
      </c>
      <c r="H100" s="53">
        <f>'Balance Sheet - Standardized'!H132</f>
        <v>12.657</v>
      </c>
      <c r="I100" s="53">
        <f>'Balance Sheet - Standardized'!I132</f>
        <v>11.202</v>
      </c>
      <c r="J100" s="53">
        <f>'Balance Sheet - Standardized'!J132</f>
        <v>9.3970000000000002</v>
      </c>
      <c r="K100" s="53">
        <f>'Balance Sheet - Standardized'!K132</f>
        <v>7.71</v>
      </c>
      <c r="L100" s="53">
        <f>'Balance Sheet - Standardized'!L132</f>
        <v>7.8940000000000001</v>
      </c>
    </row>
    <row r="101" spans="1:14" x14ac:dyDescent="0.35">
      <c r="A101" s="53" t="s">
        <v>1067</v>
      </c>
      <c r="B101" s="53"/>
      <c r="C101" s="53"/>
      <c r="D101" s="53"/>
      <c r="E101" s="53"/>
      <c r="F101" s="53"/>
      <c r="G101" s="53"/>
      <c r="H101" s="53"/>
      <c r="I101" s="53"/>
      <c r="J101" s="53"/>
      <c r="K101" s="53"/>
      <c r="L101" s="53"/>
    </row>
    <row r="102" spans="1:14" x14ac:dyDescent="0.35">
      <c r="A102" s="44" t="s">
        <v>1068</v>
      </c>
      <c r="B102" s="58" t="s">
        <v>1058</v>
      </c>
      <c r="E102">
        <v>1</v>
      </c>
    </row>
    <row r="103" spans="1:14" x14ac:dyDescent="0.35">
      <c r="A103" s="59" t="s">
        <v>1069</v>
      </c>
      <c r="B103" s="59"/>
      <c r="C103" s="53">
        <f>'Income - GAAP'!C26</f>
        <v>15.846</v>
      </c>
      <c r="D103" s="53">
        <f>'Income - GAAP'!D26</f>
        <v>17.146999999999998</v>
      </c>
      <c r="E103" s="53">
        <f>'Income - GAAP'!E26</f>
        <v>16.052</v>
      </c>
      <c r="F103" s="53">
        <f>'Income - GAAP'!F26</f>
        <v>13.936</v>
      </c>
      <c r="G103" s="53">
        <f>'Income - GAAP'!G26</f>
        <v>13.95</v>
      </c>
      <c r="H103" s="53">
        <f>'Income - GAAP'!H26</f>
        <v>13.359</v>
      </c>
      <c r="I103" s="53">
        <f>'Income - GAAP'!I26</f>
        <v>15.145</v>
      </c>
      <c r="J103" s="53">
        <f>'Income - GAAP'!J26</f>
        <v>18.218</v>
      </c>
      <c r="K103" s="53">
        <f>'Income - GAAP'!K26</f>
        <v>17.123000000000001</v>
      </c>
      <c r="L103" s="53">
        <f>'Income - GAAP'!L26</f>
        <v>17.93</v>
      </c>
    </row>
    <row r="104" spans="1:14" x14ac:dyDescent="0.35">
      <c r="A104" s="53" t="s">
        <v>1070</v>
      </c>
      <c r="B104" s="60"/>
      <c r="C104" s="53"/>
      <c r="D104" s="53"/>
      <c r="E104" s="61"/>
      <c r="F104" s="53"/>
      <c r="G104" s="53"/>
      <c r="H104" s="53"/>
      <c r="I104" s="53"/>
      <c r="J104" s="53"/>
      <c r="K104" s="53"/>
      <c r="L104" s="53"/>
    </row>
    <row r="105" spans="1:14" x14ac:dyDescent="0.35">
      <c r="A105" s="53"/>
      <c r="B105" s="60"/>
      <c r="C105" s="53"/>
      <c r="D105" s="53"/>
      <c r="E105" s="53"/>
      <c r="F105" s="53"/>
      <c r="G105" s="53"/>
      <c r="H105" s="53"/>
      <c r="I105" s="53"/>
      <c r="J105" s="53"/>
      <c r="K105" s="53"/>
      <c r="L105" s="53"/>
    </row>
    <row r="106" spans="1:14" x14ac:dyDescent="0.35">
      <c r="A106" s="44" t="s">
        <v>1071</v>
      </c>
      <c r="B106" s="58" t="s">
        <v>1072</v>
      </c>
      <c r="E106">
        <v>1</v>
      </c>
    </row>
    <row r="107" spans="1:14" x14ac:dyDescent="0.35">
      <c r="A107" s="53" t="s">
        <v>1073</v>
      </c>
      <c r="B107" s="54"/>
      <c r="C107" s="54">
        <v>0.35</v>
      </c>
      <c r="D107" s="54">
        <v>0.35</v>
      </c>
      <c r="E107" s="54">
        <v>0.25700000000000001</v>
      </c>
      <c r="F107" s="54">
        <v>0.21</v>
      </c>
      <c r="G107" s="54">
        <v>0.21</v>
      </c>
      <c r="H107" s="54">
        <v>0.21</v>
      </c>
      <c r="I107" s="54">
        <v>0.21</v>
      </c>
      <c r="J107" s="54">
        <v>0.21</v>
      </c>
      <c r="K107" s="54">
        <v>0.21</v>
      </c>
      <c r="L107" s="54">
        <v>0.21</v>
      </c>
      <c r="M107" s="34"/>
      <c r="N107" s="34"/>
    </row>
    <row r="108" spans="1:14" x14ac:dyDescent="0.35">
      <c r="A108" s="53" t="s">
        <v>1074</v>
      </c>
      <c r="B108" s="54"/>
      <c r="C108" s="54">
        <v>1.2E-2</v>
      </c>
      <c r="D108" s="54">
        <v>1.2999999999999999E-2</v>
      </c>
      <c r="E108" s="54">
        <v>2.1999999999999999E-2</v>
      </c>
      <c r="F108" s="54">
        <v>-0.18</v>
      </c>
      <c r="G108" s="54">
        <v>2.1999999999999999E-2</v>
      </c>
      <c r="H108" s="54">
        <v>1.7000000000000001E-2</v>
      </c>
      <c r="I108" s="54">
        <v>1.2E-2</v>
      </c>
      <c r="J108" s="54">
        <v>1.2999999999999999E-2</v>
      </c>
      <c r="K108" s="54">
        <v>1.7000000000000001E-2</v>
      </c>
      <c r="L108" s="54">
        <v>1.7000000000000001E-2</v>
      </c>
      <c r="M108" s="34"/>
      <c r="N108" s="34"/>
    </row>
    <row r="109" spans="1:14" x14ac:dyDescent="0.35">
      <c r="A109" s="53" t="s">
        <v>1075</v>
      </c>
      <c r="B109" s="54"/>
      <c r="C109" s="54">
        <v>-1.2999999999999999E-2</v>
      </c>
      <c r="D109" s="54">
        <v>-1.4E-2</v>
      </c>
      <c r="E109" s="54">
        <v>2.4E-2</v>
      </c>
      <c r="F109" s="54">
        <v>7.8E-2</v>
      </c>
      <c r="G109" s="54">
        <v>-6.0000000000000001E-3</v>
      </c>
      <c r="H109" s="54">
        <v>-8.0000000000000002E-3</v>
      </c>
      <c r="I109" s="54">
        <v>3.7999999999999999E-2</v>
      </c>
      <c r="J109" s="54">
        <v>0.06</v>
      </c>
      <c r="K109" s="54">
        <v>-4.0000000000000001E-3</v>
      </c>
      <c r="L109" s="54">
        <v>-4.0000000000000001E-3</v>
      </c>
      <c r="M109" s="34"/>
      <c r="N109" s="34"/>
    </row>
    <row r="110" spans="1:14" x14ac:dyDescent="0.35">
      <c r="A110" s="53" t="s">
        <v>1076</v>
      </c>
      <c r="B110" s="54"/>
      <c r="C110" s="54"/>
      <c r="D110" s="54"/>
      <c r="E110" s="54"/>
      <c r="F110" s="54"/>
      <c r="G110" s="54"/>
      <c r="H110" s="54"/>
      <c r="I110" s="54"/>
      <c r="J110" s="54"/>
      <c r="K110" s="54"/>
      <c r="L110" s="54"/>
      <c r="M110" s="34"/>
      <c r="N110" s="34"/>
    </row>
    <row r="111" spans="1:14" x14ac:dyDescent="0.35">
      <c r="A111" s="53" t="s">
        <v>1077</v>
      </c>
      <c r="B111" s="54"/>
      <c r="C111" s="54">
        <v>-4.0999999999999981E-2</v>
      </c>
      <c r="D111" s="54">
        <v>2.0000000000000022E-3</v>
      </c>
      <c r="E111" s="54">
        <v>9.8000000000000032E-2</v>
      </c>
      <c r="F111" s="54">
        <v>-0.13900000000000001</v>
      </c>
      <c r="G111" s="54">
        <v>-1.6999999999999991E-2</v>
      </c>
      <c r="H111" s="54">
        <v>-6.4000000000000001E-2</v>
      </c>
      <c r="I111" s="54">
        <v>-5.0000000000000036E-3</v>
      </c>
      <c r="J111" s="54">
        <v>-3.999999999999948E-3</v>
      </c>
      <c r="K111" s="54">
        <v>-6.0999999999999999E-2</v>
      </c>
      <c r="L111" s="54">
        <v>-6.0000000000000053E-3</v>
      </c>
      <c r="M111" s="34"/>
      <c r="N111" s="34"/>
    </row>
    <row r="112" spans="1:14" x14ac:dyDescent="0.35">
      <c r="A112" s="53" t="s">
        <v>1078</v>
      </c>
      <c r="B112" s="54"/>
      <c r="C112" s="54">
        <v>0.308</v>
      </c>
      <c r="D112" s="54">
        <v>0.35099999999999998</v>
      </c>
      <c r="E112" s="54">
        <v>0.40100000000000002</v>
      </c>
      <c r="F112" s="54">
        <v>-3.1E-2</v>
      </c>
      <c r="G112" s="54">
        <v>0.20899999999999999</v>
      </c>
      <c r="H112" s="54">
        <v>0.155</v>
      </c>
      <c r="I112" s="54">
        <v>0.255</v>
      </c>
      <c r="J112" s="54">
        <v>0.27900000000000003</v>
      </c>
      <c r="K112" s="54">
        <v>0.16200000000000001</v>
      </c>
      <c r="L112" s="54">
        <v>0.217</v>
      </c>
      <c r="M112" s="34"/>
      <c r="N112" s="34"/>
    </row>
    <row r="113" spans="1:13" ht="15.75" customHeight="1" thickBot="1" x14ac:dyDescent="0.4"/>
    <row r="114" spans="1:13" ht="15.75" customHeight="1" thickBot="1" x14ac:dyDescent="0.4">
      <c r="A114" s="271" t="s">
        <v>1079</v>
      </c>
      <c r="B114" s="273">
        <f>'Income - GAAP'!C96</f>
        <v>458.9</v>
      </c>
    </row>
    <row r="115" spans="1:13" ht="15.75" customHeight="1" thickBot="1" x14ac:dyDescent="0.4">
      <c r="A115" s="271" t="s">
        <v>1080</v>
      </c>
      <c r="B115" s="272">
        <f>C41</f>
        <v>1.85</v>
      </c>
    </row>
    <row r="116" spans="1:13" x14ac:dyDescent="0.35">
      <c r="A116" s="111"/>
      <c r="B116" s="112"/>
    </row>
    <row r="117" spans="1:13" x14ac:dyDescent="0.35">
      <c r="A117" t="s">
        <v>1081</v>
      </c>
      <c r="C117" s="98">
        <f>IF(B114="","Error",'Balance Sheet - Standardized'!C114-B114)</f>
        <v>8.0260000000000105</v>
      </c>
      <c r="D117" s="98">
        <f>IF('Balance Sheet - Standardized'!D114="",0,'Balance Sheet - Standardized'!D114)-IF('Balance Sheet - Standardized'!C114="",0,'Balance Sheet - Standardized'!C114)</f>
        <v>10.689000000000021</v>
      </c>
      <c r="E117" s="98">
        <f>IF('Balance Sheet - Standardized'!E114="",0,'Balance Sheet - Standardized'!E114)-IF('Balance Sheet - Standardized'!D114="",0,'Balance Sheet - Standardized'!D114)</f>
        <v>7.271000000000015</v>
      </c>
      <c r="F117" s="98">
        <f>IF('Balance Sheet - Standardized'!F114="",0,'Balance Sheet - Standardized'!F114)-IF('Balance Sheet - Standardized'!E114="",0,'Balance Sheet - Standardized'!E114)</f>
        <v>-10.146000000000015</v>
      </c>
      <c r="G117" s="98">
        <f>IF('Balance Sheet - Standardized'!G114="",0,'Balance Sheet - Standardized'!G114)-IF('Balance Sheet - Standardized'!F114="",0,'Balance Sheet - Standardized'!F114)</f>
        <v>24.98399999999998</v>
      </c>
      <c r="H117" s="98">
        <f>IF('Balance Sheet - Standardized'!H114="",0,'Balance Sheet - Standardized'!H114)-IF('Balance Sheet - Standardized'!G114="",0,'Balance Sheet - Standardized'!G114)</f>
        <v>28.406000000000006</v>
      </c>
      <c r="I117" s="98">
        <f>IF('Balance Sheet - Standardized'!I114="",0,'Balance Sheet - Standardized'!I114)-IF('Balance Sheet - Standardized'!H114="",0,'Balance Sheet - Standardized'!H114)</f>
        <v>50.870000000000005</v>
      </c>
      <c r="J117" s="98">
        <f>IF('Balance Sheet - Standardized'!J114="",0,'Balance Sheet - Standardized'!J114)-IF('Balance Sheet - Standardized'!I114="",0,'Balance Sheet - Standardized'!I114)</f>
        <v>57.297000000000025</v>
      </c>
      <c r="K117" s="98">
        <f>IF('Balance Sheet - Standardized'!K114="",0,'Balance Sheet - Standardized'!K114)-IF('Balance Sheet - Standardized'!J114="",0,'Balance Sheet - Standardized'!J114)</f>
        <v>50.795999999999935</v>
      </c>
      <c r="L117" s="98">
        <f>IF('Balance Sheet - Standardized'!L114="",0,'Balance Sheet - Standardized'!L114)-IF('Balance Sheet - Standardized'!K114="",0,'Balance Sheet - Standardized'!K114)</f>
        <v>58.304000000000087</v>
      </c>
    </row>
    <row r="118" spans="1:13" x14ac:dyDescent="0.35">
      <c r="A118" t="s">
        <v>1082</v>
      </c>
      <c r="C118" s="95">
        <f>C117/'Income - GAAP'!C70</f>
        <v>0.73430924062214187</v>
      </c>
      <c r="D118" s="95">
        <f>D117/'Income - GAAP'!D70</f>
        <v>0.99953244810174124</v>
      </c>
      <c r="E118" s="95">
        <f>E117/'Income - GAAP'!E70</f>
        <v>0.67499071667285693</v>
      </c>
      <c r="F118" s="95">
        <f>F117/'Income - GAAP'!F70</f>
        <v>-0.9385753931544879</v>
      </c>
      <c r="G118" s="95">
        <f>G117/'Income - GAAP'!G70</f>
        <v>2.3003406684467342</v>
      </c>
      <c r="H118" s="95">
        <f>H117/'Income - GAAP'!H70</f>
        <v>2.5858898497951759</v>
      </c>
      <c r="I118" s="95">
        <f>I117/'Income - GAAP'!I70</f>
        <v>4.6115492702384193</v>
      </c>
      <c r="J118" s="95">
        <f>J117/'Income - GAAP'!J70</f>
        <v>5.1796239378051014</v>
      </c>
      <c r="K118" s="95">
        <f>K117/'Income - GAAP'!K70</f>
        <v>4.610692566034305</v>
      </c>
      <c r="L118" s="95">
        <f>L117/'Income - GAAP'!L70</f>
        <v>5.3401721927092956</v>
      </c>
      <c r="M118" s="33" t="s">
        <v>1083</v>
      </c>
    </row>
    <row r="119" spans="1:13" x14ac:dyDescent="0.35">
      <c r="A119" t="s">
        <v>1084</v>
      </c>
      <c r="C119" s="74">
        <f>C118/'Income - GAAP'!C71</f>
        <v>0.39692391384980641</v>
      </c>
      <c r="D119" s="74">
        <f>D118/'Income - GAAP'!D71</f>
        <v>0.46061403138329093</v>
      </c>
      <c r="E119" s="74">
        <f>E118/'Income - GAAP'!E71</f>
        <v>0.35903761525151967</v>
      </c>
      <c r="F119" s="74">
        <f>F118/'Income - GAAP'!F71</f>
        <v>-4.692876965772439</v>
      </c>
      <c r="G119" s="74">
        <f>G118/'Income - GAAP'!G71</f>
        <v>0.64616310911425123</v>
      </c>
      <c r="H119" s="74">
        <f>H118/'Income - GAAP'!H71</f>
        <v>0.66646645613277733</v>
      </c>
      <c r="I119" s="74">
        <f>I118/'Income - GAAP'!I71</f>
        <v>0.77635509599973385</v>
      </c>
      <c r="J119" s="74">
        <f>J118/'Income - GAAP'!J71</f>
        <v>0.79199142779894516</v>
      </c>
      <c r="K119" s="74">
        <f>K118/'Income - GAAP'!K71</f>
        <v>0.76717014409888606</v>
      </c>
      <c r="L119" s="74">
        <f>L118/'Income - GAAP'!L71</f>
        <v>0.7876360166237899</v>
      </c>
      <c r="M119" s="99">
        <f>IF(C117="Error","Error",AVERAGE(C119:L119))</f>
        <v>9.5948084448056165E-2</v>
      </c>
    </row>
  </sheetData>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3"/>
  <sheetViews>
    <sheetView workbookViewId="0">
      <pane xSplit="1" ySplit="1" topLeftCell="B2" activePane="bottomRight" state="frozen"/>
      <selection pane="topRight" activeCell="B1" sqref="B1"/>
      <selection pane="bottomLeft" activeCell="A2" sqref="A2"/>
      <selection pane="bottomRight"/>
    </sheetView>
  </sheetViews>
  <sheetFormatPr defaultColWidth="8.7265625" defaultRowHeight="14.5" x14ac:dyDescent="0.35"/>
  <cols>
    <col min="1" max="1" width="36" bestFit="1" customWidth="1"/>
    <col min="2" max="3" width="12" bestFit="1" customWidth="1"/>
    <col min="4" max="4" width="11" bestFit="1" customWidth="1"/>
    <col min="5" max="6" width="12" bestFit="1" customWidth="1"/>
    <col min="7" max="7" width="11" bestFit="1" customWidth="1"/>
    <col min="8" max="13" width="12" bestFit="1" customWidth="1"/>
    <col min="14" max="14" width="9.7265625" bestFit="1" customWidth="1"/>
  </cols>
  <sheetData>
    <row r="1" spans="1:14" x14ac:dyDescent="0.35">
      <c r="B1" s="20"/>
      <c r="C1" s="20">
        <f>Inputs!C2</f>
        <v>42613</v>
      </c>
      <c r="D1" s="20">
        <f>Inputs!D2</f>
        <v>42978</v>
      </c>
      <c r="E1" s="20">
        <f>Inputs!E2</f>
        <v>43343</v>
      </c>
      <c r="F1" s="20">
        <f>Inputs!F2</f>
        <v>43708</v>
      </c>
      <c r="G1" s="20">
        <f>Inputs!G2</f>
        <v>44074</v>
      </c>
      <c r="H1" s="20">
        <f>Inputs!H2</f>
        <v>44439</v>
      </c>
      <c r="I1" s="20">
        <f>Inputs!I2</f>
        <v>44804</v>
      </c>
      <c r="J1" s="20">
        <f>Inputs!J2</f>
        <v>45169</v>
      </c>
      <c r="K1" s="20">
        <f>Inputs!K2</f>
        <v>45535</v>
      </c>
      <c r="L1" s="20">
        <f>Inputs!L2</f>
        <v>45900</v>
      </c>
      <c r="M1" s="20"/>
      <c r="N1" s="20"/>
    </row>
    <row r="2" spans="1:14" x14ac:dyDescent="0.35">
      <c r="A2" s="44" t="s">
        <v>1048</v>
      </c>
    </row>
    <row r="3" spans="1:14" x14ac:dyDescent="0.35">
      <c r="A3" s="53" t="s">
        <v>1049</v>
      </c>
      <c r="C3" s="58">
        <f>Inputs!C80</f>
        <v>461.90699999999998</v>
      </c>
      <c r="D3" s="58">
        <f>Inputs!D80</f>
        <v>480.44600000000003</v>
      </c>
      <c r="E3" s="58">
        <f>Inputs!E80</f>
        <v>462.30599999999998</v>
      </c>
      <c r="F3" s="58">
        <f>Inputs!F80</f>
        <v>452.77900000000005</v>
      </c>
      <c r="G3" s="58">
        <f>Inputs!G80</f>
        <v>481.86099999999999</v>
      </c>
      <c r="H3" s="58">
        <f>Inputs!H80</f>
        <v>546.29200000000003</v>
      </c>
      <c r="I3" s="58">
        <f>Inputs!I80</f>
        <v>616.83400000000006</v>
      </c>
      <c r="J3" s="58">
        <f>Inputs!J80</f>
        <v>671.98199999999997</v>
      </c>
      <c r="K3" s="58">
        <f>Inputs!K80</f>
        <v>684.30799999999999</v>
      </c>
      <c r="L3" s="58">
        <f>Inputs!L80</f>
        <v>750.55799999999999</v>
      </c>
      <c r="M3" s="38"/>
      <c r="N3" s="38"/>
    </row>
    <row r="4" spans="1:14" x14ac:dyDescent="0.35">
      <c r="A4" s="53" t="s">
        <v>1052</v>
      </c>
      <c r="C4" s="58">
        <f>Inputs!C83</f>
        <v>39.862000000000002</v>
      </c>
      <c r="D4" s="58">
        <f>Inputs!D83</f>
        <v>42.882999999999996</v>
      </c>
      <c r="E4" s="58">
        <f>Inputs!E83</f>
        <v>36.867000000000004</v>
      </c>
      <c r="F4" s="58">
        <f>Inputs!F83</f>
        <v>29.434000000000001</v>
      </c>
      <c r="G4" s="58">
        <f>Inputs!G83</f>
        <v>31.375999999999998</v>
      </c>
      <c r="H4" s="58">
        <f>Inputs!H83</f>
        <v>48.665000000000006</v>
      </c>
      <c r="I4" s="58">
        <f>Inputs!I83</f>
        <v>61.1</v>
      </c>
      <c r="J4" s="58">
        <f>Inputs!J83</f>
        <v>47.107999999999997</v>
      </c>
      <c r="K4" s="58">
        <f>Inputs!K83</f>
        <v>60.653000000000006</v>
      </c>
      <c r="L4" s="58">
        <f>Inputs!L83</f>
        <v>66.609000000000009</v>
      </c>
      <c r="M4" s="38"/>
      <c r="N4" s="38"/>
    </row>
    <row r="5" spans="1:14" x14ac:dyDescent="0.35">
      <c r="A5" t="s">
        <v>1085</v>
      </c>
      <c r="C5" s="35">
        <f>Leases!B16</f>
        <v>15.06389617984725</v>
      </c>
      <c r="D5" s="35">
        <f>Leases!C16</f>
        <v>16.639021352349626</v>
      </c>
      <c r="E5" s="35">
        <f>Leases!D16</f>
        <v>31.420433435372907</v>
      </c>
      <c r="F5" s="35">
        <f>Leases!E16</f>
        <v>34.962819743071179</v>
      </c>
      <c r="G5" s="35">
        <f>Leases!F16</f>
        <v>30.585565007876305</v>
      </c>
      <c r="H5" s="35">
        <f>Leases!G16</f>
        <v>21.853215559047861</v>
      </c>
      <c r="I5" s="35">
        <f>Leases!H16</f>
        <v>22.798219376310332</v>
      </c>
      <c r="J5" s="35">
        <f>Leases!I16</f>
        <v>20.925943633538282</v>
      </c>
      <c r="K5" s="35">
        <f>Leases!J16</f>
        <v>20.074792021265765</v>
      </c>
      <c r="L5" s="35">
        <f>Leases!K16</f>
        <v>23.277319691722855</v>
      </c>
      <c r="M5" s="38"/>
      <c r="N5" s="38"/>
    </row>
    <row r="6" spans="1:14" x14ac:dyDescent="0.35">
      <c r="A6" t="s">
        <v>1086</v>
      </c>
      <c r="C6" s="35">
        <f>'R&amp;D'!E3</f>
        <v>39.254399999999997</v>
      </c>
      <c r="D6" s="35">
        <f>'R&amp;D'!F3</f>
        <v>44.262200000000007</v>
      </c>
      <c r="E6" s="35">
        <f>'R&amp;D'!G3</f>
        <v>46.641799999999996</v>
      </c>
      <c r="F6" s="35">
        <f>'R&amp;D'!H3</f>
        <v>45.973999999999997</v>
      </c>
      <c r="G6" s="35">
        <f>'R&amp;D'!I3</f>
        <v>44.757999999999996</v>
      </c>
      <c r="H6" s="35">
        <f>'R&amp;D'!J3</f>
        <v>42.730800000000002</v>
      </c>
      <c r="I6" s="35">
        <f>'R&amp;D'!K3</f>
        <v>42.986999999999995</v>
      </c>
      <c r="J6" s="35">
        <f>'R&amp;D'!L3</f>
        <v>46.7166</v>
      </c>
      <c r="K6" s="35">
        <f>'R&amp;D'!M3</f>
        <v>48.918000000000006</v>
      </c>
      <c r="L6" s="35">
        <f>'R&amp;D'!N3</f>
        <v>51.288999999999994</v>
      </c>
      <c r="M6" s="38"/>
      <c r="N6" s="38"/>
    </row>
    <row r="7" spans="1:14" x14ac:dyDescent="0.35">
      <c r="A7" t="s">
        <v>1087</v>
      </c>
      <c r="C7" s="35">
        <f t="shared" ref="C7:L7" si="0">C3-C4+C5+C6</f>
        <v>476.36329617984717</v>
      </c>
      <c r="D7" s="35">
        <f t="shared" si="0"/>
        <v>498.46422135234968</v>
      </c>
      <c r="E7" s="35">
        <f t="shared" si="0"/>
        <v>503.50123343537285</v>
      </c>
      <c r="F7" s="35">
        <f t="shared" si="0"/>
        <v>504.2818197430712</v>
      </c>
      <c r="G7" s="35">
        <f t="shared" si="0"/>
        <v>525.82856500787636</v>
      </c>
      <c r="H7" s="35">
        <f t="shared" si="0"/>
        <v>562.21101555904795</v>
      </c>
      <c r="I7" s="35">
        <f t="shared" si="0"/>
        <v>621.51921937631039</v>
      </c>
      <c r="J7" s="35">
        <f t="shared" si="0"/>
        <v>692.51654363353828</v>
      </c>
      <c r="K7" s="35">
        <f t="shared" si="0"/>
        <v>692.64779202126579</v>
      </c>
      <c r="L7" s="35">
        <f t="shared" si="0"/>
        <v>758.51531969172277</v>
      </c>
      <c r="M7" s="38"/>
      <c r="N7" s="38"/>
    </row>
    <row r="8" spans="1:14" x14ac:dyDescent="0.35">
      <c r="C8" s="35"/>
      <c r="D8" s="35"/>
      <c r="E8" s="35"/>
      <c r="F8" s="35"/>
      <c r="G8" s="35"/>
      <c r="H8" s="35"/>
      <c r="I8" s="35"/>
      <c r="J8" s="35"/>
      <c r="K8" s="35"/>
      <c r="L8" s="35"/>
    </row>
    <row r="9" spans="1:14" x14ac:dyDescent="0.35">
      <c r="C9" s="35"/>
      <c r="D9" s="35"/>
      <c r="E9" s="35"/>
      <c r="F9" s="35"/>
      <c r="G9" s="35"/>
      <c r="H9" s="35"/>
      <c r="I9" s="35"/>
      <c r="J9" s="35"/>
      <c r="K9" s="35"/>
      <c r="L9" s="35"/>
    </row>
    <row r="10" spans="1:14" x14ac:dyDescent="0.35">
      <c r="A10" s="33" t="s">
        <v>1088</v>
      </c>
      <c r="C10" s="35"/>
      <c r="D10" s="35"/>
      <c r="E10" s="35"/>
      <c r="F10" s="35"/>
      <c r="G10" s="35"/>
      <c r="H10" s="35"/>
      <c r="I10" s="35"/>
      <c r="J10" s="35"/>
      <c r="K10" s="35"/>
      <c r="L10" s="35"/>
    </row>
    <row r="11" spans="1:14" x14ac:dyDescent="0.35">
      <c r="A11" s="53" t="s">
        <v>1054</v>
      </c>
      <c r="C11" s="58">
        <f>Inputs!C87</f>
        <v>516.41099999999994</v>
      </c>
      <c r="D11" s="58">
        <f>Inputs!D87</f>
        <v>517.98500000000001</v>
      </c>
      <c r="E11" s="58">
        <f>Inputs!E87</f>
        <v>547.70500000000004</v>
      </c>
      <c r="F11" s="58">
        <f>Inputs!F87</f>
        <v>444.072</v>
      </c>
      <c r="G11" s="58">
        <f>Inputs!G87</f>
        <v>474.69200000000001</v>
      </c>
      <c r="H11" s="58">
        <f>Inputs!H87</f>
        <v>567.64599999999996</v>
      </c>
      <c r="I11" s="58">
        <f>Inputs!I87</f>
        <v>770.74300000000005</v>
      </c>
      <c r="J11" s="58">
        <f>Inputs!J87</f>
        <v>674.08399999999995</v>
      </c>
      <c r="K11" s="58">
        <f>Inputs!K87</f>
        <v>607.07399999999996</v>
      </c>
      <c r="L11" s="58">
        <f>Inputs!L87</f>
        <v>676.36800000000005</v>
      </c>
      <c r="M11" s="38"/>
      <c r="N11" s="38"/>
    </row>
    <row r="12" spans="1:14" x14ac:dyDescent="0.35">
      <c r="A12" s="53" t="s">
        <v>1055</v>
      </c>
      <c r="C12" s="58">
        <f>Inputs!C88</f>
        <v>482.036</v>
      </c>
      <c r="D12" s="58">
        <f>Inputs!D88</f>
        <v>477.78399999999999</v>
      </c>
      <c r="E12" s="58">
        <f>Inputs!E88</f>
        <v>509.142</v>
      </c>
      <c r="F12" s="58">
        <f>Inputs!F88</f>
        <v>437.95699999999999</v>
      </c>
      <c r="G12" s="58">
        <f>Inputs!G88</f>
        <v>420.49</v>
      </c>
      <c r="H12" s="58">
        <f>Inputs!H88</f>
        <v>513.53899999999999</v>
      </c>
      <c r="I12" s="58">
        <f>Inputs!I88</f>
        <v>676.1</v>
      </c>
      <c r="J12" s="58">
        <f>Inputs!J88</f>
        <v>571.9</v>
      </c>
      <c r="K12" s="58">
        <f>Inputs!K88</f>
        <v>530.46600000000001</v>
      </c>
      <c r="L12" s="58">
        <f>Inputs!L88</f>
        <v>588.24400000000003</v>
      </c>
      <c r="M12" s="38"/>
      <c r="N12" s="38"/>
    </row>
    <row r="13" spans="1:14" x14ac:dyDescent="0.35">
      <c r="A13" s="55" t="s">
        <v>818</v>
      </c>
      <c r="C13" s="58">
        <f>Inputs!C89</f>
        <v>34.374999999999943</v>
      </c>
      <c r="D13" s="58">
        <f>Inputs!D89</f>
        <v>40.201000000000022</v>
      </c>
      <c r="E13" s="58">
        <f>Inputs!E89</f>
        <v>38.563000000000045</v>
      </c>
      <c r="F13" s="58">
        <f>Inputs!F89</f>
        <v>6.1150000000000091</v>
      </c>
      <c r="G13" s="58">
        <f>Inputs!G89</f>
        <v>54.201999999999998</v>
      </c>
      <c r="H13" s="58">
        <f>Inputs!H89</f>
        <v>54.106999999999971</v>
      </c>
      <c r="I13" s="58">
        <f>Inputs!I89</f>
        <v>94.643000000000029</v>
      </c>
      <c r="J13" s="58">
        <f>Inputs!J89</f>
        <v>102.18399999999997</v>
      </c>
      <c r="K13" s="58">
        <f>Inputs!K89</f>
        <v>76.607999999999947</v>
      </c>
      <c r="L13" s="58">
        <f>Inputs!L89</f>
        <v>88.124000000000024</v>
      </c>
      <c r="M13" s="38"/>
      <c r="N13" s="38"/>
    </row>
    <row r="14" spans="1:14" x14ac:dyDescent="0.35">
      <c r="A14" t="s">
        <v>1089</v>
      </c>
      <c r="C14" s="35">
        <f>Leases!B3</f>
        <v>0</v>
      </c>
      <c r="D14" s="35">
        <f>Leases!C3</f>
        <v>0</v>
      </c>
      <c r="E14" s="35">
        <f>Leases!D3</f>
        <v>0</v>
      </c>
      <c r="F14" s="35">
        <f>Leases!E3</f>
        <v>0</v>
      </c>
      <c r="G14" s="35">
        <f>Leases!F3</f>
        <v>0</v>
      </c>
      <c r="H14" s="35">
        <f>Leases!G3</f>
        <v>0</v>
      </c>
      <c r="I14" s="35">
        <f>Leases!H3</f>
        <v>0</v>
      </c>
      <c r="J14" s="35">
        <f>Leases!I3</f>
        <v>0</v>
      </c>
      <c r="K14" s="35">
        <f>Leases!J3</f>
        <v>0</v>
      </c>
      <c r="L14" s="35">
        <f>Leases!K3</f>
        <v>0</v>
      </c>
      <c r="M14" s="38"/>
      <c r="N14" s="38"/>
    </row>
    <row r="15" spans="1:14" x14ac:dyDescent="0.35">
      <c r="A15" t="s">
        <v>1090</v>
      </c>
      <c r="C15" s="35">
        <f>Leases!B20</f>
        <v>-0.61079404598716669</v>
      </c>
      <c r="D15" s="35">
        <f>Leases!C20</f>
        <v>-0.67665012116269296</v>
      </c>
      <c r="E15" s="35">
        <f>Leases!D20</f>
        <v>-1.2611224278449396</v>
      </c>
      <c r="F15" s="35">
        <f>Leases!E20</f>
        <v>-1.436110134981003</v>
      </c>
      <c r="G15" s="35">
        <f>Leases!F20</f>
        <v>-1.2561311034328069</v>
      </c>
      <c r="H15" s="35">
        <f>Leases!G20</f>
        <v>-0.89712027996851662</v>
      </c>
      <c r="I15" s="35">
        <f>Leases!H20</f>
        <v>-0.84218650015548935</v>
      </c>
      <c r="J15" s="35">
        <f>Leases!I20</f>
        <v>-0.68695272106632299</v>
      </c>
      <c r="K15" s="35">
        <f>Leases!J20</f>
        <v>-0.5634503601462697</v>
      </c>
      <c r="L15" s="35">
        <f>Leases!K20</f>
        <v>-0.37088155728664923</v>
      </c>
      <c r="M15" s="38"/>
      <c r="N15" s="38"/>
    </row>
    <row r="16" spans="1:14" x14ac:dyDescent="0.35">
      <c r="A16" t="s">
        <v>1069</v>
      </c>
      <c r="C16" s="35">
        <f>'R&amp;D'!E2</f>
        <v>15.846</v>
      </c>
      <c r="D16" s="35">
        <f>'R&amp;D'!F2</f>
        <v>17.146999999999998</v>
      </c>
      <c r="E16" s="35">
        <f>'R&amp;D'!G2</f>
        <v>16.052</v>
      </c>
      <c r="F16" s="35">
        <f>'R&amp;D'!H2</f>
        <v>13.936</v>
      </c>
      <c r="G16" s="35">
        <f>'R&amp;D'!I2</f>
        <v>13.95</v>
      </c>
      <c r="H16" s="35">
        <f>'R&amp;D'!J2</f>
        <v>13.359</v>
      </c>
      <c r="I16" s="35">
        <f>'R&amp;D'!K2</f>
        <v>15.145</v>
      </c>
      <c r="J16" s="35">
        <f>'R&amp;D'!L2</f>
        <v>18.218</v>
      </c>
      <c r="K16" s="35">
        <f>'R&amp;D'!M2</f>
        <v>17.123000000000001</v>
      </c>
      <c r="L16" s="35">
        <f>'R&amp;D'!N2</f>
        <v>17.93</v>
      </c>
      <c r="M16" s="38"/>
      <c r="N16" s="38"/>
    </row>
    <row r="17" spans="1:14" x14ac:dyDescent="0.35">
      <c r="A17" t="s">
        <v>1091</v>
      </c>
      <c r="C17" s="35">
        <f>'R&amp;D'!E4</f>
        <v>12.139200000000001</v>
      </c>
      <c r="D17" s="35">
        <f>'R&amp;D'!F4</f>
        <v>13.6724</v>
      </c>
      <c r="E17" s="35">
        <f>'R&amp;D'!G4</f>
        <v>14.603800000000001</v>
      </c>
      <c r="F17" s="35">
        <f>'R&amp;D'!H4</f>
        <v>15.166</v>
      </c>
      <c r="G17" s="35">
        <f>'R&amp;D'!I4</f>
        <v>15.386199999999999</v>
      </c>
      <c r="H17" s="35">
        <f>'R&amp;D'!J4</f>
        <v>14.888799999999998</v>
      </c>
      <c r="I17" s="35">
        <f>'R&amp;D'!K4</f>
        <v>14.488399999999999</v>
      </c>
      <c r="J17" s="35">
        <f>'R&amp;D'!L4</f>
        <v>14.921600000000002</v>
      </c>
      <c r="K17" s="35">
        <f>'R&amp;D'!M4</f>
        <v>15.559000000000001</v>
      </c>
      <c r="L17" s="35">
        <f>'R&amp;D'!N4</f>
        <v>16.354999999999997</v>
      </c>
      <c r="M17" s="38"/>
      <c r="N17" s="38"/>
    </row>
    <row r="18" spans="1:14" x14ac:dyDescent="0.35">
      <c r="A18" t="s">
        <v>1092</v>
      </c>
      <c r="C18" s="35">
        <f>C11-C12+Inputs!C45</f>
        <v>34.374999999999943</v>
      </c>
      <c r="D18" s="35">
        <f>D11-D12+Inputs!D45</f>
        <v>40.201000000000022</v>
      </c>
      <c r="E18" s="35">
        <f>E11-E12+Inputs!E45</f>
        <v>38.563000000000045</v>
      </c>
      <c r="F18" s="35">
        <f>F11-F12+Inputs!F45</f>
        <v>6.1150000000000091</v>
      </c>
      <c r="G18" s="35">
        <f>G11-G12+Inputs!G45</f>
        <v>54.201999999999998</v>
      </c>
      <c r="H18" s="35">
        <f>H11-H12+Inputs!H45</f>
        <v>54.106999999999971</v>
      </c>
      <c r="I18" s="35">
        <f>I11-I12+Inputs!I45</f>
        <v>94.643000000000029</v>
      </c>
      <c r="J18" s="35">
        <f>J11-J12+Inputs!J45</f>
        <v>102.18399999999997</v>
      </c>
      <c r="K18" s="35">
        <f>K11-K12+Inputs!K45</f>
        <v>76.607999999999947</v>
      </c>
      <c r="L18" s="35">
        <f>L11-L12+Inputs!L45</f>
        <v>88.124000000000024</v>
      </c>
      <c r="M18" s="38"/>
      <c r="N18" s="38"/>
    </row>
    <row r="19" spans="1:14" x14ac:dyDescent="0.35">
      <c r="A19" t="s">
        <v>1093</v>
      </c>
      <c r="C19" s="35">
        <f>Tax!C25</f>
        <v>11.99687499999998</v>
      </c>
      <c r="D19" s="35">
        <f>Tax!D25</f>
        <v>14.030149000000007</v>
      </c>
      <c r="E19" s="35">
        <f>Tax!E25</f>
        <v>11.684589000000015</v>
      </c>
      <c r="F19" s="35">
        <f>Tax!F25</f>
        <v>0.66042000000000101</v>
      </c>
      <c r="G19" s="35">
        <f>Tax!G25</f>
        <v>12.249651999999999</v>
      </c>
      <c r="H19" s="35">
        <f>Tax!H25</f>
        <v>11.849432999999992</v>
      </c>
      <c r="I19" s="35">
        <f>Tax!I25</f>
        <v>24.607180000000007</v>
      </c>
      <c r="J19" s="35">
        <f>Tax!J25</f>
        <v>28.918071999999995</v>
      </c>
      <c r="K19" s="35">
        <f>Tax!K25</f>
        <v>17.083583999999988</v>
      </c>
      <c r="L19" s="35">
        <f>Tax!L25</f>
        <v>19.651652000000002</v>
      </c>
      <c r="M19" s="38"/>
      <c r="N19" s="38"/>
    </row>
    <row r="20" spans="1:14" x14ac:dyDescent="0.35">
      <c r="A20" t="s">
        <v>1088</v>
      </c>
      <c r="C20" s="35">
        <f t="shared" ref="C20:L20" si="1">C11-C12+C14-C15+C16-C17-C19</f>
        <v>26.695719045987126</v>
      </c>
      <c r="D20" s="35">
        <f t="shared" si="1"/>
        <v>30.322101121162703</v>
      </c>
      <c r="E20" s="35">
        <f t="shared" si="1"/>
        <v>29.587733427844967</v>
      </c>
      <c r="F20" s="35">
        <f t="shared" si="1"/>
        <v>5.660690134981011</v>
      </c>
      <c r="G20" s="35">
        <f t="shared" si="1"/>
        <v>41.772279103432808</v>
      </c>
      <c r="H20" s="35">
        <f t="shared" si="1"/>
        <v>41.624887279968497</v>
      </c>
      <c r="I20" s="35">
        <f t="shared" si="1"/>
        <v>71.534606500155519</v>
      </c>
      <c r="J20" s="35">
        <f t="shared" si="1"/>
        <v>77.249280721066299</v>
      </c>
      <c r="K20" s="35">
        <f t="shared" si="1"/>
        <v>61.651866360146244</v>
      </c>
      <c r="L20" s="35">
        <f t="shared" si="1"/>
        <v>70.418229557286693</v>
      </c>
      <c r="M20" s="38"/>
      <c r="N20" s="38"/>
    </row>
    <row r="22" spans="1:14" x14ac:dyDescent="0.35">
      <c r="A22" s="33" t="s">
        <v>1094</v>
      </c>
    </row>
    <row r="23" spans="1:14" x14ac:dyDescent="0.35">
      <c r="A23" t="s">
        <v>1095</v>
      </c>
      <c r="B23" s="37">
        <f>AVERAGE(C23:L23)</f>
        <v>7.4883056074873694E-2</v>
      </c>
      <c r="C23" s="34">
        <f t="shared" ref="C23:L23" si="2">C20/C7</f>
        <v>5.604067160520354E-2</v>
      </c>
      <c r="D23" s="34">
        <f t="shared" si="2"/>
        <v>6.0831048292488983E-2</v>
      </c>
      <c r="E23" s="34">
        <f t="shared" si="2"/>
        <v>5.8763974074043088E-2</v>
      </c>
      <c r="F23" s="34">
        <f t="shared" si="2"/>
        <v>1.1225251264987307E-2</v>
      </c>
      <c r="G23" s="34">
        <f t="shared" si="2"/>
        <v>7.944087081462968E-2</v>
      </c>
      <c r="H23" s="34">
        <f t="shared" si="2"/>
        <v>7.4037836556044345E-2</v>
      </c>
      <c r="I23" s="34">
        <f t="shared" si="2"/>
        <v>0.11509637074769777</v>
      </c>
      <c r="J23" s="34">
        <f t="shared" si="2"/>
        <v>0.11154864303421552</v>
      </c>
      <c r="K23" s="34">
        <f t="shared" si="2"/>
        <v>8.9008969739491198E-2</v>
      </c>
      <c r="L23" s="34">
        <f t="shared" si="2"/>
        <v>9.2836924619935438E-2</v>
      </c>
      <c r="M23" s="34"/>
      <c r="N23" s="34"/>
    </row>
  </sheetData>
  <conditionalFormatting sqref="B23">
    <cfRule type="cellIs" dxfId="20" priority="1" operator="lessThan">
      <formula>0</formula>
    </cfRule>
    <cfRule type="cellIs" dxfId="19" priority="2" operator="greaterThan">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26"/>
  <sheetViews>
    <sheetView workbookViewId="0">
      <pane xSplit="2" ySplit="2" topLeftCell="C3" activePane="bottomRight" state="frozen"/>
      <selection pane="topRight" activeCell="C1" sqref="C1"/>
      <selection pane="bottomLeft" activeCell="A3" sqref="A3"/>
      <selection pane="bottomRight"/>
    </sheetView>
  </sheetViews>
  <sheetFormatPr defaultColWidth="8.7265625" defaultRowHeight="14.5" x14ac:dyDescent="0.35"/>
  <cols>
    <col min="1" max="1" width="41.54296875" customWidth="1"/>
    <col min="2" max="2" width="12.26953125" hidden="1" customWidth="1"/>
    <col min="3" max="13" width="10.453125" bestFit="1" customWidth="1"/>
    <col min="14" max="14" width="9.7265625" bestFit="1" customWidth="1"/>
  </cols>
  <sheetData>
    <row r="1" spans="1:14" s="33" customFormat="1" x14ac:dyDescent="0.35">
      <c r="A1" s="92"/>
      <c r="B1" s="92"/>
      <c r="C1" s="92" t="str">
        <f>Inputs!C1</f>
        <v>FY 2016</v>
      </c>
      <c r="D1" s="92" t="str">
        <f>Inputs!D1</f>
        <v>FY 2017</v>
      </c>
      <c r="E1" s="92" t="str">
        <f>Inputs!E1</f>
        <v>FY 2018</v>
      </c>
      <c r="F1" s="92" t="str">
        <f>Inputs!F1</f>
        <v>FY 2019</v>
      </c>
      <c r="G1" s="92" t="str">
        <f>Inputs!G1</f>
        <v>FY 2020</v>
      </c>
      <c r="H1" s="92" t="str">
        <f>Inputs!H1</f>
        <v>FY 2021</v>
      </c>
      <c r="I1" s="92" t="str">
        <f>Inputs!I1</f>
        <v>FY 2022</v>
      </c>
      <c r="J1" s="92" t="str">
        <f>Inputs!J1</f>
        <v>FY 2023</v>
      </c>
      <c r="K1" s="92" t="str">
        <f>Inputs!K1</f>
        <v>FY 2024</v>
      </c>
      <c r="L1" s="92" t="str">
        <f>Inputs!L1</f>
        <v>FY 2025</v>
      </c>
    </row>
    <row r="2" spans="1:14" x14ac:dyDescent="0.35">
      <c r="A2" s="93"/>
      <c r="B2" s="93"/>
      <c r="C2" s="94">
        <f>Inputs!C2</f>
        <v>42613</v>
      </c>
      <c r="D2" s="94">
        <f>Inputs!D2</f>
        <v>42978</v>
      </c>
      <c r="E2" s="94">
        <f>Inputs!E2</f>
        <v>43343</v>
      </c>
      <c r="F2" s="94">
        <f>Inputs!F2</f>
        <v>43708</v>
      </c>
      <c r="G2" s="94">
        <f>Inputs!G2</f>
        <v>44074</v>
      </c>
      <c r="H2" s="94">
        <f>Inputs!H2</f>
        <v>44439</v>
      </c>
      <c r="I2" s="94">
        <f>Inputs!I2</f>
        <v>44804</v>
      </c>
      <c r="J2" s="94">
        <f>Inputs!J2</f>
        <v>45169</v>
      </c>
      <c r="K2" s="94">
        <f>Inputs!K2</f>
        <v>45535</v>
      </c>
      <c r="L2" s="94">
        <f>Inputs!L2</f>
        <v>45900</v>
      </c>
      <c r="M2" s="20"/>
      <c r="N2" s="20"/>
    </row>
    <row r="3" spans="1:14" x14ac:dyDescent="0.35">
      <c r="A3" s="93" t="s">
        <v>1096</v>
      </c>
      <c r="B3" s="93"/>
      <c r="C3" s="278">
        <f>IF(Inputs!$E$106=0,Inputs!C107,C10*C$16)</f>
        <v>10.2508</v>
      </c>
      <c r="D3" s="278">
        <f>IF(Inputs!$E$106=0,Inputs!D107,D10*D$16)</f>
        <v>12.500250000000001</v>
      </c>
      <c r="E3" s="278">
        <f>IF(Inputs!$E$106=0,Inputs!E107,E10*E$16)</f>
        <v>8.7002210000000009</v>
      </c>
      <c r="F3" s="278">
        <f>IF(Inputs!$E$106=0,Inputs!F107,F10*F$16)</f>
        <v>0.44247000000000003</v>
      </c>
      <c r="G3" s="278">
        <f>IF(Inputs!$E$106=0,Inputs!G107,G10*G$16)</f>
        <v>10.25703</v>
      </c>
      <c r="H3" s="278">
        <f>IF(Inputs!$E$106=0,Inputs!H107,H10*H$16)</f>
        <v>10.581060000000001</v>
      </c>
      <c r="I3" s="278">
        <f>IF(Inputs!$E$106=0,Inputs!I107,I10*I$16)</f>
        <v>18.452279999999998</v>
      </c>
      <c r="J3" s="278">
        <f>IF(Inputs!$E$106=0,Inputs!J107,J10*J$16)</f>
        <v>21.078749999999999</v>
      </c>
      <c r="K3" s="278">
        <f>IF(Inputs!$E$106=0,Inputs!K107,K10*K$16)</f>
        <v>16.6005</v>
      </c>
      <c r="L3" s="278">
        <f>IF(Inputs!$E$106=0,Inputs!L107,L10*L$16)</f>
        <v>19.86243</v>
      </c>
      <c r="M3" s="38"/>
      <c r="N3" s="38"/>
    </row>
    <row r="4" spans="1:14" x14ac:dyDescent="0.35">
      <c r="A4" s="93" t="s">
        <v>1097</v>
      </c>
      <c r="B4" s="93"/>
      <c r="C4" s="278">
        <f>IF(Inputs!$E$106=0,Inputs!C108,C11*C$16)</f>
        <v>0.35145599999999999</v>
      </c>
      <c r="D4" s="278">
        <f>IF(Inputs!$E$106=0,Inputs!D108,D11*D$16)</f>
        <v>0.46429500000000001</v>
      </c>
      <c r="E4" s="278">
        <f>IF(Inputs!$E$106=0,Inputs!E108,E11*E$16)</f>
        <v>0.74476600000000004</v>
      </c>
      <c r="F4" s="278">
        <f>IF(Inputs!$E$106=0,Inputs!F108,F11*F$16)</f>
        <v>-0.37926000000000004</v>
      </c>
      <c r="G4" s="278">
        <f>IF(Inputs!$E$106=0,Inputs!G108,G11*G$16)</f>
        <v>1.074546</v>
      </c>
      <c r="H4" s="278">
        <f>IF(Inputs!$E$106=0,Inputs!H108,H11*H$16)</f>
        <v>0.85656200000000016</v>
      </c>
      <c r="I4" s="278">
        <f>IF(Inputs!$E$106=0,Inputs!I108,I11*I$16)</f>
        <v>1.054416</v>
      </c>
      <c r="J4" s="278">
        <f>IF(Inputs!$E$106=0,Inputs!J108,J11*J$16)</f>
        <v>1.304875</v>
      </c>
      <c r="K4" s="278">
        <f>IF(Inputs!$E$106=0,Inputs!K108,K11*K$16)</f>
        <v>1.34385</v>
      </c>
      <c r="L4" s="278">
        <f>IF(Inputs!$E$106=0,Inputs!L108,L11*L$16)</f>
        <v>1.6079110000000001</v>
      </c>
      <c r="M4" s="38"/>
      <c r="N4" s="38"/>
    </row>
    <row r="5" spans="1:14" x14ac:dyDescent="0.35">
      <c r="A5" s="93" t="s">
        <v>1098</v>
      </c>
      <c r="B5" s="93"/>
      <c r="C5" s="278">
        <f>IF(Inputs!$E$106=0,Inputs!C109,C12*C$16)</f>
        <v>-0.38074399999999997</v>
      </c>
      <c r="D5" s="278">
        <f>IF(Inputs!$E$106=0,Inputs!D109,D12*D$16)</f>
        <v>-0.50001000000000007</v>
      </c>
      <c r="E5" s="278">
        <f>IF(Inputs!$E$106=0,Inputs!E109,E12*E$16)</f>
        <v>0.81247200000000008</v>
      </c>
      <c r="F5" s="278">
        <f>IF(Inputs!$E$106=0,Inputs!F109,F12*F$16)</f>
        <v>0.16434600000000002</v>
      </c>
      <c r="G5" s="278">
        <f>IF(Inputs!$E$106=0,Inputs!G109,G12*G$16)</f>
        <v>-0.29305800000000004</v>
      </c>
      <c r="H5" s="278">
        <f>IF(Inputs!$E$106=0,Inputs!H109,H12*H$16)</f>
        <v>-0.40308800000000006</v>
      </c>
      <c r="I5" s="278">
        <f>IF(Inputs!$E$106=0,Inputs!I109,I12*I$16)</f>
        <v>3.3389839999999995</v>
      </c>
      <c r="J5" s="278">
        <f>IF(Inputs!$E$106=0,Inputs!J109,J12*J$16)</f>
        <v>6.0225</v>
      </c>
      <c r="K5" s="278">
        <f>IF(Inputs!$E$106=0,Inputs!K109,K12*K$16)</f>
        <v>-0.31619999999999998</v>
      </c>
      <c r="L5" s="278">
        <f>IF(Inputs!$E$106=0,Inputs!L109,L12*L$16)</f>
        <v>-0.378332</v>
      </c>
      <c r="M5" s="38"/>
      <c r="N5" s="38"/>
    </row>
    <row r="6" spans="1:14" x14ac:dyDescent="0.35">
      <c r="A6" s="93" t="s">
        <v>1076</v>
      </c>
      <c r="B6" s="93"/>
      <c r="C6" s="278">
        <f>IF(Inputs!$E$106=0,Inputs!C110,C13*C$16)</f>
        <v>0</v>
      </c>
      <c r="D6" s="278">
        <f>IF(Inputs!$E$106=0,Inputs!D110,D13*D$16)</f>
        <v>0</v>
      </c>
      <c r="E6" s="278">
        <f>IF(Inputs!$E$106=0,Inputs!E110,E13*E$16)</f>
        <v>0</v>
      </c>
      <c r="F6" s="278">
        <f>IF(Inputs!$E$106=0,Inputs!F110,F13*F$16)</f>
        <v>0</v>
      </c>
      <c r="G6" s="278">
        <f>IF(Inputs!$E$106=0,Inputs!G110,G13*G$16)</f>
        <v>0</v>
      </c>
      <c r="H6" s="278">
        <f>IF(Inputs!$E$106=0,Inputs!H110,H13*H$16)</f>
        <v>0</v>
      </c>
      <c r="I6" s="278">
        <f>IF(Inputs!$E$106=0,Inputs!I110,I13*I$16)</f>
        <v>0</v>
      </c>
      <c r="J6" s="278">
        <f>IF(Inputs!$E$106=0,Inputs!J110,J13*J$16)</f>
        <v>0</v>
      </c>
      <c r="K6" s="278">
        <f>IF(Inputs!$E$106=0,Inputs!K110,K13*K$16)</f>
        <v>0</v>
      </c>
      <c r="L6" s="278">
        <f>IF(Inputs!$E$106=0,Inputs!L110,L13*L$16)</f>
        <v>0</v>
      </c>
      <c r="M6" s="38"/>
      <c r="N6" s="38"/>
    </row>
    <row r="7" spans="1:14" x14ac:dyDescent="0.35">
      <c r="A7" s="93" t="s">
        <v>1099</v>
      </c>
      <c r="B7" s="93"/>
      <c r="C7" s="278">
        <f>IF(Inputs!$E$106=0,Inputs!C111,C14*C$16)</f>
        <v>-1.2008079999999994</v>
      </c>
      <c r="D7" s="278">
        <f>IF(Inputs!$E$106=0,Inputs!D111,D14*D$16)</f>
        <v>7.1430000000000091E-2</v>
      </c>
      <c r="E7" s="278">
        <f>IF(Inputs!$E$106=0,Inputs!E111,E14*E$16)</f>
        <v>3.317594000000001</v>
      </c>
      <c r="F7" s="278">
        <f>IF(Inputs!$E$106=0,Inputs!F111,F14*F$16)</f>
        <v>-0.29287300000000005</v>
      </c>
      <c r="G7" s="278">
        <f>IF(Inputs!$E$106=0,Inputs!G111,G14*G$16)</f>
        <v>-0.8303309999999996</v>
      </c>
      <c r="H7" s="278">
        <f>IF(Inputs!$E$106=0,Inputs!H111,H14*H$16)</f>
        <v>-3.2247040000000005</v>
      </c>
      <c r="I7" s="278">
        <f>IF(Inputs!$E$106=0,Inputs!I111,I14*I$16)</f>
        <v>-0.43934000000000029</v>
      </c>
      <c r="J7" s="278">
        <f>IF(Inputs!$E$106=0,Inputs!J111,J14*J$16)</f>
        <v>-0.40149999999999481</v>
      </c>
      <c r="K7" s="278">
        <f>IF(Inputs!$E$106=0,Inputs!K111,K14*K$16)</f>
        <v>-4.8220499999999999</v>
      </c>
      <c r="L7" s="278">
        <f>IF(Inputs!$E$106=0,Inputs!L111,L14*L$16)</f>
        <v>-0.5674980000000005</v>
      </c>
      <c r="M7" s="38"/>
      <c r="N7" s="38"/>
    </row>
    <row r="8" spans="1:14" x14ac:dyDescent="0.35">
      <c r="A8" s="93" t="s">
        <v>1067</v>
      </c>
      <c r="B8" s="93"/>
      <c r="C8" s="278">
        <f>IF(Inputs!$E$106=0,Inputs!C112,C15*C$16)</f>
        <v>9.0207040000000003</v>
      </c>
      <c r="D8" s="278">
        <f>IF(Inputs!$E$106=0,Inputs!D112,D15*D$16)</f>
        <v>12.535965000000001</v>
      </c>
      <c r="E8" s="278">
        <f>IF(Inputs!$E$106=0,Inputs!E112,E15*E$16)</f>
        <v>13.575053000000002</v>
      </c>
      <c r="F8" s="278">
        <f>IF(Inputs!$E$106=0,Inputs!F112,F15*F$16)</f>
        <v>-6.5317E-2</v>
      </c>
      <c r="G8" s="278">
        <f>IF(Inputs!$E$106=0,Inputs!G112,G15*G$16)</f>
        <v>10.208187000000001</v>
      </c>
      <c r="H8" s="278">
        <f>IF(Inputs!$E$106=0,Inputs!H112,H15*H$16)</f>
        <v>7.8098300000000007</v>
      </c>
      <c r="I8" s="278">
        <f>IF(Inputs!$E$106=0,Inputs!I112,I15*I$16)</f>
        <v>22.40634</v>
      </c>
      <c r="J8" s="278">
        <f>IF(Inputs!$E$106=0,Inputs!J112,J15*J$16)</f>
        <v>28.004625000000004</v>
      </c>
      <c r="K8" s="278">
        <f>IF(Inputs!$E$106=0,Inputs!K112,K15*K$16)</f>
        <v>12.806100000000001</v>
      </c>
      <c r="L8" s="278">
        <f>IF(Inputs!$E$106=0,Inputs!L112,L15*L$16)</f>
        <v>20.524511</v>
      </c>
      <c r="M8" s="38"/>
      <c r="N8" s="38"/>
    </row>
    <row r="9" spans="1:14" x14ac:dyDescent="0.35">
      <c r="C9" s="32"/>
      <c r="D9" s="32"/>
      <c r="E9" s="32"/>
      <c r="F9" s="32"/>
      <c r="G9" s="32"/>
      <c r="H9" s="32"/>
      <c r="I9" s="32"/>
      <c r="J9" s="32"/>
      <c r="K9" s="32"/>
      <c r="L9" s="32"/>
    </row>
    <row r="10" spans="1:14" x14ac:dyDescent="0.35">
      <c r="A10" s="53" t="s">
        <v>1096</v>
      </c>
      <c r="B10" s="53"/>
      <c r="C10" s="279">
        <f>IF(Inputs!$E$106=1,Inputs!C107,C3/C$16)</f>
        <v>0.35</v>
      </c>
      <c r="D10" s="279">
        <f>IF(Inputs!$E$106=1,Inputs!D107,D3/D$16)</f>
        <v>0.35</v>
      </c>
      <c r="E10" s="279">
        <f>IF(Inputs!$E$106=1,Inputs!E107,E3/E$16)</f>
        <v>0.25700000000000001</v>
      </c>
      <c r="F10" s="279">
        <f>IF(Inputs!$E$106=1,Inputs!F107,F3/F$16)</f>
        <v>0.21</v>
      </c>
      <c r="G10" s="279">
        <f>IF(Inputs!$E$106=1,Inputs!G107,G3/G$16)</f>
        <v>0.21</v>
      </c>
      <c r="H10" s="279">
        <f>IF(Inputs!$E$106=1,Inputs!H107,H3/H$16)</f>
        <v>0.21</v>
      </c>
      <c r="I10" s="279">
        <f>IF(Inputs!$E$106=1,Inputs!I107,I3/I$16)</f>
        <v>0.21</v>
      </c>
      <c r="J10" s="279">
        <f>IF(Inputs!$E$106=1,Inputs!J107,J3/J$16)</f>
        <v>0.21</v>
      </c>
      <c r="K10" s="279">
        <f>IF(Inputs!$E$106=1,Inputs!K107,K3/K$16)</f>
        <v>0.21</v>
      </c>
      <c r="L10" s="279">
        <f>IF(Inputs!$E$106=1,Inputs!L107,L3/L$16)</f>
        <v>0.21</v>
      </c>
      <c r="M10" s="34"/>
      <c r="N10" s="34"/>
    </row>
    <row r="11" spans="1:14" x14ac:dyDescent="0.35">
      <c r="A11" s="53" t="s">
        <v>1097</v>
      </c>
      <c r="B11" s="53"/>
      <c r="C11" s="279">
        <f>IF(Inputs!$E$106=1,Inputs!C108,C4/C$16)</f>
        <v>1.2E-2</v>
      </c>
      <c r="D11" s="279">
        <f>IF(Inputs!$E$106=1,Inputs!D108,D4/D$16)</f>
        <v>1.2999999999999999E-2</v>
      </c>
      <c r="E11" s="279">
        <f>IF(Inputs!$E$106=1,Inputs!E108,E4/E$16)</f>
        <v>2.1999999999999999E-2</v>
      </c>
      <c r="F11" s="279">
        <f>IF(Inputs!$E$106=1,Inputs!F108,F4/F$16)</f>
        <v>-0.18</v>
      </c>
      <c r="G11" s="279">
        <f>IF(Inputs!$E$106=1,Inputs!G108,G4/G$16)</f>
        <v>2.1999999999999999E-2</v>
      </c>
      <c r="H11" s="279">
        <f>IF(Inputs!$E$106=1,Inputs!H108,H4/H$16)</f>
        <v>1.7000000000000001E-2</v>
      </c>
      <c r="I11" s="279">
        <f>IF(Inputs!$E$106=1,Inputs!I108,I4/I$16)</f>
        <v>1.2E-2</v>
      </c>
      <c r="J11" s="279">
        <f>IF(Inputs!$E$106=1,Inputs!J108,J4/J$16)</f>
        <v>1.2999999999999999E-2</v>
      </c>
      <c r="K11" s="279">
        <f>IF(Inputs!$E$106=1,Inputs!K108,K4/K$16)</f>
        <v>1.7000000000000001E-2</v>
      </c>
      <c r="L11" s="279">
        <f>IF(Inputs!$E$106=1,Inputs!L108,L4/L$16)</f>
        <v>1.7000000000000001E-2</v>
      </c>
      <c r="M11" s="34"/>
      <c r="N11" s="34"/>
    </row>
    <row r="12" spans="1:14" x14ac:dyDescent="0.35">
      <c r="A12" s="53" t="s">
        <v>1098</v>
      </c>
      <c r="B12" s="53"/>
      <c r="C12" s="279">
        <f>IF(Inputs!$E$106=1,Inputs!C109,C5/C$16)</f>
        <v>-1.2999999999999999E-2</v>
      </c>
      <c r="D12" s="279">
        <f>IF(Inputs!$E$106=1,Inputs!D109,D5/D$16)</f>
        <v>-1.4E-2</v>
      </c>
      <c r="E12" s="279">
        <f>IF(Inputs!$E$106=1,Inputs!E109,E5/E$16)</f>
        <v>2.4E-2</v>
      </c>
      <c r="F12" s="279">
        <f>IF(Inputs!$E$106=1,Inputs!F109,F5/F$16)</f>
        <v>7.8E-2</v>
      </c>
      <c r="G12" s="279">
        <f>IF(Inputs!$E$106=1,Inputs!G109,G5/G$16)</f>
        <v>-6.0000000000000001E-3</v>
      </c>
      <c r="H12" s="279">
        <f>IF(Inputs!$E$106=1,Inputs!H109,H5/H$16)</f>
        <v>-8.0000000000000002E-3</v>
      </c>
      <c r="I12" s="279">
        <f>IF(Inputs!$E$106=1,Inputs!I109,I5/I$16)</f>
        <v>3.7999999999999999E-2</v>
      </c>
      <c r="J12" s="279">
        <f>IF(Inputs!$E$106=1,Inputs!J109,J5/J$16)</f>
        <v>0.06</v>
      </c>
      <c r="K12" s="279">
        <f>IF(Inputs!$E$106=1,Inputs!K109,K5/K$16)</f>
        <v>-4.0000000000000001E-3</v>
      </c>
      <c r="L12" s="279">
        <f>IF(Inputs!$E$106=1,Inputs!L109,L5/L$16)</f>
        <v>-4.0000000000000001E-3</v>
      </c>
      <c r="M12" s="34"/>
      <c r="N12" s="34"/>
    </row>
    <row r="13" spans="1:14" x14ac:dyDescent="0.35">
      <c r="A13" s="53" t="s">
        <v>1076</v>
      </c>
      <c r="B13" s="53"/>
      <c r="C13" s="279">
        <f>IF(Inputs!$E$106=1,Inputs!C110,C6/C$16)</f>
        <v>0</v>
      </c>
      <c r="D13" s="279">
        <f>IF(Inputs!$E$106=1,Inputs!D110,D6/D$16)</f>
        <v>0</v>
      </c>
      <c r="E13" s="279">
        <f>IF(Inputs!$E$106=1,Inputs!E110,E6/E$16)</f>
        <v>0</v>
      </c>
      <c r="F13" s="279">
        <f>IF(Inputs!$E$106=1,Inputs!F110,F6/F$16)</f>
        <v>0</v>
      </c>
      <c r="G13" s="279">
        <f>IF(Inputs!$E$106=1,Inputs!G110,G6/G$16)</f>
        <v>0</v>
      </c>
      <c r="H13" s="279">
        <f>IF(Inputs!$E$106=1,Inputs!H110,H6/H$16)</f>
        <v>0</v>
      </c>
      <c r="I13" s="279">
        <f>IF(Inputs!$E$106=1,Inputs!I110,I6/I$16)</f>
        <v>0</v>
      </c>
      <c r="J13" s="279">
        <f>IF(Inputs!$E$106=1,Inputs!J110,J6/J$16)</f>
        <v>0</v>
      </c>
      <c r="K13" s="279">
        <f>IF(Inputs!$E$106=1,Inputs!K110,K6/K$16)</f>
        <v>0</v>
      </c>
      <c r="L13" s="279">
        <f>IF(Inputs!$E$106=1,Inputs!L110,L6/L$16)</f>
        <v>0</v>
      </c>
      <c r="M13" s="34"/>
      <c r="N13" s="34"/>
    </row>
    <row r="14" spans="1:14" x14ac:dyDescent="0.35">
      <c r="A14" s="53" t="s">
        <v>1099</v>
      </c>
      <c r="B14" s="53"/>
      <c r="C14" s="279">
        <f>IF(Inputs!$E$106=1,Inputs!C111,C7/C$16)</f>
        <v>-4.0999999999999981E-2</v>
      </c>
      <c r="D14" s="279">
        <f>IF(Inputs!$E$106=1,Inputs!D111,D7/D$16)</f>
        <v>2.0000000000000022E-3</v>
      </c>
      <c r="E14" s="279">
        <f>IF(Inputs!$E$106=1,Inputs!E111,E7/E$16)</f>
        <v>9.8000000000000032E-2</v>
      </c>
      <c r="F14" s="279">
        <f>IF(Inputs!$E$106=1,Inputs!F111,F7/F$16)</f>
        <v>-0.13900000000000001</v>
      </c>
      <c r="G14" s="279">
        <f>IF(Inputs!$E$106=1,Inputs!G111,G7/G$16)</f>
        <v>-1.6999999999999991E-2</v>
      </c>
      <c r="H14" s="279">
        <f>IF(Inputs!$E$106=1,Inputs!H111,H7/H$16)</f>
        <v>-6.4000000000000001E-2</v>
      </c>
      <c r="I14" s="279">
        <f>IF(Inputs!$E$106=1,Inputs!I111,I7/I$16)</f>
        <v>-5.0000000000000036E-3</v>
      </c>
      <c r="J14" s="279">
        <f>IF(Inputs!$E$106=1,Inputs!J111,J7/J$16)</f>
        <v>-3.999999999999948E-3</v>
      </c>
      <c r="K14" s="279">
        <f>IF(Inputs!$E$106=1,Inputs!K111,K7/K$16)</f>
        <v>-6.0999999999999999E-2</v>
      </c>
      <c r="L14" s="279">
        <f>IF(Inputs!$E$106=1,Inputs!L111,L7/L$16)</f>
        <v>-6.0000000000000053E-3</v>
      </c>
      <c r="M14" s="34"/>
      <c r="N14" s="34"/>
    </row>
    <row r="15" spans="1:14" x14ac:dyDescent="0.35">
      <c r="A15" s="53" t="s">
        <v>1100</v>
      </c>
      <c r="B15" s="53"/>
      <c r="C15" s="279">
        <f>IF(Inputs!$E$106=1,Inputs!C112,C8/C$16)</f>
        <v>0.308</v>
      </c>
      <c r="D15" s="279">
        <f>IF(Inputs!$E$106=1,Inputs!D112,D8/D$16)</f>
        <v>0.35099999999999998</v>
      </c>
      <c r="E15" s="279">
        <f>IF(Inputs!$E$106=1,Inputs!E112,E8/E$16)</f>
        <v>0.40100000000000002</v>
      </c>
      <c r="F15" s="279">
        <f>IF(Inputs!$E$106=1,Inputs!F112,F8/F$16)</f>
        <v>-3.1E-2</v>
      </c>
      <c r="G15" s="279">
        <f>IF(Inputs!$E$106=1,Inputs!G112,G8/G$16)</f>
        <v>0.20899999999999999</v>
      </c>
      <c r="H15" s="279">
        <f>IF(Inputs!$E$106=1,Inputs!H112,H8/H$16)</f>
        <v>0.155</v>
      </c>
      <c r="I15" s="279">
        <f>IF(Inputs!$E$106=1,Inputs!I112,I8/I$16)</f>
        <v>0.255</v>
      </c>
      <c r="J15" s="279">
        <f>IF(Inputs!$E$106=1,Inputs!J112,J8/J$16)</f>
        <v>0.27900000000000003</v>
      </c>
      <c r="K15" s="279">
        <f>IF(Inputs!$E$106=1,Inputs!K112,K8/K$16)</f>
        <v>0.16200000000000001</v>
      </c>
      <c r="L15" s="279">
        <f>IF(Inputs!$E$106=1,Inputs!L112,L8/L$16)</f>
        <v>0.217</v>
      </c>
      <c r="M15" s="34"/>
      <c r="N15" s="34"/>
    </row>
    <row r="16" spans="1:14" x14ac:dyDescent="0.35">
      <c r="A16" s="53" t="s">
        <v>1101</v>
      </c>
      <c r="B16" s="53"/>
      <c r="C16" s="280">
        <f>Inputs!C37</f>
        <v>29.288</v>
      </c>
      <c r="D16" s="280">
        <f>Inputs!D37</f>
        <v>35.715000000000003</v>
      </c>
      <c r="E16" s="280">
        <f>Inputs!E37</f>
        <v>33.853000000000002</v>
      </c>
      <c r="F16" s="280">
        <f>Inputs!F37</f>
        <v>2.1070000000000002</v>
      </c>
      <c r="G16" s="280">
        <f>Inputs!G37</f>
        <v>48.843000000000004</v>
      </c>
      <c r="H16" s="280">
        <f>Inputs!H37</f>
        <v>50.386000000000003</v>
      </c>
      <c r="I16" s="280">
        <f>Inputs!I37</f>
        <v>87.867999999999995</v>
      </c>
      <c r="J16" s="280">
        <f>Inputs!J37</f>
        <v>100.375</v>
      </c>
      <c r="K16" s="280">
        <f>Inputs!K37</f>
        <v>79.05</v>
      </c>
      <c r="L16" s="280">
        <f>Inputs!L37</f>
        <v>94.582999999999998</v>
      </c>
      <c r="M16" s="38"/>
      <c r="N16" s="38"/>
    </row>
    <row r="18" spans="1:14" x14ac:dyDescent="0.35">
      <c r="A18" s="44" t="s">
        <v>1102</v>
      </c>
      <c r="B18" s="44"/>
    </row>
    <row r="19" spans="1:14" s="33" customFormat="1" x14ac:dyDescent="0.35">
      <c r="A19" t="s">
        <v>1103</v>
      </c>
      <c r="C19" s="246">
        <f t="shared" ref="C19:L19" si="0">C10+C11</f>
        <v>0.36199999999999999</v>
      </c>
      <c r="D19" s="246">
        <f t="shared" si="0"/>
        <v>0.36299999999999999</v>
      </c>
      <c r="E19" s="246">
        <f t="shared" si="0"/>
        <v>0.27900000000000003</v>
      </c>
      <c r="F19" s="246">
        <f t="shared" si="0"/>
        <v>0.03</v>
      </c>
      <c r="G19" s="246">
        <f t="shared" si="0"/>
        <v>0.23199999999999998</v>
      </c>
      <c r="H19" s="246">
        <f t="shared" si="0"/>
        <v>0.22699999999999998</v>
      </c>
      <c r="I19" s="246">
        <f t="shared" si="0"/>
        <v>0.222</v>
      </c>
      <c r="J19" s="246">
        <f t="shared" si="0"/>
        <v>0.223</v>
      </c>
      <c r="K19" s="246">
        <f t="shared" si="0"/>
        <v>0.22699999999999998</v>
      </c>
      <c r="L19" s="246">
        <f t="shared" si="0"/>
        <v>0.22699999999999998</v>
      </c>
      <c r="M19" s="149"/>
      <c r="N19" s="149"/>
    </row>
    <row r="20" spans="1:14" s="33" customFormat="1" x14ac:dyDescent="0.35">
      <c r="A20" t="s">
        <v>1104</v>
      </c>
      <c r="C20" s="246">
        <f t="shared" ref="C20:L20" si="1">C12</f>
        <v>-1.2999999999999999E-2</v>
      </c>
      <c r="D20" s="246">
        <f t="shared" si="1"/>
        <v>-1.4E-2</v>
      </c>
      <c r="E20" s="246">
        <f t="shared" si="1"/>
        <v>2.4E-2</v>
      </c>
      <c r="F20" s="246">
        <f t="shared" si="1"/>
        <v>7.8E-2</v>
      </c>
      <c r="G20" s="246">
        <f t="shared" si="1"/>
        <v>-6.0000000000000001E-3</v>
      </c>
      <c r="H20" s="246">
        <f t="shared" si="1"/>
        <v>-8.0000000000000002E-3</v>
      </c>
      <c r="I20" s="246">
        <f t="shared" si="1"/>
        <v>3.7999999999999999E-2</v>
      </c>
      <c r="J20" s="246">
        <f t="shared" si="1"/>
        <v>0.06</v>
      </c>
      <c r="K20" s="246">
        <f t="shared" si="1"/>
        <v>-4.0000000000000001E-3</v>
      </c>
      <c r="L20" s="246">
        <f t="shared" si="1"/>
        <v>-4.0000000000000001E-3</v>
      </c>
      <c r="M20" s="149"/>
      <c r="N20" s="149"/>
    </row>
    <row r="21" spans="1:14" x14ac:dyDescent="0.35">
      <c r="A21" t="s">
        <v>322</v>
      </c>
      <c r="C21" s="32">
        <f>'IC &amp; NOPAT &amp; ROIC '!C18</f>
        <v>34.374999999999943</v>
      </c>
      <c r="D21" s="32">
        <f>'IC &amp; NOPAT &amp; ROIC '!D18</f>
        <v>40.201000000000022</v>
      </c>
      <c r="E21" s="32">
        <f>'IC &amp; NOPAT &amp; ROIC '!E18</f>
        <v>38.563000000000045</v>
      </c>
      <c r="F21" s="32">
        <f>'IC &amp; NOPAT &amp; ROIC '!F18</f>
        <v>6.1150000000000091</v>
      </c>
      <c r="G21" s="32">
        <f>'IC &amp; NOPAT &amp; ROIC '!G18</f>
        <v>54.201999999999998</v>
      </c>
      <c r="H21" s="32">
        <f>'IC &amp; NOPAT &amp; ROIC '!H18</f>
        <v>54.106999999999971</v>
      </c>
      <c r="I21" s="32">
        <f>'IC &amp; NOPAT &amp; ROIC '!I18</f>
        <v>94.643000000000029</v>
      </c>
      <c r="J21" s="32">
        <f>'IC &amp; NOPAT &amp; ROIC '!J18</f>
        <v>102.18399999999997</v>
      </c>
      <c r="K21" s="32">
        <f>'IC &amp; NOPAT &amp; ROIC '!K18</f>
        <v>76.607999999999947</v>
      </c>
      <c r="L21" s="32">
        <f>'IC &amp; NOPAT &amp; ROIC '!L18</f>
        <v>88.124000000000024</v>
      </c>
      <c r="M21" s="38"/>
      <c r="N21" s="38"/>
    </row>
    <row r="22" spans="1:14" x14ac:dyDescent="0.35">
      <c r="A22" t="s">
        <v>1105</v>
      </c>
      <c r="C22" s="32">
        <f t="shared" ref="C22:L22" si="2">C21*(C19+C20)</f>
        <v>11.99687499999998</v>
      </c>
      <c r="D22" s="32">
        <f t="shared" si="2"/>
        <v>14.030149000000007</v>
      </c>
      <c r="E22" s="32">
        <f t="shared" si="2"/>
        <v>11.684589000000015</v>
      </c>
      <c r="F22" s="32">
        <f t="shared" si="2"/>
        <v>0.66042000000000101</v>
      </c>
      <c r="G22" s="32">
        <f t="shared" si="2"/>
        <v>12.249651999999999</v>
      </c>
      <c r="H22" s="32">
        <f t="shared" si="2"/>
        <v>11.849432999999992</v>
      </c>
      <c r="I22" s="32">
        <f t="shared" si="2"/>
        <v>24.607180000000007</v>
      </c>
      <c r="J22" s="32">
        <f t="shared" si="2"/>
        <v>28.918071999999995</v>
      </c>
      <c r="K22" s="32">
        <f t="shared" si="2"/>
        <v>17.083583999999988</v>
      </c>
      <c r="L22" s="32">
        <f t="shared" si="2"/>
        <v>19.651652000000002</v>
      </c>
      <c r="M22" s="38"/>
      <c r="N22" s="38"/>
    </row>
    <row r="23" spans="1:14" x14ac:dyDescent="0.35">
      <c r="A23" t="s">
        <v>1106</v>
      </c>
    </row>
    <row r="24" spans="1:14" s="33" customFormat="1" x14ac:dyDescent="0.35">
      <c r="A24" t="s">
        <v>1076</v>
      </c>
      <c r="C24" s="32">
        <f t="shared" ref="C24:L24" si="3">C6</f>
        <v>0</v>
      </c>
      <c r="D24" s="32">
        <f t="shared" si="3"/>
        <v>0</v>
      </c>
      <c r="E24" s="32">
        <f t="shared" si="3"/>
        <v>0</v>
      </c>
      <c r="F24" s="32">
        <f t="shared" si="3"/>
        <v>0</v>
      </c>
      <c r="G24" s="32">
        <f t="shared" si="3"/>
        <v>0</v>
      </c>
      <c r="H24" s="32">
        <f t="shared" si="3"/>
        <v>0</v>
      </c>
      <c r="I24" s="32">
        <f t="shared" si="3"/>
        <v>0</v>
      </c>
      <c r="J24" s="32">
        <f t="shared" si="3"/>
        <v>0</v>
      </c>
      <c r="K24" s="32">
        <f t="shared" si="3"/>
        <v>0</v>
      </c>
      <c r="L24" s="32">
        <f t="shared" si="3"/>
        <v>0</v>
      </c>
      <c r="M24" s="147"/>
      <c r="N24" s="147"/>
    </row>
    <row r="25" spans="1:14" x14ac:dyDescent="0.35">
      <c r="A25" s="44" t="s">
        <v>1107</v>
      </c>
      <c r="B25" s="44"/>
      <c r="C25" s="281">
        <f t="shared" ref="C25:L25" si="4">SUM(C22,C24:C24)</f>
        <v>11.99687499999998</v>
      </c>
      <c r="D25" s="281">
        <f t="shared" si="4"/>
        <v>14.030149000000007</v>
      </c>
      <c r="E25" s="281">
        <f t="shared" si="4"/>
        <v>11.684589000000015</v>
      </c>
      <c r="F25" s="281">
        <f t="shared" si="4"/>
        <v>0.66042000000000101</v>
      </c>
      <c r="G25" s="281">
        <f t="shared" si="4"/>
        <v>12.249651999999999</v>
      </c>
      <c r="H25" s="281">
        <f t="shared" si="4"/>
        <v>11.849432999999992</v>
      </c>
      <c r="I25" s="281">
        <f t="shared" si="4"/>
        <v>24.607180000000007</v>
      </c>
      <c r="J25" s="281">
        <f t="shared" si="4"/>
        <v>28.918071999999995</v>
      </c>
      <c r="K25" s="281">
        <f t="shared" si="4"/>
        <v>17.083583999999988</v>
      </c>
      <c r="L25" s="281">
        <f t="shared" si="4"/>
        <v>19.651652000000002</v>
      </c>
      <c r="M25" s="147"/>
      <c r="N25" s="147"/>
    </row>
    <row r="26" spans="1:14" x14ac:dyDescent="0.35">
      <c r="A26" t="s">
        <v>1108</v>
      </c>
      <c r="C26" s="74">
        <f t="shared" ref="C26:L26" si="5">C25/C21</f>
        <v>0.34899999999999998</v>
      </c>
      <c r="D26" s="74">
        <f t="shared" si="5"/>
        <v>0.34899999999999998</v>
      </c>
      <c r="E26" s="74">
        <f t="shared" si="5"/>
        <v>0.30300000000000005</v>
      </c>
      <c r="F26" s="74">
        <f t="shared" si="5"/>
        <v>0.108</v>
      </c>
      <c r="G26" s="74">
        <f t="shared" si="5"/>
        <v>0.22600000000000001</v>
      </c>
      <c r="H26" s="74">
        <f t="shared" si="5"/>
        <v>0.21899999999999997</v>
      </c>
      <c r="I26" s="74">
        <f t="shared" si="5"/>
        <v>0.26</v>
      </c>
      <c r="J26" s="74">
        <f t="shared" si="5"/>
        <v>0.28300000000000003</v>
      </c>
      <c r="K26" s="74">
        <f t="shared" si="5"/>
        <v>0.223</v>
      </c>
      <c r="L26" s="74">
        <f t="shared" si="5"/>
        <v>0.22299999999999998</v>
      </c>
      <c r="M26" s="39"/>
      <c r="N26" s="39"/>
    </row>
  </sheetData>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20"/>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265625" defaultRowHeight="14.5" x14ac:dyDescent="0.35"/>
  <cols>
    <col min="1" max="1" width="32.1796875" bestFit="1" customWidth="1"/>
    <col min="2" max="11" width="10.1796875" bestFit="1" customWidth="1"/>
  </cols>
  <sheetData>
    <row r="1" spans="1:16" s="33" customFormat="1" x14ac:dyDescent="0.35">
      <c r="A1" s="59"/>
      <c r="B1" s="59" t="str">
        <f>'Income - GAAP'!C7</f>
        <v>FY 2016</v>
      </c>
      <c r="C1" s="59" t="str">
        <f>'Income - GAAP'!D7</f>
        <v>FY 2017</v>
      </c>
      <c r="D1" s="59" t="str">
        <f>'Income - GAAP'!E7</f>
        <v>FY 2018</v>
      </c>
      <c r="E1" s="59" t="str">
        <f>'Income - GAAP'!F7</f>
        <v>FY 2019</v>
      </c>
      <c r="F1" s="59" t="str">
        <f>'Income - GAAP'!G7</f>
        <v>FY 2020</v>
      </c>
      <c r="G1" s="59" t="str">
        <f>'Income - GAAP'!H7</f>
        <v>FY 2021</v>
      </c>
      <c r="H1" s="59" t="str">
        <f>'Income - GAAP'!I7</f>
        <v>FY 2022</v>
      </c>
      <c r="I1" s="59" t="str">
        <f>'Income - GAAP'!J7</f>
        <v>FY 2023</v>
      </c>
      <c r="J1" s="59" t="str">
        <f>'Income - GAAP'!K7</f>
        <v>FY 2024</v>
      </c>
      <c r="K1" s="59" t="str">
        <f>'Income - GAAP'!L7</f>
        <v>FY 2025</v>
      </c>
      <c r="L1" s="561" t="s">
        <v>1109</v>
      </c>
    </row>
    <row r="2" spans="1:16" x14ac:dyDescent="0.35">
      <c r="A2" s="53"/>
      <c r="B2" s="280"/>
      <c r="C2" s="280"/>
      <c r="D2" s="280"/>
      <c r="E2" s="280"/>
      <c r="F2" s="280"/>
      <c r="G2" s="280"/>
      <c r="H2" s="280"/>
      <c r="I2" s="280"/>
      <c r="J2" s="280"/>
      <c r="K2" s="280"/>
      <c r="L2" s="561" t="s">
        <v>1110</v>
      </c>
      <c r="M2" s="561" t="s">
        <v>1111</v>
      </c>
    </row>
    <row r="3" spans="1:16" x14ac:dyDescent="0.35">
      <c r="A3" s="53" t="s">
        <v>334</v>
      </c>
      <c r="B3" s="280">
        <f>Inputs!C93</f>
        <v>0</v>
      </c>
      <c r="C3" s="280">
        <f>Inputs!D93</f>
        <v>0</v>
      </c>
      <c r="D3" s="280">
        <f>Inputs!E93</f>
        <v>0</v>
      </c>
      <c r="E3" s="280">
        <f>Inputs!F93</f>
        <v>0</v>
      </c>
      <c r="F3" s="280">
        <f>Inputs!G93</f>
        <v>0</v>
      </c>
      <c r="G3" s="280">
        <f>Inputs!H93</f>
        <v>0</v>
      </c>
      <c r="H3" s="280">
        <f>Inputs!I93</f>
        <v>0</v>
      </c>
      <c r="I3" s="280">
        <f>Inputs!J93</f>
        <v>0</v>
      </c>
      <c r="J3" s="280">
        <f>Inputs!K93</f>
        <v>0</v>
      </c>
      <c r="K3" s="280">
        <f>Inputs!L93</f>
        <v>0</v>
      </c>
      <c r="L3" s="561" t="s">
        <v>1112</v>
      </c>
      <c r="M3" s="561" t="s">
        <v>1113</v>
      </c>
    </row>
    <row r="4" spans="1:16" x14ac:dyDescent="0.35">
      <c r="A4" s="59" t="s">
        <v>1114</v>
      </c>
      <c r="B4" s="280"/>
      <c r="C4" s="280"/>
      <c r="D4" s="280"/>
      <c r="E4" s="280"/>
      <c r="F4" s="280"/>
      <c r="G4" s="280"/>
      <c r="H4" s="280"/>
      <c r="I4" s="280"/>
      <c r="J4" s="280"/>
      <c r="K4" s="280"/>
      <c r="L4" s="561" t="s">
        <v>1115</v>
      </c>
      <c r="M4" s="561" t="s">
        <v>1116</v>
      </c>
    </row>
    <row r="5" spans="1:16" x14ac:dyDescent="0.35">
      <c r="A5" s="53" t="s">
        <v>1061</v>
      </c>
      <c r="B5" s="280">
        <f>IF(Inputs!$E$92=1,Inputs!C95,Inputs!C95/1000)</f>
        <v>3.9209999999999998</v>
      </c>
      <c r="C5" s="280">
        <f>IF(Inputs!$E$92=1,Inputs!D95,Inputs!D95/1000)</f>
        <v>3.8260000000000001</v>
      </c>
      <c r="D5" s="280">
        <f>IF(Inputs!$E$92=1,Inputs!E95,Inputs!E95/1000)</f>
        <v>3.964</v>
      </c>
      <c r="E5" s="280">
        <f>IF(Inputs!$E$92=1,Inputs!F95,Inputs!F95/1000)</f>
        <v>6.0650000000000004</v>
      </c>
      <c r="F5" s="280">
        <f>IF(Inputs!$E$92=1,Inputs!G95,Inputs!G95/1000)</f>
        <v>5.9109999999999996</v>
      </c>
      <c r="G5" s="280">
        <f>IF(Inputs!$E$92=1,Inputs!H95,Inputs!H95/1000)</f>
        <v>4.6550000000000002</v>
      </c>
      <c r="H5" s="280">
        <f>IF(Inputs!$E$92=1,Inputs!I95,Inputs!I95/1000)</f>
        <v>3.8079999999999998</v>
      </c>
      <c r="I5" s="280">
        <f>IF(Inputs!$E$92=1,Inputs!J95,Inputs!J95/1000)</f>
        <v>3.7149999999999999</v>
      </c>
      <c r="J5" s="280">
        <f>IF(Inputs!$E$92=1,Inputs!K95,Inputs!K95/1000)</f>
        <v>4.4859999999999998</v>
      </c>
      <c r="K5" s="280">
        <f>IF(Inputs!$E$92=1,Inputs!L95,Inputs!L95/1000)</f>
        <v>4.8959999999999999</v>
      </c>
      <c r="L5" s="561" t="s">
        <v>1117</v>
      </c>
      <c r="M5" s="561" t="s">
        <v>1118</v>
      </c>
    </row>
    <row r="6" spans="1:16" x14ac:dyDescent="0.35">
      <c r="A6" s="53" t="s">
        <v>1062</v>
      </c>
      <c r="B6" s="280">
        <f>IF(Inputs!$E$92=1,Inputs!C96,Inputs!C96/1000)</f>
        <v>3.069</v>
      </c>
      <c r="C6" s="280">
        <f>IF(Inputs!$E$92=1,Inputs!D96,Inputs!D96/1000)</f>
        <v>3.15</v>
      </c>
      <c r="D6" s="280">
        <f>IF(Inputs!$E$92=1,Inputs!E96,Inputs!E96/1000)</f>
        <v>3.996</v>
      </c>
      <c r="E6" s="280">
        <f>IF(Inputs!$E$92=1,Inputs!F96,Inputs!F96/1000)</f>
        <v>5.266</v>
      </c>
      <c r="F6" s="280">
        <f>IF(Inputs!$E$92=1,Inputs!G96,Inputs!G96/1000)</f>
        <v>5.734</v>
      </c>
      <c r="G6" s="280">
        <f>IF(Inputs!$E$92=1,Inputs!H96,Inputs!H96/1000)</f>
        <v>2.9830000000000001</v>
      </c>
      <c r="H6" s="280">
        <f>IF(Inputs!$E$92=1,Inputs!I96,Inputs!I96/1000)</f>
        <v>3.2749999999999999</v>
      </c>
      <c r="I6" s="280">
        <f>IF(Inputs!$E$92=1,Inputs!J96,Inputs!J96/1000)</f>
        <v>3.395</v>
      </c>
      <c r="J6" s="280">
        <f>IF(Inputs!$E$92=1,Inputs!K96,Inputs!K96/1000)</f>
        <v>3.64</v>
      </c>
      <c r="K6" s="280">
        <f>IF(Inputs!$E$92=1,Inputs!L96,Inputs!L96/1000)</f>
        <v>4.1150000000000002</v>
      </c>
      <c r="L6" s="561" t="s">
        <v>1119</v>
      </c>
      <c r="M6" s="561" t="s">
        <v>1120</v>
      </c>
    </row>
    <row r="7" spans="1:16" x14ac:dyDescent="0.35">
      <c r="A7" s="53" t="s">
        <v>1063</v>
      </c>
      <c r="B7" s="280">
        <f>IF(Inputs!$E$92=1,Inputs!C97,Inputs!C97/1000)</f>
        <v>2.4830000000000001</v>
      </c>
      <c r="C7" s="280">
        <f>IF(Inputs!$E$92=1,Inputs!D97,Inputs!D97/1000)</f>
        <v>2.6459999999999999</v>
      </c>
      <c r="D7" s="280">
        <f>IF(Inputs!$E$92=1,Inputs!E97,Inputs!E97/1000)</f>
        <v>3.9710000000000001</v>
      </c>
      <c r="E7" s="280">
        <f>IF(Inputs!$E$92=1,Inputs!F97,Inputs!F97/1000)</f>
        <v>4.7709999999999999</v>
      </c>
      <c r="F7" s="280">
        <f>IF(Inputs!$E$92=1,Inputs!G97,Inputs!G97/1000)</f>
        <v>4.0750000000000002</v>
      </c>
      <c r="G7" s="280">
        <f>IF(Inputs!$E$92=1,Inputs!H97,Inputs!H97/1000)</f>
        <v>2.609</v>
      </c>
      <c r="H7" s="280">
        <f>IF(Inputs!$E$92=1,Inputs!I97,Inputs!I97/1000)</f>
        <v>3.1360000000000001</v>
      </c>
      <c r="I7" s="280">
        <f>IF(Inputs!$E$92=1,Inputs!J97,Inputs!J97/1000)</f>
        <v>3.0859999999999999</v>
      </c>
      <c r="J7" s="280">
        <f>IF(Inputs!$E$92=1,Inputs!K97,Inputs!K97/1000)</f>
        <v>2.8410000000000002</v>
      </c>
      <c r="K7" s="280">
        <f>IF(Inputs!$E$92=1,Inputs!L97,Inputs!L97/1000)</f>
        <v>3.08</v>
      </c>
      <c r="L7" s="561" t="s">
        <v>1121</v>
      </c>
      <c r="M7" s="561" t="s">
        <v>1122</v>
      </c>
    </row>
    <row r="8" spans="1:16" ht="14.65" customHeight="1" x14ac:dyDescent="0.35">
      <c r="A8" s="53" t="s">
        <v>1064</v>
      </c>
      <c r="B8" s="280">
        <f>IF(Inputs!$E$92=1,Inputs!C98,Inputs!C98/1000)</f>
        <v>1.78</v>
      </c>
      <c r="C8" s="280">
        <f>IF(Inputs!$E$92=1,Inputs!D98,Inputs!D98/1000)</f>
        <v>2.5990000000000002</v>
      </c>
      <c r="D8" s="280">
        <f>IF(Inputs!$E$92=1,Inputs!E98,Inputs!E98/1000)</f>
        <v>3.831</v>
      </c>
      <c r="E8" s="280">
        <f>IF(Inputs!$E$92=1,Inputs!F98,Inputs!F98/1000)</f>
        <v>3.4140000000000001</v>
      </c>
      <c r="F8" s="280">
        <f>IF(Inputs!$E$92=1,Inputs!G98,Inputs!G98/1000)</f>
        <v>3.68</v>
      </c>
      <c r="G8" s="280">
        <f>IF(Inputs!$E$92=1,Inputs!H98,Inputs!H98/1000)</f>
        <v>2.0070000000000001</v>
      </c>
      <c r="H8" s="280">
        <f>IF(Inputs!$E$92=1,Inputs!I98,Inputs!I98/1000)</f>
        <v>2.9670000000000001</v>
      </c>
      <c r="I8" s="280">
        <f>IF(Inputs!$E$92=1,Inputs!J98,Inputs!J98/1000)</f>
        <v>2.66</v>
      </c>
      <c r="J8" s="280">
        <f>IF(Inputs!$E$92=1,Inputs!K98,Inputs!K98/1000)</f>
        <v>2.028</v>
      </c>
      <c r="K8" s="280">
        <f>IF(Inputs!$E$92=1,Inputs!L98,Inputs!L98/1000)</f>
        <v>2.476</v>
      </c>
      <c r="L8" s="561" t="s">
        <v>1123</v>
      </c>
      <c r="M8" s="561" t="s">
        <v>1124</v>
      </c>
    </row>
    <row r="9" spans="1:16" x14ac:dyDescent="0.35">
      <c r="A9" s="53" t="s">
        <v>1065</v>
      </c>
      <c r="B9" s="280">
        <f>IF(Inputs!$E$92=1,Inputs!C99,Inputs!C99/1000)</f>
        <v>1.6619999999999999</v>
      </c>
      <c r="C9" s="280">
        <f>IF(Inputs!$E$92=1,Inputs!D99,Inputs!D99/1000)</f>
        <v>2.452</v>
      </c>
      <c r="D9" s="280">
        <f>IF(Inputs!$E$92=1,Inputs!E99,Inputs!E99/1000)</f>
        <v>3.3180000000000001</v>
      </c>
      <c r="E9" s="280">
        <f>IF(Inputs!$E$92=1,Inputs!F99,Inputs!F99/1000)</f>
        <v>3.1070000000000002</v>
      </c>
      <c r="F9" s="280">
        <f>IF(Inputs!$E$92=1,Inputs!G99,Inputs!G99/1000)</f>
        <v>2.7349999999999999</v>
      </c>
      <c r="G9" s="280">
        <f>IF(Inputs!$E$92=1,Inputs!H99,Inputs!H99/1000)</f>
        <v>1.736</v>
      </c>
      <c r="H9" s="280">
        <f>IF(Inputs!$E$92=1,Inputs!I99,Inputs!I99/1000)</f>
        <v>2.59</v>
      </c>
      <c r="I9" s="280">
        <f>IF(Inputs!$E$92=1,Inputs!J99,Inputs!J99/1000)</f>
        <v>1.913</v>
      </c>
      <c r="J9" s="280">
        <f>IF(Inputs!$E$92=1,Inputs!K99,Inputs!K99/1000)</f>
        <v>1.704</v>
      </c>
      <c r="K9" s="280">
        <f>IF(Inputs!$E$92=1,Inputs!L99,Inputs!L99/1000)</f>
        <v>2.3180000000000001</v>
      </c>
      <c r="L9" s="561" t="s">
        <v>1125</v>
      </c>
      <c r="M9" s="561" t="s">
        <v>1126</v>
      </c>
      <c r="P9" s="35"/>
    </row>
    <row r="10" spans="1:16" x14ac:dyDescent="0.35">
      <c r="A10" s="53" t="s">
        <v>1127</v>
      </c>
      <c r="B10" s="280">
        <f>IF(Inputs!$E$92=1,Inputs!C100,Inputs!C100/1000)</f>
        <v>4.3710000000000004</v>
      </c>
      <c r="C10" s="280">
        <f>IF(Inputs!$E$92=1,Inputs!D100,Inputs!D100/1000)</f>
        <v>4.51</v>
      </c>
      <c r="D10" s="280">
        <f>IF(Inputs!$E$92=1,Inputs!E100,Inputs!E100/1000)</f>
        <v>20.059000000000001</v>
      </c>
      <c r="E10" s="280">
        <f>IF(Inputs!$E$92=1,Inputs!F100,Inputs!F100/1000)</f>
        <v>20.119</v>
      </c>
      <c r="F10" s="280">
        <f>IF(Inputs!$E$92=1,Inputs!G100,Inputs!G100/1000)</f>
        <v>14.37</v>
      </c>
      <c r="G10" s="280">
        <f>IF(Inputs!$E$92=1,Inputs!H100,Inputs!H100/1000)</f>
        <v>12.657</v>
      </c>
      <c r="H10" s="280">
        <f>IF(Inputs!$E$92=1,Inputs!I100,Inputs!I100/1000)</f>
        <v>11.202</v>
      </c>
      <c r="I10" s="280">
        <f>IF(Inputs!$E$92=1,Inputs!J100,Inputs!J100/1000)</f>
        <v>9.3970000000000002</v>
      </c>
      <c r="J10" s="280">
        <f>IF(Inputs!$E$92=1,Inputs!K100,Inputs!K100/1000)</f>
        <v>7.71</v>
      </c>
      <c r="K10" s="280">
        <f>IF(Inputs!$E$92=1,Inputs!L100,Inputs!L100/1000)</f>
        <v>7.8940000000000001</v>
      </c>
      <c r="L10" s="561" t="s">
        <v>1128</v>
      </c>
      <c r="M10" s="561" t="s">
        <v>1129</v>
      </c>
      <c r="P10" s="35"/>
    </row>
    <row r="11" spans="1:16" x14ac:dyDescent="0.35">
      <c r="A11" s="53" t="s">
        <v>1067</v>
      </c>
      <c r="B11" s="280">
        <f>IF(Inputs!$E$92=1,Inputs!C101,Inputs!C101/1000)</f>
        <v>0</v>
      </c>
      <c r="C11" s="280">
        <f>IF(Inputs!$E$92=1,Inputs!D101,Inputs!D101/1000)</f>
        <v>0</v>
      </c>
      <c r="D11" s="280">
        <f>IF(Inputs!$E$92=1,Inputs!E101,Inputs!E101/1000)</f>
        <v>0</v>
      </c>
      <c r="E11" s="280">
        <f>IF(Inputs!$E$92=1,Inputs!F101,Inputs!F101/1000)</f>
        <v>0</v>
      </c>
      <c r="F11" s="280">
        <f>IF(Inputs!$E$92=1,Inputs!G101,Inputs!G101/1000)</f>
        <v>0</v>
      </c>
      <c r="G11" s="280">
        <f>IF(Inputs!$E$92=1,Inputs!H101,Inputs!H101/1000)</f>
        <v>0</v>
      </c>
      <c r="H11" s="280">
        <f>IF(Inputs!$E$92=1,Inputs!I101,Inputs!I101/1000)</f>
        <v>0</v>
      </c>
      <c r="I11" s="280">
        <f>IF(Inputs!$E$92=1,Inputs!J101,Inputs!J101/1000)</f>
        <v>0</v>
      </c>
      <c r="J11" s="280">
        <f>IF(Inputs!$E$92=1,Inputs!K101,Inputs!K101/1000)</f>
        <v>0</v>
      </c>
      <c r="K11" s="280">
        <f>IF(Inputs!$E$92=1,Inputs!L101,Inputs!L101/1000)</f>
        <v>0</v>
      </c>
      <c r="L11" s="561" t="s">
        <v>1130</v>
      </c>
      <c r="M11" s="561" t="s">
        <v>1131</v>
      </c>
      <c r="P11" s="35"/>
    </row>
    <row r="12" spans="1:16" x14ac:dyDescent="0.35">
      <c r="A12" t="s">
        <v>1132</v>
      </c>
      <c r="B12" s="35">
        <f t="shared" ref="B12:K12" si="0">AVERAGE(B5:B9)</f>
        <v>2.5829999999999997</v>
      </c>
      <c r="C12" s="35">
        <f t="shared" si="0"/>
        <v>2.9346000000000001</v>
      </c>
      <c r="D12" s="35">
        <f t="shared" si="0"/>
        <v>3.8160000000000003</v>
      </c>
      <c r="E12" s="35">
        <f t="shared" si="0"/>
        <v>4.5246000000000004</v>
      </c>
      <c r="F12" s="35">
        <f t="shared" si="0"/>
        <v>4.4269999999999996</v>
      </c>
      <c r="G12" s="35">
        <f t="shared" si="0"/>
        <v>2.798</v>
      </c>
      <c r="H12" s="35">
        <f t="shared" si="0"/>
        <v>3.1552000000000002</v>
      </c>
      <c r="I12" s="35">
        <f t="shared" si="0"/>
        <v>2.9538000000000002</v>
      </c>
      <c r="J12" s="35">
        <f t="shared" si="0"/>
        <v>2.9398</v>
      </c>
      <c r="K12" s="35">
        <f t="shared" si="0"/>
        <v>3.3770000000000002</v>
      </c>
      <c r="P12" s="35"/>
    </row>
    <row r="13" spans="1:16" x14ac:dyDescent="0.35">
      <c r="A13" t="s">
        <v>1133</v>
      </c>
      <c r="B13">
        <f t="shared" ref="B13:K13" si="1">ROUNDUP(B10/B12,0)</f>
        <v>2</v>
      </c>
      <c r="C13">
        <f t="shared" si="1"/>
        <v>2</v>
      </c>
      <c r="D13">
        <f t="shared" si="1"/>
        <v>6</v>
      </c>
      <c r="E13">
        <f t="shared" si="1"/>
        <v>5</v>
      </c>
      <c r="F13">
        <f t="shared" si="1"/>
        <v>4</v>
      </c>
      <c r="G13">
        <f t="shared" si="1"/>
        <v>5</v>
      </c>
      <c r="H13">
        <f t="shared" si="1"/>
        <v>4</v>
      </c>
      <c r="I13">
        <f t="shared" si="1"/>
        <v>4</v>
      </c>
      <c r="J13">
        <f t="shared" si="1"/>
        <v>3</v>
      </c>
      <c r="K13">
        <f t="shared" si="1"/>
        <v>3</v>
      </c>
    </row>
    <row r="14" spans="1:16" x14ac:dyDescent="0.35">
      <c r="A14" t="s">
        <v>1134</v>
      </c>
      <c r="B14" s="36">
        <f t="shared" ref="B14:K14" si="2">NPV(B18,B5:B9)</f>
        <v>11.687403455914454</v>
      </c>
      <c r="C14" s="36">
        <f t="shared" si="2"/>
        <v>13.157751698309211</v>
      </c>
      <c r="D14" s="36">
        <f t="shared" si="2"/>
        <v>17.031787433288141</v>
      </c>
      <c r="E14" s="36">
        <f t="shared" si="2"/>
        <v>20.35946761235904</v>
      </c>
      <c r="F14" s="36">
        <f t="shared" si="2"/>
        <v>19.949065316911469</v>
      </c>
      <c r="G14" s="36">
        <f t="shared" si="2"/>
        <v>12.664521677674792</v>
      </c>
      <c r="H14" s="36">
        <f t="shared" si="2"/>
        <v>14.257436682322403</v>
      </c>
      <c r="I14" s="36">
        <f t="shared" si="2"/>
        <v>13.545831159506232</v>
      </c>
      <c r="J14" s="36">
        <f t="shared" si="2"/>
        <v>13.721282046157718</v>
      </c>
      <c r="K14" s="36">
        <f t="shared" si="2"/>
        <v>16.2096327354256</v>
      </c>
    </row>
    <row r="15" spans="1:16" x14ac:dyDescent="0.35">
      <c r="A15" t="s">
        <v>1135</v>
      </c>
      <c r="B15" s="36">
        <f t="shared" ref="B15:K15" si="3">IFERROR(-PV(B18,B13,B10/B13)/(1+B18)^5,0)</f>
        <v>3.3764927239327949</v>
      </c>
      <c r="C15" s="36">
        <f t="shared" si="3"/>
        <v>3.4812696540404171</v>
      </c>
      <c r="D15" s="36">
        <f t="shared" si="3"/>
        <v>14.388646002084766</v>
      </c>
      <c r="E15" s="36">
        <f t="shared" si="3"/>
        <v>14.603352130712137</v>
      </c>
      <c r="F15" s="36">
        <f t="shared" si="3"/>
        <v>10.636499690964834</v>
      </c>
      <c r="G15" s="36">
        <f t="shared" si="3"/>
        <v>9.1886938813730712</v>
      </c>
      <c r="H15" s="36">
        <f t="shared" si="3"/>
        <v>8.5407826939879286</v>
      </c>
      <c r="I15" s="36">
        <f t="shared" si="3"/>
        <v>7.3801124740320496</v>
      </c>
      <c r="J15" s="36">
        <f t="shared" si="3"/>
        <v>6.3535099751080484</v>
      </c>
      <c r="K15" s="36">
        <f t="shared" si="3"/>
        <v>7.0676869562972549</v>
      </c>
      <c r="P15" s="35"/>
    </row>
    <row r="16" spans="1:16" x14ac:dyDescent="0.35">
      <c r="A16" t="s">
        <v>1136</v>
      </c>
      <c r="B16" s="36">
        <f t="shared" ref="B16:K16" si="4">SUM(B14:B15)</f>
        <v>15.06389617984725</v>
      </c>
      <c r="C16" s="36">
        <f t="shared" si="4"/>
        <v>16.639021352349626</v>
      </c>
      <c r="D16" s="36">
        <f t="shared" si="4"/>
        <v>31.420433435372907</v>
      </c>
      <c r="E16" s="36">
        <f t="shared" si="4"/>
        <v>34.962819743071179</v>
      </c>
      <c r="F16" s="36">
        <f t="shared" si="4"/>
        <v>30.585565007876305</v>
      </c>
      <c r="G16" s="36">
        <f t="shared" si="4"/>
        <v>21.853215559047861</v>
      </c>
      <c r="H16" s="36">
        <f t="shared" si="4"/>
        <v>22.798219376310332</v>
      </c>
      <c r="I16" s="36">
        <f t="shared" si="4"/>
        <v>20.925943633538282</v>
      </c>
      <c r="J16" s="36">
        <f t="shared" si="4"/>
        <v>20.074792021265765</v>
      </c>
      <c r="K16" s="36">
        <f t="shared" si="4"/>
        <v>23.277319691722855</v>
      </c>
      <c r="P16" s="35"/>
    </row>
    <row r="17" spans="1:16" x14ac:dyDescent="0.35">
      <c r="A17" t="s">
        <v>1137</v>
      </c>
      <c r="B17" s="36">
        <f>'Balance Sheet - Standardized'!C41</f>
        <v>0</v>
      </c>
      <c r="C17" s="36">
        <f>'Balance Sheet - Standardized'!D41</f>
        <v>0</v>
      </c>
      <c r="D17" s="36">
        <f>'Balance Sheet - Standardized'!E41</f>
        <v>0</v>
      </c>
      <c r="E17" s="36">
        <f>'Balance Sheet - Standardized'!F41</f>
        <v>0</v>
      </c>
      <c r="F17" s="36">
        <f>'Balance Sheet - Standardized'!G41</f>
        <v>27.456999999999994</v>
      </c>
      <c r="G17" s="36">
        <f>'Balance Sheet - Standardized'!H41</f>
        <v>18.281000000000006</v>
      </c>
      <c r="H17" s="36">
        <f>'Balance Sheet - Standardized'!I41</f>
        <v>19.181000000000012</v>
      </c>
      <c r="I17" s="36">
        <f>'Balance Sheet - Standardized'!J41</f>
        <v>17.036000000000001</v>
      </c>
      <c r="J17" s="36">
        <f>'Balance Sheet - Standardized'!K41</f>
        <v>15.693000000000012</v>
      </c>
      <c r="K17" s="36">
        <f>'Balance Sheet - Standardized'!L41</f>
        <v>18.096000000000004</v>
      </c>
      <c r="P17" s="35"/>
    </row>
    <row r="18" spans="1:16" x14ac:dyDescent="0.35">
      <c r="A18" t="s">
        <v>1138</v>
      </c>
      <c r="B18" s="34">
        <f>Inputs!C35/Inputs!C27</f>
        <v>4.0546883667739154E-2</v>
      </c>
      <c r="C18" s="34">
        <f>Inputs!D35/Inputs!D27</f>
        <v>4.0666461496375324E-2</v>
      </c>
      <c r="D18" s="34">
        <f>Inputs!E35/Inputs!E27</f>
        <v>4.013701562834511E-2</v>
      </c>
      <c r="E18" s="34">
        <f>Inputs!F35/Inputs!F27</f>
        <v>4.107535220369652E-2</v>
      </c>
      <c r="F18" s="34">
        <f>Inputs!G35/Inputs!G27</f>
        <v>4.1069409805224513E-2</v>
      </c>
      <c r="G18" s="34">
        <f>Inputs!H35/Inputs!H27</f>
        <v>4.1052094944310516E-2</v>
      </c>
      <c r="H18" s="34">
        <f>Inputs!I35/Inputs!I27</f>
        <v>3.6940889385010778E-2</v>
      </c>
      <c r="I18" s="34">
        <f>Inputs!J35/Inputs!J27</f>
        <v>3.2827801369269431E-2</v>
      </c>
      <c r="J18" s="34">
        <f>Inputs!K35/Inputs!K27</f>
        <v>2.8067556543021299E-2</v>
      </c>
      <c r="K18" s="34">
        <f>Inputs!L35/Inputs!L27</f>
        <v>1.5933172813643592E-2</v>
      </c>
    </row>
    <row r="19" spans="1:16" x14ac:dyDescent="0.35">
      <c r="A19" t="s">
        <v>1139</v>
      </c>
      <c r="B19" s="36">
        <f t="shared" ref="B19:K19" si="5">B16*B18</f>
        <v>0.61079404598716669</v>
      </c>
      <c r="C19" s="36">
        <f t="shared" si="5"/>
        <v>0.67665012116269296</v>
      </c>
      <c r="D19" s="36">
        <f t="shared" si="5"/>
        <v>1.2611224278449396</v>
      </c>
      <c r="E19" s="36">
        <f t="shared" si="5"/>
        <v>1.436110134981003</v>
      </c>
      <c r="F19" s="36">
        <f t="shared" si="5"/>
        <v>1.2561311034328069</v>
      </c>
      <c r="G19" s="36">
        <f t="shared" si="5"/>
        <v>0.89712027996851662</v>
      </c>
      <c r="H19" s="36">
        <f t="shared" si="5"/>
        <v>0.84218650015548935</v>
      </c>
      <c r="I19" s="36">
        <f t="shared" si="5"/>
        <v>0.68695272106632299</v>
      </c>
      <c r="J19" s="36">
        <f t="shared" si="5"/>
        <v>0.5634503601462697</v>
      </c>
      <c r="K19" s="36">
        <f t="shared" si="5"/>
        <v>0.37088155728664923</v>
      </c>
    </row>
    <row r="20" spans="1:16" x14ac:dyDescent="0.35">
      <c r="A20" t="s">
        <v>1140</v>
      </c>
      <c r="B20" s="36">
        <f t="shared" ref="B20:K20" si="6">B3-B19</f>
        <v>-0.61079404598716669</v>
      </c>
      <c r="C20" s="36">
        <f t="shared" si="6"/>
        <v>-0.67665012116269296</v>
      </c>
      <c r="D20" s="36">
        <f t="shared" si="6"/>
        <v>-1.2611224278449396</v>
      </c>
      <c r="E20" s="36">
        <f t="shared" si="6"/>
        <v>-1.436110134981003</v>
      </c>
      <c r="F20" s="36">
        <f t="shared" si="6"/>
        <v>-1.2561311034328069</v>
      </c>
      <c r="G20" s="36">
        <f t="shared" si="6"/>
        <v>-0.89712027996851662</v>
      </c>
      <c r="H20" s="36">
        <f t="shared" si="6"/>
        <v>-0.84218650015548935</v>
      </c>
      <c r="I20" s="36">
        <f t="shared" si="6"/>
        <v>-0.68695272106632299</v>
      </c>
      <c r="J20" s="36">
        <f t="shared" si="6"/>
        <v>-0.5634503601462697</v>
      </c>
      <c r="K20" s="36">
        <f t="shared" si="6"/>
        <v>-0.37088155728664923</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2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8.7265625" defaultRowHeight="14.5" x14ac:dyDescent="0.35"/>
  <cols>
    <col min="1" max="1" width="38" bestFit="1" customWidth="1"/>
    <col min="2" max="2" width="8.453125" customWidth="1"/>
  </cols>
  <sheetData>
    <row r="1" spans="1:17" s="33" customFormat="1" x14ac:dyDescent="0.35">
      <c r="A1" t="s">
        <v>1141</v>
      </c>
      <c r="B1" s="33" t="str">
        <f>"FY "&amp;RIGHT(C1,4)-1</f>
        <v>FY 2013</v>
      </c>
      <c r="C1" s="33" t="str">
        <f>"FY "&amp;RIGHT(D1,4)-1</f>
        <v>FY 2014</v>
      </c>
      <c r="D1" s="33" t="str">
        <f>"FY "&amp;RIGHT(E1,4)-1</f>
        <v>FY 2015</v>
      </c>
      <c r="E1" s="33" t="str">
        <f>Inputs!C1</f>
        <v>FY 2016</v>
      </c>
      <c r="F1" s="33" t="str">
        <f>Inputs!D1</f>
        <v>FY 2017</v>
      </c>
      <c r="G1" s="33" t="str">
        <f>Inputs!E1</f>
        <v>FY 2018</v>
      </c>
      <c r="H1" s="33" t="str">
        <f>Inputs!F1</f>
        <v>FY 2019</v>
      </c>
      <c r="I1" s="33" t="str">
        <f>Inputs!G1</f>
        <v>FY 2020</v>
      </c>
      <c r="J1" s="33" t="str">
        <f>Inputs!H1</f>
        <v>FY 2021</v>
      </c>
      <c r="K1" s="33" t="str">
        <f>Inputs!I1</f>
        <v>FY 2022</v>
      </c>
      <c r="L1" s="33" t="str">
        <f>Inputs!J1</f>
        <v>FY 2023</v>
      </c>
      <c r="M1" s="33" t="str">
        <f>Inputs!K1</f>
        <v>FY 2024</v>
      </c>
      <c r="N1" s="33" t="str">
        <f>Inputs!L1</f>
        <v>FY 2025</v>
      </c>
      <c r="P1" s="561" t="s">
        <v>1109</v>
      </c>
    </row>
    <row r="2" spans="1:17" x14ac:dyDescent="0.35">
      <c r="A2" t="s">
        <v>1069</v>
      </c>
      <c r="B2" s="58">
        <v>11.395</v>
      </c>
      <c r="C2" s="58">
        <v>11.125</v>
      </c>
      <c r="D2" s="58">
        <v>12.849</v>
      </c>
      <c r="E2" s="58">
        <f>IF(Inputs!C103="",0,Inputs!C103)</f>
        <v>15.846</v>
      </c>
      <c r="F2" s="58">
        <f>IF(Inputs!D103="",0,Inputs!D103)</f>
        <v>17.146999999999998</v>
      </c>
      <c r="G2" s="58">
        <f>IF(Inputs!E103="",0,Inputs!E103)</f>
        <v>16.052</v>
      </c>
      <c r="H2" s="58">
        <f>IF(Inputs!F103="",0,Inputs!F103)</f>
        <v>13.936</v>
      </c>
      <c r="I2" s="58">
        <f>IF(Inputs!G103="",0,Inputs!G103)</f>
        <v>13.95</v>
      </c>
      <c r="J2" s="58">
        <f>IF(Inputs!H103="",0,Inputs!H103)</f>
        <v>13.359</v>
      </c>
      <c r="K2" s="58">
        <f>IF(Inputs!I103="",0,Inputs!I103)</f>
        <v>15.145</v>
      </c>
      <c r="L2" s="58">
        <f>IF(Inputs!J103="",0,Inputs!J103)</f>
        <v>18.218</v>
      </c>
      <c r="M2" s="58">
        <f>IF(Inputs!K103="",0,Inputs!K103)</f>
        <v>17.123000000000001</v>
      </c>
      <c r="N2" s="58">
        <f>IF(Inputs!L103="",0,Inputs!L103)</f>
        <v>17.93</v>
      </c>
      <c r="P2" s="561" t="s">
        <v>1142</v>
      </c>
      <c r="Q2" s="561" t="s">
        <v>1143</v>
      </c>
    </row>
    <row r="3" spans="1:17" x14ac:dyDescent="0.35">
      <c r="A3" t="s">
        <v>1144</v>
      </c>
      <c r="B3" s="35"/>
      <c r="C3" s="35"/>
      <c r="D3" s="35"/>
      <c r="E3" s="35">
        <f>IFERROR(E2+D2*4/5+C2*3/5+B2*2/5+B20*1/5,0)</f>
        <v>39.254399999999997</v>
      </c>
      <c r="F3" s="35">
        <f t="shared" ref="F3:N3" si="0">IFERROR(F2+E2*4/5+D2*3/5+C2*2/5+B2*1/5,0)</f>
        <v>44.262200000000007</v>
      </c>
      <c r="G3" s="35">
        <f t="shared" si="0"/>
        <v>46.641799999999996</v>
      </c>
      <c r="H3" s="35">
        <f t="shared" si="0"/>
        <v>45.973999999999997</v>
      </c>
      <c r="I3" s="35">
        <f t="shared" si="0"/>
        <v>44.757999999999996</v>
      </c>
      <c r="J3" s="35">
        <f t="shared" si="0"/>
        <v>42.730800000000002</v>
      </c>
      <c r="K3" s="35">
        <f t="shared" si="0"/>
        <v>42.986999999999995</v>
      </c>
      <c r="L3" s="35">
        <f t="shared" si="0"/>
        <v>46.7166</v>
      </c>
      <c r="M3" s="35">
        <f t="shared" si="0"/>
        <v>48.918000000000006</v>
      </c>
      <c r="N3" s="35">
        <f t="shared" si="0"/>
        <v>51.288999999999994</v>
      </c>
      <c r="P3" s="561" t="s">
        <v>1115</v>
      </c>
      <c r="Q3" s="561" t="s">
        <v>1116</v>
      </c>
    </row>
    <row r="4" spans="1:17" x14ac:dyDescent="0.35">
      <c r="A4" t="s">
        <v>1145</v>
      </c>
      <c r="B4" s="35"/>
      <c r="C4" s="35"/>
      <c r="D4" s="35"/>
      <c r="E4" s="35">
        <f>IFERROR((E2+D2+C2+B2+B20)/5,0)</f>
        <v>12.139200000000001</v>
      </c>
      <c r="F4" s="35">
        <f t="shared" ref="F4:N4" si="1">IFERROR((F2+E2+D2+C2+B2)/5,0)</f>
        <v>13.6724</v>
      </c>
      <c r="G4" s="35">
        <f t="shared" si="1"/>
        <v>14.603800000000001</v>
      </c>
      <c r="H4" s="35">
        <f t="shared" si="1"/>
        <v>15.166</v>
      </c>
      <c r="I4" s="35">
        <f t="shared" si="1"/>
        <v>15.386199999999999</v>
      </c>
      <c r="J4" s="35">
        <f t="shared" si="1"/>
        <v>14.888799999999998</v>
      </c>
      <c r="K4" s="35">
        <f t="shared" si="1"/>
        <v>14.488399999999999</v>
      </c>
      <c r="L4" s="35">
        <f t="shared" si="1"/>
        <v>14.921600000000002</v>
      </c>
      <c r="M4" s="35">
        <f t="shared" si="1"/>
        <v>15.559000000000001</v>
      </c>
      <c r="N4" s="35">
        <f t="shared" si="1"/>
        <v>16.354999999999997</v>
      </c>
      <c r="P4" s="561" t="s">
        <v>1146</v>
      </c>
      <c r="Q4" s="561" t="s">
        <v>1147</v>
      </c>
    </row>
    <row r="5" spans="1:17" x14ac:dyDescent="0.35">
      <c r="P5" s="561" t="s">
        <v>1148</v>
      </c>
      <c r="Q5" s="561" t="s">
        <v>1149</v>
      </c>
    </row>
    <row r="6" spans="1:17" x14ac:dyDescent="0.35">
      <c r="P6" s="561" t="s">
        <v>1150</v>
      </c>
      <c r="Q6" s="561" t="s">
        <v>1151</v>
      </c>
    </row>
    <row r="7" spans="1:17" x14ac:dyDescent="0.35">
      <c r="P7" s="561" t="s">
        <v>1123</v>
      </c>
      <c r="Q7" s="561" t="s">
        <v>1152</v>
      </c>
    </row>
    <row r="8" spans="1:17" x14ac:dyDescent="0.35">
      <c r="A8" t="s">
        <v>1153</v>
      </c>
      <c r="B8" s="53">
        <v>5</v>
      </c>
      <c r="C8" t="s">
        <v>1154</v>
      </c>
      <c r="P8" s="561" t="s">
        <v>1125</v>
      </c>
      <c r="Q8" s="561" t="s">
        <v>1155</v>
      </c>
    </row>
    <row r="9" spans="1:17" x14ac:dyDescent="0.35">
      <c r="P9" s="561" t="s">
        <v>1156</v>
      </c>
      <c r="Q9" s="561" t="s">
        <v>1157</v>
      </c>
    </row>
    <row r="10" spans="1:17" x14ac:dyDescent="0.35">
      <c r="P10" s="561" t="s">
        <v>1158</v>
      </c>
      <c r="Q10" s="561" t="s">
        <v>1159</v>
      </c>
    </row>
    <row r="20" spans="1:2" x14ac:dyDescent="0.35">
      <c r="A20" t="s">
        <v>1160</v>
      </c>
      <c r="B20">
        <v>9.4809999999999999</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3"/>
  <sheetViews>
    <sheetView workbookViewId="0">
      <pane xSplit="1" ySplit="1" topLeftCell="B2" activePane="bottomRight" state="frozen"/>
      <selection pane="topRight" activeCell="B1" sqref="B1"/>
      <selection pane="bottomLeft" activeCell="A2" sqref="A2"/>
      <selection pane="bottomRight"/>
    </sheetView>
  </sheetViews>
  <sheetFormatPr defaultColWidth="8.7265625" defaultRowHeight="14.5" x14ac:dyDescent="0.35"/>
  <cols>
    <col min="1" max="1" width="28.26953125" customWidth="1"/>
    <col min="2" max="2" width="10.54296875" style="64" bestFit="1" customWidth="1"/>
    <col min="3" max="3" width="10.81640625" style="64" bestFit="1" customWidth="1"/>
    <col min="4" max="12" width="10.81640625" bestFit="1" customWidth="1"/>
    <col min="13" max="13" width="9.7265625" bestFit="1" customWidth="1"/>
    <col min="14" max="14" width="10.7265625" bestFit="1" customWidth="1"/>
  </cols>
  <sheetData>
    <row r="1" spans="1:16" x14ac:dyDescent="0.35">
      <c r="B1" s="64" t="s">
        <v>452</v>
      </c>
      <c r="C1" s="64" t="str">
        <f>'Balance Sheet - Standardized'!C7</f>
        <v>FY 2016</v>
      </c>
      <c r="D1" t="str">
        <f>'Balance Sheet - Standardized'!D7</f>
        <v>FY 2017</v>
      </c>
      <c r="E1" t="str">
        <f>'Balance Sheet - Standardized'!E7</f>
        <v>FY 2018</v>
      </c>
      <c r="F1" t="str">
        <f>'Balance Sheet - Standardized'!F7</f>
        <v>FY 2019</v>
      </c>
      <c r="G1" t="str">
        <f>'Balance Sheet - Standardized'!G7</f>
        <v>FY 2020</v>
      </c>
      <c r="H1" t="str">
        <f>'Balance Sheet - Standardized'!H7</f>
        <v>FY 2021</v>
      </c>
      <c r="I1" t="str">
        <f>'Balance Sheet - Standardized'!I7</f>
        <v>FY 2022</v>
      </c>
      <c r="J1" t="str">
        <f>'Balance Sheet - Standardized'!J7</f>
        <v>FY 2023</v>
      </c>
      <c r="K1" t="str">
        <f>'Balance Sheet - Standardized'!K7</f>
        <v>FY 2024</v>
      </c>
      <c r="L1" t="str">
        <f>'Balance Sheet - Standardized'!L7</f>
        <v>FY 2025</v>
      </c>
    </row>
    <row r="2" spans="1:16" x14ac:dyDescent="0.35">
      <c r="B2" s="65"/>
      <c r="C2" s="65">
        <f>'Balance Sheet - Standardized'!C8</f>
        <v>42613</v>
      </c>
      <c r="D2" s="20">
        <f>'Balance Sheet - Standardized'!D8</f>
        <v>42978</v>
      </c>
      <c r="E2" s="20">
        <f>'Balance Sheet - Standardized'!E8</f>
        <v>43343</v>
      </c>
      <c r="F2" s="20">
        <f>'Balance Sheet - Standardized'!F8</f>
        <v>43708</v>
      </c>
      <c r="G2" s="20">
        <f>'Balance Sheet - Standardized'!G8</f>
        <v>44074</v>
      </c>
      <c r="H2" s="20">
        <f>'Balance Sheet - Standardized'!H8</f>
        <v>44439</v>
      </c>
      <c r="I2" s="20">
        <f>'Balance Sheet - Standardized'!I8</f>
        <v>44804</v>
      </c>
      <c r="J2" s="20">
        <f>'Balance Sheet - Standardized'!J8</f>
        <v>45169</v>
      </c>
      <c r="K2" s="20">
        <f>'Balance Sheet - Standardized'!K8</f>
        <v>45535</v>
      </c>
      <c r="L2" s="20">
        <f>'Balance Sheet - Standardized'!L8</f>
        <v>45900</v>
      </c>
      <c r="M2" s="20"/>
      <c r="N2" s="20"/>
    </row>
    <row r="3" spans="1:16" x14ac:dyDescent="0.35">
      <c r="A3" s="44" t="s">
        <v>1161</v>
      </c>
      <c r="B3" s="65"/>
      <c r="C3" s="65"/>
      <c r="D3" s="20"/>
      <c r="E3" s="20"/>
      <c r="F3" s="20"/>
      <c r="G3" s="20"/>
      <c r="H3" s="20"/>
      <c r="I3" s="20"/>
      <c r="J3" s="20"/>
      <c r="K3" s="20"/>
      <c r="L3" s="20"/>
      <c r="M3" s="20"/>
      <c r="N3" s="20"/>
    </row>
    <row r="4" spans="1:16" x14ac:dyDescent="0.35">
      <c r="A4" s="33" t="s">
        <v>220</v>
      </c>
      <c r="B4" s="100">
        <f>AVERAGE(C4:L4)</f>
        <v>579.67800000000011</v>
      </c>
      <c r="C4" s="277">
        <f>Inputs!C31</f>
        <v>516.41099999999994</v>
      </c>
      <c r="D4" s="100">
        <f>Inputs!D31</f>
        <v>517.98500000000001</v>
      </c>
      <c r="E4" s="100">
        <f>Inputs!E31</f>
        <v>547.70500000000004</v>
      </c>
      <c r="F4" s="100">
        <f>Inputs!F31</f>
        <v>444.072</v>
      </c>
      <c r="G4" s="100">
        <f>Inputs!G31</f>
        <v>474.69200000000001</v>
      </c>
      <c r="H4" s="100">
        <f>Inputs!H31</f>
        <v>567.64599999999996</v>
      </c>
      <c r="I4" s="100">
        <f>Inputs!I31</f>
        <v>770.74300000000005</v>
      </c>
      <c r="J4" s="100">
        <f>Inputs!J31</f>
        <v>674.08399999999995</v>
      </c>
      <c r="K4" s="100">
        <f>Inputs!K31</f>
        <v>607.07399999999996</v>
      </c>
      <c r="L4" s="100">
        <f>Inputs!L31</f>
        <v>676.36800000000005</v>
      </c>
      <c r="M4" s="33"/>
      <c r="N4" s="33"/>
    </row>
    <row r="5" spans="1:16" x14ac:dyDescent="0.35">
      <c r="A5" t="s">
        <v>1162</v>
      </c>
      <c r="B5" s="74">
        <f>AVERAGE(C5:L5)</f>
        <v>4.2566287885942931E-2</v>
      </c>
      <c r="C5" s="245" t="s">
        <v>1163</v>
      </c>
      <c r="D5" s="74">
        <f t="shared" ref="D5:L5" si="0">D4/C4-1</f>
        <v>3.0479598614283621E-3</v>
      </c>
      <c r="E5" s="74">
        <f t="shared" si="0"/>
        <v>5.7376178846877846E-2</v>
      </c>
      <c r="F5" s="74">
        <f t="shared" si="0"/>
        <v>-0.18921317132397919</v>
      </c>
      <c r="G5" s="74">
        <f t="shared" si="0"/>
        <v>6.8952782431677795E-2</v>
      </c>
      <c r="H5" s="74">
        <f t="shared" si="0"/>
        <v>0.19581960513343377</v>
      </c>
      <c r="I5" s="74">
        <f t="shared" si="0"/>
        <v>0.3577881285167166</v>
      </c>
      <c r="J5" s="74">
        <f t="shared" si="0"/>
        <v>-0.12541015617397766</v>
      </c>
      <c r="K5" s="74">
        <f t="shared" si="0"/>
        <v>-9.9408975735961636E-2</v>
      </c>
      <c r="L5" s="74">
        <f t="shared" si="0"/>
        <v>0.11414423941727048</v>
      </c>
      <c r="M5" s="37"/>
      <c r="N5" s="37"/>
      <c r="P5" s="37"/>
    </row>
    <row r="6" spans="1:16" ht="15.75" customHeight="1" x14ac:dyDescent="0.35">
      <c r="A6" t="s">
        <v>1164</v>
      </c>
      <c r="B6" s="74">
        <f>AVERAGE(C6:L6)</f>
        <v>5.6426761790996552E-2</v>
      </c>
      <c r="C6" s="245"/>
      <c r="D6" s="74"/>
      <c r="E6" s="74"/>
      <c r="F6" s="74"/>
      <c r="G6" s="74"/>
      <c r="H6" s="74">
        <f>(H4/C4)^(1/5)-1</f>
        <v>1.9099103327959499E-2</v>
      </c>
      <c r="I6" s="74">
        <f>(I4/D4)^(1/5)-1</f>
        <v>8.272578885200299E-2</v>
      </c>
      <c r="J6" s="74">
        <f>(J4/E4)^(1/5)-1</f>
        <v>4.2397743675752109E-2</v>
      </c>
      <c r="K6" s="74">
        <f>(K4/F4)^(1/5)-1</f>
        <v>6.4529371336025321E-2</v>
      </c>
      <c r="L6" s="74">
        <f>(L4/G4)^(1/5)-1</f>
        <v>7.3381801763242827E-2</v>
      </c>
      <c r="M6" s="37"/>
      <c r="N6" s="37"/>
    </row>
    <row r="7" spans="1:16" x14ac:dyDescent="0.35">
      <c r="B7" s="37"/>
      <c r="C7" s="66"/>
      <c r="D7" s="37"/>
      <c r="E7" s="37"/>
      <c r="F7" s="37"/>
      <c r="G7" s="37"/>
      <c r="H7" s="37"/>
      <c r="I7" s="37"/>
      <c r="J7" s="37"/>
      <c r="K7" s="37"/>
      <c r="L7" s="37"/>
      <c r="M7" s="37"/>
      <c r="N7" s="37"/>
    </row>
    <row r="8" spans="1:16" x14ac:dyDescent="0.35">
      <c r="A8" s="33" t="s">
        <v>850</v>
      </c>
      <c r="B8" s="100">
        <f>AVERAGE(C8:L8)</f>
        <v>42.525300000000001</v>
      </c>
      <c r="C8" s="277">
        <f>Inputs!C38</f>
        <v>20.266999999999999</v>
      </c>
      <c r="D8" s="100">
        <f>Inputs!D38</f>
        <v>23.178999999999998</v>
      </c>
      <c r="E8" s="100">
        <f>Inputs!E38</f>
        <v>20.277000000000001</v>
      </c>
      <c r="F8" s="100">
        <f>Inputs!F38</f>
        <v>2.1720000000000002</v>
      </c>
      <c r="G8" s="100">
        <f>Inputs!G38</f>
        <v>38.628999999999998</v>
      </c>
      <c r="H8" s="100">
        <f>Inputs!H38</f>
        <v>42.572000000000003</v>
      </c>
      <c r="I8" s="100">
        <f>Inputs!I38</f>
        <v>65.468999999999994</v>
      </c>
      <c r="J8" s="100">
        <f>Inputs!J38</f>
        <v>72.379000000000005</v>
      </c>
      <c r="K8" s="100">
        <f>Inputs!K38</f>
        <v>66.257000000000005</v>
      </c>
      <c r="L8" s="100">
        <f>Inputs!L38</f>
        <v>74.052000000000007</v>
      </c>
      <c r="M8" s="33"/>
      <c r="N8" s="33"/>
    </row>
    <row r="9" spans="1:16" x14ac:dyDescent="0.35">
      <c r="A9" t="s">
        <v>1162</v>
      </c>
      <c r="B9" s="74">
        <f>AVERAGE(C9:L9)</f>
        <v>1.8543462696035802</v>
      </c>
      <c r="C9" s="245" t="s">
        <v>1163</v>
      </c>
      <c r="D9" s="74">
        <f t="shared" ref="D9:L9" si="1">D8/C8-1</f>
        <v>0.14368184733803724</v>
      </c>
      <c r="E9" s="74">
        <f t="shared" si="1"/>
        <v>-0.12519953406100337</v>
      </c>
      <c r="F9" s="74">
        <f t="shared" si="1"/>
        <v>-0.89288356265719782</v>
      </c>
      <c r="G9" s="74">
        <f t="shared" si="1"/>
        <v>16.784990791896867</v>
      </c>
      <c r="H9" s="74">
        <f t="shared" si="1"/>
        <v>0.10207357166895359</v>
      </c>
      <c r="I9" s="74">
        <f t="shared" si="1"/>
        <v>0.53784177393592003</v>
      </c>
      <c r="J9" s="74">
        <f t="shared" si="1"/>
        <v>0.1055461363393364</v>
      </c>
      <c r="K9" s="74">
        <f t="shared" si="1"/>
        <v>-8.4582544660744108E-2</v>
      </c>
      <c r="L9" s="74">
        <f t="shared" si="1"/>
        <v>0.11764794663205391</v>
      </c>
      <c r="M9" s="37"/>
      <c r="N9" s="37"/>
    </row>
    <row r="10" spans="1:16" ht="15.75" customHeight="1" x14ac:dyDescent="0.35">
      <c r="A10" t="s">
        <v>1164</v>
      </c>
      <c r="B10" s="74">
        <f>AVERAGE(C10:L10)</f>
        <v>0.36011611226139795</v>
      </c>
      <c r="C10" s="245"/>
      <c r="D10" s="74"/>
      <c r="E10" s="74"/>
      <c r="F10" s="74"/>
      <c r="G10" s="74"/>
      <c r="H10" s="74">
        <f>(H8/C8)^(1/5)-1</f>
        <v>0.16002384684077309</v>
      </c>
      <c r="I10" s="74">
        <f>(I8/D8)^(1/5)-1</f>
        <v>0.23080202577383235</v>
      </c>
      <c r="J10" s="74">
        <f>(J8/E8)^(1/5)-1</f>
        <v>0.2897982266066681</v>
      </c>
      <c r="K10" s="74">
        <f>(K8/F8)^(1/5)-1</f>
        <v>0.98095399339731082</v>
      </c>
      <c r="L10" s="74">
        <f>(L8/G8)^(1/5)-1</f>
        <v>0.13900246868840549</v>
      </c>
      <c r="M10" s="37"/>
      <c r="N10" s="37"/>
    </row>
    <row r="11" spans="1:16" x14ac:dyDescent="0.35">
      <c r="B11" s="37"/>
      <c r="C11" s="66"/>
      <c r="D11" s="37"/>
      <c r="E11" s="37"/>
      <c r="F11" s="37"/>
      <c r="G11" s="37"/>
      <c r="H11" s="37"/>
      <c r="I11" s="37"/>
      <c r="J11" s="37"/>
      <c r="K11" s="37"/>
      <c r="L11" s="37"/>
      <c r="M11" s="37"/>
      <c r="N11" s="37"/>
    </row>
    <row r="12" spans="1:16" x14ac:dyDescent="0.35">
      <c r="A12" s="33" t="s">
        <v>1165</v>
      </c>
      <c r="B12" s="37"/>
      <c r="C12" s="66"/>
      <c r="D12" s="37"/>
      <c r="E12" s="37"/>
      <c r="F12" s="37"/>
      <c r="G12" s="37"/>
      <c r="H12" s="37"/>
      <c r="I12" s="37"/>
      <c r="J12" s="37"/>
      <c r="K12" s="37"/>
      <c r="L12" s="37"/>
      <c r="M12" s="37"/>
      <c r="N12" s="37"/>
    </row>
    <row r="13" spans="1:16" x14ac:dyDescent="0.35">
      <c r="A13" t="s">
        <v>324</v>
      </c>
      <c r="B13" s="74">
        <f>AVERAGE(C13:L13)</f>
        <v>0.28890996198936192</v>
      </c>
      <c r="C13" s="245">
        <f>Inputs!C33/Inputs!C31</f>
        <v>0.28778046943229318</v>
      </c>
      <c r="D13" s="74">
        <f>Inputs!D33/Inputs!D31</f>
        <v>0.27995405272353446</v>
      </c>
      <c r="E13" s="74">
        <f>Inputs!E33/Inputs!E31</f>
        <v>0.27653937794980882</v>
      </c>
      <c r="F13" s="74">
        <f>Inputs!F33/Inputs!F31</f>
        <v>0.25808427462213335</v>
      </c>
      <c r="G13" s="74">
        <f>Inputs!G33/Inputs!G31</f>
        <v>0.32135152899143027</v>
      </c>
      <c r="H13" s="74">
        <f>Inputs!H33/Inputs!H31</f>
        <v>0.26461033813327317</v>
      </c>
      <c r="I13" s="74">
        <f>Inputs!I33/Inputs!I31</f>
        <v>0.25842336550575223</v>
      </c>
      <c r="J13" s="74">
        <f>Inputs!J33/Inputs!J31</f>
        <v>0.31600661045210976</v>
      </c>
      <c r="K13" s="74">
        <f>Inputs!K33/Inputs!K31</f>
        <v>0.31471451585803373</v>
      </c>
      <c r="L13" s="74">
        <f>Inputs!L33/Inputs!L31</f>
        <v>0.31163508622525016</v>
      </c>
      <c r="M13" s="37"/>
      <c r="N13" s="37"/>
    </row>
    <row r="14" spans="1:16" x14ac:dyDescent="0.35">
      <c r="A14" t="s">
        <v>326</v>
      </c>
      <c r="B14" s="74">
        <f>AVERAGE(C14:L14)</f>
        <v>9.6872203205143767E-2</v>
      </c>
      <c r="C14" s="245">
        <f>Inputs!C34/Inputs!C31</f>
        <v>6.6565197100758894E-2</v>
      </c>
      <c r="D14" s="74">
        <f>Inputs!D34/Inputs!D31</f>
        <v>7.7610355512225254E-2</v>
      </c>
      <c r="E14" s="74">
        <f>Inputs!E34/Inputs!E31</f>
        <v>7.0408340256159788E-2</v>
      </c>
      <c r="F14" s="74">
        <f>Inputs!F34/Inputs!F31</f>
        <v>1.3770289502603181E-2</v>
      </c>
      <c r="G14" s="74">
        <f>Inputs!G34/Inputs!G31</f>
        <v>0.11418351267769417</v>
      </c>
      <c r="H14" s="74">
        <f>Inputs!H34/Inputs!H31</f>
        <v>9.5318208883705693E-2</v>
      </c>
      <c r="I14" s="74">
        <f>Inputs!I34/Inputs!I31</f>
        <v>0.12279449829580028</v>
      </c>
      <c r="J14" s="74">
        <f>Inputs!J34/Inputs!J31</f>
        <v>0.15158941615585003</v>
      </c>
      <c r="K14" s="74">
        <f>Inputs!K34/Inputs!K31</f>
        <v>0.12619219403235851</v>
      </c>
      <c r="L14" s="74">
        <f>Inputs!L34/Inputs!L31</f>
        <v>0.13029001963428191</v>
      </c>
      <c r="M14" s="37"/>
      <c r="N14" s="37"/>
    </row>
    <row r="15" spans="1:16" x14ac:dyDescent="0.35">
      <c r="A15" t="s">
        <v>1166</v>
      </c>
      <c r="B15" s="74">
        <f>AVERAGE(C15:L15)</f>
        <v>6.9322444935414382E-2</v>
      </c>
      <c r="C15" s="245">
        <f>Inputs!C38/Inputs!C31</f>
        <v>3.9245871989558707E-2</v>
      </c>
      <c r="D15" s="74">
        <f>Inputs!D38/Inputs!D31</f>
        <v>4.4748400050194502E-2</v>
      </c>
      <c r="E15" s="74">
        <f>Inputs!E38/Inputs!E31</f>
        <v>3.7021754411590183E-2</v>
      </c>
      <c r="F15" s="74">
        <f>Inputs!F38/Inputs!F31</f>
        <v>4.8910987407447442E-3</v>
      </c>
      <c r="G15" s="74">
        <f>Inputs!G38/Inputs!G31</f>
        <v>8.1376977071448434E-2</v>
      </c>
      <c r="H15" s="74">
        <f>Inputs!H38/Inputs!H31</f>
        <v>7.4997445591090228E-2</v>
      </c>
      <c r="I15" s="74">
        <f>Inputs!I38/Inputs!I31</f>
        <v>8.4942711124200918E-2</v>
      </c>
      <c r="J15" s="74">
        <f>Inputs!J38/Inputs!J31</f>
        <v>0.10737385845087558</v>
      </c>
      <c r="K15" s="74">
        <f>Inputs!K38/Inputs!K31</f>
        <v>0.10914155440687628</v>
      </c>
      <c r="L15" s="74">
        <f>Inputs!L38/Inputs!L31</f>
        <v>0.1094847775175644</v>
      </c>
      <c r="M15" s="37"/>
      <c r="N15" s="37"/>
    </row>
    <row r="16" spans="1:16" x14ac:dyDescent="0.35">
      <c r="B16" s="37"/>
      <c r="C16" s="66"/>
      <c r="D16" s="37"/>
      <c r="E16" s="37"/>
      <c r="F16" s="37"/>
      <c r="G16" s="37"/>
      <c r="H16" s="37"/>
      <c r="I16" s="37"/>
      <c r="J16" s="37"/>
      <c r="K16" s="37"/>
      <c r="L16" s="37"/>
      <c r="M16" s="37"/>
      <c r="N16" s="37"/>
    </row>
    <row r="17" spans="1:15" x14ac:dyDescent="0.35">
      <c r="A17" s="33" t="s">
        <v>1167</v>
      </c>
      <c r="B17" s="63">
        <f>AVERAGE(C17:L17)</f>
        <v>3.8810000000000002</v>
      </c>
      <c r="C17" s="67">
        <f>Inputs!C41</f>
        <v>1.85</v>
      </c>
      <c r="D17" s="63">
        <f>Inputs!D41</f>
        <v>2.17</v>
      </c>
      <c r="E17" s="63">
        <f>Inputs!E41</f>
        <v>1.88</v>
      </c>
      <c r="F17" s="63">
        <f>Inputs!F41</f>
        <v>0.2</v>
      </c>
      <c r="G17" s="63">
        <f>Inputs!G41</f>
        <v>3.56</v>
      </c>
      <c r="H17" s="63">
        <f>Inputs!H41</f>
        <v>3.88</v>
      </c>
      <c r="I17" s="63">
        <f>Inputs!I41</f>
        <v>5.94</v>
      </c>
      <c r="J17" s="63">
        <f>Inputs!J41</f>
        <v>6.54</v>
      </c>
      <c r="K17" s="63">
        <f>Inputs!K41</f>
        <v>6.01</v>
      </c>
      <c r="L17" s="63">
        <f>Inputs!L41</f>
        <v>6.78</v>
      </c>
      <c r="M17" s="63"/>
      <c r="N17" s="63"/>
      <c r="O17" s="52"/>
    </row>
    <row r="18" spans="1:15" x14ac:dyDescent="0.35">
      <c r="A18" t="s">
        <v>1168</v>
      </c>
      <c r="B18" s="74">
        <f>AVERAGE(C18:L18)</f>
        <v>1.8571801133547963</v>
      </c>
      <c r="C18" s="245" t="s">
        <v>1163</v>
      </c>
      <c r="D18" s="74">
        <f t="shared" ref="D18:L18" si="2">D17/C17-1</f>
        <v>0.17297297297297298</v>
      </c>
      <c r="E18" s="74">
        <f t="shared" si="2"/>
        <v>-0.13364055299539168</v>
      </c>
      <c r="F18" s="74">
        <f t="shared" si="2"/>
        <v>-0.8936170212765957</v>
      </c>
      <c r="G18" s="74">
        <f t="shared" si="2"/>
        <v>16.8</v>
      </c>
      <c r="H18" s="74">
        <f t="shared" si="2"/>
        <v>8.98876404494382E-2</v>
      </c>
      <c r="I18" s="74">
        <f t="shared" si="2"/>
        <v>0.5309278350515465</v>
      </c>
      <c r="J18" s="74">
        <f t="shared" si="2"/>
        <v>0.10101010101010099</v>
      </c>
      <c r="K18" s="74">
        <f t="shared" si="2"/>
        <v>-8.1039755351681952E-2</v>
      </c>
      <c r="L18" s="74">
        <f t="shared" si="2"/>
        <v>0.12811980033277881</v>
      </c>
      <c r="M18" s="37"/>
      <c r="N18" s="37"/>
    </row>
    <row r="19" spans="1:15" x14ac:dyDescent="0.35">
      <c r="A19" t="s">
        <v>1169</v>
      </c>
      <c r="B19" s="74">
        <f>MEDIAN(D18:L18)</f>
        <v>0.10101010101010099</v>
      </c>
      <c r="C19" s="66"/>
      <c r="D19" s="37"/>
      <c r="E19" s="37"/>
      <c r="F19" s="37"/>
      <c r="G19" s="37"/>
      <c r="H19" s="37"/>
      <c r="I19" s="37"/>
      <c r="J19" s="37"/>
      <c r="K19" s="37"/>
      <c r="L19" s="37"/>
      <c r="M19" s="37"/>
      <c r="N19" s="34"/>
    </row>
    <row r="20" spans="1:15" x14ac:dyDescent="0.35">
      <c r="B20" s="37"/>
      <c r="C20" s="66"/>
      <c r="D20" s="37"/>
      <c r="E20" s="37"/>
      <c r="F20" s="37"/>
      <c r="G20" s="37"/>
      <c r="H20" s="37"/>
      <c r="I20" s="37"/>
      <c r="J20" s="37"/>
      <c r="K20" s="37"/>
      <c r="L20" s="37"/>
      <c r="M20" s="37"/>
      <c r="N20" s="34"/>
    </row>
    <row r="21" spans="1:15" x14ac:dyDescent="0.35">
      <c r="A21" s="44" t="s">
        <v>1170</v>
      </c>
    </row>
    <row r="22" spans="1:15" x14ac:dyDescent="0.35">
      <c r="A22" t="s">
        <v>1171</v>
      </c>
      <c r="B22" s="41">
        <f>AVERAGE(C22:L22)</f>
        <v>106.94394942366064</v>
      </c>
      <c r="C22" s="68">
        <f>(365/Inputs!C32)*Inputs!C8</f>
        <v>74.181344107363287</v>
      </c>
      <c r="D22" s="41">
        <f>(365/Inputs!D32)*Inputs!D8</f>
        <v>84.313274687443865</v>
      </c>
      <c r="E22" s="41">
        <f>(365/Inputs!E32)*Inputs!E8</f>
        <v>72.985630030057308</v>
      </c>
      <c r="F22" s="41">
        <f>(365/Inputs!F32)*Inputs!F8</f>
        <v>102.24107945025862</v>
      </c>
      <c r="G22" s="41">
        <f>(365/Inputs!G32)*Inputs!G8</f>
        <v>118.73102198051211</v>
      </c>
      <c r="H22" s="41">
        <f>(365/Inputs!H32)*Inputs!H8</f>
        <v>126.99773141593663</v>
      </c>
      <c r="I22" s="41">
        <f>(365/Inputs!I32)*Inputs!I8</f>
        <v>123.74487591087626</v>
      </c>
      <c r="J22" s="41">
        <f>(365/Inputs!J32)*Inputs!J8</f>
        <v>123.44178420149694</v>
      </c>
      <c r="K22" s="41">
        <f>(365/Inputs!K32)*Inputs!K8</f>
        <v>135.51146702434264</v>
      </c>
      <c r="L22" s="41">
        <f>(365/Inputs!L32)*Inputs!L8</f>
        <v>107.2912854283186</v>
      </c>
      <c r="M22" s="41"/>
      <c r="N22" s="41"/>
    </row>
    <row r="23" spans="1:15" x14ac:dyDescent="0.35">
      <c r="A23" t="s">
        <v>1172</v>
      </c>
      <c r="B23" s="41">
        <f>AVERAGE(C23:L23)</f>
        <v>61.735040863568678</v>
      </c>
      <c r="C23" s="68">
        <f>(365/Inputs!C30)*Inputs!C7</f>
        <v>56.975258079320547</v>
      </c>
      <c r="D23" s="41">
        <f>(365/Inputs!D30)*Inputs!D7</f>
        <v>52.038669073428764</v>
      </c>
      <c r="E23" s="41">
        <f>(365/Inputs!E30)*Inputs!E7</f>
        <v>46.054089336412844</v>
      </c>
      <c r="F23" s="41">
        <f>(365/Inputs!F30)*Inputs!F7</f>
        <v>62.098297122989067</v>
      </c>
      <c r="G23" s="41">
        <f>(365/Inputs!G30)*Inputs!G7</f>
        <v>65.053676910501963</v>
      </c>
      <c r="H23" s="41">
        <f>(365/Inputs!H30)*Inputs!H7</f>
        <v>60.191184294437029</v>
      </c>
      <c r="I23" s="41">
        <f>(365/Inputs!I30)*Inputs!I7</f>
        <v>65.447237276238639</v>
      </c>
      <c r="J23" s="41">
        <f>(365/Inputs!J30)*Inputs!J7</f>
        <v>78.391580277828879</v>
      </c>
      <c r="K23" s="41">
        <f>(365/Inputs!K30)*Inputs!K7</f>
        <v>70.105728461439639</v>
      </c>
      <c r="L23" s="41">
        <f>(365/Inputs!L30)*Inputs!L7</f>
        <v>60.994687803089441</v>
      </c>
      <c r="M23" s="41"/>
      <c r="N23" s="41"/>
    </row>
    <row r="24" spans="1:15" x14ac:dyDescent="0.35">
      <c r="A24" t="s">
        <v>1173</v>
      </c>
      <c r="B24" s="41">
        <f>AVERAGE(C24:L24)</f>
        <v>34.607534816382383</v>
      </c>
      <c r="C24" s="68">
        <f>(365/Inputs!C32)*Inputs!C16</f>
        <v>32.022523232861516</v>
      </c>
      <c r="D24" s="41">
        <f>(365/Inputs!D32)*Inputs!D16</f>
        <v>35.932105004919926</v>
      </c>
      <c r="E24" s="41">
        <f>(365/Inputs!E32)*Inputs!E16</f>
        <v>28.122768099373364</v>
      </c>
      <c r="F24" s="41">
        <f>(365/Inputs!F32)*Inputs!F16</f>
        <v>32.60875239783406</v>
      </c>
      <c r="G24" s="41">
        <f>(365/Inputs!G32)*Inputs!G16</f>
        <v>33.485157489236343</v>
      </c>
      <c r="H24" s="41">
        <f>(365/Inputs!H32)*Inputs!H16</f>
        <v>39.529622150196083</v>
      </c>
      <c r="I24" s="41">
        <f>(365/Inputs!I32)*Inputs!I16</f>
        <v>38.338841601567623</v>
      </c>
      <c r="J24" s="41">
        <f>(365/Inputs!J32)*Inputs!J16</f>
        <v>35.052172234524548</v>
      </c>
      <c r="K24" s="41">
        <f>(365/Inputs!K32)*Inputs!K16</f>
        <v>32.828320341138266</v>
      </c>
      <c r="L24" s="41">
        <f>(365/Inputs!L32)*Inputs!L16</f>
        <v>38.155085612172137</v>
      </c>
      <c r="M24" s="41"/>
      <c r="N24" s="41"/>
    </row>
    <row r="25" spans="1:15" s="33" customFormat="1" x14ac:dyDescent="0.35">
      <c r="A25" t="s">
        <v>1174</v>
      </c>
      <c r="B25" s="41">
        <f>AVERAGE(C25:L25)</f>
        <v>134.07145547084693</v>
      </c>
      <c r="C25" s="68">
        <f t="shared" ref="C25:L25" si="3">C22+C23-C24</f>
        <v>99.134078953822325</v>
      </c>
      <c r="D25" s="41">
        <f t="shared" si="3"/>
        <v>100.41983875595272</v>
      </c>
      <c r="E25" s="41">
        <f t="shared" si="3"/>
        <v>90.916951267096792</v>
      </c>
      <c r="F25" s="41">
        <f t="shared" si="3"/>
        <v>131.73062417541365</v>
      </c>
      <c r="G25" s="41">
        <f t="shared" si="3"/>
        <v>150.29954140177773</v>
      </c>
      <c r="H25" s="41">
        <f t="shared" si="3"/>
        <v>147.65929356017759</v>
      </c>
      <c r="I25" s="41">
        <f t="shared" si="3"/>
        <v>150.85327158554728</v>
      </c>
      <c r="J25" s="41">
        <f t="shared" si="3"/>
        <v>166.78119224480128</v>
      </c>
      <c r="K25" s="41">
        <f t="shared" si="3"/>
        <v>172.78887514464401</v>
      </c>
      <c r="L25" s="41">
        <f t="shared" si="3"/>
        <v>130.13088761923589</v>
      </c>
      <c r="M25" s="91"/>
      <c r="N25" s="91"/>
    </row>
    <row r="26" spans="1:15" x14ac:dyDescent="0.35">
      <c r="B26" s="41"/>
      <c r="C26" s="68"/>
      <c r="D26" s="41"/>
      <c r="E26" s="41"/>
      <c r="F26" s="41"/>
      <c r="G26" s="41"/>
      <c r="H26" s="41"/>
      <c r="I26" s="41"/>
      <c r="J26" s="41"/>
      <c r="K26" s="41"/>
      <c r="L26" s="41"/>
      <c r="M26" s="41"/>
      <c r="N26" s="41"/>
    </row>
    <row r="27" spans="1:15" x14ac:dyDescent="0.35">
      <c r="A27" t="s">
        <v>923</v>
      </c>
      <c r="B27" s="74">
        <f>AVERAGE(C27:L27)</f>
        <v>8.5995137499196017E-2</v>
      </c>
      <c r="C27" s="245"/>
      <c r="D27" s="74">
        <f>Inputs!D8/Inputs!C8-1</f>
        <v>0.15257525083612045</v>
      </c>
      <c r="E27" s="74">
        <f>Inputs!E8/Inputs!D8-1</f>
        <v>-8.0343566827229984E-2</v>
      </c>
      <c r="F27" s="74">
        <f>Inputs!F8/Inputs!E8-1</f>
        <v>0.16475458457965741</v>
      </c>
      <c r="G27" s="74">
        <f>Inputs!G8/Inputs!F8-1</f>
        <v>0.135501208187502</v>
      </c>
      <c r="H27" s="74">
        <f>Inputs!H8/Inputs!G8-1</f>
        <v>0.38602183372776544</v>
      </c>
      <c r="I27" s="74">
        <f>Inputs!I8/Inputs!H8-1</f>
        <v>0.3341411693426235</v>
      </c>
      <c r="J27" s="74">
        <f>Inputs!J8/Inputs!I8-1</f>
        <v>-0.19529766328131459</v>
      </c>
      <c r="K27" s="74">
        <f>Inputs!K8/Inputs!J8-1</f>
        <v>-9.4849036759612204E-3</v>
      </c>
      <c r="L27" s="74">
        <f>Inputs!L8/Inputs!K8-1</f>
        <v>-0.1139116753963989</v>
      </c>
      <c r="M27" s="37"/>
      <c r="N27" s="37"/>
    </row>
    <row r="28" spans="1:15" x14ac:dyDescent="0.35">
      <c r="A28" t="s">
        <v>1175</v>
      </c>
      <c r="B28" s="74">
        <f>AVERAGE(C28:L28)</f>
        <v>5.2232873855648961E-2</v>
      </c>
      <c r="C28" s="245"/>
      <c r="D28" s="74">
        <f>Inputs!D7/Inputs!C7-1</f>
        <v>-8.3860563205557681E-2</v>
      </c>
      <c r="E28" s="74">
        <f>Inputs!E7/Inputs!D7-1</f>
        <v>-6.4224779959377032E-2</v>
      </c>
      <c r="F28" s="74">
        <f>Inputs!F7/Inputs!E7-1</f>
        <v>9.3246704385952173E-2</v>
      </c>
      <c r="G28" s="74">
        <f>Inputs!G7/Inputs!F7-1</f>
        <v>0.11982634247064894</v>
      </c>
      <c r="H28" s="74">
        <f>Inputs!H7/Inputs!G7-1</f>
        <v>0.10643704789371666</v>
      </c>
      <c r="I28" s="74">
        <f>Inputs!I7/Inputs!H7-1</f>
        <v>0.47635376940251462</v>
      </c>
      <c r="J28" s="74">
        <f>Inputs!J7/Inputs!I7-1</f>
        <v>4.7568740955137523E-2</v>
      </c>
      <c r="K28" s="74">
        <f>Inputs!K7/Inputs!J7-1</f>
        <v>-0.19459985909072075</v>
      </c>
      <c r="L28" s="74">
        <f>Inputs!L7/Inputs!K7-1</f>
        <v>-3.0651538151473812E-2</v>
      </c>
      <c r="M28" s="37"/>
      <c r="N28" s="37"/>
    </row>
    <row r="29" spans="1:15" x14ac:dyDescent="0.35">
      <c r="A29" t="s">
        <v>1176</v>
      </c>
      <c r="B29" s="74">
        <f>AVERAGE(C29:L29)</f>
        <v>4.2566287885942931E-2</v>
      </c>
      <c r="C29" s="245"/>
      <c r="D29" s="74">
        <f>Inputs!D30/Inputs!C30-1</f>
        <v>3.0479598614283621E-3</v>
      </c>
      <c r="E29" s="74">
        <f>Inputs!E30/Inputs!D30-1</f>
        <v>5.7376178846877846E-2</v>
      </c>
      <c r="F29" s="74">
        <f>Inputs!F30/Inputs!E30-1</f>
        <v>-0.18921317132397919</v>
      </c>
      <c r="G29" s="74">
        <f>Inputs!G30/Inputs!F30-1</f>
        <v>6.8952782431677795E-2</v>
      </c>
      <c r="H29" s="74">
        <f>Inputs!H30/Inputs!G30-1</f>
        <v>0.19581960513343377</v>
      </c>
      <c r="I29" s="74">
        <f>Inputs!I30/Inputs!H30-1</f>
        <v>0.3577881285167166</v>
      </c>
      <c r="J29" s="74">
        <f>Inputs!J30/Inputs!I30-1</f>
        <v>-0.12541015617397766</v>
      </c>
      <c r="K29" s="74">
        <f>Inputs!K30/Inputs!J30-1</f>
        <v>-9.9408975735961636E-2</v>
      </c>
      <c r="L29" s="74">
        <f>Inputs!L30/Inputs!K30-1</f>
        <v>0.11414423941727048</v>
      </c>
      <c r="M29" s="37"/>
      <c r="N29" s="37"/>
    </row>
    <row r="31" spans="1:15" x14ac:dyDescent="0.35">
      <c r="A31" s="44" t="s">
        <v>1177</v>
      </c>
    </row>
    <row r="32" spans="1:15" x14ac:dyDescent="0.35">
      <c r="A32" t="s">
        <v>1178</v>
      </c>
      <c r="B32" s="150">
        <f>AVERAGE(C32:L32)</f>
        <v>3.4867565254067516</v>
      </c>
      <c r="C32" s="151">
        <f>Inputs!C10/Inputs!C21</f>
        <v>3.1501821078989298</v>
      </c>
      <c r="D32" s="150">
        <f>Inputs!D10/Inputs!D21</f>
        <v>3.1827851842193899</v>
      </c>
      <c r="E32" s="150">
        <f>Inputs!E10/Inputs!E21</f>
        <v>4.1332808949484354</v>
      </c>
      <c r="F32" s="150">
        <f>Inputs!F10/Inputs!F21</f>
        <v>3.8169509685745941</v>
      </c>
      <c r="G32" s="150">
        <f>Inputs!G10/Inputs!G21</f>
        <v>3.397968650813028</v>
      </c>
      <c r="H32" s="150">
        <f>Inputs!H10/Inputs!H21</f>
        <v>3.0100043402777779</v>
      </c>
      <c r="I32" s="150">
        <f>Inputs!I10/Inputs!I21</f>
        <v>2.9644281790955747</v>
      </c>
      <c r="J32" s="150">
        <f>Inputs!J10/Inputs!J21</f>
        <v>3.5815969671143502</v>
      </c>
      <c r="K32" s="150">
        <f>Inputs!K10/Inputs!K21</f>
        <v>3.9201055509633114</v>
      </c>
      <c r="L32" s="150">
        <f>Inputs!L10/Inputs!L21</f>
        <v>3.7102624101621258</v>
      </c>
      <c r="M32" s="42"/>
      <c r="N32" s="42"/>
    </row>
    <row r="33" spans="1:14" x14ac:dyDescent="0.35">
      <c r="A33" t="s">
        <v>1179</v>
      </c>
      <c r="B33" s="150">
        <f>AVERAGE(C33:L33)</f>
        <v>1.3231122005692424</v>
      </c>
      <c r="C33" s="151">
        <f>Inputs!C5/Inputs!C21</f>
        <v>1.1523560209424084</v>
      </c>
      <c r="D33" s="150">
        <f>Inputs!D5/Inputs!D21</f>
        <v>1.3214250790442974</v>
      </c>
      <c r="E33" s="150">
        <f>Inputs!E5/Inputs!E21</f>
        <v>2.0074787125127975</v>
      </c>
      <c r="F33" s="150">
        <f>Inputs!F5/Inputs!F21</f>
        <v>1.5487939998295406</v>
      </c>
      <c r="G33" s="150">
        <f>Inputs!G5/Inputs!G21</f>
        <v>1.1856340641632894</v>
      </c>
      <c r="H33" s="150">
        <f>Inputs!H5/Inputs!H21</f>
        <v>0.9194661458333333</v>
      </c>
      <c r="I33" s="150">
        <f>Inputs!I5/Inputs!I21</f>
        <v>0.6527071864398355</v>
      </c>
      <c r="J33" s="150">
        <f>Inputs!J5/Inputs!J21</f>
        <v>1.1810841390660358</v>
      </c>
      <c r="K33" s="150">
        <f>Inputs!K5/Inputs!K21</f>
        <v>1.5171281871939974</v>
      </c>
      <c r="L33" s="150">
        <f>Inputs!L5/Inputs!L21</f>
        <v>1.7450484706668892</v>
      </c>
      <c r="M33" s="42"/>
      <c r="N33" s="42"/>
    </row>
    <row r="34" spans="1:14" x14ac:dyDescent="0.35">
      <c r="A34" t="s">
        <v>1180</v>
      </c>
      <c r="B34" s="150">
        <f>AVERAGE(C34:L34)</f>
        <v>2.3098447119579739</v>
      </c>
      <c r="C34" s="151">
        <f>Inputs!C15/Inputs!C24</f>
        <v>2.0661967891230271</v>
      </c>
      <c r="D34" s="150">
        <f>Inputs!D15/Inputs!D24</f>
        <v>2.1444123791725462</v>
      </c>
      <c r="E34" s="150">
        <f>Inputs!E15/Inputs!E24</f>
        <v>2.2393840368861633</v>
      </c>
      <c r="F34" s="150">
        <f>Inputs!F15/Inputs!F24</f>
        <v>2.1555502897395575</v>
      </c>
      <c r="G34" s="150">
        <f>Inputs!G15/Inputs!G24</f>
        <v>2.0974603688126821</v>
      </c>
      <c r="H34" s="150">
        <f>Inputs!H15/Inputs!H24</f>
        <v>2.1329082145009037</v>
      </c>
      <c r="I34" s="150">
        <f>Inputs!I15/Inputs!I24</f>
        <v>2.2397232859011331</v>
      </c>
      <c r="J34" s="150">
        <f>Inputs!J15/Inputs!J24</f>
        <v>2.5711615846404765</v>
      </c>
      <c r="K34" s="150">
        <f>Inputs!K15/Inputs!K24</f>
        <v>2.7215390618567401</v>
      </c>
      <c r="L34" s="150">
        <f>Inputs!L15/Inputs!L24</f>
        <v>2.7301111089465109</v>
      </c>
      <c r="M34" s="42"/>
      <c r="N34" s="42"/>
    </row>
    <row r="35" spans="1:14" x14ac:dyDescent="0.35">
      <c r="B35" s="42"/>
      <c r="C35" s="69"/>
      <c r="D35" s="42"/>
      <c r="E35" s="42"/>
      <c r="F35" s="42"/>
      <c r="G35" s="42"/>
      <c r="H35" s="42"/>
      <c r="I35" s="42"/>
      <c r="J35" s="42"/>
      <c r="K35" s="42"/>
      <c r="L35" s="42"/>
      <c r="M35" s="42"/>
      <c r="N35" s="42"/>
    </row>
    <row r="37" spans="1:14" x14ac:dyDescent="0.35">
      <c r="A37" s="44" t="s">
        <v>1181</v>
      </c>
    </row>
    <row r="38" spans="1:14" x14ac:dyDescent="0.35">
      <c r="A38" t="s">
        <v>1182</v>
      </c>
      <c r="B38" s="32">
        <f>AVERAGE(C38:L38)</f>
        <v>115.98049999999998</v>
      </c>
      <c r="C38" s="263">
        <f>Inputs!C20+Inputs!C22</f>
        <v>117.173</v>
      </c>
      <c r="D38" s="32">
        <f>Inputs!D20+Inputs!D22</f>
        <v>116.976</v>
      </c>
      <c r="E38" s="32">
        <f>Inputs!E20+Inputs!E22</f>
        <v>116.77499999999999</v>
      </c>
      <c r="F38" s="32">
        <f>Inputs!F20+Inputs!F22</f>
        <v>116.05500000000001</v>
      </c>
      <c r="G38" s="32">
        <f>Inputs!G20+Inputs!G22</f>
        <v>115.877</v>
      </c>
      <c r="H38" s="32">
        <f>Inputs!H20+Inputs!H22</f>
        <v>115.73099999999999</v>
      </c>
      <c r="I38" s="32">
        <f>Inputs!I20+Inputs!I22</f>
        <v>115.56299999999999</v>
      </c>
      <c r="J38" s="32">
        <f>Inputs!J20+Inputs!J22</f>
        <v>115.39</v>
      </c>
      <c r="K38" s="32">
        <f>Inputs!K20+Inputs!K22</f>
        <v>115.22199999999999</v>
      </c>
      <c r="L38" s="32">
        <f>Inputs!L20+Inputs!L22</f>
        <v>115.04300000000001</v>
      </c>
    </row>
    <row r="39" spans="1:14" x14ac:dyDescent="0.35">
      <c r="A39" s="33"/>
    </row>
    <row r="40" spans="1:14" x14ac:dyDescent="0.35">
      <c r="A40" t="s">
        <v>1183</v>
      </c>
      <c r="B40" s="74">
        <f>AVERAGE(C40:L40)</f>
        <v>0.19273851120480207</v>
      </c>
      <c r="C40" s="245">
        <f>C38/Inputs!C15</f>
        <v>0.24034747648790294</v>
      </c>
      <c r="D40" s="74">
        <f>D38/Inputs!D15</f>
        <v>0.23116324659310084</v>
      </c>
      <c r="E40" s="74">
        <f>E38/Inputs!E15</f>
        <v>0.23343048359240068</v>
      </c>
      <c r="F40" s="74">
        <f>F38/Inputs!F15</f>
        <v>0.23196432640301889</v>
      </c>
      <c r="G40" s="74">
        <f>G38/Inputs!G15</f>
        <v>0.20310555522447707</v>
      </c>
      <c r="H40" s="74">
        <f>H38/Inputs!H15</f>
        <v>0.18162856941076769</v>
      </c>
      <c r="I40" s="74">
        <f>I38/Inputs!I15</f>
        <v>0.16261522852925406</v>
      </c>
      <c r="J40" s="74">
        <f>J38/Inputs!J15</f>
        <v>0.15474881313199046</v>
      </c>
      <c r="K40" s="74">
        <f>K38/Inputs!K15</f>
        <v>0.15156162855549357</v>
      </c>
      <c r="L40" s="74">
        <f>L38/Inputs!L15</f>
        <v>0.13681978411961429</v>
      </c>
      <c r="M40" s="37"/>
      <c r="N40" s="37"/>
    </row>
    <row r="41" spans="1:14" x14ac:dyDescent="0.35">
      <c r="A41" t="s">
        <v>1184</v>
      </c>
      <c r="B41" s="43"/>
      <c r="C41" s="70"/>
      <c r="D41" s="43"/>
      <c r="E41" s="43"/>
      <c r="F41" s="43"/>
      <c r="G41" s="43"/>
      <c r="H41" s="43"/>
      <c r="I41" s="43"/>
      <c r="J41" s="43"/>
      <c r="K41" s="43"/>
      <c r="L41" s="43"/>
      <c r="M41" s="43"/>
      <c r="N41" s="43"/>
    </row>
    <row r="42" spans="1:14" x14ac:dyDescent="0.35">
      <c r="A42" t="s">
        <v>472</v>
      </c>
      <c r="B42" s="42">
        <f>AVERAGE(C42:L42)</f>
        <v>16.888480998132952</v>
      </c>
      <c r="C42" s="69">
        <f>Inputs!C34/Inputs!C35</f>
        <v>7.2353188802357398</v>
      </c>
      <c r="D42" s="42">
        <f>Inputs!D34/Inputs!D35</f>
        <v>8.4509144418751312</v>
      </c>
      <c r="E42" s="42">
        <f>Inputs!E34/Inputs!E35</f>
        <v>8.2276509494346062</v>
      </c>
      <c r="F42" s="42">
        <f>Inputs!F34/Inputs!F35</f>
        <v>1.2827774281518773</v>
      </c>
      <c r="G42" s="42">
        <f>Inputs!G34/Inputs!G35</f>
        <v>11.38936751418365</v>
      </c>
      <c r="H42" s="42">
        <f>Inputs!H34/Inputs!H35</f>
        <v>11.388549778993895</v>
      </c>
      <c r="I42" s="42">
        <f>Inputs!I34/Inputs!I35</f>
        <v>22.169828999765752</v>
      </c>
      <c r="J42" s="42">
        <f>Inputs!J34/Inputs!J35</f>
        <v>26.975712777191131</v>
      </c>
      <c r="K42" s="42">
        <f>Inputs!K34/Inputs!K35</f>
        <v>23.688311688311689</v>
      </c>
      <c r="L42" s="42">
        <f>Inputs!L34/Inputs!L35</f>
        <v>48.076377523186032</v>
      </c>
      <c r="M42" s="42"/>
      <c r="N42" s="42"/>
    </row>
    <row r="43" spans="1:14" x14ac:dyDescent="0.35">
      <c r="A43" t="s">
        <v>1185</v>
      </c>
      <c r="B43" s="39">
        <f>AVERAGE(C43:L43)</f>
        <v>0.26357299670631068</v>
      </c>
      <c r="C43" s="71">
        <f>FCF!C11/'All Ratios'!C38</f>
        <v>0.14151297653896366</v>
      </c>
      <c r="D43" s="39">
        <f>FCF!D11/'All Ratios'!D38</f>
        <v>0.31295692278758042</v>
      </c>
      <c r="E43" s="39">
        <f>FCF!E11/'All Ratios'!E38</f>
        <v>0.16572243202740311</v>
      </c>
      <c r="F43" s="39">
        <f>FCF!F11/'All Ratios'!F38</f>
        <v>-0.19062888285726592</v>
      </c>
      <c r="G43" s="39">
        <f>FCF!G11/'All Ratios'!G38</f>
        <v>0.22983665438352735</v>
      </c>
      <c r="H43" s="39">
        <f>FCF!H11/'All Ratios'!H38</f>
        <v>0.14678361890936736</v>
      </c>
      <c r="I43" s="39">
        <f>FCF!I11/'All Ratios'!I38</f>
        <v>-9.5073379888026457E-2</v>
      </c>
      <c r="J43" s="39">
        <f>FCF!J11/'All Ratios'!J38</f>
        <v>0.78424182338157544</v>
      </c>
      <c r="K43" s="39">
        <f>FCF!K11/'All Ratios'!K38</f>
        <v>0.48107569734946454</v>
      </c>
      <c r="L43" s="39">
        <f>FCF!L11/'All Ratios'!L38</f>
        <v>0.65930210443051729</v>
      </c>
      <c r="M43" s="39"/>
      <c r="N43" s="39"/>
    </row>
  </sheetData>
  <conditionalFormatting sqref="A18:A19">
    <cfRule type="cellIs" dxfId="18" priority="27" operator="lessThan">
      <formula>0</formula>
    </cfRule>
    <cfRule type="cellIs" dxfId="17" priority="28" operator="greaterThan">
      <formula>0</formula>
    </cfRule>
  </conditionalFormatting>
  <conditionalFormatting sqref="A5:N6">
    <cfRule type="cellIs" dxfId="16" priority="7" operator="lessThan">
      <formula>0</formula>
    </cfRule>
    <cfRule type="cellIs" dxfId="15" priority="8" operator="greaterThan">
      <formula>0</formula>
    </cfRule>
  </conditionalFormatting>
  <conditionalFormatting sqref="A9:N10">
    <cfRule type="cellIs" dxfId="14" priority="5" operator="lessThan">
      <formula>0</formula>
    </cfRule>
    <cfRule type="cellIs" dxfId="13" priority="6" operator="greaterThan">
      <formula>0</formula>
    </cfRule>
  </conditionalFormatting>
  <conditionalFormatting sqref="A27:N29">
    <cfRule type="cellIs" dxfId="12" priority="1" operator="lessThan">
      <formula>0</formula>
    </cfRule>
    <cfRule type="cellIs" dxfId="11" priority="2" operator="greaterThan">
      <formula>0</formula>
    </cfRule>
  </conditionalFormatting>
  <conditionalFormatting sqref="B18:N18">
    <cfRule type="cellIs" dxfId="10" priority="3" operator="lessThan">
      <formula>0</formula>
    </cfRule>
    <cfRule type="cellIs" dxfId="9" priority="4" operator="greaterThan">
      <formula>0</formula>
    </cfRule>
  </conditionalFormatting>
  <conditionalFormatting sqref="P5">
    <cfRule type="cellIs" dxfId="8" priority="31" operator="lessThan">
      <formula>0</formula>
    </cfRule>
    <cfRule type="cellIs" dxfId="7" priority="32" operator="greaterThan">
      <formula>0</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sheetPr>
  <dimension ref="A1:U69"/>
  <sheetViews>
    <sheetView zoomScaleNormal="100" workbookViewId="0">
      <pane xSplit="1" ySplit="2" topLeftCell="B3" activePane="bottomRight" state="frozen"/>
      <selection pane="topRight" activeCell="B1" sqref="B1"/>
      <selection pane="bottomLeft" activeCell="A3" sqref="A3"/>
      <selection pane="bottomRight" activeCell="L31" sqref="L31"/>
    </sheetView>
  </sheetViews>
  <sheetFormatPr defaultColWidth="8.7265625" defaultRowHeight="14.5" x14ac:dyDescent="0.35"/>
  <cols>
    <col min="1" max="1" width="56.1796875" bestFit="1" customWidth="1"/>
    <col min="2" max="2" width="15.453125" bestFit="1" customWidth="1"/>
    <col min="3" max="9" width="12.54296875" bestFit="1" customWidth="1"/>
    <col min="10" max="10" width="11.7265625" customWidth="1"/>
    <col min="11" max="13" width="12.54296875" bestFit="1" customWidth="1"/>
    <col min="14" max="14" width="11" customWidth="1"/>
    <col min="15" max="21" width="13.7265625" bestFit="1" customWidth="1"/>
  </cols>
  <sheetData>
    <row r="1" spans="1:15" x14ac:dyDescent="0.35">
      <c r="C1" t="str">
        <f>Inputs!C1</f>
        <v>FY 2016</v>
      </c>
      <c r="D1" t="str">
        <f>Inputs!D1</f>
        <v>FY 2017</v>
      </c>
      <c r="E1" t="str">
        <f>Inputs!E1</f>
        <v>FY 2018</v>
      </c>
      <c r="F1" t="str">
        <f>Inputs!F1</f>
        <v>FY 2019</v>
      </c>
      <c r="G1" t="str">
        <f>Inputs!G1</f>
        <v>FY 2020</v>
      </c>
      <c r="H1" t="str">
        <f>Inputs!H1</f>
        <v>FY 2021</v>
      </c>
      <c r="I1" t="str">
        <f>Inputs!I1</f>
        <v>FY 2022</v>
      </c>
      <c r="J1" t="str">
        <f>Inputs!J1</f>
        <v>FY 2023</v>
      </c>
      <c r="K1" t="str">
        <f>Inputs!K1</f>
        <v>FY 2024</v>
      </c>
      <c r="L1" t="str">
        <f>Inputs!L1</f>
        <v>FY 2025</v>
      </c>
    </row>
    <row r="2" spans="1:15" x14ac:dyDescent="0.35">
      <c r="A2" s="33"/>
      <c r="B2" s="20" t="s">
        <v>1186</v>
      </c>
      <c r="C2" s="20">
        <f>Inputs!C2</f>
        <v>42613</v>
      </c>
      <c r="D2" s="20">
        <f>Inputs!D2</f>
        <v>42978</v>
      </c>
      <c r="E2" s="20">
        <f>Inputs!E2</f>
        <v>43343</v>
      </c>
      <c r="F2" s="20">
        <f>Inputs!F2</f>
        <v>43708</v>
      </c>
      <c r="G2" s="20">
        <f>Inputs!G2</f>
        <v>44074</v>
      </c>
      <c r="H2" s="20">
        <f>Inputs!H2</f>
        <v>44439</v>
      </c>
      <c r="I2" s="20">
        <f>Inputs!I2</f>
        <v>44804</v>
      </c>
      <c r="J2" s="20">
        <f>Inputs!J2</f>
        <v>45169</v>
      </c>
      <c r="K2" s="20">
        <f>Inputs!K2</f>
        <v>45535</v>
      </c>
      <c r="L2" s="20">
        <f>Inputs!L2</f>
        <v>45900</v>
      </c>
      <c r="M2" s="20"/>
      <c r="N2" s="20"/>
    </row>
    <row r="3" spans="1:15" x14ac:dyDescent="0.35">
      <c r="A3" s="211" t="s">
        <v>1187</v>
      </c>
      <c r="B3" s="37">
        <f t="shared" ref="B3:B8" si="0">AVERAGE(C3:L3)</f>
        <v>6.311876028570311E-2</v>
      </c>
      <c r="C3" s="37">
        <f>Inputs!C38/Inputs!C15</f>
        <v>4.1572054193204311E-2</v>
      </c>
      <c r="D3" s="37">
        <f>Inputs!D38/Inputs!D15</f>
        <v>4.5805403610838839E-2</v>
      </c>
      <c r="E3" s="37">
        <f>Inputs!E38/Inputs!E15</f>
        <v>4.0533246977547503E-2</v>
      </c>
      <c r="F3" s="37">
        <f>Inputs!F38/Inputs!F15</f>
        <v>4.3412736801288791E-3</v>
      </c>
      <c r="G3" s="37">
        <f>Inputs!G38/Inputs!G15</f>
        <v>6.7707694303151836E-2</v>
      </c>
      <c r="H3" s="37">
        <f>Inputs!H38/Inputs!H15</f>
        <v>6.6812621138287953E-2</v>
      </c>
      <c r="I3" s="37">
        <f>Inputs!I38/Inputs!I15</f>
        <v>9.2125129986083215E-2</v>
      </c>
      <c r="J3" s="37">
        <f>Inputs!J38/Inputs!J15</f>
        <v>9.706702786792909E-2</v>
      </c>
      <c r="K3" s="37">
        <f>Inputs!K38/Inputs!K15</f>
        <v>8.7153658356922639E-2</v>
      </c>
      <c r="L3" s="37">
        <f>Inputs!L38/Inputs!L15</f>
        <v>8.8069492742936795E-2</v>
      </c>
      <c r="M3" s="37"/>
      <c r="N3" s="37"/>
      <c r="O3" s="34"/>
    </row>
    <row r="4" spans="1:15" x14ac:dyDescent="0.35">
      <c r="A4" s="212" t="s">
        <v>1188</v>
      </c>
      <c r="B4" s="37">
        <f t="shared" si="0"/>
        <v>0.11049552486862131</v>
      </c>
      <c r="C4" s="34">
        <f>Inputs!C38/Inputs!C25</f>
        <v>8.0563030922179771E-2</v>
      </c>
      <c r="D4" s="34">
        <f>Inputs!D38/Inputs!D25</f>
        <v>8.5830664123974734E-2</v>
      </c>
      <c r="E4" s="34">
        <f>Inputs!E38/Inputs!E25</f>
        <v>7.3237595082097484E-2</v>
      </c>
      <c r="F4" s="34">
        <f>Inputs!F38/Inputs!F25</f>
        <v>8.098162254063063E-3</v>
      </c>
      <c r="G4" s="34">
        <f>Inputs!G38/Inputs!G25</f>
        <v>0.12940258208885227</v>
      </c>
      <c r="H4" s="34">
        <f>Inputs!H38/Inputs!H25</f>
        <v>0.1257870555038485</v>
      </c>
      <c r="I4" s="34">
        <f>Inputs!I38/Inputs!I25</f>
        <v>0.16643617264680011</v>
      </c>
      <c r="J4" s="34">
        <f>Inputs!J38/Inputs!J25</f>
        <v>0.15884745122912053</v>
      </c>
      <c r="K4" s="34">
        <f>Inputs!K38/Inputs!K25</f>
        <v>0.13777909015103154</v>
      </c>
      <c r="L4" s="34">
        <f>Inputs!L38/Inputs!L25</f>
        <v>0.13897344468424511</v>
      </c>
      <c r="M4" s="34"/>
      <c r="N4" s="34"/>
      <c r="O4" s="34"/>
    </row>
    <row r="5" spans="1:15" x14ac:dyDescent="0.35">
      <c r="A5" s="212" t="s">
        <v>1189</v>
      </c>
      <c r="B5" s="37">
        <f t="shared" si="0"/>
        <v>8.1987617011967065E-2</v>
      </c>
      <c r="C5" s="34">
        <f>Inputs!C48/(Inputs!C25+Inputs!C24)</f>
        <v>6.7946627283263075E-2</v>
      </c>
      <c r="D5" s="34">
        <f>Inputs!D48/(Inputs!D25+Inputs!D24)</f>
        <v>7.7957520473013561E-2</v>
      </c>
      <c r="E5" s="34">
        <f>Inputs!E48/(Inputs!E25+Inputs!E24)</f>
        <v>6.7833269366084567E-2</v>
      </c>
      <c r="F5" s="34">
        <f>Inputs!F48/(Inputs!F25+Inputs!F24)</f>
        <v>7.5892339610724472E-3</v>
      </c>
      <c r="G5" s="34">
        <f>Inputs!G48/(Inputs!G25+Inputs!G24)</f>
        <v>8.068694502967437E-2</v>
      </c>
      <c r="H5" s="34">
        <f>Inputs!H48/(Inputs!H25+Inputs!H24)</f>
        <v>6.900350761552769E-2</v>
      </c>
      <c r="I5" s="34">
        <f>Inputs!I48/(Inputs!I25+Inputs!I24)</f>
        <v>4.2890130626339435E-3</v>
      </c>
      <c r="J5" s="34">
        <f>Inputs!J48/(Inputs!J25+Inputs!J24)</f>
        <v>0.16053831504975455</v>
      </c>
      <c r="K5" s="34">
        <f>Inputs!K48/(Inputs!K25+Inputs!K24)</f>
        <v>0.1259628639678414</v>
      </c>
      <c r="L5" s="34">
        <f>Inputs!L48/(Inputs!L25+Inputs!L24)</f>
        <v>0.15806887431080496</v>
      </c>
      <c r="M5" s="34"/>
      <c r="N5" s="34"/>
      <c r="O5" s="34"/>
    </row>
    <row r="6" spans="1:15" x14ac:dyDescent="0.35">
      <c r="A6" s="212" t="s">
        <v>1190</v>
      </c>
      <c r="B6" s="37">
        <f t="shared" si="0"/>
        <v>7.4883056074873694E-2</v>
      </c>
      <c r="C6" s="34">
        <f>'IC &amp; NOPAT &amp; ROIC '!C23</f>
        <v>5.604067160520354E-2</v>
      </c>
      <c r="D6" s="34">
        <f>'IC &amp; NOPAT &amp; ROIC '!D23</f>
        <v>6.0831048292488983E-2</v>
      </c>
      <c r="E6" s="34">
        <f>'IC &amp; NOPAT &amp; ROIC '!E23</f>
        <v>5.8763974074043088E-2</v>
      </c>
      <c r="F6" s="34">
        <f>'IC &amp; NOPAT &amp; ROIC '!F23</f>
        <v>1.1225251264987307E-2</v>
      </c>
      <c r="G6" s="34">
        <f>'IC &amp; NOPAT &amp; ROIC '!G23</f>
        <v>7.944087081462968E-2</v>
      </c>
      <c r="H6" s="34">
        <f>'IC &amp; NOPAT &amp; ROIC '!H23</f>
        <v>7.4037836556044345E-2</v>
      </c>
      <c r="I6" s="34">
        <f>'IC &amp; NOPAT &amp; ROIC '!I23</f>
        <v>0.11509637074769777</v>
      </c>
      <c r="J6" s="34">
        <f>'IC &amp; NOPAT &amp; ROIC '!J23</f>
        <v>0.11154864303421552</v>
      </c>
      <c r="K6" s="34">
        <f>'IC &amp; NOPAT &amp; ROIC '!K23</f>
        <v>8.9008969739491198E-2</v>
      </c>
      <c r="L6" s="34">
        <f>'IC &amp; NOPAT &amp; ROIC '!L23</f>
        <v>9.2836924619935438E-2</v>
      </c>
      <c r="N6" s="34"/>
      <c r="O6" s="34"/>
    </row>
    <row r="7" spans="1:15" x14ac:dyDescent="0.35">
      <c r="A7" s="212" t="s">
        <v>1191</v>
      </c>
      <c r="B7" s="37">
        <f t="shared" si="0"/>
        <v>8.0312300000000003E-2</v>
      </c>
      <c r="C7" s="34">
        <f>Inputs!C54/100</f>
        <v>6.9375000000000006E-2</v>
      </c>
      <c r="D7" s="34">
        <f>Inputs!D54/100</f>
        <v>8.5821000000000008E-2</v>
      </c>
      <c r="E7" s="34">
        <f>Inputs!E54/100</f>
        <v>8.3143999999999996E-2</v>
      </c>
      <c r="F7" s="34">
        <f>Inputs!F54/100</f>
        <v>7.5525000000000009E-2</v>
      </c>
      <c r="G7" s="34">
        <f>Inputs!G54/100</f>
        <v>6.1285999999999993E-2</v>
      </c>
      <c r="H7" s="34">
        <f>Inputs!H54/100</f>
        <v>8.7287999999999991E-2</v>
      </c>
      <c r="I7" s="34">
        <f>Inputs!I54/100</f>
        <v>8.7331000000000006E-2</v>
      </c>
      <c r="J7" s="34">
        <f>Inputs!J54/100</f>
        <v>9.0797000000000003E-2</v>
      </c>
      <c r="K7" s="34">
        <f>Inputs!K54/100</f>
        <v>8.177799999999999E-2</v>
      </c>
      <c r="L7" s="34">
        <f>Inputs!L54/100</f>
        <v>8.0778000000000003E-2</v>
      </c>
      <c r="M7" s="34"/>
      <c r="N7" s="34"/>
      <c r="O7" s="34"/>
    </row>
    <row r="8" spans="1:15" x14ac:dyDescent="0.35">
      <c r="A8" s="212" t="s">
        <v>1192</v>
      </c>
      <c r="B8" s="37">
        <f t="shared" si="0"/>
        <v>-5.4292439251263144E-3</v>
      </c>
      <c r="C8" s="34">
        <f t="shared" ref="C8:L8" si="1">C6-C7</f>
        <v>-1.3334328394796466E-2</v>
      </c>
      <c r="D8" s="34">
        <f t="shared" si="1"/>
        <v>-2.4989951707511025E-2</v>
      </c>
      <c r="E8" s="34">
        <f t="shared" si="1"/>
        <v>-2.4380025925956908E-2</v>
      </c>
      <c r="F8" s="34">
        <f t="shared" si="1"/>
        <v>-6.4299748735012707E-2</v>
      </c>
      <c r="G8" s="34">
        <f t="shared" si="1"/>
        <v>1.8154870814629687E-2</v>
      </c>
      <c r="H8" s="34">
        <f t="shared" si="1"/>
        <v>-1.3250163443955645E-2</v>
      </c>
      <c r="I8" s="34">
        <f t="shared" si="1"/>
        <v>2.7765370747697762E-2</v>
      </c>
      <c r="J8" s="34">
        <f t="shared" si="1"/>
        <v>2.0751643034215519E-2</v>
      </c>
      <c r="K8" s="34">
        <f t="shared" si="1"/>
        <v>7.2309697394912081E-3</v>
      </c>
      <c r="L8" s="34">
        <f t="shared" si="1"/>
        <v>1.2058924619935435E-2</v>
      </c>
      <c r="M8" s="34"/>
      <c r="N8" s="34"/>
      <c r="O8" s="34"/>
    </row>
    <row r="9" spans="1:15" x14ac:dyDescent="0.35">
      <c r="M9" s="33" t="s">
        <v>1193</v>
      </c>
    </row>
    <row r="10" spans="1:15" s="88" customFormat="1" x14ac:dyDescent="0.35">
      <c r="A10" t="s">
        <v>1194</v>
      </c>
      <c r="B10" s="252">
        <f>AVERAGE(C10:L10)</f>
        <v>40.104799999999997</v>
      </c>
      <c r="C10" s="252">
        <f>Inputs!C38+Inputs!C44+Inputs!C46</f>
        <v>25.651999999999994</v>
      </c>
      <c r="D10" s="252">
        <f>Inputs!D38+Inputs!D44+Inputs!D46</f>
        <v>30.994</v>
      </c>
      <c r="E10" s="252">
        <f>Inputs!E38+Inputs!E44+Inputs!E46</f>
        <v>25.736999999999995</v>
      </c>
      <c r="F10" s="252">
        <f>Inputs!F38+Inputs!F44+Inputs!F46</f>
        <v>-7.0209999999999972</v>
      </c>
      <c r="G10" s="252">
        <f>Inputs!G38+Inputs!G44+Inputs!G46</f>
        <v>36.58</v>
      </c>
      <c r="H10" s="252">
        <f>Inputs!H38+Inputs!H44+Inputs!H46</f>
        <v>35.238</v>
      </c>
      <c r="I10" s="252">
        <f>Inputs!I38+Inputs!I44+Inputs!I46</f>
        <v>70.051999999999992</v>
      </c>
      <c r="J10" s="252">
        <f>Inputs!J38+Inputs!J44+Inputs!J46</f>
        <v>72.885999999999996</v>
      </c>
      <c r="K10" s="252">
        <f>Inputs!K38+Inputs!K44+Inputs!K46</f>
        <v>58.478000000000009</v>
      </c>
      <c r="L10" s="252">
        <f>Inputs!L38+Inputs!L44+Inputs!L46</f>
        <v>52.452000000000005</v>
      </c>
      <c r="M10" s="39">
        <f>SUM(J10:L10)/SUM(C10:E10)-1</f>
        <v>1.2312370270565536</v>
      </c>
    </row>
    <row r="11" spans="1:15" x14ac:dyDescent="0.35">
      <c r="A11" t="s">
        <v>1195</v>
      </c>
      <c r="B11" s="74">
        <f>AVERAGE(C11:L11)</f>
        <v>0.1068262011825432</v>
      </c>
      <c r="C11" s="246">
        <f>C10/Inputs!C25</f>
        <v>0.10196885919059333</v>
      </c>
      <c r="D11" s="246">
        <f>D10/Inputs!D25</f>
        <v>0.11476921367869508</v>
      </c>
      <c r="E11" s="246">
        <f>E10/Inputs!E25</f>
        <v>9.2958326410610179E-2</v>
      </c>
      <c r="F11" s="246">
        <f>F10/Inputs!F25</f>
        <v>-2.6177346770615444E-2</v>
      </c>
      <c r="G11" s="246">
        <f>G10/Inputs!G25</f>
        <v>0.12253867438479422</v>
      </c>
      <c r="H11" s="246">
        <f>H10/Inputs!H25</f>
        <v>0.1041173602801046</v>
      </c>
      <c r="I11" s="246">
        <f>I10/Inputs!I25</f>
        <v>0.17808713690836336</v>
      </c>
      <c r="J11" s="246">
        <f>J10/Inputs!J25</f>
        <v>0.15996014493548788</v>
      </c>
      <c r="K11" s="246">
        <f>K10/Inputs!K25</f>
        <v>0.12160293454053191</v>
      </c>
      <c r="L11" s="246">
        <f>L10/Inputs!L25</f>
        <v>9.843670826686686E-2</v>
      </c>
      <c r="M11" s="34"/>
      <c r="N11" s="34"/>
    </row>
    <row r="13" spans="1:15" x14ac:dyDescent="0.35">
      <c r="A13" s="213" t="s">
        <v>1196</v>
      </c>
      <c r="B13" s="282">
        <f>AVERAGE(C13:L13)</f>
        <v>72.84175409467197</v>
      </c>
      <c r="C13" s="150">
        <f>Inputs!C52/Inputs!C41</f>
        <v>38.897297297297293</v>
      </c>
      <c r="D13" s="150">
        <f>Inputs!D52/Inputs!D41</f>
        <v>39.894009216589858</v>
      </c>
      <c r="E13" s="150">
        <f>Inputs!E52/Inputs!E41</f>
        <v>50.941489361702125</v>
      </c>
      <c r="F13" s="150">
        <f>Inputs!F52/Inputs!F41</f>
        <v>441.3</v>
      </c>
      <c r="G13" s="150">
        <f>Inputs!G52/Inputs!G41</f>
        <v>28.070224719101127</v>
      </c>
      <c r="H13" s="150">
        <f>Inputs!H52/Inputs!H41</f>
        <v>42.461340206185568</v>
      </c>
      <c r="I13" s="150">
        <f>Inputs!I52/Inputs!I41</f>
        <v>26.996632996632997</v>
      </c>
      <c r="J13" s="150">
        <f>Inputs!J52/Inputs!J41</f>
        <v>18.975535168195719</v>
      </c>
      <c r="K13" s="150">
        <f>Inputs!K52/Inputs!K41</f>
        <v>20.640599001663894</v>
      </c>
      <c r="L13" s="150">
        <f>Inputs!L52/Inputs!L41</f>
        <v>20.240412979351031</v>
      </c>
      <c r="M13" s="42"/>
      <c r="N13" s="42"/>
    </row>
    <row r="14" spans="1:15" x14ac:dyDescent="0.35">
      <c r="A14" s="214" t="s">
        <v>1035</v>
      </c>
      <c r="B14" s="150">
        <f>AVERAGE(C14:L14)</f>
        <v>34.794798333780946</v>
      </c>
      <c r="C14" s="150">
        <f>Inputs!C57</f>
        <v>27.881245718303209</v>
      </c>
      <c r="D14" s="150">
        <f>Inputs!D57</f>
        <v>30.14384647384805</v>
      </c>
      <c r="E14" s="150">
        <f>Inputs!E57</f>
        <v>33.226502349707502</v>
      </c>
      <c r="F14" s="150">
        <f>Inputs!F57</f>
        <v>32.493181705916648</v>
      </c>
      <c r="G14" s="150">
        <f>Inputs!G57</f>
        <v>39.282833330612277</v>
      </c>
      <c r="H14" s="150">
        <f>Inputs!H57</f>
        <v>46.989127024280847</v>
      </c>
      <c r="I14" s="150">
        <f>Inputs!I57</f>
        <v>45.853195174805911</v>
      </c>
      <c r="J14" s="150">
        <f>Inputs!J57</f>
        <v>33.542718895470919</v>
      </c>
      <c r="K14" s="150">
        <f>Inputs!K57</f>
        <v>32.128228119179752</v>
      </c>
      <c r="L14" s="150">
        <f>Inputs!L57</f>
        <v>26.407104545684401</v>
      </c>
      <c r="M14" s="42"/>
      <c r="N14" s="42"/>
    </row>
    <row r="15" spans="1:15" x14ac:dyDescent="0.35">
      <c r="A15" s="214" t="s">
        <v>1036</v>
      </c>
      <c r="B15" s="40">
        <f>AVERAGE(C15:L15)</f>
        <v>3.3634773489898651</v>
      </c>
      <c r="C15" s="40">
        <f>Inputs!C58</f>
        <v>2.9053505171574678</v>
      </c>
      <c r="D15" s="40">
        <f>Inputs!D58</f>
        <v>3.024091672611414</v>
      </c>
      <c r="E15" s="40">
        <f>Inputs!E58</f>
        <v>2.9210506503147089</v>
      </c>
      <c r="F15" s="40">
        <f>Inputs!F58</f>
        <v>2.8587159100301349</v>
      </c>
      <c r="G15" s="40">
        <f>Inputs!G58</f>
        <v>3.017784241449665</v>
      </c>
      <c r="H15" s="40">
        <f>Inputs!H58</f>
        <v>3.219343718925185</v>
      </c>
      <c r="I15" s="40">
        <f>Inputs!I58</f>
        <v>3.655780805027407</v>
      </c>
      <c r="J15" s="40">
        <f>Inputs!J58</f>
        <v>3.73147586943962</v>
      </c>
      <c r="K15" s="40">
        <f>Inputs!K58</f>
        <v>3.9000407845460421</v>
      </c>
      <c r="L15" s="40">
        <f>Inputs!L58</f>
        <v>4.4011393203970064</v>
      </c>
      <c r="M15" s="40"/>
      <c r="N15" s="40"/>
    </row>
    <row r="16" spans="1:15" x14ac:dyDescent="0.35">
      <c r="A16" s="215" t="s">
        <v>1197</v>
      </c>
      <c r="B16" s="74">
        <f>AVERAGE(C16:L16)</f>
        <v>0.4423564209623253</v>
      </c>
      <c r="C16" s="74">
        <f>Inputs!C59</f>
        <v>0.43721125136413891</v>
      </c>
      <c r="D16" s="74">
        <f>Inputs!D59</f>
        <v>-8.7643550331434339E-3</v>
      </c>
      <c r="E16" s="74">
        <f>Inputs!E59</f>
        <v>-1.1705734484008129E-2</v>
      </c>
      <c r="F16" s="74">
        <f>Inputs!F59</f>
        <v>-0.48527458999301459</v>
      </c>
      <c r="G16" s="74">
        <f>Inputs!G59</f>
        <v>-0.51994342811700744</v>
      </c>
      <c r="H16" s="74">
        <f>Inputs!H59</f>
        <v>-0.40602138719128311</v>
      </c>
      <c r="I16" s="74">
        <f>Inputs!I59</f>
        <v>0.14643985887683761</v>
      </c>
      <c r="J16" s="74">
        <f>Inputs!J59</f>
        <v>1.0298168224760791</v>
      </c>
      <c r="K16" s="74">
        <f>Inputs!K59</f>
        <v>1.9714701835170521</v>
      </c>
      <c r="L16" s="74">
        <f>Inputs!L59</f>
        <v>2.270335588207602</v>
      </c>
      <c r="M16" s="34"/>
      <c r="N16" s="34"/>
    </row>
    <row r="17" spans="1:14" x14ac:dyDescent="0.35">
      <c r="A17" s="215" t="s">
        <v>1198</v>
      </c>
      <c r="B17" s="74"/>
      <c r="C17" s="315">
        <f>Inputs!C60</f>
        <v>0</v>
      </c>
      <c r="D17" s="315">
        <f>Inputs!D60</f>
        <v>0</v>
      </c>
      <c r="E17" s="315">
        <f>Inputs!E60</f>
        <v>0</v>
      </c>
      <c r="F17" s="315">
        <f>Inputs!F60</f>
        <v>0</v>
      </c>
      <c r="G17" s="315">
        <f>Inputs!G60</f>
        <v>0</v>
      </c>
      <c r="H17" s="315">
        <f>Inputs!H60</f>
        <v>0</v>
      </c>
      <c r="I17" s="315">
        <f>Inputs!I60</f>
        <v>0</v>
      </c>
      <c r="J17" s="315">
        <f>Inputs!J60</f>
        <v>0</v>
      </c>
      <c r="K17" s="315">
        <f>Inputs!K60</f>
        <v>0</v>
      </c>
      <c r="L17" s="315">
        <f>Inputs!L60</f>
        <v>0</v>
      </c>
      <c r="M17" s="34"/>
      <c r="N17" s="34"/>
    </row>
    <row r="18" spans="1:14" x14ac:dyDescent="0.35">
      <c r="A18" s="216" t="s">
        <v>1199</v>
      </c>
      <c r="B18" s="74">
        <f>AVERAGE(C18:L18)</f>
        <v>0.16817264552024067</v>
      </c>
      <c r="C18" s="74">
        <f>Inputs!C61</f>
        <v>0.55009916097375378</v>
      </c>
      <c r="D18" s="74">
        <f>Inputs!D61</f>
        <v>0.36317177528627798</v>
      </c>
      <c r="E18" s="74">
        <f>Inputs!E61</f>
        <v>0.34812339909915008</v>
      </c>
      <c r="F18" s="74">
        <f>Inputs!F61</f>
        <v>8.7266533917621736E-2</v>
      </c>
      <c r="G18" s="74">
        <f>Inputs!G61</f>
        <v>-0.147893686958633</v>
      </c>
      <c r="H18" s="74">
        <f>Inputs!H61</f>
        <v>-0.2008703057360175</v>
      </c>
      <c r="I18" s="74">
        <f>Inputs!I61</f>
        <v>-2.9898949256324969E-2</v>
      </c>
      <c r="J18" s="74">
        <f>Inputs!J61</f>
        <v>0.1876331125241584</v>
      </c>
      <c r="K18" s="74">
        <f>Inputs!K61</f>
        <v>0.28680019842252791</v>
      </c>
      <c r="L18" s="74">
        <f>Inputs!L61</f>
        <v>0.23729521692989211</v>
      </c>
      <c r="M18" s="34"/>
      <c r="N18" s="34"/>
    </row>
    <row r="19" spans="1:14" x14ac:dyDescent="0.35">
      <c r="A19" s="216" t="s">
        <v>1200</v>
      </c>
      <c r="B19" s="74">
        <f>AVERAGE(D19:L19)</f>
        <v>8.8694843193125386E-2</v>
      </c>
      <c r="C19" s="74"/>
      <c r="D19" s="74">
        <f>'Balance Sheet - Standardized'!D118/'Balance Sheet - Standardized'!C118-1</f>
        <v>7.3491356179467004E-2</v>
      </c>
      <c r="E19" s="74">
        <f>'Balance Sheet - Standardized'!E118/'Balance Sheet - Standardized'!D118-1</f>
        <v>2.522078835792696E-2</v>
      </c>
      <c r="F19" s="74">
        <f>'Balance Sheet - Standardized'!F118/'Balance Sheet - Standardized'!E118-1</f>
        <v>-3.1267833536801182E-2</v>
      </c>
      <c r="G19" s="74">
        <f>'Balance Sheet - Standardized'!G118/'Balance Sheet - Standardized'!F118-1</f>
        <v>0.11300515642651798</v>
      </c>
      <c r="H19" s="74">
        <f>'Balance Sheet - Standardized'!H118/'Balance Sheet - Standardized'!G118-1</f>
        <v>0.1337507285992805</v>
      </c>
      <c r="I19" s="74">
        <f>'Balance Sheet - Standardized'!I118/'Balance Sheet - Standardized'!H118-1</f>
        <v>0.16225088271358712</v>
      </c>
      <c r="J19" s="74">
        <f>'Balance Sheet - Standardized'!J118/'Balance Sheet - Standardized'!I118-1</f>
        <v>0.15836210271559237</v>
      </c>
      <c r="K19" s="74">
        <f>'Balance Sheet - Standardized'!K118/'Balance Sheet - Standardized'!J118-1</f>
        <v>5.5397661806952936E-2</v>
      </c>
      <c r="L19" s="74">
        <f>'Balance Sheet - Standardized'!L118/'Balance Sheet - Standardized'!K118-1</f>
        <v>0.10804274547560477</v>
      </c>
      <c r="M19" s="34"/>
      <c r="N19" s="34"/>
    </row>
    <row r="21" spans="1:14" x14ac:dyDescent="0.35">
      <c r="A21" s="217" t="s">
        <v>1201</v>
      </c>
      <c r="B21" s="40">
        <f>AVERAGE(C21:L21)</f>
        <v>2.7851869984130544</v>
      </c>
      <c r="C21" s="40">
        <f>FCF!C12</f>
        <v>1.5170631290027439</v>
      </c>
      <c r="D21" s="40">
        <f>FCF!D12</f>
        <v>3.4232699644660562</v>
      </c>
      <c r="E21" s="40">
        <f>FCF!E12</f>
        <v>1.7965314704790192</v>
      </c>
      <c r="F21" s="40">
        <f>FCF!F12</f>
        <v>-2.0465712303422752</v>
      </c>
      <c r="G21" s="40">
        <f>FCF!G12</f>
        <v>2.4521482368106065</v>
      </c>
      <c r="H21" s="40">
        <f>FCF!H12</f>
        <v>1.5464192080109236</v>
      </c>
      <c r="I21" s="40">
        <f>FCF!I12</f>
        <v>-0.99600806817151655</v>
      </c>
      <c r="J21" s="40">
        <f>FCF!J12</f>
        <v>8.1805879587777977</v>
      </c>
      <c r="K21" s="40">
        <f>FCF!K12</f>
        <v>5.031360987564673</v>
      </c>
      <c r="L21" s="40">
        <f>FCF!L12</f>
        <v>6.9470683275325165</v>
      </c>
      <c r="M21" s="40"/>
      <c r="N21" s="40"/>
    </row>
    <row r="22" spans="1:14" x14ac:dyDescent="0.35">
      <c r="A22" s="217" t="s">
        <v>468</v>
      </c>
      <c r="B22" s="40">
        <f>AVERAGE(C22:L22)</f>
        <v>23.302723611276292</v>
      </c>
      <c r="C22" s="40">
        <f>(Inputs!C15-Inputs!C24-Inputs!C14-Inputs!C26)/Inputs!C40</f>
        <v>11.670997255260749</v>
      </c>
      <c r="D22" s="40">
        <f>(Inputs!D15-Inputs!D24-Inputs!D14-Inputs!D26)/Inputs!D40</f>
        <v>14.037404151860851</v>
      </c>
      <c r="E22" s="40">
        <f>(Inputs!E15-Inputs!E24-Inputs!E14-Inputs!E26)/Inputs!E40</f>
        <v>17.157259561826958</v>
      </c>
      <c r="F22" s="40">
        <f>(Inputs!F15-Inputs!F24-Inputs!F14-Inputs!F26)/Inputs!F40</f>
        <v>16.599444958371883</v>
      </c>
      <c r="G22" s="40">
        <f>(Inputs!G15-Inputs!G24-Inputs!G14-Inputs!G26)/Inputs!G40</f>
        <v>19.062425191050544</v>
      </c>
      <c r="H22" s="40">
        <f>(Inputs!H15-Inputs!H24-Inputs!H14-Inputs!H26)/Inputs!H40</f>
        <v>22.768320436959488</v>
      </c>
      <c r="I22" s="40">
        <f>(Inputs!I15-Inputs!I24-Inputs!I14-Inputs!I26)/Inputs!I40</f>
        <v>27.9231257365606</v>
      </c>
      <c r="J22" s="40">
        <f>(Inputs!J15-Inputs!J24-Inputs!J14-Inputs!J26)/Inputs!J40</f>
        <v>31.170764780329048</v>
      </c>
      <c r="K22" s="40">
        <f>(Inputs!K15-Inputs!K24-Inputs!K14-Inputs!K26)/Inputs!K40</f>
        <v>33.705455205591356</v>
      </c>
      <c r="L22" s="40">
        <f>(Inputs!L15-Inputs!L24-Inputs!L14-Inputs!L26)/Inputs!L40</f>
        <v>38.932038834951456</v>
      </c>
      <c r="M22" s="40"/>
      <c r="N22" s="40"/>
    </row>
    <row r="23" spans="1:14" x14ac:dyDescent="0.35">
      <c r="A23" s="217" t="s">
        <v>1202</v>
      </c>
      <c r="B23" s="246">
        <f>AVERAGE(C23:L23)</f>
        <v>0.20012303770328604</v>
      </c>
      <c r="C23" s="246">
        <f>C22/Inputs!C52</f>
        <v>0.16218728814981587</v>
      </c>
      <c r="D23" s="246">
        <f>D22/Inputs!D52</f>
        <v>0.16215090853483716</v>
      </c>
      <c r="E23" s="246">
        <f>E22/Inputs!E52</f>
        <v>0.17915066891330228</v>
      </c>
      <c r="F23" s="246">
        <f>F22/Inputs!F52</f>
        <v>0.18807438203457832</v>
      </c>
      <c r="G23" s="246">
        <f>G22/Inputs!G52</f>
        <v>0.19075778235815613</v>
      </c>
      <c r="H23" s="246">
        <f>H22/Inputs!H52</f>
        <v>0.13819921357790282</v>
      </c>
      <c r="I23" s="246">
        <f>I22/Inputs!I52</f>
        <v>0.17412774841955972</v>
      </c>
      <c r="J23" s="246">
        <f>J22/Inputs!J52</f>
        <v>0.25117457518395686</v>
      </c>
      <c r="K23" s="246">
        <f>K22/Inputs!K52</f>
        <v>0.27170862721153854</v>
      </c>
      <c r="L23" s="246">
        <f>L22/Inputs!L52</f>
        <v>0.28369918264921268</v>
      </c>
      <c r="M23" s="34"/>
      <c r="N23" s="34"/>
    </row>
    <row r="25" spans="1:14" x14ac:dyDescent="0.35">
      <c r="A25" t="s">
        <v>1203</v>
      </c>
      <c r="B25" s="40">
        <f>AVERAGE(C25:L25)</f>
        <v>1.2870000000000001</v>
      </c>
      <c r="C25" s="40">
        <f>Inputs!C53</f>
        <v>1.1299999999999999</v>
      </c>
      <c r="D25" s="40">
        <f>Inputs!D53</f>
        <v>1.17</v>
      </c>
      <c r="E25" s="40">
        <f>Inputs!E53</f>
        <v>1.21</v>
      </c>
      <c r="F25" s="40">
        <f>Inputs!F53</f>
        <v>1.24</v>
      </c>
      <c r="G25" s="40">
        <f>Inputs!G53</f>
        <v>1.26</v>
      </c>
      <c r="H25" s="40">
        <f>Inputs!H53</f>
        <v>1.3</v>
      </c>
      <c r="I25" s="40">
        <f>Inputs!I53</f>
        <v>1.33</v>
      </c>
      <c r="J25" s="40">
        <f>Inputs!J53</f>
        <v>1.37</v>
      </c>
      <c r="K25" s="40">
        <f>Inputs!K53</f>
        <v>1.41</v>
      </c>
      <c r="L25" s="40">
        <f>Inputs!L53</f>
        <v>1.45</v>
      </c>
      <c r="M25" s="40"/>
      <c r="N25" s="40"/>
    </row>
    <row r="26" spans="1:14" x14ac:dyDescent="0.35">
      <c r="A26" t="s">
        <v>1204</v>
      </c>
      <c r="B26" s="246">
        <f>AVERAGE(C26:L26)</f>
        <v>0.95644416077007666</v>
      </c>
      <c r="C26" s="246">
        <f t="shared" ref="C26:L26" si="2">C25/C29</f>
        <v>0.61081081081081068</v>
      </c>
      <c r="D26" s="246">
        <f t="shared" si="2"/>
        <v>0.53917050691244239</v>
      </c>
      <c r="E26" s="246">
        <f t="shared" si="2"/>
        <v>0.64361702127659581</v>
      </c>
      <c r="F26" s="246">
        <f t="shared" si="2"/>
        <v>6.1999999999999993</v>
      </c>
      <c r="G26" s="246">
        <f t="shared" si="2"/>
        <v>0.3539325842696629</v>
      </c>
      <c r="H26" s="246">
        <f t="shared" si="2"/>
        <v>0.33505154639175261</v>
      </c>
      <c r="I26" s="246">
        <f t="shared" si="2"/>
        <v>0.22390572390572391</v>
      </c>
      <c r="J26" s="246">
        <f t="shared" si="2"/>
        <v>0.20948012232415902</v>
      </c>
      <c r="K26" s="246">
        <f t="shared" si="2"/>
        <v>0.23460898502495839</v>
      </c>
      <c r="L26" s="246">
        <f t="shared" si="2"/>
        <v>0.21386430678466076</v>
      </c>
      <c r="M26" s="34"/>
      <c r="N26" s="34"/>
    </row>
    <row r="27" spans="1:14" x14ac:dyDescent="0.35">
      <c r="A27" t="s">
        <v>1205</v>
      </c>
      <c r="B27" s="246">
        <f>AVERAGE(C27:L27)</f>
        <v>1.1766755923205384E-2</v>
      </c>
      <c r="C27" s="246">
        <f t="shared" ref="C27:L27" si="3">C25/C28</f>
        <v>1.5703168426903835E-2</v>
      </c>
      <c r="D27" s="246">
        <f t="shared" si="3"/>
        <v>1.351507450617997E-2</v>
      </c>
      <c r="E27" s="246">
        <f t="shared" si="3"/>
        <v>1.2634436671191396E-2</v>
      </c>
      <c r="F27" s="246">
        <f t="shared" si="3"/>
        <v>1.4049399501472919E-2</v>
      </c>
      <c r="G27" s="246">
        <f t="shared" si="3"/>
        <v>1.2608826178324827E-2</v>
      </c>
      <c r="H27" s="246">
        <f t="shared" si="3"/>
        <v>7.8907435508345988E-3</v>
      </c>
      <c r="I27" s="246">
        <f t="shared" si="3"/>
        <v>8.2938388625592406E-3</v>
      </c>
      <c r="J27" s="246">
        <f t="shared" si="3"/>
        <v>1.1039484286865433E-2</v>
      </c>
      <c r="K27" s="246">
        <f t="shared" si="3"/>
        <v>1.1366384522370012E-2</v>
      </c>
      <c r="L27" s="246">
        <f t="shared" si="3"/>
        <v>1.05662027253516E-2</v>
      </c>
      <c r="M27" s="34"/>
      <c r="N27" s="34"/>
    </row>
    <row r="28" spans="1:14" x14ac:dyDescent="0.35">
      <c r="A28" t="s">
        <v>1206</v>
      </c>
      <c r="B28" s="40">
        <f>AVERAGE(C28:L28)</f>
        <v>115.298</v>
      </c>
      <c r="C28" s="40">
        <f>Inputs!C52</f>
        <v>71.959999999999994</v>
      </c>
      <c r="D28" s="40">
        <f>Inputs!D52</f>
        <v>86.57</v>
      </c>
      <c r="E28" s="40">
        <f>Inputs!E52</f>
        <v>95.77</v>
      </c>
      <c r="F28" s="40">
        <f>Inputs!F52</f>
        <v>88.26</v>
      </c>
      <c r="G28" s="40">
        <f>Inputs!G52</f>
        <v>99.93</v>
      </c>
      <c r="H28" s="40">
        <f>Inputs!H52</f>
        <v>164.75</v>
      </c>
      <c r="I28" s="40">
        <f>Inputs!I52</f>
        <v>160.36000000000001</v>
      </c>
      <c r="J28" s="40">
        <f>Inputs!J52</f>
        <v>124.1</v>
      </c>
      <c r="K28" s="40">
        <f>Inputs!K52</f>
        <v>124.05</v>
      </c>
      <c r="L28" s="40">
        <f>Inputs!L52</f>
        <v>137.22999999999999</v>
      </c>
      <c r="M28" s="40"/>
      <c r="N28" s="40"/>
    </row>
    <row r="29" spans="1:14" x14ac:dyDescent="0.35">
      <c r="A29" t="s">
        <v>475</v>
      </c>
      <c r="B29" s="40">
        <f>AVERAGE(C29:L29)</f>
        <v>3.8810000000000002</v>
      </c>
      <c r="C29" s="40">
        <f>Inputs!C41</f>
        <v>1.85</v>
      </c>
      <c r="D29" s="40">
        <f>Inputs!D41</f>
        <v>2.17</v>
      </c>
      <c r="E29" s="40">
        <f>Inputs!E41</f>
        <v>1.88</v>
      </c>
      <c r="F29" s="40">
        <f>Inputs!F41</f>
        <v>0.2</v>
      </c>
      <c r="G29" s="40">
        <f>Inputs!G41</f>
        <v>3.56</v>
      </c>
      <c r="H29" s="40">
        <f>Inputs!H41</f>
        <v>3.88</v>
      </c>
      <c r="I29" s="40">
        <f>Inputs!I41</f>
        <v>5.94</v>
      </c>
      <c r="J29" s="40">
        <f>Inputs!J41</f>
        <v>6.54</v>
      </c>
      <c r="K29" s="40">
        <f>Inputs!K41</f>
        <v>6.01</v>
      </c>
      <c r="L29" s="40">
        <f>Inputs!L41</f>
        <v>6.78</v>
      </c>
      <c r="M29" s="40"/>
      <c r="N29" s="40"/>
    </row>
    <row r="30" spans="1:14" x14ac:dyDescent="0.35">
      <c r="A30" s="481" t="s">
        <v>1207</v>
      </c>
      <c r="B30" s="494"/>
      <c r="C30" s="482">
        <f>C29/'Income - GAAP'!C97-1</f>
        <v>-0.16666666666666674</v>
      </c>
      <c r="D30" s="482">
        <f t="shared" ref="D30:L30" si="4">D29/C29-1</f>
        <v>0.17297297297297298</v>
      </c>
      <c r="E30" s="482">
        <f t="shared" si="4"/>
        <v>-0.13364055299539168</v>
      </c>
      <c r="F30" s="482">
        <f t="shared" si="4"/>
        <v>-0.8936170212765957</v>
      </c>
      <c r="G30" s="482">
        <f t="shared" si="4"/>
        <v>16.8</v>
      </c>
      <c r="H30" s="482">
        <f t="shared" si="4"/>
        <v>8.98876404494382E-2</v>
      </c>
      <c r="I30" s="482">
        <f t="shared" si="4"/>
        <v>0.5309278350515465</v>
      </c>
      <c r="J30" s="482">
        <f t="shared" si="4"/>
        <v>0.10101010101010099</v>
      </c>
      <c r="K30" s="482">
        <f t="shared" si="4"/>
        <v>-8.1039755351681952E-2</v>
      </c>
      <c r="L30" s="482">
        <f t="shared" si="4"/>
        <v>0.12811980033277881</v>
      </c>
      <c r="M30" s="40"/>
      <c r="N30" s="40"/>
    </row>
    <row r="31" spans="1:14" x14ac:dyDescent="0.35">
      <c r="A31" s="481" t="s">
        <v>1208</v>
      </c>
      <c r="B31" s="494"/>
      <c r="C31" s="482">
        <f>(C29/'Income - GAAP'!C105)^(1/9)-1</f>
        <v>3.9095834024269749E-2</v>
      </c>
      <c r="D31" s="482">
        <f>(D29/'Income - GAAP'!C104)^(1/9)-1</f>
        <v>-4.2240122741521224E-2</v>
      </c>
      <c r="E31" s="482">
        <f>(E29/'Income - GAAP'!C103)^(1/9)-1</f>
        <v>6.0293494369183964E-2</v>
      </c>
      <c r="F31" s="482">
        <f>(F29/'Income - GAAP'!C102)^(1/9)-1</f>
        <v>-0.22487121103605612</v>
      </c>
      <c r="G31" s="482">
        <f>(G29/'Income - GAAP'!C101)^(1/9)-1</f>
        <v>2.3044833974025014E-2</v>
      </c>
      <c r="H31" s="482">
        <f>(H29/'Income - GAAP'!C100)^(1/9)-1</f>
        <v>1.5446916214749917E-2</v>
      </c>
      <c r="I31" s="482">
        <f>(I29/'Income - GAAP'!C99)^(1/9)-1</f>
        <v>9.2010178210741866E-3</v>
      </c>
      <c r="J31" s="482">
        <f>(J29/'Income - GAAP'!C98)^(1/9)-1</f>
        <v>5.6146575555257261E-2</v>
      </c>
      <c r="K31" s="482">
        <f>(K29/'Income - GAAP'!C97)^(1/9)-1</f>
        <v>0.11701227116620827</v>
      </c>
      <c r="L31" s="482">
        <f>(L29/C29)^(1/9)-1</f>
        <v>0.15524236586981699</v>
      </c>
      <c r="M31" s="40"/>
      <c r="N31" s="40"/>
    </row>
    <row r="32" spans="1:14" x14ac:dyDescent="0.35">
      <c r="A32" s="481" t="s">
        <v>1209</v>
      </c>
      <c r="B32" s="483"/>
      <c r="C32" s="483">
        <f>'Enterprise Value'!$B$51+((C31*100)*'Enterprise Value'!$B$52)</f>
        <v>16.31916680485395</v>
      </c>
      <c r="D32" s="483">
        <f>'Enterprise Value'!$B$51+((D31*100)*'Enterprise Value'!$B$52)</f>
        <v>5.1975451695755126E-2</v>
      </c>
      <c r="E32" s="483">
        <f>'Enterprise Value'!$B$51+((E31*100)*'Enterprise Value'!$B$52)</f>
        <v>20.558698873836793</v>
      </c>
      <c r="F32" s="483">
        <f>'Enterprise Value'!$B$51+((F31*100)*'Enterprise Value'!$B$52)</f>
        <v>-36.474242207211226</v>
      </c>
      <c r="G32" s="483">
        <f>'Enterprise Value'!$B$51+((G31*100)*'Enterprise Value'!$B$52)</f>
        <v>13.108966794805003</v>
      </c>
      <c r="H32" s="483">
        <f>'Enterprise Value'!$B$51+((H31*100)*'Enterprise Value'!$B$52)</f>
        <v>11.589383242949983</v>
      </c>
      <c r="I32" s="483">
        <f>'Enterprise Value'!$B$51+((I31*100)*'Enterprise Value'!$B$52)</f>
        <v>10.340203564214837</v>
      </c>
      <c r="J32" s="483">
        <f>'Enterprise Value'!$B$51+((J31*100)*'Enterprise Value'!$B$52)</f>
        <v>19.729315111051452</v>
      </c>
      <c r="K32" s="483">
        <f>'Enterprise Value'!$B$51+((K31*100)*'Enterprise Value'!$B$52)</f>
        <v>31.902454233241656</v>
      </c>
      <c r="L32" s="483">
        <f>'Enterprise Value'!$B$51+((L31*100)*'Enterprise Value'!$B$52)</f>
        <v>39.548473173963401</v>
      </c>
      <c r="M32" s="40"/>
      <c r="N32" s="40"/>
    </row>
    <row r="33" spans="1:21" x14ac:dyDescent="0.35">
      <c r="A33" s="481" t="s">
        <v>1210</v>
      </c>
      <c r="B33" s="484">
        <f>AVERAGE(C33:L33)</f>
        <v>80.361640759164914</v>
      </c>
      <c r="C33" s="484">
        <f t="shared" ref="C33:L33" si="5">C32*C29</f>
        <v>30.190458588979808</v>
      </c>
      <c r="D33" s="484">
        <f t="shared" si="5"/>
        <v>0.11278673017978862</v>
      </c>
      <c r="E33" s="484">
        <f t="shared" si="5"/>
        <v>38.650353882813171</v>
      </c>
      <c r="F33" s="484">
        <f t="shared" si="5"/>
        <v>-7.2948484414422454</v>
      </c>
      <c r="G33" s="484">
        <f t="shared" si="5"/>
        <v>46.667921789505812</v>
      </c>
      <c r="H33" s="484">
        <f t="shared" si="5"/>
        <v>44.966806982645934</v>
      </c>
      <c r="I33" s="484">
        <f t="shared" si="5"/>
        <v>61.42080917143614</v>
      </c>
      <c r="J33" s="484">
        <f t="shared" si="5"/>
        <v>129.0297208262765</v>
      </c>
      <c r="K33" s="484">
        <f t="shared" si="5"/>
        <v>191.73374994178235</v>
      </c>
      <c r="L33" s="484">
        <f t="shared" si="5"/>
        <v>268.1386481194719</v>
      </c>
      <c r="M33" s="40"/>
      <c r="N33" s="40"/>
    </row>
    <row r="34" spans="1:21" x14ac:dyDescent="0.35">
      <c r="A34" s="504" t="s">
        <v>1211</v>
      </c>
      <c r="B34" s="510"/>
      <c r="C34" s="510">
        <f>C29*(1+C31)^7*'Enterprise Value'!$B$45</f>
        <v>54.443178468120188</v>
      </c>
      <c r="D34" s="510">
        <f>D29*(1+D31)^7*'Enterprise Value'!$B$45</f>
        <v>36.094308710252406</v>
      </c>
      <c r="E34" s="510">
        <f>E29*(1+E31)^7*'Enterprise Value'!$B$45</f>
        <v>63.726936934765078</v>
      </c>
      <c r="F34" s="510">
        <f>F29*(1+F31)^7*'Enterprise Value'!$B$45</f>
        <v>0.75653597518623106</v>
      </c>
      <c r="G34" s="510">
        <f>G29*(1+G31)^7*'Enterprise Value'!$B$45</f>
        <v>93.949653523834058</v>
      </c>
      <c r="H34" s="510">
        <f>H29*(1+H31)^7*'Enterprise Value'!$B$45</f>
        <v>97.188486493009123</v>
      </c>
      <c r="I34" s="510">
        <f>I29*(1+I31)^7*'Enterprise Value'!$B$45</f>
        <v>142.49929707251903</v>
      </c>
      <c r="J34" s="510">
        <f>J29*(1+J31)^7*'Enterprise Value'!$B$45</f>
        <v>215.68981253794237</v>
      </c>
      <c r="K34" s="510">
        <f>K29*(1+K31)^7*'Enterprise Value'!$B$45</f>
        <v>293.40168206956355</v>
      </c>
      <c r="L34" s="510">
        <f>L29*(1+L31)^7*'Enterprise Value'!$B$45</f>
        <v>418.91312056872886</v>
      </c>
      <c r="M34" s="40"/>
      <c r="N34" s="40"/>
    </row>
    <row r="35" spans="1:21" x14ac:dyDescent="0.35">
      <c r="A35" s="504" t="s">
        <v>1212</v>
      </c>
      <c r="B35" s="510"/>
      <c r="C35" s="511">
        <f t="shared" ref="C35:L35" si="6">(C34/C28)^(1/7)-1</f>
        <v>-3.9066822613897823E-2</v>
      </c>
      <c r="D35" s="511">
        <f t="shared" si="6"/>
        <v>-0.11748016931514071</v>
      </c>
      <c r="E35" s="511">
        <f t="shared" si="6"/>
        <v>-5.6530965068647632E-2</v>
      </c>
      <c r="F35" s="511">
        <f t="shared" si="6"/>
        <v>-0.49333177853617494</v>
      </c>
      <c r="G35" s="511">
        <f t="shared" si="6"/>
        <v>-8.7770976670280554E-3</v>
      </c>
      <c r="H35" s="511">
        <f t="shared" si="6"/>
        <v>-7.2624479258000307E-2</v>
      </c>
      <c r="I35" s="511">
        <f t="shared" si="6"/>
        <v>-1.6727686603231984E-2</v>
      </c>
      <c r="J35" s="511">
        <f t="shared" si="6"/>
        <v>8.2166233832246416E-2</v>
      </c>
      <c r="K35" s="511">
        <f t="shared" si="6"/>
        <v>0.13086146238179297</v>
      </c>
      <c r="L35" s="511">
        <f t="shared" si="6"/>
        <v>0.17284135593756633</v>
      </c>
      <c r="M35" s="40"/>
      <c r="N35" s="40"/>
    </row>
    <row r="36" spans="1:21" x14ac:dyDescent="0.35">
      <c r="A36" s="213" t="s">
        <v>1213</v>
      </c>
      <c r="B36" s="213"/>
      <c r="C36" s="512">
        <f>(I28/C28)^(1/7)-1</f>
        <v>0.12128234659986159</v>
      </c>
      <c r="D36" s="512">
        <f>(J28/D28)^(1/7)-1</f>
        <v>5.279419244943262E-2</v>
      </c>
      <c r="E36" s="512">
        <f>(K28/E28)^(1/7)-1</f>
        <v>3.7653771079776854E-2</v>
      </c>
      <c r="F36" s="512">
        <f>(L28/F28)^(1/7)-1</f>
        <v>6.508333986215753E-2</v>
      </c>
      <c r="G36" s="213"/>
      <c r="H36" s="213"/>
      <c r="I36" s="213"/>
      <c r="J36" s="213"/>
      <c r="K36" s="213"/>
      <c r="L36" s="213"/>
      <c r="M36" s="40"/>
      <c r="N36" s="40"/>
    </row>
    <row r="37" spans="1:21" x14ac:dyDescent="0.35">
      <c r="B37" s="40"/>
      <c r="C37" s="40"/>
      <c r="D37" s="40"/>
      <c r="E37" s="40"/>
      <c r="F37" s="40"/>
      <c r="G37" s="40"/>
      <c r="H37" s="40"/>
      <c r="I37" s="40"/>
      <c r="J37" s="40"/>
      <c r="K37" s="40"/>
      <c r="L37" s="40"/>
      <c r="M37" s="40"/>
      <c r="N37" s="40"/>
    </row>
    <row r="38" spans="1:21" x14ac:dyDescent="0.35">
      <c r="B38" s="40"/>
      <c r="C38" s="40"/>
      <c r="D38" s="40"/>
      <c r="E38" s="40"/>
      <c r="F38" s="40"/>
      <c r="G38" s="40"/>
      <c r="H38" s="40"/>
      <c r="I38" s="40"/>
      <c r="J38" s="40"/>
      <c r="K38" s="40"/>
      <c r="L38" s="40"/>
      <c r="M38" s="40"/>
      <c r="N38" s="40"/>
    </row>
    <row r="39" spans="1:21" x14ac:dyDescent="0.35">
      <c r="A39" t="s">
        <v>324</v>
      </c>
      <c r="B39" s="74">
        <f>AVERAGE(C39:L39)</f>
        <v>0.28890996198936192</v>
      </c>
      <c r="C39" s="74">
        <f>(Inputs!C31-Inputs!C32)/Inputs!C31</f>
        <v>0.28778046943229318</v>
      </c>
      <c r="D39" s="74">
        <f>(Inputs!D31-Inputs!D32)/Inputs!D31</f>
        <v>0.27995405272353446</v>
      </c>
      <c r="E39" s="74">
        <f>(Inputs!E31-Inputs!E32)/Inputs!E31</f>
        <v>0.27653937794980882</v>
      </c>
      <c r="F39" s="74">
        <f>(Inputs!F31-Inputs!F32)/Inputs!F31</f>
        <v>0.25808427462213335</v>
      </c>
      <c r="G39" s="74">
        <f>(Inputs!G31-Inputs!G32)/Inputs!G31</f>
        <v>0.32135152899143027</v>
      </c>
      <c r="H39" s="74">
        <f>(Inputs!H31-Inputs!H32)/Inputs!H31</f>
        <v>0.26461033813327317</v>
      </c>
      <c r="I39" s="74">
        <f>(Inputs!I31-Inputs!I32)/Inputs!I31</f>
        <v>0.25842336550575223</v>
      </c>
      <c r="J39" s="74">
        <f>(Inputs!J31-Inputs!J32)/Inputs!J31</f>
        <v>0.31600661045210976</v>
      </c>
      <c r="K39" s="74">
        <f>(Inputs!K31-Inputs!K32)/Inputs!K31</f>
        <v>0.31471451585803373</v>
      </c>
      <c r="L39" s="74">
        <f>(Inputs!L31-Inputs!L32)/Inputs!L31</f>
        <v>0.31163508622525016</v>
      </c>
      <c r="M39" s="40"/>
      <c r="N39" s="40"/>
    </row>
    <row r="40" spans="1:21" x14ac:dyDescent="0.35">
      <c r="A40" t="s">
        <v>326</v>
      </c>
      <c r="B40" s="74">
        <f>AVERAGE(C40:L40)</f>
        <v>9.6872203205143767E-2</v>
      </c>
      <c r="C40" s="74">
        <f>Inputs!C34/Inputs!C31</f>
        <v>6.6565197100758894E-2</v>
      </c>
      <c r="D40" s="74">
        <f>Inputs!D34/Inputs!D31</f>
        <v>7.7610355512225254E-2</v>
      </c>
      <c r="E40" s="74">
        <f>Inputs!E34/Inputs!E31</f>
        <v>7.0408340256159788E-2</v>
      </c>
      <c r="F40" s="74">
        <f>Inputs!F34/Inputs!F31</f>
        <v>1.3770289502603181E-2</v>
      </c>
      <c r="G40" s="74">
        <f>Inputs!G34/Inputs!G31</f>
        <v>0.11418351267769417</v>
      </c>
      <c r="H40" s="74">
        <f>Inputs!H34/Inputs!H31</f>
        <v>9.5318208883705693E-2</v>
      </c>
      <c r="I40" s="74">
        <f>Inputs!I34/Inputs!I31</f>
        <v>0.12279449829580028</v>
      </c>
      <c r="J40" s="74">
        <f>Inputs!J34/Inputs!J31</f>
        <v>0.15158941615585003</v>
      </c>
      <c r="K40" s="74">
        <f>Inputs!K34/Inputs!K31</f>
        <v>0.12619219403235851</v>
      </c>
      <c r="L40" s="74">
        <f>Inputs!L34/Inputs!L31</f>
        <v>0.13029001963428191</v>
      </c>
      <c r="M40" s="40"/>
      <c r="N40" s="40"/>
    </row>
    <row r="41" spans="1:21" x14ac:dyDescent="0.35">
      <c r="A41" t="s">
        <v>1214</v>
      </c>
      <c r="B41" s="74">
        <f>AVERAGE(C41:L41)</f>
        <v>0.29729222815004874</v>
      </c>
      <c r="C41" s="74">
        <f>(Inputs!C48-Inputs!C44)/Inputs!C39</f>
        <v>0.80149997532935313</v>
      </c>
      <c r="D41" s="74">
        <f>(Inputs!D48-Inputs!D44)/Inputs!D39</f>
        <v>0.98239786013201602</v>
      </c>
      <c r="E41" s="74">
        <f>(Inputs!E48-Inputs!E44)/Inputs!E39</f>
        <v>0.85910144498693086</v>
      </c>
      <c r="F41" s="74">
        <f>(Inputs!F48-Inputs!F44)/Inputs!F39</f>
        <v>-4.7058011049723758</v>
      </c>
      <c r="G41" s="74">
        <f>(Inputs!G48-Inputs!G44)/Inputs!G39</f>
        <v>0.68958554453907683</v>
      </c>
      <c r="H41" s="74">
        <f>(Inputs!H48-Inputs!H44)/Inputs!H39</f>
        <v>0.58233110964953494</v>
      </c>
      <c r="I41" s="74">
        <f>(Inputs!I48-Inputs!I44)/Inputs!I39</f>
        <v>-0.26165055216972927</v>
      </c>
      <c r="J41" s="74">
        <f>(Inputs!J48-Inputs!J44)/Inputs!J39</f>
        <v>1.3874880835601486</v>
      </c>
      <c r="K41" s="74">
        <f>(Inputs!K48-Inputs!K44)/Inputs!K39</f>
        <v>1.1253301537950706</v>
      </c>
      <c r="L41" s="74">
        <f>(Inputs!L48-Inputs!L44)/Inputs!L39</f>
        <v>1.5126397666504616</v>
      </c>
      <c r="M41" s="40"/>
      <c r="N41" s="40"/>
    </row>
    <row r="42" spans="1:21" x14ac:dyDescent="0.35">
      <c r="A42" t="s">
        <v>472</v>
      </c>
      <c r="B42" s="316">
        <f>AVERAGE(C42:L42)</f>
        <v>16.888480998132952</v>
      </c>
      <c r="C42" s="150">
        <f>Inputs!C34/Inputs!C35</f>
        <v>7.2353188802357398</v>
      </c>
      <c r="D42" s="150">
        <f>Inputs!D34/Inputs!D35</f>
        <v>8.4509144418751312</v>
      </c>
      <c r="E42" s="150">
        <f>Inputs!E34/Inputs!E35</f>
        <v>8.2276509494346062</v>
      </c>
      <c r="F42" s="150">
        <f>Inputs!F34/Inputs!F35</f>
        <v>1.2827774281518773</v>
      </c>
      <c r="G42" s="150">
        <f>Inputs!G34/Inputs!G35</f>
        <v>11.38936751418365</v>
      </c>
      <c r="H42" s="150">
        <f>Inputs!H34/Inputs!H35</f>
        <v>11.388549778993895</v>
      </c>
      <c r="I42" s="150">
        <f>Inputs!I34/Inputs!I35</f>
        <v>22.169828999765752</v>
      </c>
      <c r="J42" s="150">
        <f>Inputs!J34/Inputs!J35</f>
        <v>26.975712777191131</v>
      </c>
      <c r="K42" s="150">
        <f>Inputs!K34/Inputs!K35</f>
        <v>23.688311688311689</v>
      </c>
      <c r="L42" s="150">
        <f>Inputs!L34/Inputs!L35</f>
        <v>48.076377523186032</v>
      </c>
      <c r="M42" s="40"/>
      <c r="N42" s="40"/>
    </row>
    <row r="43" spans="1:21" ht="15.75" customHeight="1" thickBot="1" x14ac:dyDescent="0.4">
      <c r="B43" s="40"/>
      <c r="C43" s="40"/>
      <c r="D43" s="40"/>
      <c r="E43" s="40"/>
      <c r="F43" s="40"/>
      <c r="G43" s="40"/>
      <c r="H43" s="40"/>
      <c r="I43" s="40"/>
      <c r="J43" s="40"/>
      <c r="K43" s="40"/>
      <c r="L43" s="40"/>
      <c r="M43" s="40"/>
      <c r="N43" s="40"/>
    </row>
    <row r="44" spans="1:21" x14ac:dyDescent="0.35">
      <c r="A44" s="276" t="s">
        <v>1215</v>
      </c>
      <c r="B44" s="247"/>
      <c r="C44" s="40"/>
      <c r="D44" s="40"/>
      <c r="E44" s="40"/>
      <c r="F44" s="40"/>
      <c r="G44" s="40"/>
      <c r="H44" s="40"/>
      <c r="I44" s="40"/>
      <c r="J44" s="40"/>
      <c r="K44" s="40"/>
      <c r="L44" s="40"/>
      <c r="M44" s="40"/>
    </row>
    <row r="45" spans="1:21" x14ac:dyDescent="0.35">
      <c r="A45" s="248" t="s">
        <v>1216</v>
      </c>
      <c r="B45" s="275">
        <v>0.12</v>
      </c>
      <c r="C45" s="38"/>
      <c r="D45" s="38"/>
      <c r="E45" s="38"/>
      <c r="F45" s="38"/>
      <c r="G45" s="38"/>
      <c r="H45" s="38"/>
      <c r="I45" s="38"/>
      <c r="J45" s="38"/>
      <c r="K45" s="38"/>
      <c r="L45" s="38"/>
      <c r="M45" s="38"/>
      <c r="N45" s="38"/>
      <c r="O45" s="38"/>
      <c r="P45" s="38"/>
      <c r="Q45" s="38"/>
      <c r="R45" s="38"/>
      <c r="S45" s="38"/>
      <c r="T45" s="38"/>
      <c r="U45" s="38"/>
    </row>
    <row r="46" spans="1:21" x14ac:dyDescent="0.35">
      <c r="A46" s="265" t="s">
        <v>1217</v>
      </c>
      <c r="B46" s="251">
        <f>'Enterprise Value'!B19</f>
        <v>1248.4079540718367</v>
      </c>
      <c r="C46" s="38"/>
      <c r="D46" s="38"/>
      <c r="E46" s="38"/>
      <c r="F46" s="38"/>
      <c r="G46" s="38"/>
      <c r="H46" s="38"/>
      <c r="I46" s="38"/>
      <c r="J46" s="38"/>
      <c r="K46" s="38"/>
      <c r="L46" s="38"/>
      <c r="M46" s="38"/>
      <c r="N46" s="38"/>
      <c r="O46" s="38"/>
      <c r="P46" s="38"/>
      <c r="Q46" s="38"/>
      <c r="R46" s="38"/>
      <c r="S46" s="38"/>
      <c r="T46" s="38"/>
      <c r="U46" s="38"/>
    </row>
    <row r="47" spans="1:21" x14ac:dyDescent="0.35">
      <c r="A47" s="266" t="s">
        <v>1218</v>
      </c>
      <c r="B47" s="251">
        <f>'Enterprise Value'!B20</f>
        <v>120.72410347856463</v>
      </c>
      <c r="C47" s="38"/>
      <c r="D47" s="38"/>
      <c r="E47" s="38"/>
      <c r="F47" s="38"/>
      <c r="G47" s="38"/>
      <c r="H47" s="38"/>
      <c r="I47" s="38"/>
      <c r="J47" s="38"/>
      <c r="K47" s="38"/>
      <c r="L47" s="38"/>
      <c r="M47" s="38"/>
      <c r="N47" s="38"/>
      <c r="O47" s="38"/>
      <c r="P47" s="38"/>
      <c r="Q47" s="38"/>
      <c r="R47" s="38"/>
      <c r="S47" s="38"/>
      <c r="T47" s="38"/>
      <c r="U47" s="38"/>
    </row>
    <row r="48" spans="1:21" x14ac:dyDescent="0.35">
      <c r="A48" s="248"/>
      <c r="B48" s="250"/>
      <c r="C48" s="38"/>
      <c r="D48" s="38"/>
      <c r="E48" s="38"/>
      <c r="F48" s="38"/>
      <c r="G48" s="38"/>
      <c r="H48" s="38"/>
      <c r="I48" s="38"/>
      <c r="J48" s="38"/>
      <c r="K48" s="38"/>
      <c r="L48" s="38"/>
      <c r="M48" s="38"/>
      <c r="N48" s="38"/>
      <c r="O48" s="38"/>
      <c r="P48" s="38"/>
      <c r="Q48" s="38"/>
      <c r="R48" s="38"/>
      <c r="S48" s="38"/>
      <c r="T48" s="38"/>
      <c r="U48" s="38"/>
    </row>
    <row r="49" spans="1:21" ht="15.75" customHeight="1" thickBot="1" x14ac:dyDescent="0.4">
      <c r="A49" s="420" t="s">
        <v>1219</v>
      </c>
      <c r="B49" s="421">
        <f>'Enterprise Value'!B25</f>
        <v>1360.72776</v>
      </c>
      <c r="C49" s="38"/>
      <c r="D49" s="38"/>
      <c r="E49" s="38"/>
      <c r="F49" s="38"/>
      <c r="G49" s="38"/>
      <c r="H49" s="38"/>
      <c r="I49" s="38"/>
      <c r="J49" s="38"/>
      <c r="K49" s="38"/>
      <c r="L49" s="38"/>
      <c r="M49" s="38"/>
      <c r="N49" s="38"/>
      <c r="O49" s="38"/>
      <c r="P49" s="38"/>
      <c r="Q49" s="38"/>
      <c r="R49" s="38"/>
      <c r="S49" s="38"/>
      <c r="T49" s="38"/>
      <c r="U49" s="38"/>
    </row>
    <row r="50" spans="1:21" x14ac:dyDescent="0.35">
      <c r="C50" s="38"/>
      <c r="D50" s="38"/>
      <c r="E50" s="38"/>
      <c r="F50" s="38"/>
      <c r="G50" s="38"/>
      <c r="H50" s="38"/>
      <c r="I50" s="38"/>
      <c r="J50" s="38"/>
      <c r="K50" s="38"/>
      <c r="L50" s="38"/>
      <c r="M50" s="38"/>
      <c r="N50" s="38"/>
      <c r="O50" s="38"/>
      <c r="P50" s="38"/>
      <c r="Q50" s="38"/>
      <c r="R50" s="38"/>
      <c r="S50" s="38"/>
      <c r="T50" s="38"/>
      <c r="U50" s="38"/>
    </row>
    <row r="51" spans="1:21" x14ac:dyDescent="0.35">
      <c r="A51" s="283" t="s">
        <v>478</v>
      </c>
      <c r="B51" s="258">
        <f>Inputs!B63</f>
        <v>115.36</v>
      </c>
      <c r="J51" s="33" t="s">
        <v>1220</v>
      </c>
    </row>
    <row r="52" spans="1:21" x14ac:dyDescent="0.35">
      <c r="A52" s="283" t="s">
        <v>1040</v>
      </c>
      <c r="B52" s="258">
        <f>Inputs!B64</f>
        <v>4.8237518707314004</v>
      </c>
      <c r="D52" s="33" t="s">
        <v>3</v>
      </c>
      <c r="I52" s="218"/>
      <c r="J52" s="218"/>
      <c r="K52" s="218"/>
      <c r="L52" s="218"/>
      <c r="M52" s="218"/>
    </row>
    <row r="53" spans="1:21" x14ac:dyDescent="0.35">
      <c r="A53" s="283" t="s">
        <v>1041</v>
      </c>
      <c r="B53" s="274">
        <f>Inputs!B65</f>
        <v>23.68695634891257</v>
      </c>
      <c r="D53" t="b">
        <f>IF(AND('Balance Sheet - Standardized'!N1=0,'Income - GAAP'!N1=0,'Cash Flow - Standardized'!N1=0,'Last Quarter BS Standardized'!L1=0,'Last Quarter IS Standardized'!L1=0,'Last Quarter CF Standardized'!H1=0),FALSE,TRUE)</f>
        <v>0</v>
      </c>
      <c r="I53" s="218"/>
      <c r="J53" s="290">
        <f>YEAR(L2)</f>
        <v>2025</v>
      </c>
      <c r="K53" s="290">
        <f>J53+1</f>
        <v>2026</v>
      </c>
      <c r="L53" s="290">
        <f>K53+1</f>
        <v>2027</v>
      </c>
      <c r="M53" s="220"/>
    </row>
    <row r="54" spans="1:21" x14ac:dyDescent="0.35">
      <c r="A54" s="219" t="s">
        <v>1042</v>
      </c>
      <c r="B54" s="274">
        <f>Inputs!B66</f>
        <v>29.462582106736129</v>
      </c>
      <c r="I54" s="218" t="s">
        <v>802</v>
      </c>
      <c r="J54" s="221"/>
      <c r="K54" s="221">
        <f>'All Ratios'!L4</f>
        <v>676.36800000000005</v>
      </c>
      <c r="L54" s="222">
        <f>K54</f>
        <v>676.36800000000005</v>
      </c>
      <c r="M54" s="223"/>
    </row>
    <row r="55" spans="1:21" x14ac:dyDescent="0.35">
      <c r="A55" s="219" t="s">
        <v>479</v>
      </c>
      <c r="B55" s="258">
        <f>Inputs!B67</f>
        <v>142.12018555394579</v>
      </c>
      <c r="I55" s="218" t="s">
        <v>1032</v>
      </c>
      <c r="J55" s="224"/>
      <c r="K55" s="225">
        <f>L25</f>
        <v>1.45</v>
      </c>
      <c r="L55" s="225">
        <f>K55</f>
        <v>1.45</v>
      </c>
      <c r="M55" s="218"/>
    </row>
    <row r="56" spans="1:21" x14ac:dyDescent="0.35">
      <c r="A56" s="219" t="s">
        <v>1043</v>
      </c>
      <c r="B56" s="258">
        <f>Inputs!B68</f>
        <v>153.075449008162</v>
      </c>
      <c r="I56" s="218" t="s">
        <v>1221</v>
      </c>
      <c r="J56" s="225">
        <f>L22</f>
        <v>38.932038834951456</v>
      </c>
      <c r="K56" s="225">
        <f>K57-K55</f>
        <v>5.33</v>
      </c>
      <c r="L56" s="225">
        <f>L57-L55</f>
        <v>5.33</v>
      </c>
      <c r="M56" s="218"/>
    </row>
    <row r="57" spans="1:21" x14ac:dyDescent="0.35">
      <c r="A57" s="219" t="s">
        <v>1044</v>
      </c>
      <c r="B57" s="259">
        <f>Inputs!B69</f>
        <v>0.3397116139345524</v>
      </c>
      <c r="I57" s="218" t="s">
        <v>1222</v>
      </c>
      <c r="J57" s="224"/>
      <c r="K57" s="225">
        <f>L29</f>
        <v>6.78</v>
      </c>
      <c r="L57" s="225">
        <f>L54/K54*K57</f>
        <v>6.78</v>
      </c>
      <c r="M57" s="218"/>
    </row>
    <row r="58" spans="1:21" x14ac:dyDescent="0.35">
      <c r="A58" s="219" t="s">
        <v>483</v>
      </c>
      <c r="B58" s="259">
        <f>Inputs!B70</f>
        <v>7.3186630083052373E-2</v>
      </c>
      <c r="I58" s="218" t="s">
        <v>1189</v>
      </c>
      <c r="J58" s="218"/>
      <c r="K58" s="335">
        <f>K57/J56</f>
        <v>0.17414962593516212</v>
      </c>
      <c r="L58" s="335">
        <f>L57/(J56+K56)</f>
        <v>0.15317866457263563</v>
      </c>
      <c r="M58" s="218"/>
    </row>
    <row r="59" spans="1:21" x14ac:dyDescent="0.35">
      <c r="A59" s="219" t="s">
        <v>484</v>
      </c>
      <c r="B59" s="259">
        <f>Inputs!B71</f>
        <v>5.0023693499823503E-2</v>
      </c>
      <c r="I59" s="218"/>
      <c r="J59" s="218"/>
      <c r="K59" s="226"/>
      <c r="L59" s="226"/>
      <c r="M59" s="218"/>
    </row>
    <row r="60" spans="1:21" x14ac:dyDescent="0.35">
      <c r="A60" s="219" t="s">
        <v>1045</v>
      </c>
      <c r="B60" s="259">
        <f>Inputs!B72</f>
        <v>1.9444444444444441E-2</v>
      </c>
      <c r="I60" s="218" t="s">
        <v>1223</v>
      </c>
      <c r="J60" s="218"/>
      <c r="K60" s="226"/>
      <c r="L60" s="226">
        <v>7.0000000000000007E-2</v>
      </c>
      <c r="M60" s="218" t="s">
        <v>1224</v>
      </c>
    </row>
    <row r="61" spans="1:21" x14ac:dyDescent="0.35">
      <c r="A61" s="218" t="s">
        <v>480</v>
      </c>
      <c r="B61" s="259">
        <f>Inputs!B73</f>
        <v>2.8793433306053742</v>
      </c>
      <c r="I61" s="218" t="s">
        <v>1225</v>
      </c>
      <c r="J61" s="218"/>
      <c r="K61" s="226"/>
      <c r="L61" s="226"/>
      <c r="M61" s="227">
        <v>0</v>
      </c>
    </row>
    <row r="62" spans="1:21" x14ac:dyDescent="0.35">
      <c r="A62" s="218" t="s">
        <v>481</v>
      </c>
      <c r="B62" s="259" t="str">
        <f>Inputs!B74</f>
        <v>P</v>
      </c>
      <c r="I62" s="218"/>
      <c r="J62" s="218"/>
      <c r="K62" s="226"/>
      <c r="L62" s="226"/>
      <c r="M62" s="218"/>
    </row>
    <row r="63" spans="1:21" x14ac:dyDescent="0.35">
      <c r="A63" s="218" t="s">
        <v>482</v>
      </c>
      <c r="B63" s="259">
        <f>Inputs!B75</f>
        <v>0.2492876956646464</v>
      </c>
      <c r="I63" s="218" t="s">
        <v>1226</v>
      </c>
      <c r="J63" s="225">
        <f>J56+(K57/(1+L60))+(K56/(1+L60))+(L57/(1+L60)^2)+L56/((L60-M61)*(1+L60)^2)</f>
        <v>122.6778307319356</v>
      </c>
      <c r="K63" s="218"/>
      <c r="L63" s="218"/>
      <c r="M63" s="218"/>
    </row>
    <row r="64" spans="1:21" x14ac:dyDescent="0.35">
      <c r="A64" s="210" t="s">
        <v>1227</v>
      </c>
      <c r="B64" s="113">
        <f>B6-_xlfn.STDEV.P(C6:L6)</f>
        <v>4.5952998797257866E-2</v>
      </c>
      <c r="I64" s="218" t="s">
        <v>1031</v>
      </c>
      <c r="J64" s="228">
        <f>B51</f>
        <v>115.36</v>
      </c>
      <c r="K64" s="218"/>
      <c r="L64" s="218"/>
      <c r="M64" s="218"/>
    </row>
    <row r="65" spans="9:13" x14ac:dyDescent="0.35">
      <c r="I65" s="218" t="s">
        <v>1228</v>
      </c>
      <c r="J65" s="226">
        <f>(J63-J64)/J63</f>
        <v>5.9650799890045798E-2</v>
      </c>
      <c r="K65" s="218"/>
      <c r="L65" s="218"/>
      <c r="M65" s="218"/>
    </row>
    <row r="66" spans="9:13" x14ac:dyDescent="0.35">
      <c r="I66" s="218"/>
      <c r="J66" s="218"/>
      <c r="K66" s="218"/>
      <c r="L66" s="218"/>
      <c r="M66" s="218"/>
    </row>
    <row r="68" spans="9:13" x14ac:dyDescent="0.35">
      <c r="I68" s="218" t="s">
        <v>1229</v>
      </c>
    </row>
    <row r="69" spans="9:13" x14ac:dyDescent="0.35">
      <c r="I69" s="229"/>
    </row>
  </sheetData>
  <conditionalFormatting sqref="A8 C8:N8">
    <cfRule type="cellIs" dxfId="6" priority="12" operator="lessThan">
      <formula>0</formula>
    </cfRule>
  </conditionalFormatting>
  <conditionalFormatting sqref="A10:L11">
    <cfRule type="cellIs" dxfId="5" priority="8" operator="lessThan">
      <formula>0</formula>
    </cfRule>
  </conditionalFormatting>
  <conditionalFormatting sqref="B10:L11">
    <cfRule type="cellIs" dxfId="4" priority="9" operator="greaterThan">
      <formula>0</formula>
    </cfRule>
  </conditionalFormatting>
  <conditionalFormatting sqref="C8:N8 A8:A12">
    <cfRule type="cellIs" dxfId="3" priority="13" operator="greaterThan">
      <formula>0</formula>
    </cfRule>
  </conditionalFormatting>
  <conditionalFormatting sqref="D53">
    <cfRule type="cellIs" dxfId="2" priority="1" operator="equal">
      <formula>FALSE</formula>
    </cfRule>
    <cfRule type="cellIs" dxfId="1" priority="2" operator="equal">
      <formula>TRUE</formula>
    </cfRule>
    <cfRule type="containsErrors" dxfId="0" priority="3">
      <formula>ISERROR(D53)</formula>
    </cfRule>
  </conditionalFormatting>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L30"/>
  <sheetViews>
    <sheetView workbookViewId="0"/>
  </sheetViews>
  <sheetFormatPr defaultRowHeight="14.5" x14ac:dyDescent="0.35"/>
  <cols>
    <col min="1" max="1" width="16.26953125" customWidth="1"/>
    <col min="2" max="2" width="17.453125" bestFit="1" customWidth="1"/>
    <col min="3" max="3" width="17.453125" customWidth="1"/>
    <col min="4" max="4" width="15" bestFit="1" customWidth="1"/>
    <col min="5" max="5" width="15.26953125" bestFit="1" customWidth="1"/>
    <col min="6" max="6" width="16.26953125" bestFit="1" customWidth="1"/>
    <col min="7" max="7" width="14.81640625" customWidth="1"/>
    <col min="8" max="8" width="14.7265625" bestFit="1" customWidth="1"/>
    <col min="9" max="9" width="16" customWidth="1"/>
    <col min="10" max="10" width="17.453125" customWidth="1"/>
    <col min="11" max="11" width="15.453125" customWidth="1"/>
    <col min="12" max="12" width="13.81640625" bestFit="1" customWidth="1"/>
    <col min="16" max="16" width="16.26953125" bestFit="1" customWidth="1"/>
  </cols>
  <sheetData>
    <row r="1" spans="1:12" ht="30" customHeight="1" x14ac:dyDescent="0.35">
      <c r="A1" s="235" t="s">
        <v>1230</v>
      </c>
      <c r="B1" s="235" t="s">
        <v>1231</v>
      </c>
      <c r="C1" s="235" t="s">
        <v>1040</v>
      </c>
      <c r="D1" s="235" t="s">
        <v>1035</v>
      </c>
      <c r="E1" s="235" t="s">
        <v>1232</v>
      </c>
      <c r="F1" s="235" t="s">
        <v>1233</v>
      </c>
      <c r="K1" s="562" t="s">
        <v>1109</v>
      </c>
    </row>
    <row r="2" spans="1:12" x14ac:dyDescent="0.35">
      <c r="A2" s="267">
        <f>'Final Metrics'!B51</f>
        <v>115.36</v>
      </c>
      <c r="B2" s="268">
        <f>'Income - GAAP'!C106/100</f>
        <v>4.6761999999999998E-2</v>
      </c>
      <c r="C2" s="40">
        <f>'Final Metrics'!B52</f>
        <v>4.8237518707314004</v>
      </c>
      <c r="D2" s="42">
        <f>A2/C2</f>
        <v>23.914994612380127</v>
      </c>
      <c r="E2" s="150">
        <f>'Final Metrics'!B54</f>
        <v>29.462582106736129</v>
      </c>
      <c r="F2" s="95">
        <f>'Income - GAAP'!L71/B2</f>
        <v>144.98952140627006</v>
      </c>
      <c r="K2" s="562" t="s">
        <v>1234</v>
      </c>
      <c r="L2" s="562"/>
    </row>
    <row r="3" spans="1:12" x14ac:dyDescent="0.35">
      <c r="K3" s="562" t="s">
        <v>1235</v>
      </c>
      <c r="L3" s="562">
        <f>'Final Metrics'!L31</f>
        <v>0.15524236586981699</v>
      </c>
    </row>
    <row r="4" spans="1:12" s="230" customFormat="1" ht="30" customHeight="1" x14ac:dyDescent="0.35">
      <c r="A4" s="235" t="s">
        <v>1236</v>
      </c>
      <c r="B4" s="235" t="s">
        <v>1237</v>
      </c>
      <c r="C4" s="235" t="s">
        <v>1238</v>
      </c>
      <c r="D4" s="235" t="s">
        <v>1239</v>
      </c>
      <c r="K4" s="562" t="s">
        <v>1240</v>
      </c>
      <c r="L4" s="562">
        <f>C5*A14</f>
        <v>1.0601833951226767E-2</v>
      </c>
    </row>
    <row r="5" spans="1:12" x14ac:dyDescent="0.35">
      <c r="A5" s="74">
        <f>'Income - GAAP'!L71/A2</f>
        <v>5.8772538141470182E-2</v>
      </c>
      <c r="B5" s="74">
        <f>'Final Metrics'!L31</f>
        <v>0.15524236586981699</v>
      </c>
      <c r="C5" s="74">
        <f>Inputs!M119</f>
        <v>9.5948084448056165E-2</v>
      </c>
      <c r="D5" s="74">
        <f>1-'Final Metrics'!B26</f>
        <v>4.3555839229923343E-2</v>
      </c>
      <c r="K5" s="562" t="s">
        <v>1241</v>
      </c>
      <c r="L5" s="562">
        <f>Inputs!M119</f>
        <v>9.5948084448056165E-2</v>
      </c>
    </row>
    <row r="6" spans="1:12" x14ac:dyDescent="0.35">
      <c r="K6" s="562" t="s">
        <v>1242</v>
      </c>
      <c r="L6" s="562">
        <f>'Final Metrics'!B4</f>
        <v>0.11049552486862131</v>
      </c>
    </row>
    <row r="7" spans="1:12" s="230" customFormat="1" ht="30" customHeight="1" x14ac:dyDescent="0.35">
      <c r="A7" s="235" t="s">
        <v>1243</v>
      </c>
      <c r="B7" s="235" t="s">
        <v>1244</v>
      </c>
      <c r="K7" s="562" t="s">
        <v>1245</v>
      </c>
      <c r="L7" s="562">
        <f>(C14/A2)^((1/10))-1</f>
        <v>4.3475591737468289E-2</v>
      </c>
    </row>
    <row r="8" spans="1:12" x14ac:dyDescent="0.35">
      <c r="A8" s="95">
        <f>'Balance Sheet - Standardized'!L118</f>
        <v>532.85</v>
      </c>
      <c r="B8" s="96">
        <f>A8/'Income - GAAP'!L70</f>
        <v>48.804726140318742</v>
      </c>
      <c r="K8" s="562" t="s">
        <v>1246</v>
      </c>
      <c r="L8" s="562" t="s">
        <v>1247</v>
      </c>
    </row>
    <row r="9" spans="1:12" x14ac:dyDescent="0.35">
      <c r="K9" s="562" t="s">
        <v>1248</v>
      </c>
      <c r="L9" s="562" t="s">
        <v>1247</v>
      </c>
    </row>
    <row r="10" spans="1:12" s="230" customFormat="1" ht="30" customHeight="1" x14ac:dyDescent="0.35">
      <c r="A10" s="235" t="s">
        <v>1249</v>
      </c>
      <c r="B10" s="235" t="str">
        <f>"BV per Share "&amp;A26</f>
        <v>BV per Share 2035</v>
      </c>
      <c r="C10" s="235" t="s">
        <v>1250</v>
      </c>
      <c r="K10" s="562" t="s">
        <v>1251</v>
      </c>
      <c r="L10" s="562" t="s">
        <v>1252</v>
      </c>
    </row>
    <row r="11" spans="1:12" x14ac:dyDescent="0.35">
      <c r="A11" s="74">
        <f>C5*A14</f>
        <v>1.0601833951226767E-2</v>
      </c>
      <c r="B11" s="96">
        <f>B8*((1+A11)^10)</f>
        <v>54.232884046911359</v>
      </c>
      <c r="C11" s="96">
        <f>SUM(E17:E26)</f>
        <v>12.227412244746402</v>
      </c>
    </row>
    <row r="13" spans="1:12" s="230" customFormat="1" ht="30" customHeight="1" x14ac:dyDescent="0.35">
      <c r="A13" s="235" t="s">
        <v>1253</v>
      </c>
      <c r="B13" s="235" t="s">
        <v>1254</v>
      </c>
      <c r="C13" s="235" t="s">
        <v>1255</v>
      </c>
      <c r="D13" s="235" t="s">
        <v>1256</v>
      </c>
      <c r="E13" s="235" t="s">
        <v>1257</v>
      </c>
      <c r="F13" s="235" t="s">
        <v>1258</v>
      </c>
    </row>
    <row r="14" spans="1:12" x14ac:dyDescent="0.35">
      <c r="A14" s="74">
        <f>'Final Metrics'!B4</f>
        <v>0.11049552486862131</v>
      </c>
      <c r="B14" s="95">
        <f>B11*A14</f>
        <v>5.9924909879025501</v>
      </c>
      <c r="C14" s="95">
        <f>B14*E2</f>
        <v>176.55425775495519</v>
      </c>
      <c r="D14" s="96">
        <f>C14+C11</f>
        <v>188.78166999970159</v>
      </c>
      <c r="E14" s="74">
        <f>(C14/A2)^((1/10))-1</f>
        <v>4.3475591737468289E-2</v>
      </c>
      <c r="F14" s="286">
        <f>(D14/A2)^(1/10)-1</f>
        <v>5.0486456575550065E-2</v>
      </c>
    </row>
    <row r="16" spans="1:12" x14ac:dyDescent="0.35">
      <c r="A16" s="236" t="s">
        <v>1259</v>
      </c>
      <c r="B16" s="236" t="s">
        <v>992</v>
      </c>
      <c r="C16" s="236" t="s">
        <v>1260</v>
      </c>
      <c r="D16" s="236" t="s">
        <v>475</v>
      </c>
      <c r="E16" s="236" t="s">
        <v>1032</v>
      </c>
    </row>
    <row r="17" spans="1:10" x14ac:dyDescent="0.35">
      <c r="A17" s="270">
        <f>YEAR('Final Metrics'!L2)+1</f>
        <v>2026</v>
      </c>
      <c r="B17" s="97">
        <v>1</v>
      </c>
      <c r="C17" s="40">
        <f t="shared" ref="C17:C26" si="0">$B$8*((1+$A$11)^B17)</f>
        <v>49.322145742893504</v>
      </c>
      <c r="D17" s="40">
        <f t="shared" ref="D17:D26" si="1">C17*$A$14</f>
        <v>5.4498763815076536</v>
      </c>
      <c r="E17" s="234">
        <f>D17*'Final Metrics'!$L$26</f>
        <v>1.1655340343932297</v>
      </c>
    </row>
    <row r="18" spans="1:10" x14ac:dyDescent="0.35">
      <c r="A18">
        <f t="shared" ref="A18:A26" si="2">A17+1</f>
        <v>2027</v>
      </c>
      <c r="B18" s="97">
        <v>2</v>
      </c>
      <c r="C18" s="40">
        <f t="shared" si="0"/>
        <v>49.845050942177863</v>
      </c>
      <c r="D18" s="40">
        <f t="shared" si="1"/>
        <v>5.5076550659591099</v>
      </c>
      <c r="E18" s="234">
        <f>D18*'Final Metrics'!$L$26</f>
        <v>1.1778908326903701</v>
      </c>
    </row>
    <row r="19" spans="1:10" x14ac:dyDescent="0.35">
      <c r="A19">
        <f t="shared" si="2"/>
        <v>2028</v>
      </c>
      <c r="B19" s="97">
        <v>3</v>
      </c>
      <c r="C19" s="40">
        <f t="shared" si="0"/>
        <v>50.373499895557281</v>
      </c>
      <c r="D19" s="40">
        <f t="shared" si="1"/>
        <v>5.5660463104290425</v>
      </c>
      <c r="E19" s="234">
        <f>D19*'Final Metrics'!$L$26</f>
        <v>1.1903786357112258</v>
      </c>
    </row>
    <row r="20" spans="1:10" x14ac:dyDescent="0.35">
      <c r="A20">
        <f t="shared" si="2"/>
        <v>2029</v>
      </c>
      <c r="B20" s="97">
        <v>4</v>
      </c>
      <c r="C20" s="40">
        <f t="shared" si="0"/>
        <v>50.907551376992117</v>
      </c>
      <c r="D20" s="40">
        <f t="shared" si="1"/>
        <v>5.62505660917705</v>
      </c>
      <c r="E20" s="234">
        <f>D20*'Final Metrics'!$L$26</f>
        <v>1.2029988323461243</v>
      </c>
    </row>
    <row r="21" spans="1:10" x14ac:dyDescent="0.35">
      <c r="A21">
        <f t="shared" si="2"/>
        <v>2030</v>
      </c>
      <c r="B21" s="97">
        <v>5</v>
      </c>
      <c r="C21" s="40">
        <f t="shared" si="0"/>
        <v>51.447264783554537</v>
      </c>
      <c r="D21" s="40">
        <f t="shared" si="1"/>
        <v>5.6846925253137961</v>
      </c>
      <c r="E21" s="234">
        <f>D21*'Final Metrics'!$L$26</f>
        <v>1.2157528262101776</v>
      </c>
    </row>
    <row r="22" spans="1:10" x14ac:dyDescent="0.35">
      <c r="A22">
        <f t="shared" si="2"/>
        <v>2031</v>
      </c>
      <c r="B22" s="97">
        <v>6</v>
      </c>
      <c r="C22" s="40">
        <f t="shared" si="0"/>
        <v>51.992700142034572</v>
      </c>
      <c r="D22" s="40">
        <f t="shared" si="1"/>
        <v>5.7449606915309515</v>
      </c>
      <c r="E22" s="234">
        <f>D22*'Final Metrics'!$L$26</f>
        <v>1.2286420357993921</v>
      </c>
    </row>
    <row r="23" spans="1:10" x14ac:dyDescent="0.35">
      <c r="A23">
        <f t="shared" si="2"/>
        <v>2032</v>
      </c>
      <c r="B23" s="97">
        <v>7</v>
      </c>
      <c r="C23" s="40">
        <f t="shared" si="0"/>
        <v>52.543918115616357</v>
      </c>
      <c r="D23" s="40">
        <f t="shared" si="1"/>
        <v>5.8058678108388886</v>
      </c>
      <c r="E23" s="234">
        <f>D23*'Final Metrics'!$L$26</f>
        <v>1.2416678946484347</v>
      </c>
    </row>
    <row r="24" spans="1:10" x14ac:dyDescent="0.35">
      <c r="A24">
        <f t="shared" si="2"/>
        <v>2033</v>
      </c>
      <c r="B24" s="97">
        <v>8</v>
      </c>
      <c r="C24" s="40">
        <f t="shared" si="0"/>
        <v>53.100980010624973</v>
      </c>
      <c r="D24" s="40">
        <f t="shared" si="1"/>
        <v>5.8674206573121745</v>
      </c>
      <c r="E24" s="234">
        <f>D24*'Final Metrics'!$L$26</f>
        <v>1.2548318514900667</v>
      </c>
    </row>
    <row r="25" spans="1:10" x14ac:dyDescent="0.35">
      <c r="A25">
        <f t="shared" si="2"/>
        <v>2034</v>
      </c>
      <c r="B25" s="97">
        <v>9</v>
      </c>
      <c r="C25" s="40">
        <f t="shared" si="0"/>
        <v>53.66394778334503</v>
      </c>
      <c r="D25" s="40">
        <f t="shared" si="1"/>
        <v>5.9296260768429967</v>
      </c>
      <c r="E25" s="234">
        <f>D25*'Final Metrics'!$L$26</f>
        <v>1.268135370416275</v>
      </c>
    </row>
    <row r="26" spans="1:10" x14ac:dyDescent="0.35">
      <c r="A26">
        <f t="shared" si="2"/>
        <v>2035</v>
      </c>
      <c r="B26" s="97">
        <v>10</v>
      </c>
      <c r="C26" s="40">
        <f t="shared" si="0"/>
        <v>54.232884046911359</v>
      </c>
      <c r="D26" s="40">
        <f t="shared" si="1"/>
        <v>5.9924909879025501</v>
      </c>
      <c r="E26" s="234">
        <f>D26*'Final Metrics'!$L$26</f>
        <v>1.2815799310411058</v>
      </c>
    </row>
    <row r="29" spans="1:10" ht="45" customHeight="1" x14ac:dyDescent="0.35">
      <c r="A29" s="582" t="s">
        <v>1261</v>
      </c>
      <c r="B29" s="237" t="s">
        <v>1262</v>
      </c>
      <c r="C29" s="237" t="str">
        <f>"EPS "&amp;RIGHT('Balance Sheet - Standardized'!L7,4)</f>
        <v>EPS 2025</v>
      </c>
      <c r="D29" s="237" t="str">
        <f>"EPS "&amp;RIGHT('Balance Sheet - Standardized'!L7,4)&amp;" without buybacks"</f>
        <v>EPS 2025 without buybacks</v>
      </c>
      <c r="E29" s="237" t="s">
        <v>478</v>
      </c>
      <c r="F29" s="237" t="s">
        <v>1263</v>
      </c>
      <c r="G29" s="237" t="s">
        <v>1264</v>
      </c>
      <c r="H29" s="237" t="s">
        <v>1265</v>
      </c>
      <c r="I29" s="237" t="s">
        <v>1266</v>
      </c>
      <c r="J29" s="288" t="s">
        <v>1267</v>
      </c>
    </row>
    <row r="30" spans="1:10" x14ac:dyDescent="0.35">
      <c r="A30" s="583"/>
      <c r="B30" s="256">
        <f ca="1">'Income - GAAP'!N90</f>
        <v>78.839548577036311</v>
      </c>
      <c r="C30" s="256">
        <f>'Income - GAAP'!L71</f>
        <v>6.78</v>
      </c>
      <c r="D30" s="257">
        <f>'Income - GAAP'!L62/'Income - GAAP'!C70</f>
        <v>6.7751143641354084</v>
      </c>
      <c r="E30" s="256">
        <f>A2</f>
        <v>115.36</v>
      </c>
      <c r="F30" s="233">
        <f>E30/'Income - GAAP'!L71</f>
        <v>17.014749262536874</v>
      </c>
      <c r="G30" s="256">
        <f>D30*F30</f>
        <v>115.27687213077593</v>
      </c>
      <c r="H30" s="256">
        <f>E30-G30</f>
        <v>8.312786922407156E-2</v>
      </c>
      <c r="I30" s="102">
        <f ca="1">H30/B30</f>
        <v>1.0543930137150014E-3</v>
      </c>
      <c r="J30" s="289">
        <f ca="1">((1+I30)^(1/9))-1</f>
        <v>1.170999147521723E-4</v>
      </c>
    </row>
  </sheetData>
  <mergeCells count="1">
    <mergeCell ref="A29:A30"/>
  </mergeCells>
  <pageMargins left="0.7" right="0.7" top="0.75" bottom="0.75" header="0.3" footer="0.3"/>
  <pageSetup orientation="portrait"/>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sheetPr>
  <dimension ref="A1:U53"/>
  <sheetViews>
    <sheetView workbookViewId="0">
      <selection activeCell="B24" sqref="B24"/>
    </sheetView>
  </sheetViews>
  <sheetFormatPr defaultRowHeight="14.5" x14ac:dyDescent="0.35"/>
  <cols>
    <col min="1" max="1" width="44.26953125" bestFit="1" customWidth="1"/>
    <col min="2" max="2" width="13.26953125" bestFit="1" customWidth="1"/>
    <col min="3" max="3" width="12.81640625" bestFit="1" customWidth="1"/>
    <col min="4" max="21" width="11.1796875" bestFit="1" customWidth="1"/>
  </cols>
  <sheetData>
    <row r="1" spans="1:21" x14ac:dyDescent="0.35">
      <c r="J1" s="562" t="s">
        <v>1109</v>
      </c>
      <c r="T1" s="562" t="s">
        <v>1109</v>
      </c>
    </row>
    <row r="2" spans="1:21" x14ac:dyDescent="0.35">
      <c r="A2" t="s">
        <v>1216</v>
      </c>
      <c r="B2" s="249">
        <f>'Final Metrics'!B45</f>
        <v>0.12</v>
      </c>
      <c r="C2" s="40"/>
      <c r="D2" s="40"/>
      <c r="E2" s="40"/>
      <c r="F2" s="40"/>
      <c r="G2" s="40"/>
      <c r="H2" s="40"/>
      <c r="I2" s="40"/>
      <c r="J2" s="563" t="s">
        <v>1268</v>
      </c>
      <c r="K2" s="563"/>
      <c r="L2" s="40"/>
      <c r="M2" s="40"/>
      <c r="T2" s="562" t="s">
        <v>1234</v>
      </c>
      <c r="U2" s="562"/>
    </row>
    <row r="3" spans="1:21" x14ac:dyDescent="0.35">
      <c r="A3" t="s">
        <v>478</v>
      </c>
      <c r="B3" s="40">
        <f>'Final Metrics'!B51</f>
        <v>115.36</v>
      </c>
      <c r="C3" s="40"/>
      <c r="D3" s="40"/>
      <c r="E3" s="40"/>
      <c r="F3" s="40"/>
      <c r="G3" s="40"/>
      <c r="H3" s="40"/>
      <c r="I3" s="40"/>
      <c r="J3" s="563" t="s">
        <v>1269</v>
      </c>
      <c r="K3" s="563">
        <v>0.15524236586981699</v>
      </c>
      <c r="L3" s="40"/>
      <c r="M3" s="40"/>
      <c r="T3" s="562" t="s">
        <v>1270</v>
      </c>
      <c r="U3" s="562">
        <f>'Final Metrics'!L10/'Final Metrics'!C10-1</f>
        <v>1.0447528457820061</v>
      </c>
    </row>
    <row r="4" spans="1:21" x14ac:dyDescent="0.35">
      <c r="B4" s="249"/>
      <c r="C4" s="40"/>
      <c r="D4" s="40"/>
      <c r="E4" s="40"/>
      <c r="F4" s="40"/>
      <c r="G4" s="40"/>
      <c r="H4" s="40"/>
      <c r="I4" s="41"/>
      <c r="J4" s="564" t="s">
        <v>1271</v>
      </c>
      <c r="K4" s="564">
        <f>B20*(1-B30)</f>
        <v>90.543077608923468</v>
      </c>
      <c r="L4" s="41"/>
      <c r="M4" s="41"/>
      <c r="N4" s="41"/>
      <c r="O4" s="41"/>
      <c r="P4" s="41"/>
      <c r="Q4" s="41"/>
      <c r="R4" s="41"/>
      <c r="T4" s="562" t="s">
        <v>1272</v>
      </c>
      <c r="U4" s="562">
        <f>(B6+1)^(1/9)-1</f>
        <v>8.2718722736006445E-2</v>
      </c>
    </row>
    <row r="5" spans="1:21" x14ac:dyDescent="0.35">
      <c r="B5" s="249" t="s">
        <v>1273</v>
      </c>
      <c r="C5" s="40" t="s">
        <v>1274</v>
      </c>
      <c r="D5" s="40"/>
      <c r="E5" s="40"/>
      <c r="F5" s="40"/>
      <c r="G5" s="40"/>
      <c r="H5" s="38"/>
      <c r="I5" s="40"/>
      <c r="J5" s="563" t="s">
        <v>1275</v>
      </c>
      <c r="K5" s="563" t="s">
        <v>1247</v>
      </c>
      <c r="L5" s="40"/>
      <c r="M5" s="40"/>
      <c r="N5" s="40"/>
      <c r="O5" s="40"/>
      <c r="P5" s="40"/>
      <c r="Q5" s="40"/>
      <c r="R5" s="40"/>
      <c r="T5" s="562" t="s">
        <v>1276</v>
      </c>
      <c r="U5" s="562">
        <f>B19/'Last Quarter BS Standardized'!C122</f>
        <v>120.72410347856463</v>
      </c>
    </row>
    <row r="6" spans="1:21" x14ac:dyDescent="0.35">
      <c r="A6" t="s">
        <v>1277</v>
      </c>
      <c r="B6" s="39">
        <f>'Final Metrics'!L10/'Final Metrics'!C10-1</f>
        <v>1.0447528457820061</v>
      </c>
      <c r="C6" s="74">
        <f>(B6+1)^(1/9)-1</f>
        <v>8.2718722736006445E-2</v>
      </c>
      <c r="D6" s="40"/>
      <c r="E6" s="39"/>
      <c r="F6" s="74"/>
      <c r="G6" s="40"/>
      <c r="H6" s="40"/>
      <c r="I6" s="40"/>
      <c r="J6" s="563" t="s">
        <v>1278</v>
      </c>
      <c r="K6" s="563" t="s">
        <v>1247</v>
      </c>
      <c r="L6" s="40"/>
      <c r="M6" s="40"/>
      <c r="N6" s="40"/>
      <c r="T6" s="562" t="s">
        <v>1279</v>
      </c>
      <c r="U6" s="562">
        <f>(B19-B25)/B19</f>
        <v>-8.9970434393515666E-2</v>
      </c>
    </row>
    <row r="7" spans="1:21" x14ac:dyDescent="0.35">
      <c r="B7" s="39"/>
      <c r="C7" s="39"/>
      <c r="D7" s="40"/>
      <c r="E7" s="40"/>
      <c r="F7" s="40"/>
      <c r="G7" s="40"/>
      <c r="H7" s="40"/>
      <c r="I7" s="40"/>
      <c r="J7" s="563" t="s">
        <v>1251</v>
      </c>
      <c r="K7" s="563" t="s">
        <v>1280</v>
      </c>
      <c r="L7" s="40"/>
      <c r="M7" s="40"/>
      <c r="N7" s="40"/>
      <c r="T7" s="562" t="s">
        <v>1281</v>
      </c>
      <c r="U7" s="562" t="s">
        <v>1247</v>
      </c>
    </row>
    <row r="8" spans="1:21" x14ac:dyDescent="0.35">
      <c r="B8">
        <v>1</v>
      </c>
      <c r="C8">
        <v>2</v>
      </c>
      <c r="D8">
        <v>3</v>
      </c>
      <c r="E8">
        <v>4</v>
      </c>
      <c r="F8">
        <v>5</v>
      </c>
      <c r="G8">
        <v>6</v>
      </c>
      <c r="H8">
        <v>7</v>
      </c>
      <c r="I8">
        <v>8</v>
      </c>
      <c r="J8">
        <v>9</v>
      </c>
      <c r="K8">
        <v>10</v>
      </c>
      <c r="L8">
        <v>11</v>
      </c>
      <c r="M8">
        <v>12</v>
      </c>
      <c r="N8">
        <v>13</v>
      </c>
      <c r="O8">
        <v>14</v>
      </c>
      <c r="P8">
        <v>15</v>
      </c>
      <c r="Q8">
        <v>16</v>
      </c>
      <c r="R8">
        <v>17</v>
      </c>
      <c r="S8">
        <v>18</v>
      </c>
      <c r="T8">
        <v>19</v>
      </c>
      <c r="U8">
        <v>20</v>
      </c>
    </row>
    <row r="9" spans="1:21" x14ac:dyDescent="0.35">
      <c r="A9" t="s">
        <v>1282</v>
      </c>
      <c r="B9" s="40">
        <f>'Final Metrics'!$L$10*(1+$C$6)^B8</f>
        <v>56.790762444949017</v>
      </c>
      <c r="C9" s="40">
        <f>'Final Metrics'!$L$10*(1+$C$6)^C8</f>
        <v>61.488421777599164</v>
      </c>
      <c r="D9" s="40">
        <f>'Final Metrics'!$L$10*(1+$C$6)^D8</f>
        <v>66.574665490095015</v>
      </c>
      <c r="E9" s="40">
        <f>'Final Metrics'!$L$10*(1+$C$6)^E8</f>
        <v>72.081636786012552</v>
      </c>
      <c r="F9" s="40">
        <f>'Final Metrics'!$L$10*(1+$C$6)^F8</f>
        <v>78.044137713672256</v>
      </c>
      <c r="G9" s="40">
        <f>'Final Metrics'!$L$10*(1+$C$6)^G8</f>
        <v>84.49984910238021</v>
      </c>
      <c r="H9" s="40">
        <f>'Final Metrics'!$L$10*(1+$C$6)^H8</f>
        <v>91.489568691514378</v>
      </c>
      <c r="I9" s="40">
        <f>'Final Metrics'!$L$10*(1+$C$6)^I8</f>
        <v>99.057468957344568</v>
      </c>
      <c r="J9" s="40">
        <f>'Final Metrics'!$L$10*(1+$C$6)^J8</f>
        <v>107.25137626695771</v>
      </c>
      <c r="K9" s="40">
        <f>'Final Metrics'!$L$10*(1+$C$6)^K8</f>
        <v>116.1230731234393</v>
      </c>
      <c r="L9" s="40">
        <f>'Final Metrics'!$L$10*(1+$C$6)^L8</f>
        <v>125.72862541239009</v>
      </c>
      <c r="M9" s="40">
        <f>'Final Metrics'!$L$10*(1+$C$6)^M8</f>
        <v>136.12873671785678</v>
      </c>
      <c r="N9" s="40">
        <f>'Final Metrics'!$L$10*(1+$C$6)^N8</f>
        <v>147.38913194682399</v>
      </c>
      <c r="O9" s="40">
        <f>'Final Metrics'!$L$10*(1+$C$6)^O8</f>
        <v>159.580972686634</v>
      </c>
      <c r="P9" s="40">
        <f>'Final Metrics'!$L$10*(1+$C$6)^P8</f>
        <v>172.78130692024189</v>
      </c>
      <c r="Q9" s="40">
        <f>'Final Metrics'!$L$10*(1+$C$6)^Q8</f>
        <v>187.07355594134219</v>
      </c>
      <c r="R9" s="40">
        <f>'Final Metrics'!$L$10*(1+$C$6)^R8</f>
        <v>202.54804154649287</v>
      </c>
      <c r="S9" s="40">
        <f>'Final Metrics'!$L$10*(1+$C$6)^S8</f>
        <v>219.30255683589832</v>
      </c>
      <c r="T9" s="40">
        <f>'Final Metrics'!$L$10*(1+$C$6)^T8</f>
        <v>237.44298423010429</v>
      </c>
      <c r="U9" s="40">
        <f>'Final Metrics'!$L$10*(1+$C$6)^U8</f>
        <v>257.08396460824423</v>
      </c>
    </row>
    <row r="10" spans="1:21" x14ac:dyDescent="0.35">
      <c r="A10" t="s">
        <v>1283</v>
      </c>
      <c r="B10" s="40">
        <f t="shared" ref="B10:U10" si="0">B9/(1+$B$2)^B8</f>
        <v>50.706037897275905</v>
      </c>
      <c r="C10" s="40">
        <f t="shared" si="0"/>
        <v>49.018193381376875</v>
      </c>
      <c r="D10" s="40">
        <f t="shared" si="0"/>
        <v>47.386531900634765</v>
      </c>
      <c r="E10" s="40">
        <f t="shared" si="0"/>
        <v>45.809183298521688</v>
      </c>
      <c r="F10" s="40">
        <f t="shared" si="0"/>
        <v>44.284339670138394</v>
      </c>
      <c r="G10" s="40">
        <f t="shared" si="0"/>
        <v>42.810253290053296</v>
      </c>
      <c r="H10" s="40">
        <f t="shared" si="0"/>
        <v>41.38523460911734</v>
      </c>
      <c r="I10" s="40">
        <f t="shared" si="0"/>
        <v>40.007650317958479</v>
      </c>
      <c r="J10" s="40">
        <f t="shared" si="0"/>
        <v>38.675921474936409</v>
      </c>
      <c r="K10" s="40">
        <f t="shared" si="0"/>
        <v>37.388521696411814</v>
      </c>
      <c r="L10" s="40">
        <f t="shared" si="0"/>
        <v>36.143975407255766</v>
      </c>
      <c r="M10" s="40">
        <f t="shared" si="0"/>
        <v>34.940856149594282</v>
      </c>
      <c r="N10" s="40">
        <f t="shared" si="0"/>
        <v>33.777784947849327</v>
      </c>
      <c r="O10" s="40">
        <f t="shared" si="0"/>
        <v>32.653428728202613</v>
      </c>
      <c r="P10" s="40">
        <f t="shared" si="0"/>
        <v>31.566498790670316</v>
      </c>
      <c r="Q10" s="40">
        <f t="shared" si="0"/>
        <v>30.515749332037721</v>
      </c>
      <c r="R10" s="40">
        <f t="shared" si="0"/>
        <v>29.499976017960734</v>
      </c>
      <c r="S10" s="40">
        <f t="shared" si="0"/>
        <v>28.518014602597553</v>
      </c>
      <c r="T10" s="40">
        <f t="shared" si="0"/>
        <v>27.568739594188571</v>
      </c>
      <c r="U10" s="40">
        <f t="shared" si="0"/>
        <v>26.651062965054841</v>
      </c>
    </row>
    <row r="11" spans="1:21" x14ac:dyDescent="0.35">
      <c r="B11" s="40"/>
      <c r="C11" s="40"/>
      <c r="D11" s="40"/>
      <c r="E11" s="40"/>
      <c r="F11" s="40"/>
      <c r="G11" s="40"/>
      <c r="H11" s="40"/>
      <c r="I11" s="40"/>
      <c r="J11" s="40"/>
      <c r="K11" s="40"/>
      <c r="L11" s="40"/>
      <c r="M11" s="40"/>
      <c r="N11" s="40"/>
      <c r="O11" s="40"/>
      <c r="P11" s="40"/>
      <c r="Q11" s="40"/>
      <c r="R11" s="40"/>
      <c r="S11" s="40"/>
      <c r="T11" s="563" t="s">
        <v>1284</v>
      </c>
      <c r="U11" s="563" t="s">
        <v>1247</v>
      </c>
    </row>
    <row r="12" spans="1:21" x14ac:dyDescent="0.35">
      <c r="B12">
        <v>1</v>
      </c>
      <c r="C12">
        <v>2</v>
      </c>
      <c r="D12">
        <v>3</v>
      </c>
      <c r="E12">
        <v>4</v>
      </c>
      <c r="F12">
        <v>5</v>
      </c>
      <c r="G12">
        <v>6</v>
      </c>
      <c r="H12">
        <v>7</v>
      </c>
      <c r="I12">
        <v>8</v>
      </c>
      <c r="J12">
        <v>9</v>
      </c>
      <c r="K12">
        <v>10</v>
      </c>
      <c r="L12">
        <v>11</v>
      </c>
      <c r="M12">
        <v>12</v>
      </c>
      <c r="N12">
        <v>13</v>
      </c>
      <c r="O12">
        <v>14</v>
      </c>
      <c r="P12">
        <v>15</v>
      </c>
      <c r="Q12">
        <v>16</v>
      </c>
      <c r="R12">
        <v>17</v>
      </c>
      <c r="S12">
        <v>18</v>
      </c>
      <c r="T12">
        <v>19</v>
      </c>
      <c r="U12">
        <v>20</v>
      </c>
    </row>
    <row r="13" spans="1:21" x14ac:dyDescent="0.35">
      <c r="A13" t="s">
        <v>1285</v>
      </c>
      <c r="B13" s="40">
        <f>'Final Metrics'!$L$10*(1+$C$6)^B12</f>
        <v>56.790762444949017</v>
      </c>
      <c r="C13" s="40">
        <f>'Final Metrics'!$L$10*(1+$C$6)^C12</f>
        <v>61.488421777599164</v>
      </c>
      <c r="D13" s="40">
        <f>'Final Metrics'!$L$10*(1+$C$6)^D12</f>
        <v>66.574665490095015</v>
      </c>
      <c r="E13" s="40">
        <f>'Final Metrics'!$L$10*(1+$C$6)^E12</f>
        <v>72.081636786012552</v>
      </c>
      <c r="F13" s="40">
        <f>'Final Metrics'!$L$10*(1+$C$6)^F12</f>
        <v>78.044137713672256</v>
      </c>
      <c r="G13" s="40">
        <f>'Final Metrics'!$L$10*(1+$C$6)^G12</f>
        <v>84.49984910238021</v>
      </c>
      <c r="H13" s="40">
        <f>'Final Metrics'!$L$10*(1+$C$6)^H12</f>
        <v>91.489568691514378</v>
      </c>
      <c r="I13" s="40">
        <f>'Final Metrics'!$L$10*(1+$C$6)^I12</f>
        <v>99.057468957344568</v>
      </c>
      <c r="J13" s="40">
        <f>'Final Metrics'!$L$10*(1+$C$6)^J12</f>
        <v>107.25137626695771</v>
      </c>
      <c r="K13" s="40">
        <f>'Final Metrics'!$L$10*(1+$C$6)^K12</f>
        <v>116.1230731234393</v>
      </c>
      <c r="L13" s="40">
        <f>'Final Metrics'!$L$10*(1+$C$6)^L12</f>
        <v>125.72862541239009</v>
      </c>
      <c r="M13" s="40">
        <f>'Final Metrics'!$L$10*(1+$C$6)^M12</f>
        <v>136.12873671785678</v>
      </c>
      <c r="N13" s="40">
        <f>'Final Metrics'!$L$10*(1+$C$6)^N12</f>
        <v>147.38913194682399</v>
      </c>
      <c r="O13" s="40">
        <f>'Final Metrics'!$L$10*(1+$C$6)^O12</f>
        <v>159.580972686634</v>
      </c>
      <c r="P13" s="40">
        <f>'Final Metrics'!$L$10*(1+$C$6)^P12</f>
        <v>172.78130692024189</v>
      </c>
      <c r="Q13" s="40">
        <f>'Final Metrics'!$L$10*(1+$C$6)^Q12</f>
        <v>187.07355594134219</v>
      </c>
      <c r="R13" s="40">
        <f>'Final Metrics'!$L$10*(1+$C$6)^R12</f>
        <v>202.54804154649287</v>
      </c>
      <c r="S13" s="40">
        <f>'Final Metrics'!$L$10*(1+$C$6)^S12</f>
        <v>219.30255683589832</v>
      </c>
      <c r="T13" s="40">
        <f>'Final Metrics'!$L$10*(1+$C$6)^T12</f>
        <v>237.44298423010429</v>
      </c>
      <c r="U13" s="40">
        <f>'Final Metrics'!$L$10*(1+$C$6)^U12</f>
        <v>257.08396460824423</v>
      </c>
    </row>
    <row r="14" spans="1:21" ht="30" customHeight="1" x14ac:dyDescent="0.35">
      <c r="A14" s="230" t="s">
        <v>1286</v>
      </c>
      <c r="B14" s="40">
        <f t="shared" ref="B14:U14" si="1">B13/(1+$B$2)^B12</f>
        <v>50.706037897275905</v>
      </c>
      <c r="C14" s="40">
        <f t="shared" si="1"/>
        <v>49.018193381376875</v>
      </c>
      <c r="D14" s="40">
        <f t="shared" si="1"/>
        <v>47.386531900634765</v>
      </c>
      <c r="E14" s="40">
        <f t="shared" si="1"/>
        <v>45.809183298521688</v>
      </c>
      <c r="F14" s="40">
        <f t="shared" si="1"/>
        <v>44.284339670138394</v>
      </c>
      <c r="G14" s="40">
        <f t="shared" si="1"/>
        <v>42.810253290053296</v>
      </c>
      <c r="H14" s="40">
        <f t="shared" si="1"/>
        <v>41.38523460911734</v>
      </c>
      <c r="I14" s="40">
        <f t="shared" si="1"/>
        <v>40.007650317958479</v>
      </c>
      <c r="J14" s="40">
        <f t="shared" si="1"/>
        <v>38.675921474936409</v>
      </c>
      <c r="K14" s="40">
        <f t="shared" si="1"/>
        <v>37.388521696411814</v>
      </c>
      <c r="L14" s="40">
        <f t="shared" si="1"/>
        <v>36.143975407255766</v>
      </c>
      <c r="M14" s="40">
        <f t="shared" si="1"/>
        <v>34.940856149594282</v>
      </c>
      <c r="N14" s="40">
        <f t="shared" si="1"/>
        <v>33.777784947849327</v>
      </c>
      <c r="O14" s="40">
        <f t="shared" si="1"/>
        <v>32.653428728202613</v>
      </c>
      <c r="P14" s="40">
        <f t="shared" si="1"/>
        <v>31.566498790670316</v>
      </c>
      <c r="Q14" s="40">
        <f t="shared" si="1"/>
        <v>30.515749332037721</v>
      </c>
      <c r="R14" s="40">
        <f t="shared" si="1"/>
        <v>29.499976017960734</v>
      </c>
      <c r="S14" s="40">
        <f t="shared" si="1"/>
        <v>28.518014602597553</v>
      </c>
      <c r="T14" s="40">
        <f t="shared" si="1"/>
        <v>27.568739594188571</v>
      </c>
      <c r="U14" s="40">
        <f t="shared" si="1"/>
        <v>26.651062965054841</v>
      </c>
    </row>
    <row r="15" spans="1:21" x14ac:dyDescent="0.35">
      <c r="B15" s="40"/>
      <c r="C15" s="40"/>
      <c r="D15" s="40"/>
      <c r="E15" s="40"/>
      <c r="F15" s="40"/>
      <c r="G15" s="40"/>
      <c r="H15" s="40"/>
      <c r="I15" s="40"/>
      <c r="J15" s="40"/>
      <c r="K15" s="40"/>
      <c r="L15" s="40"/>
      <c r="M15" s="40"/>
      <c r="N15" s="40"/>
      <c r="O15" s="40"/>
      <c r="P15" s="40"/>
      <c r="Q15" s="40"/>
      <c r="R15" s="40"/>
      <c r="S15" s="40"/>
      <c r="T15" s="563" t="s">
        <v>1287</v>
      </c>
      <c r="U15" s="563" t="s">
        <v>1247</v>
      </c>
    </row>
    <row r="16" spans="1:21" x14ac:dyDescent="0.35">
      <c r="A16" t="s">
        <v>1288</v>
      </c>
      <c r="B16" s="234">
        <f>SUM(B10:U10)</f>
        <v>749.30795407183666</v>
      </c>
      <c r="C16" s="38"/>
      <c r="D16" s="38"/>
      <c r="E16" s="38"/>
      <c r="F16" s="38"/>
      <c r="G16" s="38"/>
      <c r="H16" s="38"/>
      <c r="I16" s="38"/>
      <c r="J16" s="38"/>
      <c r="K16" s="38"/>
      <c r="L16" s="38"/>
      <c r="M16" s="38"/>
      <c r="N16" s="38"/>
      <c r="O16" s="38"/>
      <c r="P16" s="38"/>
      <c r="Q16" s="38"/>
      <c r="R16" s="38"/>
      <c r="S16" s="38"/>
      <c r="T16" s="565" t="s">
        <v>1251</v>
      </c>
      <c r="U16" s="565" t="s">
        <v>1289</v>
      </c>
    </row>
    <row r="17" spans="1:21" x14ac:dyDescent="0.35">
      <c r="A17" t="s">
        <v>1290</v>
      </c>
      <c r="B17" s="234">
        <f>'Last Quarter BS Standardized'!C118</f>
        <v>499.1</v>
      </c>
      <c r="C17" s="38"/>
      <c r="D17" s="38"/>
      <c r="E17" s="38"/>
      <c r="F17" s="38"/>
      <c r="G17" s="38"/>
      <c r="H17" s="38"/>
      <c r="I17" s="38"/>
      <c r="J17" s="38"/>
      <c r="K17" s="38"/>
      <c r="L17" s="38"/>
      <c r="M17" s="38"/>
      <c r="N17" s="38"/>
      <c r="O17" s="38"/>
      <c r="P17" s="38"/>
      <c r="Q17" s="38"/>
      <c r="R17" s="38"/>
      <c r="S17" s="38"/>
      <c r="T17" s="38"/>
      <c r="U17" s="38"/>
    </row>
    <row r="18" spans="1:21" x14ac:dyDescent="0.35">
      <c r="B18" s="38"/>
      <c r="C18" s="408" t="s">
        <v>1291</v>
      </c>
      <c r="D18" s="38"/>
      <c r="E18" s="38"/>
      <c r="F18" s="38"/>
      <c r="G18" s="38"/>
      <c r="H18" s="38"/>
      <c r="I18" s="38"/>
      <c r="J18" s="38"/>
      <c r="K18" s="38"/>
      <c r="L18" s="38"/>
      <c r="M18" s="38"/>
      <c r="N18" s="38"/>
      <c r="O18" s="38"/>
      <c r="P18" s="38"/>
      <c r="Q18" s="38"/>
      <c r="R18" s="38"/>
      <c r="S18" s="38"/>
      <c r="T18" s="38"/>
      <c r="U18" s="38"/>
    </row>
    <row r="19" spans="1:21" x14ac:dyDescent="0.35">
      <c r="A19" s="284" t="s">
        <v>1217</v>
      </c>
      <c r="B19" s="285">
        <f>B16+B17</f>
        <v>1248.4079540718367</v>
      </c>
      <c r="C19" s="409">
        <f>B19+B24</f>
        <v>1093.6479540718367</v>
      </c>
      <c r="D19" s="38"/>
      <c r="E19" s="38"/>
      <c r="F19" s="38"/>
      <c r="G19" s="38"/>
      <c r="H19" s="38"/>
      <c r="I19" s="38"/>
      <c r="J19" s="38"/>
      <c r="K19" s="38"/>
      <c r="L19" s="38"/>
      <c r="M19" s="38"/>
      <c r="N19" s="38"/>
      <c r="O19" s="38"/>
      <c r="P19" s="38"/>
      <c r="Q19" s="38"/>
      <c r="R19" s="38"/>
      <c r="S19" s="38"/>
      <c r="T19" s="38"/>
      <c r="U19" s="38"/>
    </row>
    <row r="20" spans="1:21" x14ac:dyDescent="0.35">
      <c r="A20" s="285" t="s">
        <v>1218</v>
      </c>
      <c r="B20" s="285">
        <f>B19/'Last Quarter BS Standardized'!C122</f>
        <v>120.72410347856463</v>
      </c>
      <c r="C20" s="409">
        <f>C19/'Last Quarter BS Standardized'!C122</f>
        <v>105.75843284709765</v>
      </c>
      <c r="D20" s="38"/>
      <c r="E20" s="38"/>
      <c r="F20" s="38"/>
      <c r="G20" s="38"/>
      <c r="H20" s="38"/>
      <c r="I20" s="38"/>
      <c r="J20" s="38"/>
      <c r="K20" s="38"/>
      <c r="L20" s="38"/>
      <c r="M20" s="38"/>
      <c r="N20" s="38"/>
      <c r="O20" s="38"/>
      <c r="P20" s="38"/>
      <c r="Q20" s="38"/>
      <c r="R20" s="38"/>
      <c r="S20" s="38"/>
      <c r="T20" s="38"/>
      <c r="U20" s="38"/>
    </row>
    <row r="21" spans="1:21" x14ac:dyDescent="0.35">
      <c r="B21" s="38"/>
      <c r="C21" s="38"/>
      <c r="D21" s="38"/>
      <c r="E21" s="38"/>
      <c r="F21" s="38"/>
      <c r="G21" s="38"/>
      <c r="H21" s="38"/>
      <c r="I21" s="38"/>
      <c r="J21" s="38"/>
      <c r="K21" s="38"/>
      <c r="L21" s="38"/>
      <c r="M21" s="38"/>
      <c r="N21" s="38"/>
      <c r="O21" s="38"/>
      <c r="P21" s="38"/>
      <c r="Q21" s="38"/>
      <c r="R21" s="38"/>
      <c r="S21" s="38"/>
      <c r="T21" s="38"/>
      <c r="U21" s="38"/>
    </row>
    <row r="22" spans="1:21" x14ac:dyDescent="0.35">
      <c r="A22" s="34" t="s">
        <v>1292</v>
      </c>
      <c r="B22" s="234">
        <f>'Last Quarter BS Standardized'!C106</f>
        <v>322.55</v>
      </c>
      <c r="C22" s="38"/>
      <c r="D22" s="38"/>
      <c r="E22" s="38"/>
      <c r="F22" s="38"/>
      <c r="G22" s="38"/>
      <c r="H22" s="38"/>
      <c r="I22" s="38"/>
      <c r="J22" s="38"/>
      <c r="K22" s="38"/>
      <c r="L22" s="38"/>
      <c r="M22" s="38"/>
      <c r="N22" s="38"/>
      <c r="O22" s="38"/>
      <c r="P22" s="38"/>
      <c r="Q22" s="38"/>
      <c r="R22" s="38"/>
      <c r="S22" s="38"/>
      <c r="T22" s="38"/>
      <c r="U22" s="38"/>
    </row>
    <row r="23" spans="1:21" x14ac:dyDescent="0.35">
      <c r="A23" s="34" t="s">
        <v>1293</v>
      </c>
      <c r="B23" s="234">
        <f>'Final Metrics'!B51*'Last Quarter BS Standardized'!C122</f>
        <v>1192.93776</v>
      </c>
      <c r="C23" s="38"/>
      <c r="D23" s="38"/>
      <c r="E23" s="38"/>
      <c r="F23" s="38"/>
      <c r="G23" s="38"/>
      <c r="H23" s="38"/>
      <c r="I23" s="38"/>
      <c r="J23" s="38"/>
      <c r="K23" s="38"/>
      <c r="L23" s="38"/>
      <c r="M23" s="38"/>
      <c r="N23" s="38"/>
      <c r="O23" s="38"/>
      <c r="P23" s="38"/>
      <c r="Q23" s="38"/>
      <c r="R23" s="38"/>
      <c r="S23" s="38"/>
      <c r="T23" s="38"/>
      <c r="U23" s="38"/>
    </row>
    <row r="24" spans="1:21" x14ac:dyDescent="0.35">
      <c r="A24" s="269" t="s">
        <v>1294</v>
      </c>
      <c r="B24" s="40">
        <f>-'Last Quarter BS Standardized'!C11</f>
        <v>-154.76</v>
      </c>
      <c r="C24" s="38"/>
      <c r="D24" s="38"/>
      <c r="E24" s="38"/>
      <c r="F24" s="38"/>
      <c r="G24" s="38"/>
      <c r="H24" s="38"/>
      <c r="I24" s="38"/>
      <c r="J24" s="38"/>
      <c r="K24" s="38"/>
      <c r="L24" s="38"/>
      <c r="M24" s="38"/>
      <c r="N24" s="38"/>
      <c r="O24" s="38"/>
      <c r="P24" s="38"/>
      <c r="Q24" s="38"/>
      <c r="R24" s="38"/>
      <c r="S24" s="38"/>
      <c r="T24" s="38"/>
      <c r="U24" s="38"/>
    </row>
    <row r="25" spans="1:21" x14ac:dyDescent="0.35">
      <c r="A25" s="418" t="s">
        <v>1295</v>
      </c>
      <c r="B25" s="419">
        <f>B22+B23+B24</f>
        <v>1360.72776</v>
      </c>
      <c r="C25" s="38"/>
      <c r="D25" s="38"/>
      <c r="E25" s="38"/>
      <c r="F25" s="38"/>
      <c r="G25" s="38"/>
      <c r="H25" s="38"/>
      <c r="I25" s="38"/>
      <c r="J25" s="38"/>
      <c r="K25" s="38"/>
      <c r="L25" s="38"/>
      <c r="M25" s="38"/>
      <c r="N25" s="38"/>
      <c r="O25" s="38"/>
      <c r="P25" s="38"/>
      <c r="Q25" s="38"/>
      <c r="R25" s="38"/>
      <c r="S25" s="38"/>
      <c r="T25" s="38"/>
      <c r="U25" s="38"/>
    </row>
    <row r="26" spans="1:21" x14ac:dyDescent="0.35">
      <c r="B26" s="40"/>
      <c r="C26" s="38"/>
      <c r="D26" s="38"/>
      <c r="E26" s="38"/>
      <c r="F26" s="38"/>
      <c r="G26" s="38"/>
      <c r="H26" s="38"/>
      <c r="I26" s="38"/>
      <c r="J26" s="38"/>
      <c r="K26" s="38"/>
      <c r="L26" s="38"/>
      <c r="M26" s="38"/>
      <c r="N26" s="38"/>
      <c r="O26" s="38"/>
      <c r="P26" s="38"/>
      <c r="Q26" s="38"/>
      <c r="R26" s="38"/>
      <c r="S26" s="38"/>
      <c r="T26" s="38"/>
      <c r="U26" s="38"/>
    </row>
    <row r="27" spans="1:21" x14ac:dyDescent="0.35">
      <c r="A27" s="285" t="s">
        <v>1228</v>
      </c>
      <c r="B27" s="411">
        <f>(B19-B25)/B19</f>
        <v>-8.9970434393515666E-2</v>
      </c>
      <c r="C27" s="410">
        <f>(C19-B25)/C19</f>
        <v>-0.24421003571924577</v>
      </c>
      <c r="D27" s="38"/>
      <c r="E27" s="38"/>
      <c r="F27" s="38"/>
      <c r="G27" s="38"/>
      <c r="H27" s="38"/>
      <c r="I27" s="38"/>
      <c r="J27" s="38"/>
      <c r="K27" s="38"/>
      <c r="L27" s="38"/>
      <c r="M27" s="38"/>
      <c r="N27" s="38"/>
      <c r="O27" s="38"/>
      <c r="P27" s="38"/>
      <c r="Q27" s="38"/>
      <c r="R27" s="38"/>
      <c r="S27" s="38"/>
      <c r="T27" s="38"/>
      <c r="U27" s="38"/>
    </row>
    <row r="30" spans="1:21" x14ac:dyDescent="0.35">
      <c r="A30" s="317" t="s">
        <v>1296</v>
      </c>
      <c r="B30" s="318">
        <v>0.25</v>
      </c>
      <c r="C30" s="413" t="s">
        <v>1291</v>
      </c>
    </row>
    <row r="31" spans="1:21" x14ac:dyDescent="0.35">
      <c r="A31" t="s">
        <v>1297</v>
      </c>
      <c r="B31" s="234">
        <f>(1-B30)*B19</f>
        <v>936.30596555387751</v>
      </c>
      <c r="C31" s="412">
        <f>C19*(1-B30)</f>
        <v>820.23596555387758</v>
      </c>
    </row>
    <row r="32" spans="1:21" x14ac:dyDescent="0.35">
      <c r="A32" s="319" t="s">
        <v>1298</v>
      </c>
      <c r="B32" s="320">
        <f>B20*(1-B30)</f>
        <v>90.543077608923468</v>
      </c>
      <c r="C32" s="414">
        <f>C20*(1-B30)</f>
        <v>79.318824635323239</v>
      </c>
    </row>
    <row r="35" spans="1:2" x14ac:dyDescent="0.35">
      <c r="A35" s="415" t="s">
        <v>1299</v>
      </c>
      <c r="B35" s="416">
        <v>0.05</v>
      </c>
    </row>
    <row r="36" spans="1:2" x14ac:dyDescent="0.35">
      <c r="A36" s="417" t="s">
        <v>1300</v>
      </c>
      <c r="B36" s="495">
        <f>B20*(1-B35)</f>
        <v>114.68789830463639</v>
      </c>
    </row>
    <row r="37" spans="1:2" ht="15.75" customHeight="1" thickBot="1" x14ac:dyDescent="0.4"/>
    <row r="38" spans="1:2" ht="15.75" customHeight="1" thickBot="1" x14ac:dyDescent="0.4">
      <c r="A38" s="584" t="s">
        <v>1301</v>
      </c>
      <c r="B38" s="585"/>
    </row>
    <row r="39" spans="1:2" x14ac:dyDescent="0.35">
      <c r="A39" s="485" t="s">
        <v>478</v>
      </c>
      <c r="B39" s="501">
        <f>'Final Metrics'!B51</f>
        <v>115.36</v>
      </c>
    </row>
    <row r="40" spans="1:2" x14ac:dyDescent="0.35">
      <c r="A40" s="486" t="s">
        <v>1302</v>
      </c>
      <c r="B40" s="497">
        <f>'Final Metrics'!L29</f>
        <v>6.78</v>
      </c>
    </row>
    <row r="41" spans="1:2" ht="15.75" customHeight="1" thickBot="1" x14ac:dyDescent="0.4">
      <c r="A41" s="486" t="s">
        <v>1208</v>
      </c>
      <c r="B41" s="496">
        <f>'Final Metrics'!L31</f>
        <v>0.15524236586981699</v>
      </c>
    </row>
    <row r="42" spans="1:2" ht="15.75" customHeight="1" thickBot="1" x14ac:dyDescent="0.4">
      <c r="A42" s="487" t="s">
        <v>1303</v>
      </c>
      <c r="B42" s="498">
        <f>(B51+(B41*100*B52))*B40</f>
        <v>268.1386481194719</v>
      </c>
    </row>
    <row r="43" spans="1:2" x14ac:dyDescent="0.35">
      <c r="A43" s="488" t="s">
        <v>1304</v>
      </c>
      <c r="B43" s="489">
        <f>MIN(B41,0.07)</f>
        <v>7.0000000000000007E-2</v>
      </c>
    </row>
    <row r="44" spans="1:2" x14ac:dyDescent="0.35">
      <c r="A44" s="488" t="s">
        <v>1305</v>
      </c>
      <c r="B44" s="499">
        <f>B40*(1+B41)^7</f>
        <v>18.618360914165727</v>
      </c>
    </row>
    <row r="45" spans="1:2" x14ac:dyDescent="0.35">
      <c r="A45" s="488" t="s">
        <v>1306</v>
      </c>
      <c r="B45" s="490">
        <f>(B43*100)*B52+B51</f>
        <v>22.5</v>
      </c>
    </row>
    <row r="46" spans="1:2" ht="15.75" customHeight="1" thickBot="1" x14ac:dyDescent="0.4">
      <c r="A46" s="491" t="s">
        <v>1307</v>
      </c>
      <c r="B46" s="500">
        <f>B44*B45</f>
        <v>418.91312056872886</v>
      </c>
    </row>
    <row r="47" spans="1:2" ht="15.75" customHeight="1" thickBot="1" x14ac:dyDescent="0.4">
      <c r="A47" s="492" t="s">
        <v>1308</v>
      </c>
      <c r="B47" s="493">
        <f>(B46/B39)^(1/7)-1</f>
        <v>0.20229161010790708</v>
      </c>
    </row>
    <row r="48" spans="1:2" ht="15.75" customHeight="1" thickBot="1" x14ac:dyDescent="0.4">
      <c r="A48" s="508" t="s">
        <v>1309</v>
      </c>
      <c r="B48" s="509">
        <f>B46/(1+B53)^7</f>
        <v>148.22383251378631</v>
      </c>
    </row>
    <row r="49" spans="1:2" ht="15.75" customHeight="1" thickBot="1" x14ac:dyDescent="0.4"/>
    <row r="50" spans="1:2" ht="15.75" customHeight="1" thickBot="1" x14ac:dyDescent="0.4">
      <c r="A50" s="584" t="s">
        <v>1310</v>
      </c>
      <c r="B50" s="585"/>
    </row>
    <row r="51" spans="1:2" x14ac:dyDescent="0.35">
      <c r="A51" s="502" t="s">
        <v>1311</v>
      </c>
      <c r="B51" s="503">
        <v>8.5</v>
      </c>
    </row>
    <row r="52" spans="1:2" x14ac:dyDescent="0.35">
      <c r="A52" s="33" t="s">
        <v>1312</v>
      </c>
      <c r="B52" s="505">
        <v>2</v>
      </c>
    </row>
    <row r="53" spans="1:2" ht="15.75" customHeight="1" thickBot="1" x14ac:dyDescent="0.4">
      <c r="A53" s="506" t="s">
        <v>1313</v>
      </c>
      <c r="B53" s="507">
        <v>0.16</v>
      </c>
    </row>
  </sheetData>
  <mergeCells count="2">
    <mergeCell ref="A38:B38"/>
    <mergeCell ref="A50:B50"/>
  </mergeCells>
  <pageMargins left="0.7" right="0.7" top="0.75" bottom="0.75" header="0.3" footer="0.3"/>
  <pageSetup orientation="portrait"/>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2"/>
  <sheetViews>
    <sheetView workbookViewId="0"/>
  </sheetViews>
  <sheetFormatPr defaultRowHeight="14.5" x14ac:dyDescent="0.35"/>
  <sheetData>
    <row r="1" spans="1:1" x14ac:dyDescent="0.35">
      <c r="A1" s="33" t="s">
        <v>1314</v>
      </c>
    </row>
    <row r="2" spans="1:1" x14ac:dyDescent="0.35">
      <c r="A2" t="s">
        <v>1315</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Balance Sheet - Standardized</vt:lpstr>
      <vt:lpstr>BS%</vt:lpstr>
      <vt:lpstr>Income - GAAP</vt:lpstr>
      <vt:lpstr>IS%</vt:lpstr>
      <vt:lpstr>Cash Flow - Standardized</vt:lpstr>
      <vt:lpstr>CF%</vt:lpstr>
      <vt:lpstr>FCF</vt:lpstr>
      <vt:lpstr>Last Quarter BS Standardized</vt:lpstr>
      <vt:lpstr>Last Quarter IS Standardized</vt:lpstr>
      <vt:lpstr>Last Quarter CF Standardized</vt:lpstr>
      <vt:lpstr>Last Quarter BS As Reported</vt:lpstr>
      <vt:lpstr>Last Quarter IS As Reported</vt:lpstr>
      <vt:lpstr>Last Quarter CF As Reported</vt:lpstr>
      <vt:lpstr>DividendHelper</vt:lpstr>
      <vt:lpstr>Inputs</vt:lpstr>
      <vt:lpstr>IC &amp; NOPAT &amp; ROIC </vt:lpstr>
      <vt:lpstr>Tax</vt:lpstr>
      <vt:lpstr>Leases</vt:lpstr>
      <vt:lpstr>R&amp;D</vt:lpstr>
      <vt:lpstr>All Ratios</vt:lpstr>
      <vt:lpstr>Final Metrics</vt:lpstr>
      <vt:lpstr>Expected Returns &amp; Buybacks</vt:lpstr>
      <vt:lpstr>Enterprise Value</vt:lpstr>
      <vt:lpstr>Template Version</vt:lpstr>
      <vt:lpstr>SplitsByYear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lzweig</dc:creator>
  <cp:lastModifiedBy>Houda El Anzaoui</cp:lastModifiedBy>
  <dcterms:created xsi:type="dcterms:W3CDTF">2013-04-03T15:49:21Z</dcterms:created>
  <dcterms:modified xsi:type="dcterms:W3CDTF">2026-09-22T19:16:59Z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eyIwIjoiSGlzdG9yeSIsIjEiOjAsIjIiOjEsIjMiOjEsIjQiOjEsIjUiOjEsIjYiOjEsIjciOjEsIjgiOjAsIjkiOjEsIjEwIjoxLCIxMSI6MCwiMTIiOjB9</vt:lpwstr>
  </property>
  <property fmtid="{D5CDD505-2E9C-101B-9397-08002B2CF9AE}" pid="3" name="SpreadsheetBuilder_2">
    <vt:lpwstr>eyIwIjoiSGlzdG9yeSIsIjEiOjAsIjIiOjEsIjMiOjEsIjQiOjEsIjUiOjEsIjYiOjEsIjciOjEsIjgiOjAsIjkiOjEsIjEwIjowLCIxMSI6MCwiMTIiOjB9</vt:lpwstr>
  </property>
  <property fmtid="{D5CDD505-2E9C-101B-9397-08002B2CF9AE}" pid="4" name="SpreadsheetBuilder_3">
    <vt:lpwstr>eyIwIjoiSGlzdG9yeSIsIjEiOjAsIjIiOjEsIjMiOjEsIjQiOjEsIjUiOjEsIjYiOjEsIjciOjEsIjgiOjEsIjkiOjEsIjEwIjowLCIxMSI6MCwiMTIiOjB9</vt:lpwstr>
  </property>
  <property fmtid="{D5CDD505-2E9C-101B-9397-08002B2CF9AE}" pid="5" name="SpreadsheetBuilder_4">
    <vt:lpwstr>eyIwIjoiSGlzdG9yeSIsIjEiOjAsIjIiOjEsIjMiOjEsIjQiOjEsIjUiOjEsIjYiOjEsIjciOjEsIjgiOjAsIjkiOjEsIjEwIjoxLCIxMSI6MCwiMTIiOjB9</vt:lpwstr>
  </property>
  <property fmtid="{D5CDD505-2E9C-101B-9397-08002B2CF9AE}" pid="6" name="SpreadsheetBuilder_5">
    <vt:lpwstr>eyIwIjoiSGlzdG9yeSIsIjEiOjAsIjIiOjEsIjMiOjEsIjQiOjEsIjUiOjEsIjYiOjEsIjciOjEsIjgiOjAsIjkiOjEsIjEwIjoxLCIxMSI6MCwiMTIiOjB9</vt:lpwstr>
  </property>
  <property fmtid="{D5CDD505-2E9C-101B-9397-08002B2CF9AE}" pid="7" name="SpreadsheetBuilder_6">
    <vt:lpwstr>eyIwIjoiRGF0YSIsIjEiOjAsIjIiOjEsIjMiOjEsIjQiOjEsIjUiOjEsIjYiOjEsIjciOjEsIjgiOjEsIjkiOjEsIjEwIjowLCIxMSI6MCwiMTIiOjB9</vt:lpwstr>
  </property>
  <property fmtid="{D5CDD505-2E9C-101B-9397-08002B2CF9AE}" pid="8" name="SpreadsheetBuilder_7">
    <vt:lpwstr>eyIwIjoiSGlzdG9yeSIsIjEiOjAsIjIiOjEsIjMiOjEsIjQiOjEsIjUiOjEsIjYiOjEsIjciOjEsIjgiOjAsIjkiOjEsIjEwIjoxLCIxMSI6MCwiMTIiOjB9</vt:lpwstr>
  </property>
  <property fmtid="{D5CDD505-2E9C-101B-9397-08002B2CF9AE}" pid="9" name="SpreadsheetBuilder_8">
    <vt:lpwstr>eyIwIjoiSGlzdG9yeSIsIjEiOjAsIjIiOjEsIjMiOjEsIjQiOjEsIjUiOjEsIjYiOjEsIjciOjEsIjgiOjAsIjkiOjEsIjEwIjoxLCIxMSI6MCwiMTIiOjB9</vt:lpwstr>
  </property>
  <property fmtid="{D5CDD505-2E9C-101B-9397-08002B2CF9AE}" pid="10" name="SpreadsheetBuilder_9">
    <vt:lpwstr>eyIwIjoiRGF0YSIsIjEiOjAsIjIiOjEsIjMiOjEsIjQiOjEsIjUiOjEsIjYiOjEsIjciOjEsIjgiOjEsIjkiOjEsIjEwIjowLCIxMSI6MCwiMTIiOjB9</vt:lpwstr>
  </property>
  <property fmtid="{D5CDD505-2E9C-101B-9397-08002B2CF9AE}" pid="11" name="SpreadsheetBuilder_10">
    <vt:lpwstr>eyIwIjoiSGlzdG9yeSIsIjEiOjAsIjIiOjEsIjMiOjEsIjQiOjEsIjUiOjEsIjYiOjEsIjciOjEsIjgiOjAsIjkiOjEsIjEwIjoxLCIxMSI6MCwiMTIiOjB9</vt:lpwstr>
  </property>
  <property fmtid="{D5CDD505-2E9C-101B-9397-08002B2CF9AE}" pid="12" name="{A44787D4-0540-4523-9961-78E4036D8C6D}">
    <vt:lpwstr>{6EB6DA13-3DFB-43BB-8F45-67D12B168672}</vt:lpwstr>
  </property>
</Properties>
</file>